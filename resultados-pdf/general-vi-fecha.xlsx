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16815" windowHeight="7620" tabRatio="577"/>
  </bookViews>
  <sheets>
    <sheet name="EM" sheetId="1" r:id="rId1"/>
    <sheet name="Res I Fecha" sheetId="22" state="hidden" r:id="rId2"/>
    <sheet name="Res II Fecha" sheetId="30" state="hidden" r:id="rId3"/>
    <sheet name="SUB23" sheetId="58" r:id="rId4"/>
    <sheet name="EF" sheetId="57" r:id="rId5"/>
    <sheet name="SUB23F" sheetId="59" r:id="rId6"/>
    <sheet name="JM" sheetId="61" r:id="rId7"/>
    <sheet name="JF" sheetId="62" r:id="rId8"/>
    <sheet name="PJM" sheetId="63" r:id="rId9"/>
    <sheet name="PJF" sheetId="64" r:id="rId10"/>
    <sheet name="IM" sheetId="65" r:id="rId11"/>
    <sheet name="PIM" sheetId="76" r:id="rId12"/>
    <sheet name="IF" sheetId="66" r:id="rId13"/>
    <sheet name="PIF" sheetId="77" r:id="rId14"/>
    <sheet name="MA" sheetId="67" r:id="rId15"/>
    <sheet name="MB" sheetId="68" r:id="rId16"/>
    <sheet name="MC" sheetId="69" r:id="rId17"/>
    <sheet name="MD" sheetId="70" r:id="rId18"/>
    <sheet name="ME" sheetId="74" r:id="rId19"/>
    <sheet name="MAF" sheetId="71" r:id="rId20"/>
    <sheet name="MBF" sheetId="78" r:id="rId21"/>
    <sheet name="OP" sheetId="72" r:id="rId22"/>
    <sheet name="OP F" sheetId="73" r:id="rId23"/>
    <sheet name="PLM" sheetId="79" r:id="rId24"/>
    <sheet name="E-BIKE" sheetId="75" r:id="rId25"/>
    <sheet name="CXM" sheetId="80" r:id="rId26"/>
    <sheet name="Puntos XCO" sheetId="36" r:id="rId27"/>
    <sheet name="Puntos XCC Mayor" sheetId="38" r:id="rId28"/>
    <sheet name="Puntos XCC Menor" sheetId="39" r:id="rId29"/>
    <sheet name="Planilla" sheetId="37" r:id="rId30"/>
    <sheet name="ResXCO" sheetId="55" r:id="rId31"/>
    <sheet name="ResXCC" sheetId="56" r:id="rId32"/>
  </sheets>
  <definedNames>
    <definedName name="_xlnm.Print_Area" localSheetId="25">CXM!$A$1:$AH$41</definedName>
    <definedName name="_xlnm.Print_Area" localSheetId="24">'E-BIKE'!$A$1:$AH$26</definedName>
    <definedName name="_xlnm.Print_Area" localSheetId="4">EF!$A$1:$AH$38</definedName>
    <definedName name="_xlnm.Print_Area" localSheetId="0">EM!$A$1:$AH$67</definedName>
    <definedName name="_xlnm.Print_Area" localSheetId="12">IF!$A$1:$AH$38</definedName>
    <definedName name="_xlnm.Print_Area" localSheetId="10">IM!$A$1:$AH$63</definedName>
    <definedName name="_xlnm.Print_Area" localSheetId="7">JF!$A$1:$AH$28</definedName>
    <definedName name="_xlnm.Print_Area" localSheetId="6">JM!$A$1:$AH$90</definedName>
    <definedName name="_xlnm.Print_Area" localSheetId="14">MA!$A$1:$AH$39</definedName>
    <definedName name="_xlnm.Print_Area" localSheetId="19">MAF!$A$1:$AH$25</definedName>
    <definedName name="_xlnm.Print_Area" localSheetId="15">MB!$A$1:$AH$45</definedName>
    <definedName name="_xlnm.Print_Area" localSheetId="20">MBF!$A$1:$AH$25</definedName>
    <definedName name="_xlnm.Print_Area" localSheetId="16">MC!$A$1:$AH$48</definedName>
    <definedName name="_xlnm.Print_Area" localSheetId="17">MD!$A$1:$AH$45</definedName>
    <definedName name="_xlnm.Print_Area" localSheetId="18">ME!$A$1:$AH$42</definedName>
    <definedName name="_xlnm.Print_Area" localSheetId="21">OP!$A$1:$AH$51</definedName>
    <definedName name="_xlnm.Print_Area" localSheetId="22">'OP F'!$A$1:$AH$21</definedName>
    <definedName name="_xlnm.Print_Area" localSheetId="13">PIF!$A$1:$AH$30</definedName>
    <definedName name="_xlnm.Print_Area" localSheetId="11">PIM!$A$1:$AH$45</definedName>
    <definedName name="_xlnm.Print_Area" localSheetId="9">PJF!$A$1:$AH$29</definedName>
    <definedName name="_xlnm.Print_Area" localSheetId="8">PJM!$A$1:$AH$77</definedName>
    <definedName name="_xlnm.Print_Area" localSheetId="23">PLM!$A$1:$AH$29</definedName>
    <definedName name="_xlnm.Print_Area" localSheetId="3">'SUB23'!$A$1:$AH$49</definedName>
    <definedName name="_xlnm.Print_Area" localSheetId="5">SUB23F!$A$1:$AH$29</definedName>
    <definedName name="PLANILLA">Planilla!$B$2:$F$4548</definedName>
    <definedName name="RESXCC_1">ResXCC!$B$2:$J$950</definedName>
    <definedName name="RESXCO">ResXCO!$B$2:$J$1000</definedName>
    <definedName name="RESXCO_SUB23_1">ResXCO!$B$40:$J$60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32" i="58" l="1"/>
  <c r="AA32" i="58"/>
  <c r="AC39" i="58"/>
  <c r="AA39" i="58"/>
  <c r="AC21" i="75" l="1"/>
  <c r="AH21" i="75" s="1"/>
  <c r="E21" i="75"/>
  <c r="D21" i="75"/>
  <c r="AB23" i="79"/>
  <c r="AC23" i="79" s="1"/>
  <c r="Z23" i="79"/>
  <c r="AA23" i="79" s="1"/>
  <c r="AH23" i="79" s="1"/>
  <c r="E23" i="79"/>
  <c r="D23" i="79"/>
  <c r="AB21" i="79"/>
  <c r="AC21" i="79" s="1"/>
  <c r="AA21" i="79"/>
  <c r="Z21" i="79"/>
  <c r="E21" i="79"/>
  <c r="D21" i="79"/>
  <c r="AB32" i="72"/>
  <c r="AC32" i="72" s="1"/>
  <c r="Z32" i="72"/>
  <c r="AA32" i="72" s="1"/>
  <c r="AH32" i="72" s="1"/>
  <c r="E32" i="72"/>
  <c r="D32" i="72"/>
  <c r="AB28" i="72"/>
  <c r="AC28" i="72" s="1"/>
  <c r="Z28" i="72"/>
  <c r="AA28" i="72" s="1"/>
  <c r="E28" i="72"/>
  <c r="D28" i="72"/>
  <c r="AB26" i="72"/>
  <c r="AC26" i="72" s="1"/>
  <c r="Z26" i="72"/>
  <c r="AA26" i="72" s="1"/>
  <c r="AH26" i="72" s="1"/>
  <c r="E26" i="72"/>
  <c r="D26" i="72"/>
  <c r="AC29" i="72"/>
  <c r="AB29" i="72"/>
  <c r="Z29" i="72"/>
  <c r="AA29" i="72" s="1"/>
  <c r="AH29" i="72" s="1"/>
  <c r="E29" i="72"/>
  <c r="D29" i="72"/>
  <c r="AB33" i="70"/>
  <c r="AC33" i="70" s="1"/>
  <c r="Z33" i="70"/>
  <c r="AA33" i="70" s="1"/>
  <c r="E33" i="70"/>
  <c r="D33" i="70"/>
  <c r="AB32" i="69"/>
  <c r="AC32" i="69" s="1"/>
  <c r="Z32" i="69"/>
  <c r="AA32" i="69" s="1"/>
  <c r="AH32" i="69" s="1"/>
  <c r="E32" i="69"/>
  <c r="D32" i="69"/>
  <c r="AB43" i="69"/>
  <c r="AC43" i="69" s="1"/>
  <c r="Z43" i="69"/>
  <c r="AA43" i="69" s="1"/>
  <c r="E43" i="69"/>
  <c r="D43" i="69"/>
  <c r="AB22" i="77"/>
  <c r="AC22" i="77" s="1"/>
  <c r="AA22" i="77"/>
  <c r="AH22" i="77" s="1"/>
  <c r="Z22" i="77"/>
  <c r="E22" i="77"/>
  <c r="D22" i="77"/>
  <c r="AB25" i="77"/>
  <c r="AC25" i="77" s="1"/>
  <c r="Z25" i="77"/>
  <c r="AA25" i="77" s="1"/>
  <c r="E25" i="77"/>
  <c r="D25" i="77"/>
  <c r="AB37" i="76"/>
  <c r="AC37" i="76" s="1"/>
  <c r="Z37" i="76"/>
  <c r="AA37" i="76" s="1"/>
  <c r="AH37" i="76" s="1"/>
  <c r="E37" i="76"/>
  <c r="D37" i="76"/>
  <c r="AB33" i="76"/>
  <c r="AC33" i="76" s="1"/>
  <c r="Z33" i="76"/>
  <c r="AA33" i="76" s="1"/>
  <c r="AH33" i="76" s="1"/>
  <c r="E33" i="76"/>
  <c r="D33" i="76"/>
  <c r="AC26" i="76"/>
  <c r="AB26" i="76"/>
  <c r="Z26" i="76"/>
  <c r="AA26" i="76" s="1"/>
  <c r="E26" i="76"/>
  <c r="D26" i="76"/>
  <c r="AB36" i="76"/>
  <c r="AC36" i="76" s="1"/>
  <c r="Z36" i="76"/>
  <c r="AA36" i="76" s="1"/>
  <c r="E36" i="76"/>
  <c r="D36" i="76"/>
  <c r="AB35" i="76"/>
  <c r="AC35" i="76" s="1"/>
  <c r="Z35" i="76"/>
  <c r="AA35" i="76" s="1"/>
  <c r="AH35" i="76" s="1"/>
  <c r="E35" i="76"/>
  <c r="D35" i="76"/>
  <c r="AB29" i="76"/>
  <c r="AC29" i="76" s="1"/>
  <c r="Z29" i="76"/>
  <c r="AA29" i="76" s="1"/>
  <c r="AH29" i="76" s="1"/>
  <c r="E29" i="76"/>
  <c r="D29" i="76"/>
  <c r="AC34" i="76"/>
  <c r="AB34" i="76"/>
  <c r="Z34" i="76"/>
  <c r="AA34" i="76" s="1"/>
  <c r="E34" i="76"/>
  <c r="D34" i="76"/>
  <c r="AB52" i="65"/>
  <c r="AC52" i="65" s="1"/>
  <c r="Z52" i="65"/>
  <c r="AA52" i="65" s="1"/>
  <c r="E52" i="65"/>
  <c r="D52" i="65"/>
  <c r="AB48" i="65"/>
  <c r="AC48" i="65" s="1"/>
  <c r="AA48" i="65"/>
  <c r="Z48" i="65"/>
  <c r="AH48" i="65"/>
  <c r="E48" i="65"/>
  <c r="D48" i="65"/>
  <c r="AB58" i="65"/>
  <c r="AC58" i="65" s="1"/>
  <c r="AA58" i="65"/>
  <c r="Z58" i="65"/>
  <c r="E58" i="65"/>
  <c r="D58" i="65"/>
  <c r="AB56" i="63"/>
  <c r="AC56" i="63" s="1"/>
  <c r="AA56" i="63"/>
  <c r="AH56" i="63" s="1"/>
  <c r="Z56" i="63"/>
  <c r="E56" i="63"/>
  <c r="D56" i="63"/>
  <c r="AB66" i="63"/>
  <c r="AC66" i="63" s="1"/>
  <c r="Z66" i="63"/>
  <c r="AA66" i="63" s="1"/>
  <c r="AH66" i="63" s="1"/>
  <c r="E66" i="63"/>
  <c r="D66" i="63"/>
  <c r="AB22" i="62"/>
  <c r="AC22" i="62" s="1"/>
  <c r="Z22" i="62"/>
  <c r="AA22" i="62" s="1"/>
  <c r="AH22" i="62" s="1"/>
  <c r="E22" i="62"/>
  <c r="D22" i="62"/>
  <c r="AB80" i="61"/>
  <c r="AC80" i="61" s="1"/>
  <c r="Z80" i="61"/>
  <c r="AA80" i="61" s="1"/>
  <c r="AH80" i="61" s="1"/>
  <c r="AB66" i="61"/>
  <c r="AC66" i="61" s="1"/>
  <c r="Z66" i="61"/>
  <c r="AA66" i="61" s="1"/>
  <c r="AH66" i="61" s="1"/>
  <c r="AB85" i="61"/>
  <c r="AC85" i="61" s="1"/>
  <c r="Z85" i="61"/>
  <c r="AA85" i="61" s="1"/>
  <c r="AH85" i="61" s="1"/>
  <c r="E80" i="61"/>
  <c r="D80" i="61"/>
  <c r="E66" i="61"/>
  <c r="D66" i="61"/>
  <c r="E85" i="61"/>
  <c r="D85" i="61"/>
  <c r="AH32" i="58"/>
  <c r="AH39" i="58"/>
  <c r="E32" i="58"/>
  <c r="D32" i="58"/>
  <c r="E39" i="58"/>
  <c r="D39" i="58"/>
  <c r="AB45" i="1"/>
  <c r="AC45" i="1" s="1"/>
  <c r="Z45" i="1"/>
  <c r="AA45" i="1" s="1"/>
  <c r="AH45" i="1" s="1"/>
  <c r="AB53" i="1"/>
  <c r="AC53" i="1" s="1"/>
  <c r="Z53" i="1"/>
  <c r="AA53" i="1" s="1"/>
  <c r="E45" i="1"/>
  <c r="D45" i="1"/>
  <c r="E53" i="1"/>
  <c r="D53" i="1"/>
  <c r="AH36" i="76" l="1"/>
  <c r="AH21" i="79"/>
  <c r="AH28" i="72"/>
  <c r="AH33" i="70"/>
  <c r="AH43" i="69"/>
  <c r="AH25" i="77"/>
  <c r="AH34" i="76"/>
  <c r="AH26" i="76"/>
  <c r="AH58" i="65"/>
  <c r="AH52" i="65"/>
  <c r="AH53" i="1"/>
  <c r="J187" i="56" l="1"/>
  <c r="AB33" i="57" l="1"/>
  <c r="AC33" i="57" s="1"/>
  <c r="Z33" i="57"/>
  <c r="AA33" i="57" s="1"/>
  <c r="AB32" i="57"/>
  <c r="AC32" i="57" s="1"/>
  <c r="Z32" i="57"/>
  <c r="AA32" i="57" s="1"/>
  <c r="AB31" i="57"/>
  <c r="AC31" i="57" s="1"/>
  <c r="Z31" i="57"/>
  <c r="AA31" i="57" s="1"/>
  <c r="AB30" i="57"/>
  <c r="AC30" i="57" s="1"/>
  <c r="Z30" i="57"/>
  <c r="AA30" i="57" s="1"/>
  <c r="AB29" i="57"/>
  <c r="AC29" i="57" s="1"/>
  <c r="Z29" i="57"/>
  <c r="AA29" i="57" s="1"/>
  <c r="AB28" i="57"/>
  <c r="AC28" i="57" s="1"/>
  <c r="Z28" i="57"/>
  <c r="AA28" i="57" s="1"/>
  <c r="AB27" i="57"/>
  <c r="AC27" i="57" s="1"/>
  <c r="Z27" i="57"/>
  <c r="AA27" i="57" s="1"/>
  <c r="AB26" i="57"/>
  <c r="AC26" i="57" s="1"/>
  <c r="Z26" i="57"/>
  <c r="AA26" i="57" s="1"/>
  <c r="AB25" i="57"/>
  <c r="AC25" i="57" s="1"/>
  <c r="Z25" i="57"/>
  <c r="AA25" i="57" s="1"/>
  <c r="AB24" i="57"/>
  <c r="AC24" i="57" s="1"/>
  <c r="Z24" i="57"/>
  <c r="AA24" i="57" s="1"/>
  <c r="Z23" i="57"/>
  <c r="AA23" i="57" s="1"/>
  <c r="AB22" i="57"/>
  <c r="AC22" i="57" s="1"/>
  <c r="Z22" i="57"/>
  <c r="AA22" i="57" s="1"/>
  <c r="AB19" i="57"/>
  <c r="AC19" i="57" s="1"/>
  <c r="Z19" i="57"/>
  <c r="AA19" i="57" s="1"/>
  <c r="AB17" i="57"/>
  <c r="AC17" i="57" s="1"/>
  <c r="Z17" i="57"/>
  <c r="AA17" i="57" s="1"/>
  <c r="Z15" i="57"/>
  <c r="AA15" i="57" s="1"/>
  <c r="AC24" i="59"/>
  <c r="AA24" i="59"/>
  <c r="AC23" i="59"/>
  <c r="AA23" i="59"/>
  <c r="AC22" i="59"/>
  <c r="AA22" i="59"/>
  <c r="AC21" i="59"/>
  <c r="AA21" i="59"/>
  <c r="AC20" i="59"/>
  <c r="AA20" i="59"/>
  <c r="AC19" i="59"/>
  <c r="AA19" i="59"/>
  <c r="AC18" i="59"/>
  <c r="AA18" i="59"/>
  <c r="AC17" i="59"/>
  <c r="AA17" i="59"/>
  <c r="AC16" i="59"/>
  <c r="AA16" i="59"/>
  <c r="AC15" i="59"/>
  <c r="AA15" i="59"/>
  <c r="AB36" i="80"/>
  <c r="AC36" i="80" s="1"/>
  <c r="Z36" i="80"/>
  <c r="AA36" i="80" s="1"/>
  <c r="AB35" i="80"/>
  <c r="AC35" i="80" s="1"/>
  <c r="Z35" i="80"/>
  <c r="AA35" i="80" s="1"/>
  <c r="AB34" i="80"/>
  <c r="AC34" i="80" s="1"/>
  <c r="Z34" i="80"/>
  <c r="AA34" i="80" s="1"/>
  <c r="AB33" i="80"/>
  <c r="AC33" i="80" s="1"/>
  <c r="Z33" i="80"/>
  <c r="AA33" i="80" s="1"/>
  <c r="AB32" i="80"/>
  <c r="AC32" i="80" s="1"/>
  <c r="Z32" i="80"/>
  <c r="AA32" i="80" s="1"/>
  <c r="AB31" i="80"/>
  <c r="AC31" i="80" s="1"/>
  <c r="Z31" i="80"/>
  <c r="AA31" i="80" s="1"/>
  <c r="AB30" i="80"/>
  <c r="AC30" i="80" s="1"/>
  <c r="Z30" i="80"/>
  <c r="AA30" i="80" s="1"/>
  <c r="AB29" i="80"/>
  <c r="AC29" i="80" s="1"/>
  <c r="Z29" i="80"/>
  <c r="AA29" i="80" s="1"/>
  <c r="AB28" i="80"/>
  <c r="AC28" i="80" s="1"/>
  <c r="Z28" i="80"/>
  <c r="AA28" i="80" s="1"/>
  <c r="AB27" i="80"/>
  <c r="AC27" i="80" s="1"/>
  <c r="Z27" i="80"/>
  <c r="AA27" i="80" s="1"/>
  <c r="AB26" i="80"/>
  <c r="AC26" i="80" s="1"/>
  <c r="Z26" i="80"/>
  <c r="AA26" i="80" s="1"/>
  <c r="AB25" i="80"/>
  <c r="AC25" i="80" s="1"/>
  <c r="Z25" i="80"/>
  <c r="AA25" i="80" s="1"/>
  <c r="AB24" i="80"/>
  <c r="AC24" i="80" s="1"/>
  <c r="Z24" i="80"/>
  <c r="AA24" i="80" s="1"/>
  <c r="AB23" i="80"/>
  <c r="AC23" i="80" s="1"/>
  <c r="Z23" i="80"/>
  <c r="AA23" i="80" s="1"/>
  <c r="AB22" i="80"/>
  <c r="AC22" i="80" s="1"/>
  <c r="Z22" i="80"/>
  <c r="AA22" i="80" s="1"/>
  <c r="AC21" i="80"/>
  <c r="AB21" i="80"/>
  <c r="Z21" i="80"/>
  <c r="AA21" i="80" s="1"/>
  <c r="AB20" i="80"/>
  <c r="AC20" i="80" s="1"/>
  <c r="Z20" i="80"/>
  <c r="AA20" i="80" s="1"/>
  <c r="AB19" i="80"/>
  <c r="AC19" i="80" s="1"/>
  <c r="Z19" i="80"/>
  <c r="AA19" i="80" s="1"/>
  <c r="AB18" i="80"/>
  <c r="AC18" i="80" s="1"/>
  <c r="Z18" i="80"/>
  <c r="AA18" i="80" s="1"/>
  <c r="AB17" i="80"/>
  <c r="AC17" i="80" s="1"/>
  <c r="Z17" i="80"/>
  <c r="AA17" i="80" s="1"/>
  <c r="AB16" i="80"/>
  <c r="AC16" i="80" s="1"/>
  <c r="Z16" i="80"/>
  <c r="AA16" i="80" s="1"/>
  <c r="AC20" i="75"/>
  <c r="AC19" i="75"/>
  <c r="AC18" i="75"/>
  <c r="AC17" i="75"/>
  <c r="AC16" i="75"/>
  <c r="AB24" i="79"/>
  <c r="AC24" i="79" s="1"/>
  <c r="Z24" i="79"/>
  <c r="AA24" i="79" s="1"/>
  <c r="AB22" i="79"/>
  <c r="AC22" i="79" s="1"/>
  <c r="Z22" i="79"/>
  <c r="AA22" i="79" s="1"/>
  <c r="AB20" i="79"/>
  <c r="AC20" i="79" s="1"/>
  <c r="Z20" i="79"/>
  <c r="AA20" i="79" s="1"/>
  <c r="AB19" i="79"/>
  <c r="AC19" i="79" s="1"/>
  <c r="Z19" i="79"/>
  <c r="AA19" i="79" s="1"/>
  <c r="AB18" i="79"/>
  <c r="AC18" i="79" s="1"/>
  <c r="Z18" i="79"/>
  <c r="AA18" i="79" s="1"/>
  <c r="AB16" i="73"/>
  <c r="AC16" i="73" s="1"/>
  <c r="Z16" i="73"/>
  <c r="AA16" i="73" s="1"/>
  <c r="AB46" i="72"/>
  <c r="AC46" i="72" s="1"/>
  <c r="Z46" i="72"/>
  <c r="AA46" i="72" s="1"/>
  <c r="AB45" i="72"/>
  <c r="AC45" i="72" s="1"/>
  <c r="Z45" i="72"/>
  <c r="AA45" i="72" s="1"/>
  <c r="AB44" i="72"/>
  <c r="AC44" i="72" s="1"/>
  <c r="Z44" i="72"/>
  <c r="AA44" i="72" s="1"/>
  <c r="AB43" i="72"/>
  <c r="AC43" i="72" s="1"/>
  <c r="Z43" i="72"/>
  <c r="AA43" i="72" s="1"/>
  <c r="AB42" i="72"/>
  <c r="AC42" i="72" s="1"/>
  <c r="Z42" i="72"/>
  <c r="AA42" i="72" s="1"/>
  <c r="AB41" i="72"/>
  <c r="AC41" i="72" s="1"/>
  <c r="Z41" i="72"/>
  <c r="AA41" i="72" s="1"/>
  <c r="AB40" i="72"/>
  <c r="AC40" i="72" s="1"/>
  <c r="Z40" i="72"/>
  <c r="AA40" i="72" s="1"/>
  <c r="AB39" i="72"/>
  <c r="AC39" i="72" s="1"/>
  <c r="Z39" i="72"/>
  <c r="AA39" i="72" s="1"/>
  <c r="AB38" i="72"/>
  <c r="AC38" i="72" s="1"/>
  <c r="Z38" i="72"/>
  <c r="AA38" i="72" s="1"/>
  <c r="AB37" i="72"/>
  <c r="AC37" i="72" s="1"/>
  <c r="Z37" i="72"/>
  <c r="AA37" i="72" s="1"/>
  <c r="AB36" i="72"/>
  <c r="AC36" i="72" s="1"/>
  <c r="Z36" i="72"/>
  <c r="AA36" i="72" s="1"/>
  <c r="AB35" i="72"/>
  <c r="AC35" i="72" s="1"/>
  <c r="Z35" i="72"/>
  <c r="AA35" i="72" s="1"/>
  <c r="AB34" i="72"/>
  <c r="AC34" i="72" s="1"/>
  <c r="Z34" i="72"/>
  <c r="AA34" i="72" s="1"/>
  <c r="AB33" i="72"/>
  <c r="AC33" i="72" s="1"/>
  <c r="Z33" i="72"/>
  <c r="AA33" i="72" s="1"/>
  <c r="AB31" i="72"/>
  <c r="AC31" i="72" s="1"/>
  <c r="Z31" i="72"/>
  <c r="AA31" i="72" s="1"/>
  <c r="AB30" i="72"/>
  <c r="AC30" i="72" s="1"/>
  <c r="Z30" i="72"/>
  <c r="AA30" i="72" s="1"/>
  <c r="AB27" i="72"/>
  <c r="AC27" i="72" s="1"/>
  <c r="Z27" i="72"/>
  <c r="AA27" i="72" s="1"/>
  <c r="AB25" i="72"/>
  <c r="AC25" i="72" s="1"/>
  <c r="Z25" i="72"/>
  <c r="AA25" i="72" s="1"/>
  <c r="AB24" i="72"/>
  <c r="AC24" i="72" s="1"/>
  <c r="Z24" i="72"/>
  <c r="AA24" i="72" s="1"/>
  <c r="AB23" i="72"/>
  <c r="AC23" i="72" s="1"/>
  <c r="Z23" i="72"/>
  <c r="AA23" i="72" s="1"/>
  <c r="AB22" i="72"/>
  <c r="AC22" i="72" s="1"/>
  <c r="Z22" i="72"/>
  <c r="AA22" i="72" s="1"/>
  <c r="AB21" i="72"/>
  <c r="AC21" i="72" s="1"/>
  <c r="Z21" i="72"/>
  <c r="AA21" i="72" s="1"/>
  <c r="AB20" i="72"/>
  <c r="AC20" i="72" s="1"/>
  <c r="Z20" i="72"/>
  <c r="AA20" i="72" s="1"/>
  <c r="AB19" i="72"/>
  <c r="AC19" i="72" s="1"/>
  <c r="Z19" i="72"/>
  <c r="AA19" i="72" s="1"/>
  <c r="AB17" i="72"/>
  <c r="AC17" i="72" s="1"/>
  <c r="Z17" i="72"/>
  <c r="AA17" i="72" s="1"/>
  <c r="AB16" i="72"/>
  <c r="AC16" i="72" s="1"/>
  <c r="Z16" i="72"/>
  <c r="AA16" i="72" s="1"/>
  <c r="AB20" i="78"/>
  <c r="AC20" i="78" s="1"/>
  <c r="Z20" i="78"/>
  <c r="AA20" i="78" s="1"/>
  <c r="AB19" i="78"/>
  <c r="AC19" i="78" s="1"/>
  <c r="Z19" i="78"/>
  <c r="AA19" i="78" s="1"/>
  <c r="AB18" i="78"/>
  <c r="AC18" i="78" s="1"/>
  <c r="Z18" i="78"/>
  <c r="AA18" i="78" s="1"/>
  <c r="AB17" i="78"/>
  <c r="AC17" i="78" s="1"/>
  <c r="Z17" i="78"/>
  <c r="AA17" i="78" s="1"/>
  <c r="AB16" i="78"/>
  <c r="AC16" i="78" s="1"/>
  <c r="Z16" i="78"/>
  <c r="AA16" i="78" s="1"/>
  <c r="AB20" i="71"/>
  <c r="AC20" i="71" s="1"/>
  <c r="Z20" i="71"/>
  <c r="AA20" i="71" s="1"/>
  <c r="AB19" i="71"/>
  <c r="AC19" i="71" s="1"/>
  <c r="Z19" i="71"/>
  <c r="AA19" i="71" s="1"/>
  <c r="AB18" i="71"/>
  <c r="AC18" i="71" s="1"/>
  <c r="Z18" i="71"/>
  <c r="AA18" i="71" s="1"/>
  <c r="AB17" i="71"/>
  <c r="AC17" i="71" s="1"/>
  <c r="Z17" i="71"/>
  <c r="AA17" i="71" s="1"/>
  <c r="AB16" i="71"/>
  <c r="AC16" i="71" s="1"/>
  <c r="Z16" i="71"/>
  <c r="AA16" i="71" s="1"/>
  <c r="AB37" i="74"/>
  <c r="AC37" i="74" s="1"/>
  <c r="Z37" i="74"/>
  <c r="AA37" i="74" s="1"/>
  <c r="AB36" i="74"/>
  <c r="AC36" i="74" s="1"/>
  <c r="Z36" i="74"/>
  <c r="AA36" i="74" s="1"/>
  <c r="AB35" i="74"/>
  <c r="AC35" i="74" s="1"/>
  <c r="Z35" i="74"/>
  <c r="AA35" i="74" s="1"/>
  <c r="AB34" i="74"/>
  <c r="AC34" i="74" s="1"/>
  <c r="Z34" i="74"/>
  <c r="AA34" i="74" s="1"/>
  <c r="AB33" i="74"/>
  <c r="AC33" i="74" s="1"/>
  <c r="Z33" i="74"/>
  <c r="AA33" i="74" s="1"/>
  <c r="AB32" i="74"/>
  <c r="AC32" i="74" s="1"/>
  <c r="Z32" i="74"/>
  <c r="AA32" i="74" s="1"/>
  <c r="AB31" i="74"/>
  <c r="AC31" i="74" s="1"/>
  <c r="Z31" i="74"/>
  <c r="AA31" i="74" s="1"/>
  <c r="AB30" i="74"/>
  <c r="AC30" i="74" s="1"/>
  <c r="Z30" i="74"/>
  <c r="AA30" i="74" s="1"/>
  <c r="AB29" i="74"/>
  <c r="AC29" i="74" s="1"/>
  <c r="Z29" i="74"/>
  <c r="AA29" i="74" s="1"/>
  <c r="AB28" i="74"/>
  <c r="AC28" i="74" s="1"/>
  <c r="Z28" i="74"/>
  <c r="AA28" i="74" s="1"/>
  <c r="AB27" i="74"/>
  <c r="AC27" i="74" s="1"/>
  <c r="Z27" i="74"/>
  <c r="AA27" i="74" s="1"/>
  <c r="AB24" i="74"/>
  <c r="AC24" i="74" s="1"/>
  <c r="Z24" i="74"/>
  <c r="AA24" i="74" s="1"/>
  <c r="Z20" i="74"/>
  <c r="AA20" i="74" s="1"/>
  <c r="AB22" i="74"/>
  <c r="AC22" i="74" s="1"/>
  <c r="Z22" i="74"/>
  <c r="AA22" i="74" s="1"/>
  <c r="AB19" i="74"/>
  <c r="AC19" i="74" s="1"/>
  <c r="Z19" i="74"/>
  <c r="AA19" i="74" s="1"/>
  <c r="AB40" i="70"/>
  <c r="AC40" i="70" s="1"/>
  <c r="Z40" i="70"/>
  <c r="AA40" i="70" s="1"/>
  <c r="AB39" i="70"/>
  <c r="AC39" i="70" s="1"/>
  <c r="Z39" i="70"/>
  <c r="AA39" i="70" s="1"/>
  <c r="AB38" i="70"/>
  <c r="AC38" i="70" s="1"/>
  <c r="Z38" i="70"/>
  <c r="AA38" i="70" s="1"/>
  <c r="AB37" i="70"/>
  <c r="AC37" i="70" s="1"/>
  <c r="Z37" i="70"/>
  <c r="AA37" i="70" s="1"/>
  <c r="AB36" i="70"/>
  <c r="AC36" i="70" s="1"/>
  <c r="Z36" i="70"/>
  <c r="AA36" i="70" s="1"/>
  <c r="AB35" i="70"/>
  <c r="AC35" i="70" s="1"/>
  <c r="Z35" i="70"/>
  <c r="AA35" i="70" s="1"/>
  <c r="AB34" i="70"/>
  <c r="AC34" i="70" s="1"/>
  <c r="Z34" i="70"/>
  <c r="AA34" i="70" s="1"/>
  <c r="AB32" i="70"/>
  <c r="AC32" i="70" s="1"/>
  <c r="Z32" i="70"/>
  <c r="AA32" i="70" s="1"/>
  <c r="AB31" i="70"/>
  <c r="AC31" i="70" s="1"/>
  <c r="Z31" i="70"/>
  <c r="AA31" i="70" s="1"/>
  <c r="Z30" i="70"/>
  <c r="AA30" i="70" s="1"/>
  <c r="AB29" i="70"/>
  <c r="AC29" i="70" s="1"/>
  <c r="Z29" i="70"/>
  <c r="AA29" i="70" s="1"/>
  <c r="AB28" i="70"/>
  <c r="AC28" i="70" s="1"/>
  <c r="Z28" i="70"/>
  <c r="AA28" i="70" s="1"/>
  <c r="AB27" i="70"/>
  <c r="AC27" i="70" s="1"/>
  <c r="Z27" i="70"/>
  <c r="AA27" i="70" s="1"/>
  <c r="AB26" i="70"/>
  <c r="AC26" i="70" s="1"/>
  <c r="Z26" i="70"/>
  <c r="AA26" i="70" s="1"/>
  <c r="AB25" i="70"/>
  <c r="AC25" i="70" s="1"/>
  <c r="Z25" i="70"/>
  <c r="AA25" i="70" s="1"/>
  <c r="AB24" i="70"/>
  <c r="AC24" i="70" s="1"/>
  <c r="Z24" i="70"/>
  <c r="AA24" i="70" s="1"/>
  <c r="AB21" i="70"/>
  <c r="AC21" i="70" s="1"/>
  <c r="Z21" i="70"/>
  <c r="AA21" i="70" s="1"/>
  <c r="Z16" i="70"/>
  <c r="AA16" i="70" s="1"/>
  <c r="AB42" i="69"/>
  <c r="AC42" i="69" s="1"/>
  <c r="Z42" i="69"/>
  <c r="AA42" i="69" s="1"/>
  <c r="AB41" i="69"/>
  <c r="AC41" i="69" s="1"/>
  <c r="Z41" i="69"/>
  <c r="AA41" i="69" s="1"/>
  <c r="AB40" i="69"/>
  <c r="AC40" i="69" s="1"/>
  <c r="Z40" i="69"/>
  <c r="AA40" i="69" s="1"/>
  <c r="AB39" i="69"/>
  <c r="AC39" i="69" s="1"/>
  <c r="Z39" i="69"/>
  <c r="AA39" i="69" s="1"/>
  <c r="AB38" i="69"/>
  <c r="AC38" i="69" s="1"/>
  <c r="Z38" i="69"/>
  <c r="AA38" i="69" s="1"/>
  <c r="AB37" i="69"/>
  <c r="AC37" i="69" s="1"/>
  <c r="Z37" i="69"/>
  <c r="AA37" i="69" s="1"/>
  <c r="AB36" i="69"/>
  <c r="AC36" i="69" s="1"/>
  <c r="Z36" i="69"/>
  <c r="AA36" i="69" s="1"/>
  <c r="AB35" i="69"/>
  <c r="AC35" i="69" s="1"/>
  <c r="Z35" i="69"/>
  <c r="AA35" i="69" s="1"/>
  <c r="AB34" i="69"/>
  <c r="AC34" i="69" s="1"/>
  <c r="Z34" i="69"/>
  <c r="AA34" i="69" s="1"/>
  <c r="AB33" i="69"/>
  <c r="AC33" i="69" s="1"/>
  <c r="Z33" i="69"/>
  <c r="AA33" i="69" s="1"/>
  <c r="AB31" i="69"/>
  <c r="AC31" i="69" s="1"/>
  <c r="Z31" i="69"/>
  <c r="AA31" i="69" s="1"/>
  <c r="AB30" i="69"/>
  <c r="AC30" i="69" s="1"/>
  <c r="Z30" i="69"/>
  <c r="AA30" i="69" s="1"/>
  <c r="AB29" i="69"/>
  <c r="AC29" i="69" s="1"/>
  <c r="Z29" i="69"/>
  <c r="AA29" i="69" s="1"/>
  <c r="AB28" i="69"/>
  <c r="AC28" i="69" s="1"/>
  <c r="Z28" i="69"/>
  <c r="AA28" i="69" s="1"/>
  <c r="AB27" i="69"/>
  <c r="AC27" i="69" s="1"/>
  <c r="Z27" i="69"/>
  <c r="AA27" i="69" s="1"/>
  <c r="AB25" i="69"/>
  <c r="AC25" i="69" s="1"/>
  <c r="Z25" i="69"/>
  <c r="AA25" i="69" s="1"/>
  <c r="AB24" i="69"/>
  <c r="AC24" i="69" s="1"/>
  <c r="Z24" i="69"/>
  <c r="AA24" i="69" s="1"/>
  <c r="AB22" i="69"/>
  <c r="AC22" i="69" s="1"/>
  <c r="Z22" i="69"/>
  <c r="AA22" i="69" s="1"/>
  <c r="Z16" i="69"/>
  <c r="AA16" i="69" s="1"/>
  <c r="AB17" i="69"/>
  <c r="AC17" i="69" s="1"/>
  <c r="Z17" i="69"/>
  <c r="AA17" i="69" s="1"/>
  <c r="AB40" i="68"/>
  <c r="AC40" i="68" s="1"/>
  <c r="Z40" i="68"/>
  <c r="AA40" i="68" s="1"/>
  <c r="AB39" i="68"/>
  <c r="AC39" i="68" s="1"/>
  <c r="Z39" i="68"/>
  <c r="AA39" i="68" s="1"/>
  <c r="AB38" i="68"/>
  <c r="AC38" i="68" s="1"/>
  <c r="Z38" i="68"/>
  <c r="AA38" i="68" s="1"/>
  <c r="AB37" i="68"/>
  <c r="AC37" i="68" s="1"/>
  <c r="Z37" i="68"/>
  <c r="AA37" i="68" s="1"/>
  <c r="AB36" i="68"/>
  <c r="AC36" i="68" s="1"/>
  <c r="Z36" i="68"/>
  <c r="AA36" i="68" s="1"/>
  <c r="AB35" i="68"/>
  <c r="AC35" i="68" s="1"/>
  <c r="Z35" i="68"/>
  <c r="AA35" i="68" s="1"/>
  <c r="AB34" i="68"/>
  <c r="AC34" i="68" s="1"/>
  <c r="Z34" i="68"/>
  <c r="AA34" i="68" s="1"/>
  <c r="AB33" i="68"/>
  <c r="AC33" i="68" s="1"/>
  <c r="Z33" i="68"/>
  <c r="AA33" i="68" s="1"/>
  <c r="AB32" i="68"/>
  <c r="AC32" i="68" s="1"/>
  <c r="Z32" i="68"/>
  <c r="AA32" i="68" s="1"/>
  <c r="AB31" i="68"/>
  <c r="AC31" i="68" s="1"/>
  <c r="Z31" i="68"/>
  <c r="AA31" i="68" s="1"/>
  <c r="AB30" i="68"/>
  <c r="AC30" i="68" s="1"/>
  <c r="Z30" i="68"/>
  <c r="AA30" i="68" s="1"/>
  <c r="AB29" i="68"/>
  <c r="AC29" i="68" s="1"/>
  <c r="Z29" i="68"/>
  <c r="AA29" i="68" s="1"/>
  <c r="AB28" i="68"/>
  <c r="AC28" i="68" s="1"/>
  <c r="Z28" i="68"/>
  <c r="AA28" i="68" s="1"/>
  <c r="AB27" i="68"/>
  <c r="AC27" i="68" s="1"/>
  <c r="Z27" i="68"/>
  <c r="AA27" i="68" s="1"/>
  <c r="AB26" i="68"/>
  <c r="AC26" i="68" s="1"/>
  <c r="Z26" i="68"/>
  <c r="AA26" i="68" s="1"/>
  <c r="AB25" i="68"/>
  <c r="AC25" i="68" s="1"/>
  <c r="Z25" i="68"/>
  <c r="AA25" i="68" s="1"/>
  <c r="AB24" i="68"/>
  <c r="AC24" i="68" s="1"/>
  <c r="Z24" i="68"/>
  <c r="AA24" i="68" s="1"/>
  <c r="Z20" i="68"/>
  <c r="AA20" i="68" s="1"/>
  <c r="AB23" i="68"/>
  <c r="AC23" i="68" s="1"/>
  <c r="Z23" i="68"/>
  <c r="AA23" i="68" s="1"/>
  <c r="AB22" i="68"/>
  <c r="AC22" i="68" s="1"/>
  <c r="Z22" i="68"/>
  <c r="AA22" i="68" s="1"/>
  <c r="AB21" i="68"/>
  <c r="AC21" i="68" s="1"/>
  <c r="Z21" i="68"/>
  <c r="AA21" i="68" s="1"/>
  <c r="Z18" i="68"/>
  <c r="AA18" i="68" s="1"/>
  <c r="Z16" i="68"/>
  <c r="AA16" i="68" s="1"/>
  <c r="AB34" i="67"/>
  <c r="AC34" i="67" s="1"/>
  <c r="Z34" i="67"/>
  <c r="AA34" i="67" s="1"/>
  <c r="AB33" i="67"/>
  <c r="AC33" i="67" s="1"/>
  <c r="Z33" i="67"/>
  <c r="AA33" i="67" s="1"/>
  <c r="AB32" i="67"/>
  <c r="AC32" i="67" s="1"/>
  <c r="Z32" i="67"/>
  <c r="AA32" i="67" s="1"/>
  <c r="AB31" i="67"/>
  <c r="AC31" i="67" s="1"/>
  <c r="Z31" i="67"/>
  <c r="AA31" i="67" s="1"/>
  <c r="AB30" i="67"/>
  <c r="AC30" i="67" s="1"/>
  <c r="Z30" i="67"/>
  <c r="AA30" i="67" s="1"/>
  <c r="AB29" i="67"/>
  <c r="AC29" i="67" s="1"/>
  <c r="Z29" i="67"/>
  <c r="AA29" i="67" s="1"/>
  <c r="AB28" i="67"/>
  <c r="AC28" i="67" s="1"/>
  <c r="Z28" i="67"/>
  <c r="AA28" i="67" s="1"/>
  <c r="AB27" i="67"/>
  <c r="AC27" i="67" s="1"/>
  <c r="Z27" i="67"/>
  <c r="AA27" i="67" s="1"/>
  <c r="AB26" i="67"/>
  <c r="AC26" i="67" s="1"/>
  <c r="Z26" i="67"/>
  <c r="AA26" i="67" s="1"/>
  <c r="AB25" i="67"/>
  <c r="AC25" i="67" s="1"/>
  <c r="Z25" i="67"/>
  <c r="AA25" i="67" s="1"/>
  <c r="AB24" i="67"/>
  <c r="AC24" i="67" s="1"/>
  <c r="Z24" i="67"/>
  <c r="AA24" i="67" s="1"/>
  <c r="AB23" i="67"/>
  <c r="AC23" i="67" s="1"/>
  <c r="Z23" i="67"/>
  <c r="AA23" i="67" s="1"/>
  <c r="AB22" i="67"/>
  <c r="AC22" i="67" s="1"/>
  <c r="Z22" i="67"/>
  <c r="AA22" i="67" s="1"/>
  <c r="AB21" i="67"/>
  <c r="AC21" i="67" s="1"/>
  <c r="Z21" i="67"/>
  <c r="AA21" i="67" s="1"/>
  <c r="Z19" i="67"/>
  <c r="AA19" i="67" s="1"/>
  <c r="AB20" i="67"/>
  <c r="AC20" i="67" s="1"/>
  <c r="Z20" i="67"/>
  <c r="AA20" i="67" s="1"/>
  <c r="AB18" i="67"/>
  <c r="AC18" i="67" s="1"/>
  <c r="Z18" i="67"/>
  <c r="AA18" i="67" s="1"/>
  <c r="Z17" i="67"/>
  <c r="AA17" i="67" s="1"/>
  <c r="AB24" i="77"/>
  <c r="AC24" i="77" s="1"/>
  <c r="Z24" i="77"/>
  <c r="AA24" i="77" s="1"/>
  <c r="AB23" i="77"/>
  <c r="AC23" i="77" s="1"/>
  <c r="Z23" i="77"/>
  <c r="AA23" i="77" s="1"/>
  <c r="AB17" i="77"/>
  <c r="AC17" i="77" s="1"/>
  <c r="Z17" i="77"/>
  <c r="AA17" i="77" s="1"/>
  <c r="AB32" i="66"/>
  <c r="AC32" i="66" s="1"/>
  <c r="Z32" i="66"/>
  <c r="AA32" i="66" s="1"/>
  <c r="AB31" i="66"/>
  <c r="AC31" i="66" s="1"/>
  <c r="Z31" i="66"/>
  <c r="AA31" i="66" s="1"/>
  <c r="AB30" i="66"/>
  <c r="AC30" i="66" s="1"/>
  <c r="Z30" i="66"/>
  <c r="AA30" i="66" s="1"/>
  <c r="AB29" i="66"/>
  <c r="AC29" i="66" s="1"/>
  <c r="Z29" i="66"/>
  <c r="AA29" i="66" s="1"/>
  <c r="AB28" i="66"/>
  <c r="AC28" i="66" s="1"/>
  <c r="Z28" i="66"/>
  <c r="AA28" i="66" s="1"/>
  <c r="AB27" i="66"/>
  <c r="AC27" i="66" s="1"/>
  <c r="Z27" i="66"/>
  <c r="AA27" i="66" s="1"/>
  <c r="AB23" i="66"/>
  <c r="AC23" i="66" s="1"/>
  <c r="Z23" i="66"/>
  <c r="AA23" i="66" s="1"/>
  <c r="AB40" i="76"/>
  <c r="AC40" i="76" s="1"/>
  <c r="Z40" i="76"/>
  <c r="AA40" i="76" s="1"/>
  <c r="AB39" i="76"/>
  <c r="AC39" i="76" s="1"/>
  <c r="Z39" i="76"/>
  <c r="AA39" i="76" s="1"/>
  <c r="AB38" i="76"/>
  <c r="AC38" i="76" s="1"/>
  <c r="Z38" i="76"/>
  <c r="AA38" i="76" s="1"/>
  <c r="AB32" i="76"/>
  <c r="AC32" i="76" s="1"/>
  <c r="Z32" i="76"/>
  <c r="AA32" i="76" s="1"/>
  <c r="AB31" i="76"/>
  <c r="AC31" i="76" s="1"/>
  <c r="Z31" i="76"/>
  <c r="AA31" i="76" s="1"/>
  <c r="AB30" i="76"/>
  <c r="AC30" i="76" s="1"/>
  <c r="Z30" i="76"/>
  <c r="AA30" i="76" s="1"/>
  <c r="AB28" i="76"/>
  <c r="AC28" i="76" s="1"/>
  <c r="Z28" i="76"/>
  <c r="AA28" i="76" s="1"/>
  <c r="AB25" i="76"/>
  <c r="AC25" i="76" s="1"/>
  <c r="Z25" i="76"/>
  <c r="AA25" i="76" s="1"/>
  <c r="Z24" i="76"/>
  <c r="AA24" i="76" s="1"/>
  <c r="Z21" i="76"/>
  <c r="AA21" i="76" s="1"/>
  <c r="AB23" i="76"/>
  <c r="AC23" i="76" s="1"/>
  <c r="Z23" i="76"/>
  <c r="AA23" i="76" s="1"/>
  <c r="Z18" i="76"/>
  <c r="AA18" i="76" s="1"/>
  <c r="AB17" i="76"/>
  <c r="AC17" i="76" s="1"/>
  <c r="Z17" i="76"/>
  <c r="AA17" i="76" s="1"/>
  <c r="AB56" i="65"/>
  <c r="AC56" i="65" s="1"/>
  <c r="Z56" i="65"/>
  <c r="AA56" i="65" s="1"/>
  <c r="AB55" i="65"/>
  <c r="AC55" i="65" s="1"/>
  <c r="Z55" i="65"/>
  <c r="AA55" i="65" s="1"/>
  <c r="AB54" i="65"/>
  <c r="AC54" i="65" s="1"/>
  <c r="Z54" i="65"/>
  <c r="AA54" i="65" s="1"/>
  <c r="AB53" i="65"/>
  <c r="AC53" i="65" s="1"/>
  <c r="Z53" i="65"/>
  <c r="AA53" i="65" s="1"/>
  <c r="AB51" i="65"/>
  <c r="AC51" i="65" s="1"/>
  <c r="Z51" i="65"/>
  <c r="AA51" i="65" s="1"/>
  <c r="AB50" i="65"/>
  <c r="AC50" i="65" s="1"/>
  <c r="Z50" i="65"/>
  <c r="AA50" i="65" s="1"/>
  <c r="AB47" i="65"/>
  <c r="AC47" i="65" s="1"/>
  <c r="Z47" i="65"/>
  <c r="AA47" i="65" s="1"/>
  <c r="AB46" i="65"/>
  <c r="AC46" i="65" s="1"/>
  <c r="Z46" i="65"/>
  <c r="AA46" i="65" s="1"/>
  <c r="AB45" i="65"/>
  <c r="AC45" i="65" s="1"/>
  <c r="Z45" i="65"/>
  <c r="AA45" i="65" s="1"/>
  <c r="AB44" i="65"/>
  <c r="AC44" i="65" s="1"/>
  <c r="Z44" i="65"/>
  <c r="AA44" i="65" s="1"/>
  <c r="AB41" i="65"/>
  <c r="AC41" i="65" s="1"/>
  <c r="Z41" i="65"/>
  <c r="AA41" i="65" s="1"/>
  <c r="AB39" i="65"/>
  <c r="AC39" i="65" s="1"/>
  <c r="Z39" i="65"/>
  <c r="AA39" i="65" s="1"/>
  <c r="AB26" i="65"/>
  <c r="AC26" i="65" s="1"/>
  <c r="Z26" i="65"/>
  <c r="AA26" i="65" s="1"/>
  <c r="AB24" i="64"/>
  <c r="AC24" i="64" s="1"/>
  <c r="Z24" i="64"/>
  <c r="AA24" i="64" s="1"/>
  <c r="AB22" i="64"/>
  <c r="AC22" i="64" s="1"/>
  <c r="Z22" i="64"/>
  <c r="AA22" i="64" s="1"/>
  <c r="AB21" i="64"/>
  <c r="AC21" i="64" s="1"/>
  <c r="Z21" i="64"/>
  <c r="AA21" i="64" s="1"/>
  <c r="AB15" i="80"/>
  <c r="AC15" i="80" s="1"/>
  <c r="Z15" i="80"/>
  <c r="AA15" i="80" s="1"/>
  <c r="AC15" i="75"/>
  <c r="AB15" i="73"/>
  <c r="AC15" i="73" s="1"/>
  <c r="Z15" i="73"/>
  <c r="AA15" i="73" s="1"/>
  <c r="Z15" i="78"/>
  <c r="AA15" i="78" s="1"/>
  <c r="AB15" i="71"/>
  <c r="AC15" i="71" s="1"/>
  <c r="Z15" i="71"/>
  <c r="AA15" i="71" s="1"/>
  <c r="Z15" i="74"/>
  <c r="AA15" i="74" s="1"/>
  <c r="Z15" i="69"/>
  <c r="AA15" i="69" s="1"/>
  <c r="Z15" i="68"/>
  <c r="AA15" i="68" s="1"/>
  <c r="AB72" i="63"/>
  <c r="AC72" i="63" s="1"/>
  <c r="Z72" i="63"/>
  <c r="AA72" i="63" s="1"/>
  <c r="AB71" i="63"/>
  <c r="AC71" i="63" s="1"/>
  <c r="Z71" i="63"/>
  <c r="AA71" i="63" s="1"/>
  <c r="AB69" i="63"/>
  <c r="AC69" i="63" s="1"/>
  <c r="Z69" i="63"/>
  <c r="AA69" i="63" s="1"/>
  <c r="AB68" i="63"/>
  <c r="AC68" i="63" s="1"/>
  <c r="Z68" i="63"/>
  <c r="AA68" i="63" s="1"/>
  <c r="AB67" i="63"/>
  <c r="AC67" i="63" s="1"/>
  <c r="Z67" i="63"/>
  <c r="AA67" i="63" s="1"/>
  <c r="AB65" i="63"/>
  <c r="AC65" i="63" s="1"/>
  <c r="Z65" i="63"/>
  <c r="AA65" i="63" s="1"/>
  <c r="AB64" i="63"/>
  <c r="AC64" i="63" s="1"/>
  <c r="Z64" i="63"/>
  <c r="AA64" i="63" s="1"/>
  <c r="AB63" i="63"/>
  <c r="AC63" i="63" s="1"/>
  <c r="Z63" i="63"/>
  <c r="AA63" i="63" s="1"/>
  <c r="AB61" i="63"/>
  <c r="AC61" i="63" s="1"/>
  <c r="Z61" i="63"/>
  <c r="AA61" i="63" s="1"/>
  <c r="AB58" i="63"/>
  <c r="AC58" i="63" s="1"/>
  <c r="Z58" i="63"/>
  <c r="AA58" i="63" s="1"/>
  <c r="AB57" i="63"/>
  <c r="AC57" i="63" s="1"/>
  <c r="Z57" i="63"/>
  <c r="AA57" i="63" s="1"/>
  <c r="AB54" i="63"/>
  <c r="AC54" i="63" s="1"/>
  <c r="Z54" i="63"/>
  <c r="AA54" i="63" s="1"/>
  <c r="AB52" i="63"/>
  <c r="AC52" i="63" s="1"/>
  <c r="Z52" i="63"/>
  <c r="AA52" i="63" s="1"/>
  <c r="AB49" i="63"/>
  <c r="AC49" i="63" s="1"/>
  <c r="Z49" i="63"/>
  <c r="AA49" i="63" s="1"/>
  <c r="AB48" i="63"/>
  <c r="AC48" i="63" s="1"/>
  <c r="Z48" i="63"/>
  <c r="AA48" i="63" s="1"/>
  <c r="AB43" i="63"/>
  <c r="AC43" i="63" s="1"/>
  <c r="Z43" i="63"/>
  <c r="AA43" i="63" s="1"/>
  <c r="AB37" i="63"/>
  <c r="AC37" i="63" s="1"/>
  <c r="Z37" i="63"/>
  <c r="AA37" i="63" s="1"/>
  <c r="AB32" i="63"/>
  <c r="AC32" i="63" s="1"/>
  <c r="Z32" i="63"/>
  <c r="AA32" i="63" s="1"/>
  <c r="Z23" i="63"/>
  <c r="AA23" i="63" s="1"/>
  <c r="AB21" i="63"/>
  <c r="AC21" i="63" s="1"/>
  <c r="Z21" i="63"/>
  <c r="AA21" i="63" s="1"/>
  <c r="AB23" i="62"/>
  <c r="AC23" i="62" s="1"/>
  <c r="Z23" i="62"/>
  <c r="AA23" i="62" s="1"/>
  <c r="AB21" i="62"/>
  <c r="AC21" i="62" s="1"/>
  <c r="Z21" i="62"/>
  <c r="AA21" i="62" s="1"/>
  <c r="AB20" i="62"/>
  <c r="AC20" i="62" s="1"/>
  <c r="Z20" i="62"/>
  <c r="AA20" i="62" s="1"/>
  <c r="AB19" i="62"/>
  <c r="AC19" i="62" s="1"/>
  <c r="Z19" i="62"/>
  <c r="AA19" i="62" s="1"/>
  <c r="Z17" i="62"/>
  <c r="AA17" i="62" s="1"/>
  <c r="AB18" i="62"/>
  <c r="AC18" i="62" s="1"/>
  <c r="Z18" i="62"/>
  <c r="AA18" i="62" s="1"/>
  <c r="AB16" i="62"/>
  <c r="AC16" i="62" s="1"/>
  <c r="Z16" i="62"/>
  <c r="AA16" i="62" s="1"/>
  <c r="Z15" i="62"/>
  <c r="AA15" i="62" s="1"/>
  <c r="AB84" i="61"/>
  <c r="AC84" i="61" s="1"/>
  <c r="Z84" i="61"/>
  <c r="AA84" i="61" s="1"/>
  <c r="AB83" i="61"/>
  <c r="AC83" i="61" s="1"/>
  <c r="Z83" i="61"/>
  <c r="AA83" i="61" s="1"/>
  <c r="AB82" i="61"/>
  <c r="AC82" i="61" s="1"/>
  <c r="Z82" i="61"/>
  <c r="AA82" i="61" s="1"/>
  <c r="AB81" i="61"/>
  <c r="AC81" i="61" s="1"/>
  <c r="Z81" i="61"/>
  <c r="AA81" i="61" s="1"/>
  <c r="AB79" i="61"/>
  <c r="AC79" i="61" s="1"/>
  <c r="Z79" i="61"/>
  <c r="AA79" i="61" s="1"/>
  <c r="AB78" i="61"/>
  <c r="AC78" i="61" s="1"/>
  <c r="Z78" i="61"/>
  <c r="AA78" i="61" s="1"/>
  <c r="AB77" i="61"/>
  <c r="AC77" i="61" s="1"/>
  <c r="Z77" i="61"/>
  <c r="AA77" i="61" s="1"/>
  <c r="AB76" i="61"/>
  <c r="AC76" i="61" s="1"/>
  <c r="Z76" i="61"/>
  <c r="AA76" i="61" s="1"/>
  <c r="AB75" i="61"/>
  <c r="AC75" i="61" s="1"/>
  <c r="Z75" i="61"/>
  <c r="AA75" i="61" s="1"/>
  <c r="AB74" i="61"/>
  <c r="AC74" i="61" s="1"/>
  <c r="Z74" i="61"/>
  <c r="AA74" i="61" s="1"/>
  <c r="AB73" i="61"/>
  <c r="AC73" i="61" s="1"/>
  <c r="Z73" i="61"/>
  <c r="AA73" i="61" s="1"/>
  <c r="AB72" i="61"/>
  <c r="AC72" i="61" s="1"/>
  <c r="Z72" i="61"/>
  <c r="AA72" i="61" s="1"/>
  <c r="AB71" i="61"/>
  <c r="AC71" i="61" s="1"/>
  <c r="Z71" i="61"/>
  <c r="AA71" i="61" s="1"/>
  <c r="AB70" i="61"/>
  <c r="AC70" i="61" s="1"/>
  <c r="Z70" i="61"/>
  <c r="AA70" i="61" s="1"/>
  <c r="AB69" i="61"/>
  <c r="AC69" i="61" s="1"/>
  <c r="Z69" i="61"/>
  <c r="AA69" i="61" s="1"/>
  <c r="AB68" i="61"/>
  <c r="AC68" i="61" s="1"/>
  <c r="Z68" i="61"/>
  <c r="AA68" i="61" s="1"/>
  <c r="AB67" i="61"/>
  <c r="AC67" i="61" s="1"/>
  <c r="Z67" i="61"/>
  <c r="AA67" i="61" s="1"/>
  <c r="AB65" i="61"/>
  <c r="AC65" i="61" s="1"/>
  <c r="Z65" i="61"/>
  <c r="AA65" i="61" s="1"/>
  <c r="AB64" i="61"/>
  <c r="AC64" i="61" s="1"/>
  <c r="Z64" i="61"/>
  <c r="AA64" i="61" s="1"/>
  <c r="AB63" i="61"/>
  <c r="AC63" i="61" s="1"/>
  <c r="Z63" i="61"/>
  <c r="AA63" i="61" s="1"/>
  <c r="AB62" i="61"/>
  <c r="AC62" i="61" s="1"/>
  <c r="Z62" i="61"/>
  <c r="AA62" i="61" s="1"/>
  <c r="AB61" i="61"/>
  <c r="AC61" i="61" s="1"/>
  <c r="Z61" i="61"/>
  <c r="AA61" i="61" s="1"/>
  <c r="AB60" i="61"/>
  <c r="AC60" i="61" s="1"/>
  <c r="Z60" i="61"/>
  <c r="AA60" i="61" s="1"/>
  <c r="AB59" i="61"/>
  <c r="AC59" i="61" s="1"/>
  <c r="Z59" i="61"/>
  <c r="AA59" i="61" s="1"/>
  <c r="AB58" i="61"/>
  <c r="AC58" i="61" s="1"/>
  <c r="Z58" i="61"/>
  <c r="AA58" i="61" s="1"/>
  <c r="AB57" i="61"/>
  <c r="AC57" i="61" s="1"/>
  <c r="Z57" i="61"/>
  <c r="AA57" i="61" s="1"/>
  <c r="AB56" i="61"/>
  <c r="AC56" i="61" s="1"/>
  <c r="Z56" i="61"/>
  <c r="AA56" i="61" s="1"/>
  <c r="AB55" i="61"/>
  <c r="AC55" i="61" s="1"/>
  <c r="Z55" i="61"/>
  <c r="AA55" i="61" s="1"/>
  <c r="AB53" i="61"/>
  <c r="AC53" i="61" s="1"/>
  <c r="Z53" i="61"/>
  <c r="AA53" i="61" s="1"/>
  <c r="AB52" i="61"/>
  <c r="AC52" i="61" s="1"/>
  <c r="Z52" i="61"/>
  <c r="AA52" i="61" s="1"/>
  <c r="AB51" i="61"/>
  <c r="AC51" i="61" s="1"/>
  <c r="Z51" i="61"/>
  <c r="AA51" i="61" s="1"/>
  <c r="AB50" i="61"/>
  <c r="AC50" i="61" s="1"/>
  <c r="Z50" i="61"/>
  <c r="AA50" i="61" s="1"/>
  <c r="AB49" i="61"/>
  <c r="AC49" i="61" s="1"/>
  <c r="Z49" i="61"/>
  <c r="AA49" i="61" s="1"/>
  <c r="AB48" i="61"/>
  <c r="AC48" i="61" s="1"/>
  <c r="Z48" i="61"/>
  <c r="AA48" i="61" s="1"/>
  <c r="AB47" i="61"/>
  <c r="AC47" i="61" s="1"/>
  <c r="Z47" i="61"/>
  <c r="AA47" i="61" s="1"/>
  <c r="AB46" i="61"/>
  <c r="AC46" i="61" s="1"/>
  <c r="Z46" i="61"/>
  <c r="AA46" i="61" s="1"/>
  <c r="Z45" i="61"/>
  <c r="AA45" i="61" s="1"/>
  <c r="AB44" i="61"/>
  <c r="AC44" i="61" s="1"/>
  <c r="Z44" i="61"/>
  <c r="AA44" i="61" s="1"/>
  <c r="AB43" i="61"/>
  <c r="AC43" i="61" s="1"/>
  <c r="Z43" i="61"/>
  <c r="AA43" i="61" s="1"/>
  <c r="AB40" i="61"/>
  <c r="AC40" i="61" s="1"/>
  <c r="Z40" i="61"/>
  <c r="AA40" i="61" s="1"/>
  <c r="AB35" i="61"/>
  <c r="AC35" i="61" s="1"/>
  <c r="Z35" i="61"/>
  <c r="AA35" i="61" s="1"/>
  <c r="AB33" i="61"/>
  <c r="AC33" i="61" s="1"/>
  <c r="Z33" i="61"/>
  <c r="AA33" i="61" s="1"/>
  <c r="AB30" i="61"/>
  <c r="AC30" i="61" s="1"/>
  <c r="Z30" i="61"/>
  <c r="AA30" i="61" s="1"/>
  <c r="AB24" i="61"/>
  <c r="AC24" i="61" s="1"/>
  <c r="Z24" i="61"/>
  <c r="AA24" i="61" s="1"/>
  <c r="Z23" i="61"/>
  <c r="AA23" i="61" s="1"/>
  <c r="AH15" i="80" l="1"/>
  <c r="AH33" i="80"/>
  <c r="AH21" i="80"/>
  <c r="AH18" i="80"/>
  <c r="AH22" i="80"/>
  <c r="AH25" i="80"/>
  <c r="AH34" i="80"/>
  <c r="AH17" i="80"/>
  <c r="AH30" i="80"/>
  <c r="AH26" i="80"/>
  <c r="AH29" i="80"/>
  <c r="AH19" i="80"/>
  <c r="AH23" i="80"/>
  <c r="AH27" i="80"/>
  <c r="AH31" i="80"/>
  <c r="AH35" i="80"/>
  <c r="AH16" i="80"/>
  <c r="AH20" i="80"/>
  <c r="AH24" i="80"/>
  <c r="AH28" i="80"/>
  <c r="AH32" i="80"/>
  <c r="AH36" i="80"/>
  <c r="AB62" i="1"/>
  <c r="AC62" i="1" s="1"/>
  <c r="Z62" i="1"/>
  <c r="AA62" i="1" s="1"/>
  <c r="AB61" i="1"/>
  <c r="AC61" i="1" s="1"/>
  <c r="Z61" i="1"/>
  <c r="AA61" i="1" s="1"/>
  <c r="AB60" i="1"/>
  <c r="AC60" i="1" s="1"/>
  <c r="Z60" i="1"/>
  <c r="AA60" i="1" s="1"/>
  <c r="AB59" i="1"/>
  <c r="AC59" i="1" s="1"/>
  <c r="Z59" i="1"/>
  <c r="AA59" i="1" s="1"/>
  <c r="AB58" i="1"/>
  <c r="AC58" i="1" s="1"/>
  <c r="Z58" i="1"/>
  <c r="AA58" i="1" s="1"/>
  <c r="AB57" i="1"/>
  <c r="AC57" i="1" s="1"/>
  <c r="Z57" i="1"/>
  <c r="AA57" i="1" s="1"/>
  <c r="AB56" i="1"/>
  <c r="AC56" i="1" s="1"/>
  <c r="Z56" i="1"/>
  <c r="AA56" i="1" s="1"/>
  <c r="AB55" i="1"/>
  <c r="AC55" i="1" s="1"/>
  <c r="Z55" i="1"/>
  <c r="AA55" i="1" s="1"/>
  <c r="AB54" i="1"/>
  <c r="AC54" i="1" s="1"/>
  <c r="Z54" i="1"/>
  <c r="AA54" i="1" s="1"/>
  <c r="AB52" i="1"/>
  <c r="AC52" i="1" s="1"/>
  <c r="Z52" i="1"/>
  <c r="AA52" i="1" s="1"/>
  <c r="AB51" i="1"/>
  <c r="AC51" i="1" s="1"/>
  <c r="Z51" i="1"/>
  <c r="AA51" i="1" s="1"/>
  <c r="AB50" i="1"/>
  <c r="AC50" i="1" s="1"/>
  <c r="Z50" i="1"/>
  <c r="AA50" i="1" s="1"/>
  <c r="AB49" i="1"/>
  <c r="AC49" i="1" s="1"/>
  <c r="Z49" i="1"/>
  <c r="AA49" i="1" s="1"/>
  <c r="AB48" i="1"/>
  <c r="AC48" i="1" s="1"/>
  <c r="Z48" i="1"/>
  <c r="AA48" i="1" s="1"/>
  <c r="AB47" i="1"/>
  <c r="AC47" i="1" s="1"/>
  <c r="Z47" i="1"/>
  <c r="AA47" i="1" s="1"/>
  <c r="AB46" i="1"/>
  <c r="AC46" i="1" s="1"/>
  <c r="Z46" i="1"/>
  <c r="AA46" i="1" s="1"/>
  <c r="AB44" i="1"/>
  <c r="AC44" i="1" s="1"/>
  <c r="Z44" i="1"/>
  <c r="AA44" i="1" s="1"/>
  <c r="Z43" i="1"/>
  <c r="AA43" i="1" s="1"/>
  <c r="AB42" i="1"/>
  <c r="AC42" i="1" s="1"/>
  <c r="Z42" i="1"/>
  <c r="AA42" i="1" s="1"/>
  <c r="AB41" i="1"/>
  <c r="AC41" i="1" s="1"/>
  <c r="Z41" i="1"/>
  <c r="AA41" i="1" s="1"/>
  <c r="AB39" i="1"/>
  <c r="AC39" i="1" s="1"/>
  <c r="Z39" i="1"/>
  <c r="AA39" i="1" s="1"/>
  <c r="AB38" i="1"/>
  <c r="AC38" i="1" s="1"/>
  <c r="Z38" i="1"/>
  <c r="AA38" i="1" s="1"/>
  <c r="AB37" i="1"/>
  <c r="AC37" i="1" s="1"/>
  <c r="Z37" i="1"/>
  <c r="AA37" i="1" s="1"/>
  <c r="AB36" i="1"/>
  <c r="AC36" i="1" s="1"/>
  <c r="Z36" i="1"/>
  <c r="AA36" i="1" s="1"/>
  <c r="AB35" i="1"/>
  <c r="AC35" i="1" s="1"/>
  <c r="Z35" i="1"/>
  <c r="AA35" i="1" s="1"/>
  <c r="AB33" i="1"/>
  <c r="AC33" i="1" s="1"/>
  <c r="Z33" i="1"/>
  <c r="AA33" i="1" s="1"/>
  <c r="AB32" i="1"/>
  <c r="AC32" i="1" s="1"/>
  <c r="Z32" i="1"/>
  <c r="AA32" i="1" s="1"/>
  <c r="AB31" i="1"/>
  <c r="AC31" i="1" s="1"/>
  <c r="Z31" i="1"/>
  <c r="AA31" i="1" s="1"/>
  <c r="AB30" i="1"/>
  <c r="AC30" i="1" s="1"/>
  <c r="Z30" i="1"/>
  <c r="AA30" i="1" s="1"/>
  <c r="AB28" i="1"/>
  <c r="AC28" i="1" s="1"/>
  <c r="Z28" i="1"/>
  <c r="AA28" i="1" s="1"/>
  <c r="AB27" i="1"/>
  <c r="AC27" i="1" s="1"/>
  <c r="Z27" i="1"/>
  <c r="AA27" i="1" s="1"/>
  <c r="AB25" i="1"/>
  <c r="AC25" i="1" s="1"/>
  <c r="Z25" i="1"/>
  <c r="AA25" i="1" s="1"/>
  <c r="AB24" i="1"/>
  <c r="AC24" i="1" s="1"/>
  <c r="Z24" i="1"/>
  <c r="AA24" i="1" s="1"/>
  <c r="AB21" i="1"/>
  <c r="AC21" i="1" s="1"/>
  <c r="Z21" i="1"/>
  <c r="AA21" i="1" s="1"/>
  <c r="AB20" i="1"/>
  <c r="AC20" i="1" s="1"/>
  <c r="Z20" i="1"/>
  <c r="AA20" i="1" s="1"/>
  <c r="Z15" i="1"/>
  <c r="AA15" i="1" s="1"/>
  <c r="AC45" i="58"/>
  <c r="AA45" i="58"/>
  <c r="AC44" i="58"/>
  <c r="AA44" i="58"/>
  <c r="AC27" i="58"/>
  <c r="AA27" i="58"/>
  <c r="AC43" i="58"/>
  <c r="AA43" i="58"/>
  <c r="AC42" i="58"/>
  <c r="AA42" i="58"/>
  <c r="AC41" i="58"/>
  <c r="AA41" i="58"/>
  <c r="AC40" i="58"/>
  <c r="AA40" i="58"/>
  <c r="AC38" i="58"/>
  <c r="AA38" i="58"/>
  <c r="AC37" i="58"/>
  <c r="AA37" i="58"/>
  <c r="AC36" i="58"/>
  <c r="AA36" i="58"/>
  <c r="AC35" i="58"/>
  <c r="AA35" i="58"/>
  <c r="AC34" i="58"/>
  <c r="AA34" i="58"/>
  <c r="AC33" i="58"/>
  <c r="AA33" i="58"/>
  <c r="AC31" i="58"/>
  <c r="AA31" i="58"/>
  <c r="AC30" i="58"/>
  <c r="AA30" i="58"/>
  <c r="AC29" i="58"/>
  <c r="AA29" i="58"/>
  <c r="AC23" i="58"/>
  <c r="AA23" i="58"/>
  <c r="AC24" i="58"/>
  <c r="AA24" i="58"/>
  <c r="AC28" i="58"/>
  <c r="AA28" i="58"/>
  <c r="AC26" i="58"/>
  <c r="AA26" i="58"/>
  <c r="AC25" i="58"/>
  <c r="AA25" i="58"/>
  <c r="AC20" i="58"/>
  <c r="AA20" i="58"/>
  <c r="AC19" i="58"/>
  <c r="AA19" i="58"/>
  <c r="AC22" i="58"/>
  <c r="AA22" i="58"/>
  <c r="AC21" i="58"/>
  <c r="AA21" i="58"/>
  <c r="AC17" i="58"/>
  <c r="AA17" i="58"/>
  <c r="AC18" i="58"/>
  <c r="AA18" i="58"/>
  <c r="AC16" i="58"/>
  <c r="AA16" i="58"/>
  <c r="AC15" i="58"/>
  <c r="AA15" i="58"/>
  <c r="X20" i="75" l="1"/>
  <c r="Y20" i="75" s="1"/>
  <c r="AH20" i="75" s="1"/>
  <c r="X19" i="75"/>
  <c r="Y19" i="75" s="1"/>
  <c r="AH19" i="75" s="1"/>
  <c r="X18" i="75"/>
  <c r="Y18" i="75" s="1"/>
  <c r="Y24" i="79"/>
  <c r="W24" i="79"/>
  <c r="Y17" i="79"/>
  <c r="W17" i="79"/>
  <c r="Y22" i="79"/>
  <c r="W22" i="79"/>
  <c r="Y16" i="79"/>
  <c r="W16" i="79"/>
  <c r="Y20" i="79"/>
  <c r="W20" i="79"/>
  <c r="Y19" i="79"/>
  <c r="W19" i="79"/>
  <c r="Y18" i="79"/>
  <c r="W18" i="79"/>
  <c r="Y16" i="73"/>
  <c r="W16" i="73"/>
  <c r="AH16" i="73" s="1"/>
  <c r="Y46" i="72"/>
  <c r="W46" i="72"/>
  <c r="Y45" i="72"/>
  <c r="W45" i="72"/>
  <c r="Y44" i="72"/>
  <c r="W44" i="72"/>
  <c r="Y43" i="72"/>
  <c r="W43" i="72"/>
  <c r="Y42" i="72"/>
  <c r="W42" i="72"/>
  <c r="Y41" i="72"/>
  <c r="W41" i="72"/>
  <c r="Y40" i="72"/>
  <c r="W40" i="72"/>
  <c r="Y39" i="72"/>
  <c r="W39" i="72"/>
  <c r="Y38" i="72"/>
  <c r="W38" i="72"/>
  <c r="Y37" i="72"/>
  <c r="W37" i="72"/>
  <c r="Y36" i="72"/>
  <c r="W36" i="72"/>
  <c r="Y35" i="72"/>
  <c r="W35" i="72"/>
  <c r="Y34" i="72"/>
  <c r="W34" i="72"/>
  <c r="Y24" i="72"/>
  <c r="W24" i="72"/>
  <c r="Y33" i="72"/>
  <c r="W33" i="72"/>
  <c r="Y31" i="72"/>
  <c r="W31" i="72"/>
  <c r="Y30" i="72"/>
  <c r="W30" i="72"/>
  <c r="Y23" i="72"/>
  <c r="W23" i="72"/>
  <c r="Y27" i="72"/>
  <c r="W27" i="72"/>
  <c r="Y22" i="72"/>
  <c r="W22" i="72"/>
  <c r="Y25" i="72"/>
  <c r="W25" i="72"/>
  <c r="Y21" i="72"/>
  <c r="W21" i="72"/>
  <c r="Y20" i="72"/>
  <c r="W20" i="72"/>
  <c r="Y18" i="72"/>
  <c r="W18" i="72"/>
  <c r="Y17" i="72"/>
  <c r="W17" i="72"/>
  <c r="Y19" i="72"/>
  <c r="W19" i="72"/>
  <c r="Y16" i="72"/>
  <c r="W16" i="72"/>
  <c r="Y17" i="78"/>
  <c r="W17" i="78"/>
  <c r="Y20" i="78"/>
  <c r="W20" i="78"/>
  <c r="Y19" i="78"/>
  <c r="W19" i="78"/>
  <c r="Y18" i="78"/>
  <c r="W18" i="78"/>
  <c r="Y16" i="78"/>
  <c r="W16" i="78"/>
  <c r="Y19" i="71"/>
  <c r="W19" i="71"/>
  <c r="AH19" i="71" s="1"/>
  <c r="Y20" i="71"/>
  <c r="W20" i="71"/>
  <c r="Y18" i="71"/>
  <c r="W18" i="71"/>
  <c r="Y17" i="71"/>
  <c r="W17" i="71"/>
  <c r="Y16" i="71"/>
  <c r="W16" i="71"/>
  <c r="Y35" i="74"/>
  <c r="W35" i="74"/>
  <c r="Y37" i="74"/>
  <c r="W37" i="74"/>
  <c r="Y32" i="74"/>
  <c r="W32" i="74"/>
  <c r="Y36" i="74"/>
  <c r="W36" i="74"/>
  <c r="Y26" i="74"/>
  <c r="W26" i="74"/>
  <c r="Y34" i="74"/>
  <c r="W34" i="74"/>
  <c r="Y33" i="74"/>
  <c r="W33" i="74"/>
  <c r="Y31" i="74"/>
  <c r="W31" i="74"/>
  <c r="Y25" i="74"/>
  <c r="W25" i="74"/>
  <c r="Y30" i="74"/>
  <c r="W30" i="74"/>
  <c r="Y29" i="74"/>
  <c r="W29" i="74"/>
  <c r="Y28" i="74"/>
  <c r="W28" i="74"/>
  <c r="Y23" i="74"/>
  <c r="W23" i="74"/>
  <c r="Y27" i="74"/>
  <c r="W27" i="74"/>
  <c r="Y24" i="74"/>
  <c r="W24" i="74"/>
  <c r="Y21" i="74"/>
  <c r="W21" i="74"/>
  <c r="Y22" i="74"/>
  <c r="W22" i="74"/>
  <c r="Y20" i="74"/>
  <c r="W20" i="74"/>
  <c r="Y18" i="74"/>
  <c r="W18" i="74"/>
  <c r="Y19" i="74"/>
  <c r="W19" i="74"/>
  <c r="Y17" i="74"/>
  <c r="W17" i="74"/>
  <c r="Y16" i="74"/>
  <c r="W16" i="74"/>
  <c r="Y27" i="70"/>
  <c r="W27" i="70"/>
  <c r="Y40" i="70"/>
  <c r="W40" i="70"/>
  <c r="Y35" i="70"/>
  <c r="W35" i="70"/>
  <c r="Y39" i="70"/>
  <c r="W39" i="70"/>
  <c r="Y38" i="70"/>
  <c r="W38" i="70"/>
  <c r="Y37" i="70"/>
  <c r="W37" i="70"/>
  <c r="Y36" i="70"/>
  <c r="W36" i="70"/>
  <c r="Y34" i="70"/>
  <c r="W34" i="70"/>
  <c r="Y32" i="70"/>
  <c r="W32" i="70"/>
  <c r="Y28" i="70"/>
  <c r="W28" i="70"/>
  <c r="Y31" i="70"/>
  <c r="W31" i="70"/>
  <c r="Y30" i="70"/>
  <c r="W30" i="70"/>
  <c r="Y23" i="70"/>
  <c r="W23" i="70"/>
  <c r="Y29" i="70"/>
  <c r="W29" i="70"/>
  <c r="Y26" i="70"/>
  <c r="W26" i="70"/>
  <c r="Y25" i="70"/>
  <c r="W25" i="70"/>
  <c r="Y24" i="70"/>
  <c r="W24" i="70"/>
  <c r="Y22" i="70"/>
  <c r="W22" i="70"/>
  <c r="Y21" i="70"/>
  <c r="W21" i="70"/>
  <c r="Y20" i="70"/>
  <c r="W20" i="70"/>
  <c r="Y18" i="70"/>
  <c r="W18" i="70"/>
  <c r="Y19" i="70"/>
  <c r="W19" i="70"/>
  <c r="Y15" i="70"/>
  <c r="W15" i="70"/>
  <c r="Y16" i="70"/>
  <c r="W16" i="70"/>
  <c r="Y37" i="69"/>
  <c r="W37" i="69"/>
  <c r="Y42" i="69"/>
  <c r="W42" i="69"/>
  <c r="Y26" i="69"/>
  <c r="W26" i="69"/>
  <c r="Y30" i="69"/>
  <c r="W30" i="69"/>
  <c r="Y41" i="69"/>
  <c r="W41" i="69"/>
  <c r="Y40" i="69"/>
  <c r="W40" i="69"/>
  <c r="Y39" i="69"/>
  <c r="W39" i="69"/>
  <c r="Y38" i="69"/>
  <c r="W38" i="69"/>
  <c r="Y36" i="69"/>
  <c r="W36" i="69"/>
  <c r="Y35" i="69"/>
  <c r="W35" i="69"/>
  <c r="Y34" i="69"/>
  <c r="W34" i="69"/>
  <c r="Y33" i="69"/>
  <c r="W33" i="69"/>
  <c r="Y31" i="69"/>
  <c r="W31" i="69"/>
  <c r="Y29" i="69"/>
  <c r="W29" i="69"/>
  <c r="Y28" i="69"/>
  <c r="W28" i="69"/>
  <c r="Y24" i="69"/>
  <c r="W24" i="69"/>
  <c r="Y27" i="69"/>
  <c r="W27" i="69"/>
  <c r="Y23" i="69"/>
  <c r="W23" i="69"/>
  <c r="Y25" i="69"/>
  <c r="W25" i="69"/>
  <c r="Y20" i="69"/>
  <c r="W20" i="69"/>
  <c r="Y19" i="69"/>
  <c r="W19" i="69"/>
  <c r="Y16" i="69"/>
  <c r="W16" i="69"/>
  <c r="Y22" i="69"/>
  <c r="W22" i="69"/>
  <c r="Y21" i="69"/>
  <c r="W21" i="69"/>
  <c r="Y18" i="69"/>
  <c r="W18" i="69"/>
  <c r="Y17" i="69"/>
  <c r="W17" i="69"/>
  <c r="Y35" i="68"/>
  <c r="W35" i="68"/>
  <c r="AH35" i="68" s="1"/>
  <c r="Y31" i="68"/>
  <c r="W31" i="68"/>
  <c r="Y40" i="68"/>
  <c r="W40" i="68"/>
  <c r="Y39" i="68"/>
  <c r="W39" i="68"/>
  <c r="Y38" i="68"/>
  <c r="W38" i="68"/>
  <c r="Y37" i="68"/>
  <c r="W37" i="68"/>
  <c r="Y36" i="68"/>
  <c r="W36" i="68"/>
  <c r="Y34" i="68"/>
  <c r="W34" i="68"/>
  <c r="Y33" i="68"/>
  <c r="W33" i="68"/>
  <c r="Y28" i="68"/>
  <c r="W28" i="68"/>
  <c r="Y32" i="68"/>
  <c r="W32" i="68"/>
  <c r="Y30" i="68"/>
  <c r="W30" i="68"/>
  <c r="Y27" i="68"/>
  <c r="W27" i="68"/>
  <c r="Y29" i="68"/>
  <c r="W29" i="68"/>
  <c r="Y22" i="68"/>
  <c r="W22" i="68"/>
  <c r="Y23" i="68"/>
  <c r="W23" i="68"/>
  <c r="Y26" i="68"/>
  <c r="W26" i="68"/>
  <c r="Y25" i="68"/>
  <c r="W25" i="68"/>
  <c r="Y24" i="68"/>
  <c r="W24" i="68"/>
  <c r="Y21" i="68"/>
  <c r="W21" i="68"/>
  <c r="Y20" i="68"/>
  <c r="W20" i="68"/>
  <c r="Y19" i="68"/>
  <c r="W19" i="68"/>
  <c r="Y18" i="68"/>
  <c r="W18" i="68"/>
  <c r="Y17" i="68"/>
  <c r="W17" i="68"/>
  <c r="Y15" i="68"/>
  <c r="W15" i="68"/>
  <c r="Y34" i="67"/>
  <c r="W34" i="67"/>
  <c r="Y33" i="67"/>
  <c r="W33" i="67"/>
  <c r="Y32" i="67"/>
  <c r="W32" i="67"/>
  <c r="Y31" i="67"/>
  <c r="W31" i="67"/>
  <c r="Y30" i="67"/>
  <c r="W30" i="67"/>
  <c r="Y29" i="67"/>
  <c r="W29" i="67"/>
  <c r="Y28" i="67"/>
  <c r="W28" i="67"/>
  <c r="Y27" i="67"/>
  <c r="W27" i="67"/>
  <c r="Y26" i="67"/>
  <c r="W26" i="67"/>
  <c r="Y25" i="67"/>
  <c r="W25" i="67"/>
  <c r="Y24" i="67"/>
  <c r="W24" i="67"/>
  <c r="Y23" i="67"/>
  <c r="W23" i="67"/>
  <c r="Y19" i="67"/>
  <c r="W19" i="67"/>
  <c r="Y22" i="67"/>
  <c r="W22" i="67"/>
  <c r="Y20" i="67"/>
  <c r="W20" i="67"/>
  <c r="Y21" i="67"/>
  <c r="W21" i="67"/>
  <c r="Y18" i="67"/>
  <c r="W18" i="67"/>
  <c r="Y16" i="67"/>
  <c r="W16" i="67"/>
  <c r="Y17" i="67"/>
  <c r="W17" i="67"/>
  <c r="Y20" i="77"/>
  <c r="W20" i="77"/>
  <c r="Y21" i="77"/>
  <c r="W21" i="77"/>
  <c r="Y24" i="77"/>
  <c r="W24" i="77"/>
  <c r="Y23" i="77"/>
  <c r="W23" i="77"/>
  <c r="Y19" i="77"/>
  <c r="W19" i="77"/>
  <c r="Y18" i="77"/>
  <c r="W18" i="77"/>
  <c r="Y17" i="77"/>
  <c r="W17" i="77"/>
  <c r="Y15" i="77"/>
  <c r="W15" i="77"/>
  <c r="Y28" i="66"/>
  <c r="W28" i="66"/>
  <c r="Y29" i="66"/>
  <c r="W29" i="66"/>
  <c r="Y33" i="66"/>
  <c r="W33" i="66"/>
  <c r="Y32" i="66"/>
  <c r="W32" i="66"/>
  <c r="Y26" i="66"/>
  <c r="W26" i="66"/>
  <c r="Y31" i="66"/>
  <c r="W31" i="66"/>
  <c r="Y30" i="66"/>
  <c r="W30" i="66"/>
  <c r="Y25" i="66"/>
  <c r="W25" i="66"/>
  <c r="Y24" i="66"/>
  <c r="W24" i="66"/>
  <c r="Y27" i="66"/>
  <c r="W27" i="66"/>
  <c r="Y22" i="66"/>
  <c r="W22" i="66"/>
  <c r="Y21" i="66"/>
  <c r="W21" i="66"/>
  <c r="Y23" i="66"/>
  <c r="W23" i="66"/>
  <c r="Y20" i="66"/>
  <c r="W20" i="66"/>
  <c r="Y19" i="66"/>
  <c r="W19" i="66"/>
  <c r="Y18" i="66"/>
  <c r="W18" i="66"/>
  <c r="Y17" i="66"/>
  <c r="W17" i="66"/>
  <c r="Y16" i="66"/>
  <c r="W16" i="66"/>
  <c r="Y28" i="76"/>
  <c r="W28" i="76"/>
  <c r="Y40" i="76"/>
  <c r="W40" i="76"/>
  <c r="Y27" i="76"/>
  <c r="W27" i="76"/>
  <c r="Y32" i="76"/>
  <c r="W32" i="76"/>
  <c r="Y30" i="76"/>
  <c r="W30" i="76"/>
  <c r="AH30" i="76" s="1"/>
  <c r="Y39" i="76"/>
  <c r="W39" i="76"/>
  <c r="Y38" i="76"/>
  <c r="W38" i="76"/>
  <c r="Y31" i="76"/>
  <c r="W31" i="76"/>
  <c r="Y25" i="76"/>
  <c r="W25" i="76"/>
  <c r="Y24" i="76"/>
  <c r="W24" i="76"/>
  <c r="Y21" i="76"/>
  <c r="W21" i="76"/>
  <c r="Y22" i="76"/>
  <c r="W22" i="76"/>
  <c r="Y23" i="76"/>
  <c r="W23" i="76"/>
  <c r="Y20" i="76"/>
  <c r="W20" i="76"/>
  <c r="Y19" i="76"/>
  <c r="W19" i="76"/>
  <c r="Y17" i="76"/>
  <c r="W17" i="76"/>
  <c r="Y18" i="76"/>
  <c r="W18" i="76"/>
  <c r="Y16" i="76"/>
  <c r="W16" i="76"/>
  <c r="Y51" i="65"/>
  <c r="W51" i="65"/>
  <c r="Y53" i="65"/>
  <c r="W53" i="65"/>
  <c r="Y43" i="65"/>
  <c r="W43" i="65"/>
  <c r="Y37" i="65"/>
  <c r="W37" i="65"/>
  <c r="Y56" i="65"/>
  <c r="W56" i="65"/>
  <c r="Y55" i="65"/>
  <c r="W55" i="65"/>
  <c r="Y54" i="65"/>
  <c r="W54" i="65"/>
  <c r="Y49" i="65"/>
  <c r="W49" i="65"/>
  <c r="Y50" i="65"/>
  <c r="W50" i="65"/>
  <c r="Y36" i="65"/>
  <c r="W36" i="65"/>
  <c r="Y42" i="65"/>
  <c r="W42" i="65"/>
  <c r="Y33" i="65"/>
  <c r="W33" i="65"/>
  <c r="Y47" i="65"/>
  <c r="W47" i="65"/>
  <c r="Y35" i="65"/>
  <c r="W35" i="65"/>
  <c r="Y46" i="65"/>
  <c r="W46" i="65"/>
  <c r="Y45" i="65"/>
  <c r="W45" i="65"/>
  <c r="Y44" i="65"/>
  <c r="W44" i="65"/>
  <c r="Y32" i="65"/>
  <c r="W32" i="65"/>
  <c r="Y34" i="65"/>
  <c r="W34" i="65"/>
  <c r="Y41" i="65"/>
  <c r="W41" i="65"/>
  <c r="Y30" i="65"/>
  <c r="W30" i="65"/>
  <c r="Y40" i="65"/>
  <c r="W40" i="65"/>
  <c r="Y38" i="65"/>
  <c r="W38" i="65"/>
  <c r="Y39" i="65"/>
  <c r="W39" i="65"/>
  <c r="Y28" i="65"/>
  <c r="W28" i="65"/>
  <c r="Y31" i="65"/>
  <c r="W31" i="65"/>
  <c r="Y29" i="65"/>
  <c r="W29" i="65"/>
  <c r="Y27" i="65"/>
  <c r="W27" i="65"/>
  <c r="Y26" i="65"/>
  <c r="W26" i="65"/>
  <c r="Y24" i="65"/>
  <c r="W24" i="65"/>
  <c r="Y23" i="65"/>
  <c r="W23" i="65"/>
  <c r="Y25" i="65"/>
  <c r="W25" i="65"/>
  <c r="Y22" i="65"/>
  <c r="W22" i="65"/>
  <c r="Y21" i="65"/>
  <c r="W21" i="65"/>
  <c r="Y19" i="65"/>
  <c r="W19" i="65"/>
  <c r="Y20" i="65"/>
  <c r="W20" i="65"/>
  <c r="Y18" i="65"/>
  <c r="W18" i="65"/>
  <c r="Y17" i="65"/>
  <c r="W17" i="65"/>
  <c r="Y16" i="65"/>
  <c r="W16" i="65"/>
  <c r="Y24" i="64"/>
  <c r="W24" i="64"/>
  <c r="Y23" i="64"/>
  <c r="W23" i="64"/>
  <c r="Y22" i="64"/>
  <c r="W22" i="64"/>
  <c r="Y17" i="64"/>
  <c r="W17" i="64"/>
  <c r="Y20" i="64"/>
  <c r="W20" i="64"/>
  <c r="Y19" i="64"/>
  <c r="W19" i="64"/>
  <c r="Y21" i="64"/>
  <c r="W21" i="64"/>
  <c r="Y18" i="64"/>
  <c r="W18" i="64"/>
  <c r="Y16" i="64"/>
  <c r="W16" i="64"/>
  <c r="Y72" i="63"/>
  <c r="W72" i="63"/>
  <c r="Y69" i="63"/>
  <c r="W69" i="63"/>
  <c r="AH69" i="63" s="1"/>
  <c r="Y59" i="63"/>
  <c r="W59" i="63"/>
  <c r="Y68" i="63"/>
  <c r="W68" i="63"/>
  <c r="AH68" i="63" s="1"/>
  <c r="Y67" i="63"/>
  <c r="W67" i="63"/>
  <c r="Y70" i="63"/>
  <c r="W70" i="63"/>
  <c r="Y50" i="63"/>
  <c r="W50" i="63"/>
  <c r="Y71" i="63"/>
  <c r="W71" i="63"/>
  <c r="Y62" i="63"/>
  <c r="W62" i="63"/>
  <c r="Y65" i="63"/>
  <c r="W65" i="63"/>
  <c r="Y60" i="63"/>
  <c r="W60" i="63"/>
  <c r="Y64" i="63"/>
  <c r="W64" i="63"/>
  <c r="Y51" i="63"/>
  <c r="W51" i="63"/>
  <c r="Y63" i="63"/>
  <c r="W63" i="63"/>
  <c r="Y53" i="63"/>
  <c r="W53" i="63"/>
  <c r="Y61" i="63"/>
  <c r="W61" i="63"/>
  <c r="Y55" i="63"/>
  <c r="W55" i="63"/>
  <c r="Y47" i="63"/>
  <c r="W47" i="63"/>
  <c r="Y42" i="63"/>
  <c r="W42" i="63"/>
  <c r="Y58" i="63"/>
  <c r="W58" i="63"/>
  <c r="Y57" i="63"/>
  <c r="W57" i="63"/>
  <c r="Y30" i="63"/>
  <c r="W30" i="63"/>
  <c r="Y41" i="63"/>
  <c r="W41" i="63"/>
  <c r="Y46" i="63"/>
  <c r="W46" i="63"/>
  <c r="Y54" i="63"/>
  <c r="W54" i="63"/>
  <c r="Y39" i="63"/>
  <c r="W39" i="63"/>
  <c r="Y38" i="63"/>
  <c r="W38" i="63"/>
  <c r="Y45" i="63"/>
  <c r="W45" i="63"/>
  <c r="Y52" i="63"/>
  <c r="W52" i="63"/>
  <c r="Y44" i="63"/>
  <c r="W44" i="63"/>
  <c r="Y40" i="63"/>
  <c r="W40" i="63"/>
  <c r="Y49" i="63"/>
  <c r="W49" i="63"/>
  <c r="Y48" i="63"/>
  <c r="W48" i="63"/>
  <c r="Y34" i="63"/>
  <c r="W34" i="63"/>
  <c r="Y35" i="63"/>
  <c r="W35" i="63"/>
  <c r="Y43" i="63"/>
  <c r="W43" i="63"/>
  <c r="Y36" i="63"/>
  <c r="W36" i="63"/>
  <c r="Y37" i="63"/>
  <c r="W37" i="63"/>
  <c r="Y31" i="63"/>
  <c r="W31" i="63"/>
  <c r="Y33" i="63"/>
  <c r="W33" i="63"/>
  <c r="Y27" i="63"/>
  <c r="W27" i="63"/>
  <c r="Y29" i="63"/>
  <c r="W29" i="63"/>
  <c r="Y28" i="63"/>
  <c r="W28" i="63"/>
  <c r="Y26" i="63"/>
  <c r="W26" i="63"/>
  <c r="Y25" i="63"/>
  <c r="W25" i="63"/>
  <c r="Y23" i="63"/>
  <c r="W23" i="63"/>
  <c r="Y24" i="63"/>
  <c r="W24" i="63"/>
  <c r="Y32" i="63"/>
  <c r="W32" i="63"/>
  <c r="Y21" i="63"/>
  <c r="W21" i="63"/>
  <c r="Y20" i="63"/>
  <c r="W20" i="63"/>
  <c r="Y19" i="63"/>
  <c r="W19" i="63"/>
  <c r="Y17" i="63"/>
  <c r="W17" i="63"/>
  <c r="Y22" i="63"/>
  <c r="W22" i="63"/>
  <c r="Y18" i="63"/>
  <c r="W18" i="63"/>
  <c r="Y15" i="63"/>
  <c r="W15" i="63"/>
  <c r="Y23" i="62"/>
  <c r="W23" i="62"/>
  <c r="AH23" i="62" s="1"/>
  <c r="Y17" i="62"/>
  <c r="W17" i="62"/>
  <c r="Y21" i="62"/>
  <c r="W21" i="62"/>
  <c r="Y20" i="62"/>
  <c r="W20" i="62"/>
  <c r="Y19" i="62"/>
  <c r="W19" i="62"/>
  <c r="Y18" i="62"/>
  <c r="W18" i="62"/>
  <c r="Y16" i="62"/>
  <c r="W16" i="62"/>
  <c r="Y52" i="61"/>
  <c r="W52" i="61"/>
  <c r="AH52" i="61" s="1"/>
  <c r="Y61" i="61"/>
  <c r="W61" i="61"/>
  <c r="AH61" i="61" s="1"/>
  <c r="Y69" i="61"/>
  <c r="W69" i="61"/>
  <c r="AH69" i="61" s="1"/>
  <c r="Y70" i="61"/>
  <c r="W70" i="61"/>
  <c r="Y54" i="61"/>
  <c r="W54" i="61"/>
  <c r="Y84" i="61"/>
  <c r="W84" i="61"/>
  <c r="Y83" i="61"/>
  <c r="W83" i="61"/>
  <c r="Y71" i="61"/>
  <c r="W71" i="61"/>
  <c r="Y82" i="61"/>
  <c r="W82" i="61"/>
  <c r="Y81" i="61"/>
  <c r="W81" i="61"/>
  <c r="Y79" i="61"/>
  <c r="W79" i="61"/>
  <c r="Y78" i="61"/>
  <c r="W78" i="61"/>
  <c r="Y77" i="61"/>
  <c r="W77" i="61"/>
  <c r="Y76" i="61"/>
  <c r="W76" i="61"/>
  <c r="Y75" i="61"/>
  <c r="W75" i="61"/>
  <c r="Y74" i="61"/>
  <c r="W74" i="61"/>
  <c r="Y73" i="61"/>
  <c r="W73" i="61"/>
  <c r="Y59" i="61"/>
  <c r="W59" i="61"/>
  <c r="Y72" i="61"/>
  <c r="W72" i="61"/>
  <c r="Y68" i="61"/>
  <c r="W68" i="61"/>
  <c r="Y67" i="61"/>
  <c r="W67" i="61"/>
  <c r="Y53" i="61"/>
  <c r="W53" i="61"/>
  <c r="Y65" i="61"/>
  <c r="W65" i="61"/>
  <c r="Y64" i="61"/>
  <c r="W64" i="61"/>
  <c r="Y63" i="61"/>
  <c r="W63" i="61"/>
  <c r="Y62" i="61"/>
  <c r="W62" i="61"/>
  <c r="Y60" i="61"/>
  <c r="W60" i="61"/>
  <c r="Y58" i="61"/>
  <c r="W58" i="61"/>
  <c r="Y57" i="61"/>
  <c r="W57" i="61"/>
  <c r="Y47" i="61"/>
  <c r="W47" i="61"/>
  <c r="Y56" i="61"/>
  <c r="W56" i="61"/>
  <c r="Y37" i="61"/>
  <c r="W37" i="61"/>
  <c r="Y55" i="61"/>
  <c r="W55" i="61"/>
  <c r="Y39" i="61"/>
  <c r="W39" i="61"/>
  <c r="Y38" i="61"/>
  <c r="W38" i="61"/>
  <c r="Y51" i="61"/>
  <c r="W51" i="61"/>
  <c r="Y50" i="61"/>
  <c r="W50" i="61"/>
  <c r="Y31" i="61"/>
  <c r="W31" i="61"/>
  <c r="Y41" i="61"/>
  <c r="W41" i="61"/>
  <c r="Y36" i="61"/>
  <c r="W36" i="61"/>
  <c r="Y49" i="61"/>
  <c r="W49" i="61"/>
  <c r="Y28" i="61"/>
  <c r="W28" i="61"/>
  <c r="Y34" i="61"/>
  <c r="W34" i="61"/>
  <c r="Y48" i="61"/>
  <c r="W48" i="61"/>
  <c r="Y42" i="61"/>
  <c r="W42" i="61"/>
  <c r="Y33" i="61"/>
  <c r="W33" i="61"/>
  <c r="Y46" i="61"/>
  <c r="W46" i="61"/>
  <c r="Y45" i="61"/>
  <c r="W45" i="61"/>
  <c r="Y30" i="61"/>
  <c r="W30" i="61"/>
  <c r="Y26" i="61"/>
  <c r="W26" i="61"/>
  <c r="Y44" i="61"/>
  <c r="W44" i="61"/>
  <c r="Y43" i="61"/>
  <c r="W43" i="61"/>
  <c r="Y35" i="61"/>
  <c r="W35" i="61"/>
  <c r="Y32" i="61"/>
  <c r="W32" i="61"/>
  <c r="Y27" i="61"/>
  <c r="W27" i="61"/>
  <c r="Y25" i="61"/>
  <c r="W25" i="61"/>
  <c r="Y29" i="61"/>
  <c r="W29" i="61"/>
  <c r="Y40" i="61"/>
  <c r="W40" i="61"/>
  <c r="Y24" i="61"/>
  <c r="W24" i="61"/>
  <c r="Y23" i="61"/>
  <c r="W23" i="61"/>
  <c r="Y22" i="61"/>
  <c r="W22" i="61"/>
  <c r="Y21" i="61"/>
  <c r="W21" i="61"/>
  <c r="Y20" i="61"/>
  <c r="W20" i="61"/>
  <c r="Y19" i="61"/>
  <c r="W19" i="61"/>
  <c r="Y18" i="61"/>
  <c r="W18" i="61"/>
  <c r="Y17" i="61"/>
  <c r="W17" i="61"/>
  <c r="Y16" i="61"/>
  <c r="W16" i="61"/>
  <c r="Y33" i="57"/>
  <c r="W33" i="57"/>
  <c r="Y32" i="57"/>
  <c r="W32" i="57"/>
  <c r="Y31" i="57"/>
  <c r="W31" i="57"/>
  <c r="Y30" i="57"/>
  <c r="W30" i="57"/>
  <c r="Y29" i="57"/>
  <c r="W29" i="57"/>
  <c r="Y28" i="57"/>
  <c r="W28" i="57"/>
  <c r="Y27" i="57"/>
  <c r="W27" i="57"/>
  <c r="Y26" i="57"/>
  <c r="W26" i="57"/>
  <c r="Y25" i="57"/>
  <c r="W25" i="57"/>
  <c r="Y24" i="57"/>
  <c r="W24" i="57"/>
  <c r="Y23" i="57"/>
  <c r="W23" i="57"/>
  <c r="Y21" i="57"/>
  <c r="W21" i="57"/>
  <c r="Y22" i="57"/>
  <c r="W22" i="57"/>
  <c r="Y20" i="57"/>
  <c r="W20" i="57"/>
  <c r="Y19" i="57"/>
  <c r="W19" i="57"/>
  <c r="Y18" i="57"/>
  <c r="W18" i="57"/>
  <c r="Y17" i="57"/>
  <c r="W17" i="57"/>
  <c r="Y16" i="57"/>
  <c r="W16" i="57"/>
  <c r="Y34" i="1"/>
  <c r="W34" i="1"/>
  <c r="Y40" i="1"/>
  <c r="W40" i="1"/>
  <c r="Y51" i="1"/>
  <c r="W51" i="1"/>
  <c r="Y61" i="1"/>
  <c r="W61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36" i="1"/>
  <c r="W36" i="1"/>
  <c r="Y52" i="1"/>
  <c r="W52" i="1"/>
  <c r="Y50" i="1"/>
  <c r="W50" i="1"/>
  <c r="Y49" i="1"/>
  <c r="W49" i="1"/>
  <c r="Y48" i="1"/>
  <c r="W48" i="1"/>
  <c r="Y47" i="1"/>
  <c r="W47" i="1"/>
  <c r="Y46" i="1"/>
  <c r="W46" i="1"/>
  <c r="Y31" i="1"/>
  <c r="W31" i="1"/>
  <c r="Y44" i="1"/>
  <c r="W44" i="1"/>
  <c r="Y43" i="1"/>
  <c r="W43" i="1"/>
  <c r="Y42" i="1"/>
  <c r="W42" i="1"/>
  <c r="Y41" i="1"/>
  <c r="W41" i="1"/>
  <c r="Y29" i="1"/>
  <c r="W29" i="1"/>
  <c r="Y28" i="1"/>
  <c r="W28" i="1"/>
  <c r="Y24" i="1"/>
  <c r="W24" i="1"/>
  <c r="Y39" i="1"/>
  <c r="W39" i="1"/>
  <c r="Y38" i="1"/>
  <c r="W38" i="1"/>
  <c r="Y37" i="1"/>
  <c r="W37" i="1"/>
  <c r="Y26" i="1"/>
  <c r="W26" i="1"/>
  <c r="Y35" i="1"/>
  <c r="W35" i="1"/>
  <c r="Y33" i="1"/>
  <c r="W33" i="1"/>
  <c r="Y32" i="1"/>
  <c r="W32" i="1"/>
  <c r="Y22" i="1"/>
  <c r="W22" i="1"/>
  <c r="Y30" i="1"/>
  <c r="W30" i="1"/>
  <c r="Y27" i="1"/>
  <c r="W27" i="1"/>
  <c r="Y19" i="1"/>
  <c r="W19" i="1"/>
  <c r="Y25" i="1"/>
  <c r="W25" i="1"/>
  <c r="Y17" i="1"/>
  <c r="W17" i="1"/>
  <c r="Y18" i="1"/>
  <c r="W18" i="1"/>
  <c r="Y23" i="1"/>
  <c r="W23" i="1"/>
  <c r="Y20" i="1"/>
  <c r="W20" i="1"/>
  <c r="Y21" i="1"/>
  <c r="W21" i="1"/>
  <c r="Y16" i="1"/>
  <c r="W16" i="1"/>
  <c r="Y27" i="58"/>
  <c r="W27" i="58"/>
  <c r="AH27" i="58" s="1"/>
  <c r="Y42" i="58"/>
  <c r="W42" i="58"/>
  <c r="AH42" i="58" s="1"/>
  <c r="Y35" i="58"/>
  <c r="W35" i="58"/>
  <c r="AH35" i="58" s="1"/>
  <c r="Y37" i="58"/>
  <c r="W37" i="58"/>
  <c r="E20" i="75"/>
  <c r="D20" i="75"/>
  <c r="E19" i="75"/>
  <c r="D19" i="75"/>
  <c r="E24" i="79"/>
  <c r="D24" i="79"/>
  <c r="E46" i="72"/>
  <c r="D46" i="72"/>
  <c r="E17" i="78"/>
  <c r="D17" i="78"/>
  <c r="E19" i="71"/>
  <c r="D19" i="71"/>
  <c r="E35" i="74"/>
  <c r="D35" i="74"/>
  <c r="E27" i="70"/>
  <c r="D27" i="70"/>
  <c r="E40" i="70"/>
  <c r="D40" i="70"/>
  <c r="E35" i="70"/>
  <c r="D35" i="70"/>
  <c r="E37" i="69"/>
  <c r="D37" i="69"/>
  <c r="E42" i="69"/>
  <c r="D42" i="69"/>
  <c r="E26" i="69"/>
  <c r="D26" i="69"/>
  <c r="E35" i="68"/>
  <c r="D35" i="68"/>
  <c r="E31" i="68"/>
  <c r="D31" i="68"/>
  <c r="U34" i="67"/>
  <c r="S34" i="67"/>
  <c r="E34" i="67"/>
  <c r="D34" i="67"/>
  <c r="E20" i="77"/>
  <c r="D20" i="77"/>
  <c r="E28" i="66"/>
  <c r="D28" i="66"/>
  <c r="E29" i="66"/>
  <c r="D29" i="66"/>
  <c r="E28" i="76"/>
  <c r="D28" i="76"/>
  <c r="E40" i="76"/>
  <c r="D40" i="76"/>
  <c r="E27" i="76"/>
  <c r="D27" i="76"/>
  <c r="E32" i="76"/>
  <c r="D32" i="76"/>
  <c r="E30" i="76"/>
  <c r="D30" i="76"/>
  <c r="E51" i="65"/>
  <c r="D51" i="65"/>
  <c r="E53" i="65"/>
  <c r="D53" i="65"/>
  <c r="E43" i="65"/>
  <c r="D43" i="65"/>
  <c r="E37" i="65"/>
  <c r="D37" i="65"/>
  <c r="E72" i="63"/>
  <c r="D72" i="63"/>
  <c r="E69" i="63"/>
  <c r="D69" i="63"/>
  <c r="E59" i="63"/>
  <c r="D59" i="63"/>
  <c r="E68" i="63"/>
  <c r="D68" i="63"/>
  <c r="E67" i="63"/>
  <c r="D67" i="63"/>
  <c r="E23" i="62"/>
  <c r="D23" i="62"/>
  <c r="E52" i="61"/>
  <c r="D52" i="61"/>
  <c r="E61" i="61"/>
  <c r="D61" i="61"/>
  <c r="E69" i="61"/>
  <c r="D69" i="61"/>
  <c r="E27" i="58"/>
  <c r="D27" i="58"/>
  <c r="E42" i="58"/>
  <c r="D42" i="58"/>
  <c r="E35" i="58"/>
  <c r="D35" i="58"/>
  <c r="E34" i="1"/>
  <c r="D34" i="1"/>
  <c r="E40" i="1"/>
  <c r="D40" i="1"/>
  <c r="E51" i="1"/>
  <c r="D51" i="1"/>
  <c r="AH37" i="69" l="1"/>
  <c r="AH34" i="67"/>
  <c r="AH29" i="66"/>
  <c r="AH24" i="79"/>
  <c r="AH46" i="72"/>
  <c r="AH40" i="70"/>
  <c r="AH32" i="76"/>
  <c r="AH40" i="76"/>
  <c r="AH28" i="76"/>
  <c r="AH53" i="65"/>
  <c r="AH17" i="78"/>
  <c r="AH35" i="74"/>
  <c r="AH35" i="70"/>
  <c r="AH27" i="70"/>
  <c r="AH42" i="69"/>
  <c r="AH31" i="68"/>
  <c r="AH28" i="66"/>
  <c r="AH51" i="65"/>
  <c r="AH67" i="63"/>
  <c r="AH72" i="63"/>
  <c r="AH51" i="1"/>
  <c r="J11" i="55" l="1"/>
  <c r="J10" i="55"/>
  <c r="J9" i="55"/>
  <c r="AB17" i="79" s="1"/>
  <c r="AC17" i="79" s="1"/>
  <c r="J8" i="55"/>
  <c r="AB16" i="79" s="1"/>
  <c r="AC16" i="79" s="1"/>
  <c r="J7" i="55"/>
  <c r="AB15" i="79" s="1"/>
  <c r="AC15" i="79" s="1"/>
  <c r="J6" i="55"/>
  <c r="J5" i="55"/>
  <c r="X17" i="75" s="1"/>
  <c r="Y17" i="75" s="1"/>
  <c r="J4" i="55"/>
  <c r="X16" i="75" s="1"/>
  <c r="Y16" i="75" s="1"/>
  <c r="J3" i="55"/>
  <c r="J2" i="55"/>
  <c r="W15" i="73" l="1"/>
  <c r="Y15" i="69"/>
  <c r="W15" i="69"/>
  <c r="U18" i="75" l="1"/>
  <c r="U17" i="75"/>
  <c r="U16" i="75"/>
  <c r="J225" i="55"/>
  <c r="AB54" i="61" s="1"/>
  <c r="AC54" i="61" s="1"/>
  <c r="J224" i="55"/>
  <c r="AB36" i="61" s="1"/>
  <c r="AC36" i="61" s="1"/>
  <c r="J223" i="55"/>
  <c r="AB39" i="61" s="1"/>
  <c r="AC39" i="61" s="1"/>
  <c r="J222" i="55"/>
  <c r="AB23" i="61" s="1"/>
  <c r="AC23" i="61" s="1"/>
  <c r="J221" i="55"/>
  <c r="AB29" i="61" s="1"/>
  <c r="AC29" i="61" s="1"/>
  <c r="J220" i="55"/>
  <c r="AB32" i="61" s="1"/>
  <c r="AC32" i="61" s="1"/>
  <c r="J219" i="55"/>
  <c r="AB28" i="61" s="1"/>
  <c r="AC28" i="61" s="1"/>
  <c r="U22" i="79"/>
  <c r="U19" i="79"/>
  <c r="U20" i="79"/>
  <c r="U16" i="73"/>
  <c r="U45" i="72"/>
  <c r="S45" i="72"/>
  <c r="U44" i="72"/>
  <c r="S44" i="72"/>
  <c r="U43" i="72"/>
  <c r="S43" i="72"/>
  <c r="U42" i="72"/>
  <c r="S42" i="72"/>
  <c r="U41" i="72"/>
  <c r="S41" i="72"/>
  <c r="U40" i="72"/>
  <c r="S40" i="72"/>
  <c r="U39" i="72"/>
  <c r="S39" i="72"/>
  <c r="U38" i="72"/>
  <c r="S38" i="72"/>
  <c r="U37" i="72"/>
  <c r="S37" i="72"/>
  <c r="U36" i="72"/>
  <c r="S36" i="72"/>
  <c r="U35" i="72"/>
  <c r="S35" i="72"/>
  <c r="U34" i="72"/>
  <c r="S34" i="72"/>
  <c r="U24" i="72"/>
  <c r="S24" i="72"/>
  <c r="U33" i="72"/>
  <c r="S33" i="72"/>
  <c r="U31" i="72"/>
  <c r="S31" i="72"/>
  <c r="U30" i="72"/>
  <c r="S30" i="72"/>
  <c r="U23" i="72"/>
  <c r="S23" i="72"/>
  <c r="U27" i="72"/>
  <c r="S27" i="72"/>
  <c r="U22" i="72"/>
  <c r="S22" i="72"/>
  <c r="U25" i="72"/>
  <c r="S25" i="72"/>
  <c r="U21" i="72"/>
  <c r="S21" i="72"/>
  <c r="U18" i="72"/>
  <c r="S18" i="72"/>
  <c r="U20" i="72"/>
  <c r="S20" i="72"/>
  <c r="U17" i="72"/>
  <c r="S17" i="72"/>
  <c r="U19" i="72"/>
  <c r="S19" i="72"/>
  <c r="U16" i="72"/>
  <c r="S16" i="72"/>
  <c r="U20" i="78"/>
  <c r="S20" i="78"/>
  <c r="U19" i="78"/>
  <c r="S19" i="78"/>
  <c r="U18" i="78"/>
  <c r="S18" i="78"/>
  <c r="U16" i="78"/>
  <c r="S16" i="78"/>
  <c r="U20" i="71"/>
  <c r="S20" i="71"/>
  <c r="U17" i="71"/>
  <c r="S17" i="71"/>
  <c r="U15" i="71"/>
  <c r="S15" i="71"/>
  <c r="U18" i="71"/>
  <c r="S18" i="71"/>
  <c r="U37" i="74"/>
  <c r="S37" i="74"/>
  <c r="U32" i="74"/>
  <c r="S32" i="74"/>
  <c r="U36" i="74"/>
  <c r="S36" i="74"/>
  <c r="U26" i="74"/>
  <c r="S26" i="74"/>
  <c r="U25" i="74"/>
  <c r="S25" i="74"/>
  <c r="U34" i="74"/>
  <c r="S34" i="74"/>
  <c r="U33" i="74"/>
  <c r="S33" i="74"/>
  <c r="U31" i="74"/>
  <c r="S31" i="74"/>
  <c r="U30" i="74"/>
  <c r="S30" i="74"/>
  <c r="U29" i="74"/>
  <c r="S29" i="74"/>
  <c r="U28" i="74"/>
  <c r="S28" i="74"/>
  <c r="U23" i="74"/>
  <c r="S23" i="74"/>
  <c r="U27" i="74"/>
  <c r="S27" i="74"/>
  <c r="U24" i="74"/>
  <c r="S24" i="74"/>
  <c r="U19" i="74"/>
  <c r="S19" i="74"/>
  <c r="U20" i="74"/>
  <c r="S20" i="74"/>
  <c r="U21" i="74"/>
  <c r="S21" i="74"/>
  <c r="U18" i="74"/>
  <c r="S18" i="74"/>
  <c r="U17" i="74"/>
  <c r="S17" i="74"/>
  <c r="U22" i="74"/>
  <c r="S22" i="74"/>
  <c r="U16" i="74"/>
  <c r="S16" i="74"/>
  <c r="U39" i="70"/>
  <c r="S39" i="70"/>
  <c r="U38" i="70"/>
  <c r="S38" i="70"/>
  <c r="U37" i="70"/>
  <c r="S37" i="70"/>
  <c r="U36" i="70"/>
  <c r="S36" i="70"/>
  <c r="U34" i="70"/>
  <c r="S34" i="70"/>
  <c r="U32" i="70"/>
  <c r="S32" i="70"/>
  <c r="U28" i="70"/>
  <c r="S28" i="70"/>
  <c r="U31" i="70"/>
  <c r="S31" i="70"/>
  <c r="U24" i="70"/>
  <c r="S24" i="70"/>
  <c r="U30" i="70"/>
  <c r="S30" i="70"/>
  <c r="U23" i="70"/>
  <c r="S23" i="70"/>
  <c r="U29" i="70"/>
  <c r="S29" i="70"/>
  <c r="U26" i="70"/>
  <c r="S26" i="70"/>
  <c r="U21" i="70"/>
  <c r="S21" i="70"/>
  <c r="U25" i="70"/>
  <c r="S25" i="70"/>
  <c r="U22" i="70"/>
  <c r="S22" i="70"/>
  <c r="U18" i="70"/>
  <c r="S18" i="70"/>
  <c r="U16" i="70"/>
  <c r="S16" i="70"/>
  <c r="U20" i="70"/>
  <c r="S20" i="70"/>
  <c r="U19" i="70"/>
  <c r="S19" i="70"/>
  <c r="U17" i="70"/>
  <c r="S17" i="70"/>
  <c r="U30" i="69"/>
  <c r="S30" i="69"/>
  <c r="U41" i="69"/>
  <c r="S41" i="69"/>
  <c r="U40" i="69"/>
  <c r="S40" i="69"/>
  <c r="U39" i="69"/>
  <c r="S39" i="69"/>
  <c r="U38" i="69"/>
  <c r="S38" i="69"/>
  <c r="U27" i="69"/>
  <c r="S27" i="69"/>
  <c r="U36" i="69"/>
  <c r="S36" i="69"/>
  <c r="U35" i="69"/>
  <c r="S35" i="69"/>
  <c r="U34" i="69"/>
  <c r="S34" i="69"/>
  <c r="U33" i="69"/>
  <c r="S33" i="69"/>
  <c r="U31" i="69"/>
  <c r="S31" i="69"/>
  <c r="U29" i="69"/>
  <c r="S29" i="69"/>
  <c r="U28" i="69"/>
  <c r="S28" i="69"/>
  <c r="U24" i="69"/>
  <c r="S24" i="69"/>
  <c r="U23" i="69"/>
  <c r="S23" i="69"/>
  <c r="U17" i="69"/>
  <c r="S17" i="69"/>
  <c r="U16" i="69"/>
  <c r="S16" i="69"/>
  <c r="U19" i="69"/>
  <c r="S19" i="69"/>
  <c r="U20" i="69"/>
  <c r="S20" i="69"/>
  <c r="U22" i="69"/>
  <c r="S22" i="69"/>
  <c r="U25" i="69"/>
  <c r="S25" i="69"/>
  <c r="U21" i="69"/>
  <c r="S21" i="69"/>
  <c r="U18" i="69"/>
  <c r="S18" i="69"/>
  <c r="U23" i="68"/>
  <c r="S23" i="68"/>
  <c r="AH23" i="68" s="1"/>
  <c r="U40" i="68"/>
  <c r="S40" i="68"/>
  <c r="U39" i="68"/>
  <c r="S39" i="68"/>
  <c r="U38" i="68"/>
  <c r="S38" i="68"/>
  <c r="U37" i="68"/>
  <c r="S37" i="68"/>
  <c r="U36" i="68"/>
  <c r="S36" i="68"/>
  <c r="U34" i="68"/>
  <c r="S34" i="68"/>
  <c r="U33" i="68"/>
  <c r="S33" i="68"/>
  <c r="U28" i="68"/>
  <c r="S28" i="68"/>
  <c r="U32" i="68"/>
  <c r="S32" i="68"/>
  <c r="U30" i="68"/>
  <c r="S30" i="68"/>
  <c r="U27" i="68"/>
  <c r="S27" i="68"/>
  <c r="U29" i="68"/>
  <c r="S29" i="68"/>
  <c r="U22" i="68"/>
  <c r="S22" i="68"/>
  <c r="U24" i="68"/>
  <c r="S24" i="68"/>
  <c r="U20" i="68"/>
  <c r="S20" i="68"/>
  <c r="U19" i="68"/>
  <c r="S19" i="68"/>
  <c r="U26" i="68"/>
  <c r="S26" i="68"/>
  <c r="U25" i="68"/>
  <c r="S25" i="68"/>
  <c r="U21" i="68"/>
  <c r="S21" i="68"/>
  <c r="U18" i="68"/>
  <c r="S18" i="68"/>
  <c r="U17" i="68"/>
  <c r="S17" i="68"/>
  <c r="U15" i="68"/>
  <c r="S15" i="68"/>
  <c r="E23" i="68"/>
  <c r="D23" i="68"/>
  <c r="U33" i="67"/>
  <c r="S33" i="67"/>
  <c r="U32" i="67"/>
  <c r="S32" i="67"/>
  <c r="U31" i="67"/>
  <c r="S31" i="67"/>
  <c r="U30" i="67"/>
  <c r="S30" i="67"/>
  <c r="U29" i="67"/>
  <c r="S29" i="67"/>
  <c r="U19" i="67"/>
  <c r="S19" i="67"/>
  <c r="U28" i="67"/>
  <c r="S28" i="67"/>
  <c r="U27" i="67"/>
  <c r="S27" i="67"/>
  <c r="U26" i="67"/>
  <c r="S26" i="67"/>
  <c r="U25" i="67"/>
  <c r="S25" i="67"/>
  <c r="U24" i="67"/>
  <c r="S24" i="67"/>
  <c r="U23" i="67"/>
  <c r="S23" i="67"/>
  <c r="U22" i="67"/>
  <c r="S22" i="67"/>
  <c r="U20" i="67"/>
  <c r="S20" i="67"/>
  <c r="U16" i="67"/>
  <c r="S16" i="67"/>
  <c r="U21" i="67"/>
  <c r="S21" i="67"/>
  <c r="U18" i="67"/>
  <c r="S18" i="67"/>
  <c r="U17" i="67"/>
  <c r="S17" i="67"/>
  <c r="U21" i="77"/>
  <c r="S21" i="77"/>
  <c r="U19" i="77"/>
  <c r="S19" i="77"/>
  <c r="U24" i="77"/>
  <c r="S24" i="77"/>
  <c r="U23" i="77"/>
  <c r="S23" i="77"/>
  <c r="U18" i="77"/>
  <c r="S18" i="77"/>
  <c r="U17" i="77"/>
  <c r="S17" i="77"/>
  <c r="U15" i="77"/>
  <c r="S15" i="77"/>
  <c r="U30" i="66"/>
  <c r="S30" i="66"/>
  <c r="AH30" i="66" s="1"/>
  <c r="U33" i="66"/>
  <c r="S33" i="66"/>
  <c r="U32" i="66"/>
  <c r="S32" i="66"/>
  <c r="U26" i="66"/>
  <c r="S26" i="66"/>
  <c r="U31" i="66"/>
  <c r="S31" i="66"/>
  <c r="U22" i="66"/>
  <c r="S22" i="66"/>
  <c r="U25" i="66"/>
  <c r="S25" i="66"/>
  <c r="U24" i="66"/>
  <c r="S24" i="66"/>
  <c r="U27" i="66"/>
  <c r="S27" i="66"/>
  <c r="U21" i="66"/>
  <c r="S21" i="66"/>
  <c r="U20" i="66"/>
  <c r="S20" i="66"/>
  <c r="U23" i="66"/>
  <c r="S23" i="66"/>
  <c r="U19" i="66"/>
  <c r="S19" i="66"/>
  <c r="U18" i="66"/>
  <c r="S18" i="66"/>
  <c r="U16" i="66"/>
  <c r="S16" i="66"/>
  <c r="U17" i="66"/>
  <c r="S17" i="66"/>
  <c r="E30" i="66"/>
  <c r="D30" i="66"/>
  <c r="U39" i="76"/>
  <c r="S39" i="76"/>
  <c r="U38" i="76"/>
  <c r="S38" i="76"/>
  <c r="U24" i="76"/>
  <c r="S24" i="76"/>
  <c r="U25" i="76"/>
  <c r="S25" i="76"/>
  <c r="U31" i="76"/>
  <c r="S31" i="76"/>
  <c r="U21" i="76"/>
  <c r="S21" i="76"/>
  <c r="U22" i="76"/>
  <c r="S22" i="76"/>
  <c r="U19" i="76"/>
  <c r="S19" i="76"/>
  <c r="U20" i="76"/>
  <c r="S20" i="76"/>
  <c r="U23" i="76"/>
  <c r="S23" i="76"/>
  <c r="U16" i="76"/>
  <c r="S16" i="76"/>
  <c r="U18" i="76"/>
  <c r="S18" i="76"/>
  <c r="U17" i="76"/>
  <c r="S17" i="76"/>
  <c r="E39" i="76"/>
  <c r="D39" i="76"/>
  <c r="U35" i="65"/>
  <c r="S35" i="65"/>
  <c r="U56" i="65"/>
  <c r="S56" i="65"/>
  <c r="U55" i="65"/>
  <c r="S55" i="65"/>
  <c r="U54" i="65"/>
  <c r="S54" i="65"/>
  <c r="U49" i="65"/>
  <c r="S49" i="65"/>
  <c r="U50" i="65"/>
  <c r="S50" i="65"/>
  <c r="U36" i="65"/>
  <c r="S36" i="65"/>
  <c r="U42" i="65"/>
  <c r="S42" i="65"/>
  <c r="U33" i="65"/>
  <c r="S33" i="65"/>
  <c r="U47" i="65"/>
  <c r="S47" i="65"/>
  <c r="U40" i="65"/>
  <c r="S40" i="65"/>
  <c r="U46" i="65"/>
  <c r="S46" i="65"/>
  <c r="U28" i="65"/>
  <c r="S28" i="65"/>
  <c r="U31" i="65"/>
  <c r="S31" i="65"/>
  <c r="U45" i="65"/>
  <c r="S45" i="65"/>
  <c r="U44" i="65"/>
  <c r="S44" i="65"/>
  <c r="U32" i="65"/>
  <c r="S32" i="65"/>
  <c r="U34" i="65"/>
  <c r="S34" i="65"/>
  <c r="U41" i="65"/>
  <c r="S41" i="65"/>
  <c r="U30" i="65"/>
  <c r="S30" i="65"/>
  <c r="U27" i="65"/>
  <c r="S27" i="65"/>
  <c r="U38" i="65"/>
  <c r="S38" i="65"/>
  <c r="U39" i="65"/>
  <c r="S39" i="65"/>
  <c r="U29" i="65"/>
  <c r="S29" i="65"/>
  <c r="U24" i="65"/>
  <c r="S24" i="65"/>
  <c r="U20" i="65"/>
  <c r="S20" i="65"/>
  <c r="U25" i="65"/>
  <c r="S25" i="65"/>
  <c r="U22" i="65"/>
  <c r="S22" i="65"/>
  <c r="U19" i="65"/>
  <c r="S19" i="65"/>
  <c r="U26" i="65"/>
  <c r="S26" i="65"/>
  <c r="U21" i="65"/>
  <c r="S21" i="65"/>
  <c r="U23" i="65"/>
  <c r="S23" i="65"/>
  <c r="U18" i="65"/>
  <c r="S18" i="65"/>
  <c r="U17" i="65"/>
  <c r="S17" i="65"/>
  <c r="U16" i="65"/>
  <c r="S16" i="65"/>
  <c r="E35" i="65"/>
  <c r="D35" i="65"/>
  <c r="U24" i="64"/>
  <c r="S24" i="64"/>
  <c r="U23" i="64"/>
  <c r="S23" i="64"/>
  <c r="U20" i="64"/>
  <c r="S20" i="64"/>
  <c r="U22" i="64"/>
  <c r="S22" i="64"/>
  <c r="U19" i="64"/>
  <c r="S19" i="64"/>
  <c r="U21" i="64"/>
  <c r="S21" i="64"/>
  <c r="U17" i="64"/>
  <c r="S17" i="64"/>
  <c r="U16" i="64"/>
  <c r="S16" i="64"/>
  <c r="U18" i="64"/>
  <c r="S18" i="64"/>
  <c r="U60" i="63"/>
  <c r="S60" i="63"/>
  <c r="U51" i="63"/>
  <c r="S51" i="63"/>
  <c r="U70" i="63"/>
  <c r="S70" i="63"/>
  <c r="U50" i="63"/>
  <c r="S50" i="63"/>
  <c r="U71" i="63"/>
  <c r="S71" i="63"/>
  <c r="U62" i="63"/>
  <c r="S62" i="63"/>
  <c r="U65" i="63"/>
  <c r="S65" i="63"/>
  <c r="U42" i="63"/>
  <c r="S42" i="63"/>
  <c r="U38" i="63"/>
  <c r="S38" i="63"/>
  <c r="U55" i="63"/>
  <c r="S55" i="63"/>
  <c r="U64" i="63"/>
  <c r="S64" i="63"/>
  <c r="U58" i="63"/>
  <c r="S58" i="63"/>
  <c r="U41" i="63"/>
  <c r="S41" i="63"/>
  <c r="U54" i="63"/>
  <c r="S54" i="63"/>
  <c r="U63" i="63"/>
  <c r="S63" i="63"/>
  <c r="U53" i="63"/>
  <c r="S53" i="63"/>
  <c r="U61" i="63"/>
  <c r="S61" i="63"/>
  <c r="U47" i="63"/>
  <c r="S47" i="63"/>
  <c r="U57" i="63"/>
  <c r="S57" i="63"/>
  <c r="U30" i="63"/>
  <c r="S30" i="63"/>
  <c r="U44" i="63"/>
  <c r="S44" i="63"/>
  <c r="U46" i="63"/>
  <c r="S46" i="63"/>
  <c r="U39" i="63"/>
  <c r="S39" i="63"/>
  <c r="U34" i="63"/>
  <c r="S34" i="63"/>
  <c r="U35" i="63"/>
  <c r="S35" i="63"/>
  <c r="U45" i="63"/>
  <c r="S45" i="63"/>
  <c r="U52" i="63"/>
  <c r="S52" i="63"/>
  <c r="U37" i="63"/>
  <c r="S37" i="63"/>
  <c r="U40" i="63"/>
  <c r="S40" i="63"/>
  <c r="U49" i="63"/>
  <c r="S49" i="63"/>
  <c r="U48" i="63"/>
  <c r="S48" i="63"/>
  <c r="U36" i="63"/>
  <c r="S36" i="63"/>
  <c r="U27" i="63"/>
  <c r="S27" i="63"/>
  <c r="U33" i="63"/>
  <c r="S33" i="63"/>
  <c r="U31" i="63"/>
  <c r="S31" i="63"/>
  <c r="U29" i="63"/>
  <c r="S29" i="63"/>
  <c r="U25" i="63"/>
  <c r="S25" i="63"/>
  <c r="U26" i="63"/>
  <c r="S26" i="63"/>
  <c r="U28" i="63"/>
  <c r="S28" i="63"/>
  <c r="U24" i="63"/>
  <c r="S24" i="63"/>
  <c r="U43" i="63"/>
  <c r="S43" i="63"/>
  <c r="U23" i="63"/>
  <c r="S23" i="63"/>
  <c r="U21" i="63"/>
  <c r="S21" i="63"/>
  <c r="U32" i="63"/>
  <c r="S32" i="63"/>
  <c r="U22" i="63"/>
  <c r="S22" i="63"/>
  <c r="U19" i="63"/>
  <c r="S19" i="63"/>
  <c r="U15" i="63"/>
  <c r="S15" i="63"/>
  <c r="U20" i="63"/>
  <c r="S20" i="63"/>
  <c r="U18" i="63"/>
  <c r="S18" i="63"/>
  <c r="U16" i="63"/>
  <c r="S16" i="63"/>
  <c r="E60" i="63"/>
  <c r="D60" i="63"/>
  <c r="E51" i="63"/>
  <c r="D51" i="63"/>
  <c r="AH39" i="76" l="1"/>
  <c r="S15" i="58"/>
  <c r="S16" i="58"/>
  <c r="S18" i="58"/>
  <c r="S22" i="58"/>
  <c r="S25" i="58"/>
  <c r="S17" i="58"/>
  <c r="S20" i="58"/>
  <c r="S21" i="58"/>
  <c r="S19" i="58"/>
  <c r="S28" i="58"/>
  <c r="S24" i="58"/>
  <c r="S23" i="58"/>
  <c r="S29" i="58"/>
  <c r="S30" i="58"/>
  <c r="S31" i="58"/>
  <c r="S33" i="58"/>
  <c r="S34" i="58"/>
  <c r="S36" i="58"/>
  <c r="S38" i="58"/>
  <c r="S40" i="58"/>
  <c r="S41" i="58"/>
  <c r="S43" i="58"/>
  <c r="S44" i="58"/>
  <c r="S26" i="58"/>
  <c r="S45" i="58"/>
  <c r="S37" i="58"/>
  <c r="U37" i="58"/>
  <c r="U17" i="62"/>
  <c r="S17" i="62"/>
  <c r="U21" i="62"/>
  <c r="S21" i="62"/>
  <c r="U20" i="62"/>
  <c r="S20" i="62"/>
  <c r="U19" i="62"/>
  <c r="S19" i="62"/>
  <c r="U18" i="62"/>
  <c r="U16" i="62"/>
  <c r="U70" i="61"/>
  <c r="U54" i="61"/>
  <c r="E70" i="61"/>
  <c r="D70" i="61"/>
  <c r="E54" i="61"/>
  <c r="D54" i="61"/>
  <c r="U84" i="61"/>
  <c r="S84" i="61"/>
  <c r="U83" i="61"/>
  <c r="S83" i="61"/>
  <c r="U71" i="61"/>
  <c r="S71" i="61"/>
  <c r="U82" i="61"/>
  <c r="S82" i="61"/>
  <c r="U81" i="61"/>
  <c r="S81" i="61"/>
  <c r="U79" i="61"/>
  <c r="S79" i="61"/>
  <c r="U78" i="61"/>
  <c r="S78" i="61"/>
  <c r="U77" i="61"/>
  <c r="S77" i="61"/>
  <c r="U76" i="61"/>
  <c r="S76" i="61"/>
  <c r="U75" i="61"/>
  <c r="S75" i="61"/>
  <c r="U74" i="61"/>
  <c r="S74" i="61"/>
  <c r="U73" i="61"/>
  <c r="S73" i="61"/>
  <c r="U59" i="61"/>
  <c r="U72" i="61"/>
  <c r="S72" i="61"/>
  <c r="U68" i="61"/>
  <c r="S68" i="61"/>
  <c r="U67" i="61"/>
  <c r="S67" i="61"/>
  <c r="U31" i="61"/>
  <c r="U53" i="61"/>
  <c r="S53" i="61"/>
  <c r="U65" i="61"/>
  <c r="S65" i="61"/>
  <c r="U64" i="61"/>
  <c r="S64" i="61"/>
  <c r="U63" i="61"/>
  <c r="S63" i="61"/>
  <c r="U62" i="61"/>
  <c r="S62" i="61"/>
  <c r="U36" i="61"/>
  <c r="U30" i="61"/>
  <c r="U60" i="61"/>
  <c r="S60" i="61"/>
  <c r="U33" i="61"/>
  <c r="U58" i="61"/>
  <c r="S58" i="61"/>
  <c r="U57" i="61"/>
  <c r="S57" i="61"/>
  <c r="U42" i="61"/>
  <c r="U45" i="61"/>
  <c r="S45" i="61"/>
  <c r="U47" i="61"/>
  <c r="S47" i="61"/>
  <c r="U56" i="61"/>
  <c r="S56" i="61"/>
  <c r="U37" i="61"/>
  <c r="U55" i="61"/>
  <c r="S55" i="61"/>
  <c r="U39" i="61"/>
  <c r="U26" i="61"/>
  <c r="U38" i="61"/>
  <c r="S38" i="61"/>
  <c r="U35" i="61"/>
  <c r="U51" i="61"/>
  <c r="S51" i="61"/>
  <c r="U32" i="61"/>
  <c r="U50" i="61"/>
  <c r="S50" i="61"/>
  <c r="U43" i="61"/>
  <c r="U41" i="61"/>
  <c r="S41" i="61"/>
  <c r="U29" i="61"/>
  <c r="S29" i="61"/>
  <c r="U49" i="61"/>
  <c r="S49" i="61"/>
  <c r="U25" i="61"/>
  <c r="S25" i="61"/>
  <c r="U28" i="61"/>
  <c r="S28" i="61"/>
  <c r="U27" i="61"/>
  <c r="U34" i="61"/>
  <c r="S34" i="61"/>
  <c r="U48" i="61"/>
  <c r="S48" i="61"/>
  <c r="U46" i="61"/>
  <c r="S46" i="61"/>
  <c r="U44" i="61"/>
  <c r="U40" i="61"/>
  <c r="S40" i="61"/>
  <c r="U23" i="61"/>
  <c r="S23" i="61"/>
  <c r="U20" i="61"/>
  <c r="S20" i="61"/>
  <c r="U21" i="61"/>
  <c r="S21" i="61"/>
  <c r="U24" i="61"/>
  <c r="U22" i="61"/>
  <c r="U19" i="61"/>
  <c r="S19" i="61"/>
  <c r="U18" i="61"/>
  <c r="S18" i="61"/>
  <c r="U17" i="61"/>
  <c r="S17" i="61"/>
  <c r="U16" i="61"/>
  <c r="S16" i="61"/>
  <c r="U33" i="57"/>
  <c r="S33" i="57"/>
  <c r="U32" i="57"/>
  <c r="S32" i="57"/>
  <c r="U31" i="57"/>
  <c r="S31" i="57"/>
  <c r="U30" i="57"/>
  <c r="S30" i="57"/>
  <c r="U29" i="57"/>
  <c r="S29" i="57"/>
  <c r="U28" i="57"/>
  <c r="S28" i="57"/>
  <c r="U27" i="57"/>
  <c r="S27" i="57"/>
  <c r="U20" i="57"/>
  <c r="U26" i="57"/>
  <c r="S26" i="57"/>
  <c r="U25" i="57"/>
  <c r="S25" i="57"/>
  <c r="U21" i="57"/>
  <c r="U22" i="57"/>
  <c r="U24" i="57"/>
  <c r="S24" i="57"/>
  <c r="U19" i="57"/>
  <c r="U23" i="57"/>
  <c r="S23" i="57"/>
  <c r="U18" i="57"/>
  <c r="U15" i="57"/>
  <c r="U16" i="57"/>
  <c r="E37" i="58"/>
  <c r="D37" i="58"/>
  <c r="E54" i="1"/>
  <c r="D54" i="1"/>
  <c r="U54" i="1"/>
  <c r="S54" i="1"/>
  <c r="AH37" i="58" l="1"/>
  <c r="AH54" i="1"/>
  <c r="J218" i="55"/>
  <c r="AB41" i="61" s="1"/>
  <c r="AC41" i="61" s="1"/>
  <c r="J217" i="55"/>
  <c r="AB37" i="61" s="1"/>
  <c r="AC37" i="61" s="1"/>
  <c r="J216" i="55"/>
  <c r="AB25" i="61" s="1"/>
  <c r="AC25" i="61" s="1"/>
  <c r="J215" i="55"/>
  <c r="AB31" i="61" s="1"/>
  <c r="AC31" i="61" s="1"/>
  <c r="J214" i="55"/>
  <c r="AB26" i="61" s="1"/>
  <c r="AC26" i="61" s="1"/>
  <c r="J213" i="55"/>
  <c r="AB22" i="61" s="1"/>
  <c r="AC22" i="61" s="1"/>
  <c r="J212" i="55"/>
  <c r="AB34" i="61" s="1"/>
  <c r="AC34" i="61" s="1"/>
  <c r="J211" i="55"/>
  <c r="AB18" i="61" s="1"/>
  <c r="AC18" i="61" s="1"/>
  <c r="J210" i="55"/>
  <c r="AB21" i="61" s="1"/>
  <c r="AC21" i="61" s="1"/>
  <c r="J209" i="55"/>
  <c r="AB17" i="61" s="1"/>
  <c r="AC17" i="61" s="1"/>
  <c r="J208" i="55"/>
  <c r="AB16" i="61" s="1"/>
  <c r="AC16" i="61" s="1"/>
  <c r="J207" i="55"/>
  <c r="AB19" i="61" s="1"/>
  <c r="AC19" i="61" s="1"/>
  <c r="J206" i="55"/>
  <c r="AB20" i="61" s="1"/>
  <c r="AC20" i="61" s="1"/>
  <c r="J205" i="55"/>
  <c r="J204" i="55"/>
  <c r="AB23" i="64" s="1"/>
  <c r="AC23" i="64" s="1"/>
  <c r="J203" i="55"/>
  <c r="AB18" i="64" s="1"/>
  <c r="AC18" i="64" s="1"/>
  <c r="J202" i="55"/>
  <c r="AB20" i="64" s="1"/>
  <c r="AC20" i="64" s="1"/>
  <c r="J201" i="55"/>
  <c r="AB16" i="64" s="1"/>
  <c r="AC16" i="64" s="1"/>
  <c r="J200" i="55"/>
  <c r="AB19" i="64" s="1"/>
  <c r="AC19" i="64" s="1"/>
  <c r="J199" i="55"/>
  <c r="AB17" i="64" s="1"/>
  <c r="AC17" i="64" s="1"/>
  <c r="J198" i="55"/>
  <c r="AB15" i="64" s="1"/>
  <c r="AC15" i="64" s="1"/>
  <c r="J197" i="55"/>
  <c r="J196" i="55"/>
  <c r="AB33" i="63" s="1"/>
  <c r="AC33" i="63" s="1"/>
  <c r="J195" i="55"/>
  <c r="AB70" i="63" s="1"/>
  <c r="AC70" i="63" s="1"/>
  <c r="J194" i="55"/>
  <c r="AB55" i="63" s="1"/>
  <c r="AC55" i="63" s="1"/>
  <c r="J193" i="55"/>
  <c r="J192" i="55"/>
  <c r="AB60" i="63" s="1"/>
  <c r="AC60" i="63" s="1"/>
  <c r="J191" i="55"/>
  <c r="AB62" i="63" s="1"/>
  <c r="AC62" i="63" s="1"/>
  <c r="J190" i="55"/>
  <c r="AB53" i="63" s="1"/>
  <c r="AC53" i="63" s="1"/>
  <c r="J189" i="55"/>
  <c r="AB44" i="63" s="1"/>
  <c r="AC44" i="63" s="1"/>
  <c r="J188" i="55"/>
  <c r="J187" i="55"/>
  <c r="AB47" i="63" s="1"/>
  <c r="AC47" i="63" s="1"/>
  <c r="J186" i="55"/>
  <c r="J185" i="55"/>
  <c r="AB35" i="63" s="1"/>
  <c r="AC35" i="63" s="1"/>
  <c r="J184" i="55"/>
  <c r="AB51" i="63" s="1"/>
  <c r="AC51" i="63" s="1"/>
  <c r="J183" i="55"/>
  <c r="AB59" i="63" s="1"/>
  <c r="AC59" i="63" s="1"/>
  <c r="J182" i="55"/>
  <c r="AB45" i="63" s="1"/>
  <c r="AC45" i="63" s="1"/>
  <c r="J181" i="55"/>
  <c r="AB42" i="63" s="1"/>
  <c r="AC42" i="63" s="1"/>
  <c r="J180" i="55"/>
  <c r="AB39" i="63" s="1"/>
  <c r="AC39" i="63" s="1"/>
  <c r="J179" i="55"/>
  <c r="AB29" i="63" s="1"/>
  <c r="AC29" i="63" s="1"/>
  <c r="J178" i="55"/>
  <c r="AB28" i="63" s="1"/>
  <c r="AC28" i="63" s="1"/>
  <c r="J177" i="55"/>
  <c r="AB26" i="63" s="1"/>
  <c r="AC26" i="63" s="1"/>
  <c r="J176" i="55"/>
  <c r="AB25" i="63" s="1"/>
  <c r="AC25" i="63" s="1"/>
  <c r="J175" i="55"/>
  <c r="AB41" i="63" s="1"/>
  <c r="AC41" i="63" s="1"/>
  <c r="J174" i="55"/>
  <c r="AB27" i="63" s="1"/>
  <c r="AC27" i="63" s="1"/>
  <c r="J173" i="55"/>
  <c r="AB50" i="63" s="1"/>
  <c r="AC50" i="63" s="1"/>
  <c r="J172" i="55"/>
  <c r="AB34" i="63" s="1"/>
  <c r="AC34" i="63" s="1"/>
  <c r="J171" i="55"/>
  <c r="AB40" i="63" s="1"/>
  <c r="AC40" i="63" s="1"/>
  <c r="J170" i="55"/>
  <c r="AB38" i="63" s="1"/>
  <c r="AC38" i="63" s="1"/>
  <c r="J169" i="55"/>
  <c r="AB23" i="63" s="1"/>
  <c r="AC23" i="63" s="1"/>
  <c r="J168" i="55"/>
  <c r="AB18" i="63" s="1"/>
  <c r="AC18" i="63" s="1"/>
  <c r="J167" i="55"/>
  <c r="AB31" i="63" s="1"/>
  <c r="AC31" i="63" s="1"/>
  <c r="J166" i="55"/>
  <c r="AB24" i="63" s="1"/>
  <c r="AC24" i="63" s="1"/>
  <c r="J165" i="55"/>
  <c r="Y16" i="77" s="1"/>
  <c r="J164" i="55"/>
  <c r="AB19" i="63" s="1"/>
  <c r="AC19" i="63" s="1"/>
  <c r="J163" i="55"/>
  <c r="AB22" i="63" s="1"/>
  <c r="AC22" i="63" s="1"/>
  <c r="J162" i="55"/>
  <c r="AB20" i="63" s="1"/>
  <c r="AC20" i="63" s="1"/>
  <c r="J161" i="55"/>
  <c r="AB30" i="63" s="1"/>
  <c r="AC30" i="63" s="1"/>
  <c r="J160" i="55"/>
  <c r="AB16" i="63" s="1"/>
  <c r="AC16" i="63" s="1"/>
  <c r="J159" i="55"/>
  <c r="AB17" i="63" s="1"/>
  <c r="AC17" i="63" s="1"/>
  <c r="J158" i="55"/>
  <c r="AB15" i="63" s="1"/>
  <c r="AC15" i="63" s="1"/>
  <c r="J157" i="55"/>
  <c r="J156" i="55"/>
  <c r="AB20" i="57" s="1"/>
  <c r="AC20" i="57" s="1"/>
  <c r="J155" i="55"/>
  <c r="AB23" i="57" s="1"/>
  <c r="AC23" i="57" s="1"/>
  <c r="J154" i="55"/>
  <c r="AB18" i="57" s="1"/>
  <c r="AC18" i="57" s="1"/>
  <c r="J153" i="55"/>
  <c r="AB21" i="57" s="1"/>
  <c r="AC21" i="57" s="1"/>
  <c r="J152" i="55"/>
  <c r="AB16" i="57" s="1"/>
  <c r="AC16" i="57" s="1"/>
  <c r="J151" i="55"/>
  <c r="AB15" i="57" s="1"/>
  <c r="AC15" i="57" s="1"/>
  <c r="J150" i="55"/>
  <c r="J149" i="55"/>
  <c r="AB23" i="1" s="1"/>
  <c r="AC23" i="1" s="1"/>
  <c r="J148" i="55"/>
  <c r="AB43" i="1" s="1"/>
  <c r="AC43" i="1" s="1"/>
  <c r="J147" i="55"/>
  <c r="J146" i="55"/>
  <c r="AB40" i="1" s="1"/>
  <c r="AC40" i="1" s="1"/>
  <c r="J145" i="55"/>
  <c r="J144" i="55"/>
  <c r="AB29" i="1" s="1"/>
  <c r="AC29" i="1" s="1"/>
  <c r="J143" i="55"/>
  <c r="J142" i="55"/>
  <c r="AB22" i="1" s="1"/>
  <c r="AC22" i="1" s="1"/>
  <c r="J141" i="55"/>
  <c r="AB34" i="1" s="1"/>
  <c r="AC34" i="1" s="1"/>
  <c r="J140" i="55"/>
  <c r="AB18" i="1" s="1"/>
  <c r="AC18" i="1" s="1"/>
  <c r="J139" i="55"/>
  <c r="AB16" i="1" s="1"/>
  <c r="AC16" i="1" s="1"/>
  <c r="J138" i="55"/>
  <c r="AB17" i="1" s="1"/>
  <c r="AC17" i="1" s="1"/>
  <c r="J137" i="55"/>
  <c r="AB19" i="1" s="1"/>
  <c r="AC19" i="1" s="1"/>
  <c r="J136" i="55"/>
  <c r="AB15" i="1" s="1"/>
  <c r="AC15" i="1" s="1"/>
  <c r="J135" i="55"/>
  <c r="J134" i="55"/>
  <c r="AB21" i="77" s="1"/>
  <c r="AC21" i="77" s="1"/>
  <c r="J133" i="55"/>
  <c r="J132" i="55"/>
  <c r="AB19" i="77" s="1"/>
  <c r="AC19" i="77" s="1"/>
  <c r="J131" i="55"/>
  <c r="J130" i="55"/>
  <c r="AB18" i="77" s="1"/>
  <c r="AC18" i="77" s="1"/>
  <c r="J129" i="55"/>
  <c r="J128" i="55"/>
  <c r="AB16" i="77" s="1"/>
  <c r="AC16" i="77" s="1"/>
  <c r="J127" i="55"/>
  <c r="AB15" i="77" s="1"/>
  <c r="AC15" i="77" s="1"/>
  <c r="J126" i="55"/>
  <c r="J125" i="55"/>
  <c r="AB33" i="66" s="1"/>
  <c r="AC33" i="66" s="1"/>
  <c r="J124" i="55"/>
  <c r="AB26" i="66" s="1"/>
  <c r="AC26" i="66" s="1"/>
  <c r="J123" i="55"/>
  <c r="AB21" i="66" s="1"/>
  <c r="AC21" i="66" s="1"/>
  <c r="J122" i="55"/>
  <c r="AB22" i="66" s="1"/>
  <c r="AC22" i="66" s="1"/>
  <c r="J121" i="55"/>
  <c r="AB25" i="66" s="1"/>
  <c r="AC25" i="66" s="1"/>
  <c r="J120" i="55"/>
  <c r="AB24" i="66" s="1"/>
  <c r="AC24" i="66" s="1"/>
  <c r="J119" i="55"/>
  <c r="AB17" i="66" s="1"/>
  <c r="AC17" i="66" s="1"/>
  <c r="J118" i="55"/>
  <c r="AB18" i="66" s="1"/>
  <c r="AC18" i="66" s="1"/>
  <c r="J117" i="55"/>
  <c r="AB16" i="66" s="1"/>
  <c r="AC16" i="66" s="1"/>
  <c r="J116" i="55"/>
  <c r="AB20" i="66" s="1"/>
  <c r="AC20" i="66" s="1"/>
  <c r="J115" i="55"/>
  <c r="AB19" i="66" s="1"/>
  <c r="AC19" i="66" s="1"/>
  <c r="J114" i="55"/>
  <c r="AB15" i="66" s="1"/>
  <c r="AC15" i="66" s="1"/>
  <c r="J113" i="55"/>
  <c r="J112" i="55"/>
  <c r="AB27" i="76" s="1"/>
  <c r="AC27" i="76" s="1"/>
  <c r="J111" i="55"/>
  <c r="J110" i="55"/>
  <c r="AB24" i="76" s="1"/>
  <c r="AC24" i="76" s="1"/>
  <c r="J109" i="55"/>
  <c r="J108" i="55"/>
  <c r="J107" i="55"/>
  <c r="J106" i="55"/>
  <c r="J105" i="55"/>
  <c r="AB22" i="76" s="1"/>
  <c r="AC22" i="76" s="1"/>
  <c r="J104" i="55"/>
  <c r="AB20" i="76" s="1"/>
  <c r="AC20" i="76" s="1"/>
  <c r="J103" i="55"/>
  <c r="AB21" i="76" s="1"/>
  <c r="AC21" i="76" s="1"/>
  <c r="J102" i="55"/>
  <c r="AB18" i="76" s="1"/>
  <c r="AC18" i="76" s="1"/>
  <c r="J101" i="55"/>
  <c r="J100" i="55"/>
  <c r="J99" i="55"/>
  <c r="J98" i="55"/>
  <c r="J97" i="55"/>
  <c r="AB15" i="76" s="1"/>
  <c r="AC15" i="76" s="1"/>
  <c r="J96" i="55"/>
  <c r="Y15" i="78" s="1"/>
  <c r="J95" i="55"/>
  <c r="AB31" i="65" s="1"/>
  <c r="AC31" i="65" s="1"/>
  <c r="J94" i="55"/>
  <c r="AB57" i="65" s="1"/>
  <c r="AC57" i="65" s="1"/>
  <c r="J93" i="55"/>
  <c r="AB40" i="65" s="1"/>
  <c r="AC40" i="65" s="1"/>
  <c r="J92" i="55"/>
  <c r="AB34" i="65" s="1"/>
  <c r="AC34" i="65" s="1"/>
  <c r="J91" i="55"/>
  <c r="Y15" i="71" s="1"/>
  <c r="J90" i="55"/>
  <c r="AB49" i="65" s="1"/>
  <c r="AC49" i="65" s="1"/>
  <c r="J89" i="55"/>
  <c r="AB38" i="65" s="1"/>
  <c r="AC38" i="65" s="1"/>
  <c r="J88" i="55"/>
  <c r="J87" i="55"/>
  <c r="AB20" i="65" s="1"/>
  <c r="AC20" i="65" s="1"/>
  <c r="J86" i="55"/>
  <c r="J85" i="55"/>
  <c r="AB32" i="65" s="1"/>
  <c r="AC32" i="65" s="1"/>
  <c r="J84" i="55"/>
  <c r="AB33" i="65" s="1"/>
  <c r="AC33" i="65" s="1"/>
  <c r="J83" i="55"/>
  <c r="AB30" i="65" s="1"/>
  <c r="AC30" i="65" s="1"/>
  <c r="J82" i="55"/>
  <c r="AB29" i="65" s="1"/>
  <c r="AC29" i="65" s="1"/>
  <c r="J81" i="55"/>
  <c r="AB43" i="65" s="1"/>
  <c r="AC43" i="65" s="1"/>
  <c r="J80" i="55"/>
  <c r="AB27" i="65" s="1"/>
  <c r="AC27" i="65" s="1"/>
  <c r="J79" i="55"/>
  <c r="AB35" i="65" s="1"/>
  <c r="AC35" i="65" s="1"/>
  <c r="J78" i="55"/>
  <c r="AB36" i="65" s="1"/>
  <c r="AC36" i="65" s="1"/>
  <c r="J77" i="55"/>
  <c r="J76" i="55"/>
  <c r="AB42" i="65" s="1"/>
  <c r="AC42" i="65" s="1"/>
  <c r="J75" i="55"/>
  <c r="AB22" i="65" s="1"/>
  <c r="AC22" i="65" s="1"/>
  <c r="J74" i="55"/>
  <c r="AB25" i="65" s="1"/>
  <c r="AC25" i="65" s="1"/>
  <c r="J73" i="55"/>
  <c r="AB28" i="65" s="1"/>
  <c r="AC28" i="65" s="1"/>
  <c r="J72" i="55"/>
  <c r="AB37" i="65" s="1"/>
  <c r="AC37" i="65" s="1"/>
  <c r="J71" i="55"/>
  <c r="AB19" i="65" s="1"/>
  <c r="AC19" i="65" s="1"/>
  <c r="J70" i="55"/>
  <c r="AB21" i="65" s="1"/>
  <c r="AC21" i="65" s="1"/>
  <c r="J69" i="55"/>
  <c r="AB18" i="65" s="1"/>
  <c r="AC18" i="65" s="1"/>
  <c r="J68" i="55"/>
  <c r="AB23" i="65" s="1"/>
  <c r="AC23" i="65" s="1"/>
  <c r="J67" i="55"/>
  <c r="AB16" i="65" s="1"/>
  <c r="AC16" i="65" s="1"/>
  <c r="J66" i="55"/>
  <c r="AB17" i="65" s="1"/>
  <c r="AC17" i="65" s="1"/>
  <c r="J65" i="55"/>
  <c r="J64" i="55"/>
  <c r="J63" i="55"/>
  <c r="AB15" i="78" s="1"/>
  <c r="AC15" i="78" s="1"/>
  <c r="J62" i="55"/>
  <c r="J61" i="55"/>
  <c r="AB18" i="74" s="1"/>
  <c r="AC18" i="74" s="1"/>
  <c r="J60" i="55"/>
  <c r="AB25" i="74" s="1"/>
  <c r="AC25" i="74" s="1"/>
  <c r="J59" i="55"/>
  <c r="AB20" i="74" s="1"/>
  <c r="AC20" i="74" s="1"/>
  <c r="J58" i="55"/>
  <c r="AB26" i="74" s="1"/>
  <c r="AC26" i="74" s="1"/>
  <c r="J57" i="55"/>
  <c r="AB16" i="74" s="1"/>
  <c r="AC16" i="74" s="1"/>
  <c r="J56" i="55"/>
  <c r="AB23" i="74" s="1"/>
  <c r="AC23" i="74" s="1"/>
  <c r="J55" i="55"/>
  <c r="AB21" i="74" s="1"/>
  <c r="AC21" i="74" s="1"/>
  <c r="J54" i="55"/>
  <c r="AB17" i="74" s="1"/>
  <c r="AC17" i="74" s="1"/>
  <c r="J53" i="55"/>
  <c r="AB15" i="74" s="1"/>
  <c r="AC15" i="74" s="1"/>
  <c r="J52" i="55"/>
  <c r="J51" i="55"/>
  <c r="AB30" i="70" s="1"/>
  <c r="AC30" i="70" s="1"/>
  <c r="J50" i="55"/>
  <c r="AB22" i="70" s="1"/>
  <c r="AC22" i="70" s="1"/>
  <c r="J49" i="55"/>
  <c r="AB19" i="70" s="1"/>
  <c r="AC19" i="70" s="1"/>
  <c r="J48" i="55"/>
  <c r="AB20" i="70" s="1"/>
  <c r="AC20" i="70" s="1"/>
  <c r="J47" i="55"/>
  <c r="J46" i="55"/>
  <c r="AB18" i="70" s="1"/>
  <c r="AC18" i="70" s="1"/>
  <c r="J45" i="55"/>
  <c r="AB17" i="70" s="1"/>
  <c r="AC17" i="70" s="1"/>
  <c r="J44" i="55"/>
  <c r="AB23" i="70" s="1"/>
  <c r="AC23" i="70" s="1"/>
  <c r="J43" i="55"/>
  <c r="AB16" i="70" s="1"/>
  <c r="AC16" i="70" s="1"/>
  <c r="J42" i="55"/>
  <c r="AB15" i="70" s="1"/>
  <c r="AC15" i="70" s="1"/>
  <c r="J41" i="55"/>
  <c r="J40" i="55"/>
  <c r="AB21" i="69" s="1"/>
  <c r="AC21" i="69" s="1"/>
  <c r="J39" i="55"/>
  <c r="AB18" i="69" s="1"/>
  <c r="AC18" i="69" s="1"/>
  <c r="J38" i="55"/>
  <c r="Y15" i="72" s="1"/>
  <c r="J37" i="55"/>
  <c r="AB20" i="69" s="1"/>
  <c r="AC20" i="69" s="1"/>
  <c r="J36" i="55"/>
  <c r="AB26" i="69" s="1"/>
  <c r="AC26" i="69" s="1"/>
  <c r="J35" i="55"/>
  <c r="AB23" i="69" s="1"/>
  <c r="AC23" i="69" s="1"/>
  <c r="J34" i="55"/>
  <c r="AB19" i="69" s="1"/>
  <c r="AC19" i="69" s="1"/>
  <c r="J33" i="55"/>
  <c r="AB16" i="69" s="1"/>
  <c r="AC16" i="69" s="1"/>
  <c r="J32" i="55"/>
  <c r="AB15" i="69" s="1"/>
  <c r="AC15" i="69" s="1"/>
  <c r="J31" i="55"/>
  <c r="J30" i="55"/>
  <c r="J29" i="55"/>
  <c r="AB18" i="72" s="1"/>
  <c r="AC18" i="72" s="1"/>
  <c r="J28" i="55"/>
  <c r="J27" i="55"/>
  <c r="J26" i="55"/>
  <c r="J25" i="55"/>
  <c r="AB15" i="72" s="1"/>
  <c r="AC15" i="72" s="1"/>
  <c r="J24" i="55"/>
  <c r="Y16" i="68" s="1"/>
  <c r="J23" i="55"/>
  <c r="AB20" i="68" s="1"/>
  <c r="AC20" i="68" s="1"/>
  <c r="J22" i="55"/>
  <c r="AB18" i="68" s="1"/>
  <c r="AC18" i="68" s="1"/>
  <c r="J21" i="55"/>
  <c r="AB19" i="68" s="1"/>
  <c r="AC19" i="68" s="1"/>
  <c r="J20" i="55"/>
  <c r="AB16" i="68" s="1"/>
  <c r="AC16" i="68" s="1"/>
  <c r="J19" i="55"/>
  <c r="AB17" i="68" s="1"/>
  <c r="AC17" i="68" s="1"/>
  <c r="J18" i="55"/>
  <c r="AB15" i="68" s="1"/>
  <c r="AC15" i="68" s="1"/>
  <c r="J17" i="55"/>
  <c r="J16" i="55"/>
  <c r="AB19" i="67" s="1"/>
  <c r="AC19" i="67" s="1"/>
  <c r="J15" i="55"/>
  <c r="J14" i="55"/>
  <c r="AB15" i="67" s="1"/>
  <c r="AC15" i="67" s="1"/>
  <c r="J13" i="55"/>
  <c r="AB16" i="67" s="1"/>
  <c r="AC16" i="67" s="1"/>
  <c r="J12" i="55"/>
  <c r="Y15" i="79"/>
  <c r="J180" i="56"/>
  <c r="Z20" i="57" s="1"/>
  <c r="AA20" i="57" s="1"/>
  <c r="J179" i="56"/>
  <c r="Z16" i="57" s="1"/>
  <c r="AA16" i="57" s="1"/>
  <c r="J178" i="56"/>
  <c r="Z18" i="57" s="1"/>
  <c r="AA18" i="57" s="1"/>
  <c r="J177" i="56"/>
  <c r="Z21" i="57" s="1"/>
  <c r="AA21" i="57" s="1"/>
  <c r="J176" i="56"/>
  <c r="W15" i="61" s="1"/>
  <c r="J175" i="56"/>
  <c r="Z38" i="61" s="1"/>
  <c r="AA38" i="61" s="1"/>
  <c r="J174" i="56"/>
  <c r="Z42" i="61" s="1"/>
  <c r="AA42" i="61" s="1"/>
  <c r="J173" i="56"/>
  <c r="Z36" i="61" s="1"/>
  <c r="AA36" i="61" s="1"/>
  <c r="J172" i="56"/>
  <c r="J171" i="56"/>
  <c r="Z54" i="61" s="1"/>
  <c r="AA54" i="61" s="1"/>
  <c r="J170" i="56"/>
  <c r="Z31" i="61" s="1"/>
  <c r="AA31" i="61" s="1"/>
  <c r="J169" i="56"/>
  <c r="J168" i="56"/>
  <c r="Z27" i="61" s="1"/>
  <c r="AA27" i="61" s="1"/>
  <c r="J167" i="56"/>
  <c r="Z39" i="61" s="1"/>
  <c r="AA39" i="61" s="1"/>
  <c r="J166" i="56"/>
  <c r="Z32" i="61" s="1"/>
  <c r="AA32" i="61" s="1"/>
  <c r="J165" i="56"/>
  <c r="J164" i="56"/>
  <c r="Z41" i="61" s="1"/>
  <c r="AA41" i="61" s="1"/>
  <c r="J163" i="56"/>
  <c r="J162" i="56"/>
  <c r="Z26" i="61" s="1"/>
  <c r="AA26" i="61" s="1"/>
  <c r="J161" i="56"/>
  <c r="Z34" i="61" s="1"/>
  <c r="AA34" i="61" s="1"/>
  <c r="J160" i="56"/>
  <c r="J159" i="56"/>
  <c r="J158" i="56"/>
  <c r="J157" i="56"/>
  <c r="Z25" i="61" s="1"/>
  <c r="AA25" i="61" s="1"/>
  <c r="J156" i="56"/>
  <c r="Z21" i="61" s="1"/>
  <c r="AA21" i="61" s="1"/>
  <c r="J155" i="56"/>
  <c r="J154" i="56"/>
  <c r="J153" i="56"/>
  <c r="J152" i="56"/>
  <c r="J151" i="56"/>
  <c r="J150" i="56"/>
  <c r="S20" i="57" s="1"/>
  <c r="J149" i="56"/>
  <c r="J148" i="56"/>
  <c r="Z62" i="63" s="1"/>
  <c r="AA62" i="63" s="1"/>
  <c r="J147" i="56"/>
  <c r="J146" i="56"/>
  <c r="J145" i="56"/>
  <c r="J144" i="56"/>
  <c r="J143" i="56"/>
  <c r="J142" i="56"/>
  <c r="J141" i="56"/>
  <c r="J140" i="56"/>
  <c r="S39" i="61" s="1"/>
  <c r="J139" i="56"/>
  <c r="J138" i="56"/>
  <c r="J137" i="56"/>
  <c r="Z28" i="63" s="1"/>
  <c r="AA28" i="63" s="1"/>
  <c r="J136" i="56"/>
  <c r="J135" i="56"/>
  <c r="J134" i="56"/>
  <c r="J133" i="56"/>
  <c r="J132" i="56"/>
  <c r="J131" i="56"/>
  <c r="J130" i="56"/>
  <c r="J129" i="56"/>
  <c r="Z35" i="63" s="1"/>
  <c r="AA35" i="63" s="1"/>
  <c r="J128" i="56"/>
  <c r="Z40" i="63" s="1"/>
  <c r="AA40" i="63" s="1"/>
  <c r="J127" i="56"/>
  <c r="Z34" i="63" s="1"/>
  <c r="AA34" i="63" s="1"/>
  <c r="J126" i="56"/>
  <c r="Z29" i="63" s="1"/>
  <c r="AA29" i="63" s="1"/>
  <c r="J125" i="56"/>
  <c r="Z20" i="63" s="1"/>
  <c r="AA20" i="63" s="1"/>
  <c r="J124" i="56"/>
  <c r="Z24" i="63" s="1"/>
  <c r="AA24" i="63" s="1"/>
  <c r="J123" i="56"/>
  <c r="J122" i="56"/>
  <c r="Z42" i="63" s="1"/>
  <c r="AA42" i="63" s="1"/>
  <c r="J121" i="56"/>
  <c r="J120" i="56"/>
  <c r="Z26" i="63" s="1"/>
  <c r="AA26" i="63" s="1"/>
  <c r="J119" i="56"/>
  <c r="Z19" i="63" s="1"/>
  <c r="AA19" i="63" s="1"/>
  <c r="J118" i="56"/>
  <c r="Z22" i="63" s="1"/>
  <c r="AA22" i="63" s="1"/>
  <c r="J117" i="56"/>
  <c r="Z70" i="63" s="1"/>
  <c r="AA70" i="63" s="1"/>
  <c r="J116" i="56"/>
  <c r="Z33" i="63" s="1"/>
  <c r="AA33" i="63" s="1"/>
  <c r="J115" i="56"/>
  <c r="Z30" i="63" s="1"/>
  <c r="AA30" i="63" s="1"/>
  <c r="J114" i="56"/>
  <c r="Z17" i="63" s="1"/>
  <c r="AA17" i="63" s="1"/>
  <c r="J113" i="56"/>
  <c r="J112" i="56"/>
  <c r="Z15" i="63" s="1"/>
  <c r="AA15" i="63" s="1"/>
  <c r="J111" i="56"/>
  <c r="J110" i="56"/>
  <c r="Z26" i="66" s="1"/>
  <c r="AA26" i="66" s="1"/>
  <c r="J109" i="56"/>
  <c r="Z17" i="66" s="1"/>
  <c r="AA17" i="66" s="1"/>
  <c r="J108" i="56"/>
  <c r="Z33" i="66" s="1"/>
  <c r="AA33" i="66" s="1"/>
  <c r="J107" i="56"/>
  <c r="Z22" i="66" s="1"/>
  <c r="AA22" i="66" s="1"/>
  <c r="J106" i="56"/>
  <c r="Z21" i="66" s="1"/>
  <c r="AA21" i="66" s="1"/>
  <c r="J105" i="56"/>
  <c r="Z25" i="66" s="1"/>
  <c r="AA25" i="66" s="1"/>
  <c r="J104" i="56"/>
  <c r="Z16" i="66" s="1"/>
  <c r="AA16" i="66" s="1"/>
  <c r="J103" i="56"/>
  <c r="Z24" i="66" s="1"/>
  <c r="AA24" i="66" s="1"/>
  <c r="J102" i="56"/>
  <c r="Z20" i="66" s="1"/>
  <c r="AA20" i="66" s="1"/>
  <c r="J101" i="56"/>
  <c r="Z19" i="66" s="1"/>
  <c r="AA19" i="66" s="1"/>
  <c r="J100" i="56"/>
  <c r="Z18" i="66" s="1"/>
  <c r="AA18" i="66" s="1"/>
  <c r="J99" i="56"/>
  <c r="Z15" i="66" s="1"/>
  <c r="AA15" i="66" s="1"/>
  <c r="J98" i="56"/>
  <c r="J97" i="56"/>
  <c r="Z23" i="64" s="1"/>
  <c r="AA23" i="64" s="1"/>
  <c r="J96" i="56"/>
  <c r="Z18" i="64" s="1"/>
  <c r="AA18" i="64" s="1"/>
  <c r="J95" i="56"/>
  <c r="Z20" i="64" s="1"/>
  <c r="AA20" i="64" s="1"/>
  <c r="J94" i="56"/>
  <c r="Z19" i="64" s="1"/>
  <c r="AA19" i="64" s="1"/>
  <c r="J93" i="56"/>
  <c r="Z17" i="64" s="1"/>
  <c r="AA17" i="64" s="1"/>
  <c r="J92" i="56"/>
  <c r="Z16" i="64" s="1"/>
  <c r="AA16" i="64" s="1"/>
  <c r="J91" i="56"/>
  <c r="Z15" i="64" s="1"/>
  <c r="AA15" i="64" s="1"/>
  <c r="J90" i="56"/>
  <c r="J89" i="56"/>
  <c r="Z40" i="65" s="1"/>
  <c r="AA40" i="65" s="1"/>
  <c r="J88" i="56"/>
  <c r="J87" i="56"/>
  <c r="Z57" i="65" s="1"/>
  <c r="AA57" i="65" s="1"/>
  <c r="J86" i="56"/>
  <c r="J85" i="56"/>
  <c r="Z31" i="65" s="1"/>
  <c r="AA31" i="65" s="1"/>
  <c r="J84" i="56"/>
  <c r="Z28" i="65" s="1"/>
  <c r="AA28" i="65" s="1"/>
  <c r="J83" i="56"/>
  <c r="J82" i="56"/>
  <c r="J81" i="56"/>
  <c r="J80" i="56"/>
  <c r="Z32" i="65" s="1"/>
  <c r="AA32" i="65" s="1"/>
  <c r="J79" i="56"/>
  <c r="Z29" i="65" s="1"/>
  <c r="AA29" i="65" s="1"/>
  <c r="J78" i="56"/>
  <c r="Z24" i="65" s="1"/>
  <c r="AA24" i="65" s="1"/>
  <c r="J77" i="56"/>
  <c r="Z27" i="65" s="1"/>
  <c r="AA27" i="65" s="1"/>
  <c r="J76" i="56"/>
  <c r="Z42" i="65" s="1"/>
  <c r="AA42" i="65" s="1"/>
  <c r="J75" i="56"/>
  <c r="Z30" i="65" s="1"/>
  <c r="AA30" i="65" s="1"/>
  <c r="J74" i="56"/>
  <c r="Z25" i="65" s="1"/>
  <c r="AA25" i="65" s="1"/>
  <c r="J73" i="56"/>
  <c r="Z36" i="65" s="1"/>
  <c r="AA36" i="65" s="1"/>
  <c r="J72" i="56"/>
  <c r="Z43" i="65" s="1"/>
  <c r="AA43" i="65" s="1"/>
  <c r="J71" i="56"/>
  <c r="Z49" i="65" s="1"/>
  <c r="AA49" i="65" s="1"/>
  <c r="J70" i="56"/>
  <c r="Z38" i="65" s="1"/>
  <c r="AA38" i="65" s="1"/>
  <c r="J69" i="56"/>
  <c r="Z22" i="65" s="1"/>
  <c r="AA22" i="65" s="1"/>
  <c r="J68" i="56"/>
  <c r="Z33" i="65" s="1"/>
  <c r="AA33" i="65" s="1"/>
  <c r="J67" i="56"/>
  <c r="Z37" i="65" s="1"/>
  <c r="AA37" i="65" s="1"/>
  <c r="J66" i="56"/>
  <c r="J65" i="56"/>
  <c r="Z21" i="65" s="1"/>
  <c r="AA21" i="65" s="1"/>
  <c r="J64" i="56"/>
  <c r="Z23" i="65" s="1"/>
  <c r="AA23" i="65" s="1"/>
  <c r="J63" i="56"/>
  <c r="Z15" i="65" s="1"/>
  <c r="AA15" i="65" s="1"/>
  <c r="J62" i="56"/>
  <c r="Z16" i="65" s="1"/>
  <c r="AA16" i="65" s="1"/>
  <c r="J61" i="56"/>
  <c r="Z17" i="65" s="1"/>
  <c r="AA17" i="65" s="1"/>
  <c r="J60" i="56"/>
  <c r="Z20" i="65" s="1"/>
  <c r="AA20" i="65" s="1"/>
  <c r="J59" i="56"/>
  <c r="Z18" i="65" s="1"/>
  <c r="AA18" i="65" s="1"/>
  <c r="J58" i="56"/>
  <c r="J57" i="56"/>
  <c r="Z19" i="77" s="1"/>
  <c r="AA19" i="77" s="1"/>
  <c r="J56" i="56"/>
  <c r="J55" i="56"/>
  <c r="J54" i="56"/>
  <c r="Z21" i="77" s="1"/>
  <c r="AA21" i="77" s="1"/>
  <c r="J53" i="56"/>
  <c r="Z18" i="77" s="1"/>
  <c r="AA18" i="77" s="1"/>
  <c r="J52" i="56"/>
  <c r="J51" i="56"/>
  <c r="Z16" i="77" s="1"/>
  <c r="AA16" i="77" s="1"/>
  <c r="J50" i="56"/>
  <c r="Z20" i="77" s="1"/>
  <c r="AA20" i="77" s="1"/>
  <c r="J49" i="56"/>
  <c r="J48" i="56"/>
  <c r="J47" i="56"/>
  <c r="J46" i="56"/>
  <c r="J45" i="56"/>
  <c r="Z27" i="76" s="1"/>
  <c r="AA27" i="76" s="1"/>
  <c r="J44" i="56"/>
  <c r="Z22" i="76" s="1"/>
  <c r="AA22" i="76" s="1"/>
  <c r="J43" i="56"/>
  <c r="J42" i="56"/>
  <c r="J41" i="56"/>
  <c r="Z16" i="76" s="1"/>
  <c r="AA16" i="76" s="1"/>
  <c r="J40" i="56"/>
  <c r="J39" i="56"/>
  <c r="Z20" i="76" s="1"/>
  <c r="AA20" i="76" s="1"/>
  <c r="J38" i="56"/>
  <c r="J37" i="56"/>
  <c r="Z15" i="76" s="1"/>
  <c r="AA15" i="76" s="1"/>
  <c r="J36" i="56"/>
  <c r="J35" i="56"/>
  <c r="Z23" i="74" s="1"/>
  <c r="AA23" i="74" s="1"/>
  <c r="J34" i="56"/>
  <c r="Z25" i="74" s="1"/>
  <c r="AA25" i="74" s="1"/>
  <c r="J33" i="56"/>
  <c r="Z18" i="74" s="1"/>
  <c r="AA18" i="74" s="1"/>
  <c r="J32" i="56"/>
  <c r="Z26" i="74" s="1"/>
  <c r="AA26" i="74" s="1"/>
  <c r="J31" i="56"/>
  <c r="Z21" i="74" s="1"/>
  <c r="AA21" i="74" s="1"/>
  <c r="J30" i="56"/>
  <c r="Z17" i="74" s="1"/>
  <c r="AA17" i="74" s="1"/>
  <c r="J29" i="56"/>
  <c r="Z16" i="74" s="1"/>
  <c r="AA16" i="74" s="1"/>
  <c r="J28" i="56"/>
  <c r="J27" i="56"/>
  <c r="Z22" i="70" s="1"/>
  <c r="AA22" i="70" s="1"/>
  <c r="J26" i="56"/>
  <c r="Z20" i="70" s="1"/>
  <c r="AA20" i="70" s="1"/>
  <c r="J25" i="56"/>
  <c r="Z19" i="70" s="1"/>
  <c r="AA19" i="70" s="1"/>
  <c r="J24" i="56"/>
  <c r="Z18" i="70" s="1"/>
  <c r="AA18" i="70" s="1"/>
  <c r="J23" i="56"/>
  <c r="Z17" i="70" s="1"/>
  <c r="AA17" i="70" s="1"/>
  <c r="J22" i="56"/>
  <c r="Z15" i="70" s="1"/>
  <c r="AA15" i="70" s="1"/>
  <c r="J21" i="56"/>
  <c r="Z23" i="70" s="1"/>
  <c r="AA23" i="70" s="1"/>
  <c r="J20" i="56"/>
  <c r="J19" i="56"/>
  <c r="J18" i="56"/>
  <c r="J17" i="56"/>
  <c r="Z26" i="69" s="1"/>
  <c r="AA26" i="69" s="1"/>
  <c r="J16" i="56"/>
  <c r="Z23" i="69" s="1"/>
  <c r="AA23" i="69" s="1"/>
  <c r="J15" i="56"/>
  <c r="Z21" i="69" s="1"/>
  <c r="AA21" i="69" s="1"/>
  <c r="J14" i="56"/>
  <c r="Z18" i="69" s="1"/>
  <c r="AA18" i="69" s="1"/>
  <c r="J13" i="56"/>
  <c r="Z19" i="69" s="1"/>
  <c r="AA19" i="69" s="1"/>
  <c r="J12" i="56"/>
  <c r="J11" i="56"/>
  <c r="J10" i="56"/>
  <c r="W16" i="68" s="1"/>
  <c r="J9" i="56"/>
  <c r="Z18" i="72" s="1"/>
  <c r="AA18" i="72" s="1"/>
  <c r="J8" i="56"/>
  <c r="Z15" i="72" s="1"/>
  <c r="AA15" i="72" s="1"/>
  <c r="J7" i="56"/>
  <c r="J6" i="56"/>
  <c r="Z19" i="68" s="1"/>
  <c r="AA19" i="68" s="1"/>
  <c r="J5" i="56"/>
  <c r="Z17" i="68" s="1"/>
  <c r="AA17" i="68" s="1"/>
  <c r="J4" i="56"/>
  <c r="W15" i="67" s="1"/>
  <c r="J3" i="56"/>
  <c r="Z15" i="67" s="1"/>
  <c r="AA15" i="67" s="1"/>
  <c r="S36" i="1"/>
  <c r="S61" i="1"/>
  <c r="S60" i="1"/>
  <c r="S24" i="1"/>
  <c r="S59" i="1"/>
  <c r="S58" i="1"/>
  <c r="S57" i="1"/>
  <c r="S56" i="1"/>
  <c r="S55" i="1"/>
  <c r="S52" i="1"/>
  <c r="S50" i="1"/>
  <c r="S49" i="1"/>
  <c r="S48" i="1"/>
  <c r="S47" i="1"/>
  <c r="S46" i="1"/>
  <c r="S31" i="1"/>
  <c r="S44" i="1"/>
  <c r="S43" i="1"/>
  <c r="S42" i="1"/>
  <c r="S41" i="1"/>
  <c r="S22" i="1"/>
  <c r="S29" i="1"/>
  <c r="S28" i="1"/>
  <c r="S39" i="1"/>
  <c r="S38" i="1"/>
  <c r="S26" i="1"/>
  <c r="S37" i="1"/>
  <c r="S19" i="1"/>
  <c r="S35" i="1"/>
  <c r="S33" i="1"/>
  <c r="S32" i="1"/>
  <c r="S30" i="1"/>
  <c r="S27" i="1"/>
  <c r="S25" i="1"/>
  <c r="S20" i="1"/>
  <c r="S18" i="1"/>
  <c r="S16" i="1"/>
  <c r="S23" i="1"/>
  <c r="S15" i="64"/>
  <c r="U18" i="79"/>
  <c r="S15" i="73"/>
  <c r="U16" i="71"/>
  <c r="S16" i="71"/>
  <c r="S15" i="74"/>
  <c r="S15" i="70"/>
  <c r="U16" i="68"/>
  <c r="S16" i="68"/>
  <c r="S15" i="66"/>
  <c r="AH26" i="69" l="1"/>
  <c r="AH27" i="76"/>
  <c r="Y15" i="61"/>
  <c r="AB46" i="63"/>
  <c r="AC46" i="63" s="1"/>
  <c r="Y15" i="57"/>
  <c r="AB36" i="63"/>
  <c r="AC36" i="63" s="1"/>
  <c r="Y15" i="66"/>
  <c r="AB26" i="1"/>
  <c r="AC26" i="1" s="1"/>
  <c r="Y15" i="76"/>
  <c r="AB20" i="77"/>
  <c r="AC20" i="77" s="1"/>
  <c r="AH20" i="77" s="1"/>
  <c r="AH37" i="65"/>
  <c r="Y15" i="73"/>
  <c r="AH15" i="73" s="1"/>
  <c r="AB16" i="76"/>
  <c r="AC16" i="76" s="1"/>
  <c r="Y15" i="65"/>
  <c r="AB19" i="76"/>
  <c r="AC19" i="76" s="1"/>
  <c r="Y15" i="74"/>
  <c r="AB24" i="65"/>
  <c r="AC24" i="65" s="1"/>
  <c r="Y17" i="70"/>
  <c r="AB15" i="65"/>
  <c r="AC15" i="65" s="1"/>
  <c r="AH43" i="65"/>
  <c r="Y15" i="67"/>
  <c r="AB17" i="67"/>
  <c r="AC17" i="67" s="1"/>
  <c r="S21" i="57"/>
  <c r="Z19" i="61"/>
  <c r="AA19" i="61" s="1"/>
  <c r="S21" i="1"/>
  <c r="Z29" i="61"/>
  <c r="AA29" i="61" s="1"/>
  <c r="S17" i="1"/>
  <c r="Z28" i="61"/>
  <c r="AA28" i="61" s="1"/>
  <c r="S19" i="57"/>
  <c r="Z20" i="61"/>
  <c r="AA20" i="61" s="1"/>
  <c r="S18" i="57"/>
  <c r="Z17" i="61"/>
  <c r="AA17" i="61" s="1"/>
  <c r="S16" i="62"/>
  <c r="Z18" i="61"/>
  <c r="AA18" i="61" s="1"/>
  <c r="S16" i="57"/>
  <c r="Z15" i="61"/>
  <c r="AA15" i="61" s="1"/>
  <c r="S22" i="57"/>
  <c r="Z16" i="61"/>
  <c r="AA16" i="61" s="1"/>
  <c r="S18" i="62"/>
  <c r="Z22" i="61"/>
  <c r="AA22" i="61" s="1"/>
  <c r="S16" i="73"/>
  <c r="Z37" i="61"/>
  <c r="AA37" i="61" s="1"/>
  <c r="S33" i="61"/>
  <c r="Z39" i="63"/>
  <c r="AA39" i="63" s="1"/>
  <c r="S32" i="61"/>
  <c r="Z59" i="63"/>
  <c r="AA59" i="63" s="1"/>
  <c r="AH59" i="63" s="1"/>
  <c r="S36" i="61"/>
  <c r="Z55" i="63"/>
  <c r="AA55" i="63" s="1"/>
  <c r="W15" i="64"/>
  <c r="Z16" i="63"/>
  <c r="AA16" i="63" s="1"/>
  <c r="S35" i="61"/>
  <c r="Z44" i="63"/>
  <c r="AA44" i="63" s="1"/>
  <c r="S54" i="61"/>
  <c r="AH54" i="61" s="1"/>
  <c r="Z25" i="63"/>
  <c r="AA25" i="63" s="1"/>
  <c r="S31" i="61"/>
  <c r="Z47" i="63"/>
  <c r="AA47" i="63" s="1"/>
  <c r="S15" i="57"/>
  <c r="Z18" i="63"/>
  <c r="AA18" i="63" s="1"/>
  <c r="S30" i="61"/>
  <c r="Z41" i="63"/>
  <c r="AA41" i="63" s="1"/>
  <c r="S37" i="61"/>
  <c r="Z50" i="63"/>
  <c r="AA50" i="63" s="1"/>
  <c r="S26" i="61"/>
  <c r="Z27" i="63"/>
  <c r="AA27" i="63" s="1"/>
  <c r="S27" i="61"/>
  <c r="Z51" i="63"/>
  <c r="AA51" i="63" s="1"/>
  <c r="AH51" i="63" s="1"/>
  <c r="S44" i="61"/>
  <c r="Z60" i="63"/>
  <c r="AA60" i="63" s="1"/>
  <c r="AH60" i="63" s="1"/>
  <c r="W15" i="66"/>
  <c r="Z31" i="63"/>
  <c r="AA31" i="63" s="1"/>
  <c r="S22" i="61"/>
  <c r="Z46" i="63"/>
  <c r="AA46" i="63" s="1"/>
  <c r="S42" i="61"/>
  <c r="Z45" i="63"/>
  <c r="AA45" i="63" s="1"/>
  <c r="S24" i="61"/>
  <c r="Z36" i="63"/>
  <c r="AA36" i="63" s="1"/>
  <c r="S70" i="61"/>
  <c r="AH70" i="61" s="1"/>
  <c r="Z38" i="63"/>
  <c r="AA38" i="63" s="1"/>
  <c r="S59" i="61"/>
  <c r="Z53" i="63"/>
  <c r="AA53" i="63" s="1"/>
  <c r="W15" i="65"/>
  <c r="Z34" i="65"/>
  <c r="AA34" i="65" s="1"/>
  <c r="W16" i="77"/>
  <c r="Z35" i="65"/>
  <c r="AA35" i="65" s="1"/>
  <c r="AH35" i="65" s="1"/>
  <c r="W15" i="76"/>
  <c r="Z19" i="65"/>
  <c r="AA19" i="65" s="1"/>
  <c r="W15" i="74"/>
  <c r="Z15" i="77"/>
  <c r="AA15" i="77" s="1"/>
  <c r="W17" i="70"/>
  <c r="Z19" i="76"/>
  <c r="AA19" i="76" s="1"/>
  <c r="W15" i="72"/>
  <c r="Z20" i="69"/>
  <c r="AA20" i="69" s="1"/>
  <c r="S43" i="61"/>
  <c r="W16" i="63"/>
  <c r="U17" i="57"/>
  <c r="S17" i="57"/>
  <c r="U44" i="1" l="1"/>
  <c r="Q44" i="1"/>
  <c r="O44" i="1"/>
  <c r="Y33" i="58"/>
  <c r="W33" i="58"/>
  <c r="U33" i="58"/>
  <c r="Q33" i="58"/>
  <c r="O33" i="58"/>
  <c r="Y26" i="58"/>
  <c r="W26" i="58"/>
  <c r="U26" i="58"/>
  <c r="Q26" i="58"/>
  <c r="O26" i="58"/>
  <c r="Y36" i="58"/>
  <c r="W36" i="58"/>
  <c r="U36" i="58"/>
  <c r="Q36" i="58"/>
  <c r="O36" i="58"/>
  <c r="Y38" i="58"/>
  <c r="W38" i="58"/>
  <c r="U38" i="58"/>
  <c r="Q38" i="58"/>
  <c r="O38" i="58"/>
  <c r="Y28" i="58"/>
  <c r="W28" i="58"/>
  <c r="U28" i="58"/>
  <c r="Q28" i="58"/>
  <c r="O28" i="58"/>
  <c r="Y25" i="58"/>
  <c r="W25" i="58"/>
  <c r="U25" i="58"/>
  <c r="Q25" i="58"/>
  <c r="O25" i="58"/>
  <c r="Y31" i="58"/>
  <c r="W31" i="58"/>
  <c r="U31" i="58"/>
  <c r="Q31" i="58"/>
  <c r="O31" i="58"/>
  <c r="Y21" i="59"/>
  <c r="W21" i="59"/>
  <c r="U21" i="59"/>
  <c r="S21" i="59"/>
  <c r="Q21" i="59"/>
  <c r="O21" i="59"/>
  <c r="AH31" i="58" l="1"/>
  <c r="AH36" i="58"/>
  <c r="AH28" i="58"/>
  <c r="AH33" i="58"/>
  <c r="AH38" i="58"/>
  <c r="AH25" i="58"/>
  <c r="AH26" i="58"/>
  <c r="AH44" i="1"/>
  <c r="AH21" i="59"/>
  <c r="Q42" i="61" l="1"/>
  <c r="O42" i="61"/>
  <c r="Q63" i="61"/>
  <c r="O63" i="61"/>
  <c r="AH63" i="61" s="1"/>
  <c r="Q60" i="61"/>
  <c r="O60" i="61"/>
  <c r="AH60" i="61" s="1"/>
  <c r="Q33" i="61"/>
  <c r="O33" i="61"/>
  <c r="AH33" i="61" s="1"/>
  <c r="Q57" i="61"/>
  <c r="O57" i="61"/>
  <c r="AH57" i="61" s="1"/>
  <c r="Q55" i="61"/>
  <c r="O55" i="61"/>
  <c r="AH55" i="61" s="1"/>
  <c r="Q50" i="61"/>
  <c r="O50" i="61"/>
  <c r="AH50" i="61" s="1"/>
  <c r="Q40" i="61"/>
  <c r="O40" i="61"/>
  <c r="AH40" i="61" s="1"/>
  <c r="Q26" i="57"/>
  <c r="O26" i="57"/>
  <c r="Q29" i="57"/>
  <c r="O29" i="57"/>
  <c r="Q30" i="57"/>
  <c r="O30" i="57"/>
  <c r="Q25" i="57"/>
  <c r="O25" i="57"/>
  <c r="Q24" i="57"/>
  <c r="O24" i="57"/>
  <c r="AH24" i="57" s="1"/>
  <c r="U36" i="1"/>
  <c r="Q36" i="1"/>
  <c r="O36" i="1"/>
  <c r="U46" i="1"/>
  <c r="Q46" i="1"/>
  <c r="O46" i="1"/>
  <c r="AH46" i="1" s="1"/>
  <c r="U49" i="1"/>
  <c r="Q49" i="1"/>
  <c r="O49" i="1"/>
  <c r="AH49" i="1" s="1"/>
  <c r="U37" i="1"/>
  <c r="Q37" i="1"/>
  <c r="O37" i="1"/>
  <c r="U32" i="1"/>
  <c r="Q32" i="1"/>
  <c r="O32" i="1"/>
  <c r="U47" i="1"/>
  <c r="Q47" i="1"/>
  <c r="O47" i="1"/>
  <c r="AH47" i="1" s="1"/>
  <c r="U24" i="1"/>
  <c r="Q24" i="1"/>
  <c r="O24" i="1"/>
  <c r="AH24" i="1" s="1"/>
  <c r="U52" i="1"/>
  <c r="Q52" i="1"/>
  <c r="O52" i="1"/>
  <c r="U31" i="1"/>
  <c r="Q31" i="1"/>
  <c r="O31" i="1"/>
  <c r="U42" i="1"/>
  <c r="Q42" i="1"/>
  <c r="O42" i="1"/>
  <c r="AH42" i="1" s="1"/>
  <c r="U41" i="1"/>
  <c r="Q41" i="1"/>
  <c r="O41" i="1"/>
  <c r="AH41" i="1" s="1"/>
  <c r="U38" i="1"/>
  <c r="Q38" i="1"/>
  <c r="O38" i="1"/>
  <c r="U30" i="1"/>
  <c r="Q30" i="1"/>
  <c r="O30" i="1"/>
  <c r="Q21" i="62"/>
  <c r="AH21" i="62" s="1"/>
  <c r="Q19" i="62"/>
  <c r="AH19" i="62" s="1"/>
  <c r="AH25" i="57" l="1"/>
  <c r="AH29" i="57"/>
  <c r="AH30" i="57"/>
  <c r="AH26" i="57"/>
  <c r="AH38" i="1"/>
  <c r="AH52" i="1"/>
  <c r="AH37" i="1"/>
  <c r="AH30" i="1"/>
  <c r="AH31" i="1"/>
  <c r="AH32" i="1"/>
  <c r="AH36" i="1"/>
  <c r="Y36" i="80"/>
  <c r="U36" i="80"/>
  <c r="Q36" i="80"/>
  <c r="Y35" i="80"/>
  <c r="U35" i="80"/>
  <c r="Q35" i="80"/>
  <c r="Y34" i="80"/>
  <c r="U34" i="80"/>
  <c r="Q34" i="80"/>
  <c r="Y33" i="80"/>
  <c r="U33" i="80"/>
  <c r="Q33" i="80"/>
  <c r="Y32" i="80"/>
  <c r="U32" i="80"/>
  <c r="Q32" i="80"/>
  <c r="Y31" i="80"/>
  <c r="U31" i="80"/>
  <c r="Q31" i="80"/>
  <c r="Y30" i="80"/>
  <c r="U30" i="80"/>
  <c r="Q30" i="80"/>
  <c r="Y29" i="80"/>
  <c r="U29" i="80"/>
  <c r="Q29" i="80"/>
  <c r="Y28" i="80"/>
  <c r="U28" i="80"/>
  <c r="Q28" i="80"/>
  <c r="Y27" i="80"/>
  <c r="U27" i="80"/>
  <c r="Q27" i="80"/>
  <c r="Y26" i="80"/>
  <c r="U26" i="80"/>
  <c r="Q26" i="80"/>
  <c r="Y25" i="80"/>
  <c r="U25" i="80"/>
  <c r="Q25" i="80"/>
  <c r="Y24" i="80"/>
  <c r="U24" i="80"/>
  <c r="Q24" i="80"/>
  <c r="Y23" i="80"/>
  <c r="U23" i="80"/>
  <c r="Q23" i="80"/>
  <c r="Y22" i="80"/>
  <c r="U22" i="80"/>
  <c r="Q22" i="80"/>
  <c r="Y21" i="80"/>
  <c r="U21" i="80"/>
  <c r="Q21" i="80"/>
  <c r="Y20" i="80"/>
  <c r="U20" i="80"/>
  <c r="Q20" i="80"/>
  <c r="Y19" i="80"/>
  <c r="U19" i="80"/>
  <c r="Q19" i="80"/>
  <c r="Y18" i="80"/>
  <c r="U18" i="80"/>
  <c r="Q18" i="80"/>
  <c r="Y17" i="80"/>
  <c r="U17" i="80"/>
  <c r="Q17" i="80"/>
  <c r="Y16" i="80"/>
  <c r="U16" i="80"/>
  <c r="Q16" i="80"/>
  <c r="Q16" i="79"/>
  <c r="Q22" i="79"/>
  <c r="AH22" i="79" s="1"/>
  <c r="Q17" i="79"/>
  <c r="Q19" i="79"/>
  <c r="AH19" i="79" s="1"/>
  <c r="Q20" i="79"/>
  <c r="AH20" i="79" s="1"/>
  <c r="Q15" i="79"/>
  <c r="Q31" i="72"/>
  <c r="AH31" i="72" s="1"/>
  <c r="Q45" i="72"/>
  <c r="AH45" i="72" s="1"/>
  <c r="Q44" i="72"/>
  <c r="AH44" i="72" s="1"/>
  <c r="Q43" i="72"/>
  <c r="AH43" i="72" s="1"/>
  <c r="Q42" i="72"/>
  <c r="AH42" i="72" s="1"/>
  <c r="Q41" i="72"/>
  <c r="AH41" i="72" s="1"/>
  <c r="Q40" i="72"/>
  <c r="AH40" i="72" s="1"/>
  <c r="Q39" i="72"/>
  <c r="AH39" i="72" s="1"/>
  <c r="Q38" i="72"/>
  <c r="AH38" i="72" s="1"/>
  <c r="Q37" i="72"/>
  <c r="AH37" i="72" s="1"/>
  <c r="Q36" i="72"/>
  <c r="AH36" i="72" s="1"/>
  <c r="Q35" i="72"/>
  <c r="AH35" i="72" s="1"/>
  <c r="Q34" i="72"/>
  <c r="AH34" i="72" s="1"/>
  <c r="Q24" i="72"/>
  <c r="AH24" i="72" s="1"/>
  <c r="Q33" i="72"/>
  <c r="AH33" i="72" s="1"/>
  <c r="Q30" i="72"/>
  <c r="AH30" i="72" s="1"/>
  <c r="Q17" i="72"/>
  <c r="AH17" i="72" s="1"/>
  <c r="Q23" i="72"/>
  <c r="AH23" i="72" s="1"/>
  <c r="Q18" i="72"/>
  <c r="AH18" i="72" s="1"/>
  <c r="Q27" i="72"/>
  <c r="AH27" i="72" s="1"/>
  <c r="Q21" i="72"/>
  <c r="AH21" i="72" s="1"/>
  <c r="Q19" i="72"/>
  <c r="AH19" i="72" s="1"/>
  <c r="Q15" i="72"/>
  <c r="Q20" i="78"/>
  <c r="AH20" i="78" s="1"/>
  <c r="Q19" i="78"/>
  <c r="AH19" i="78" s="1"/>
  <c r="Q18" i="78"/>
  <c r="AH18" i="78" s="1"/>
  <c r="Q16" i="78"/>
  <c r="AH16" i="78" s="1"/>
  <c r="Q20" i="71"/>
  <c r="AH20" i="71" s="1"/>
  <c r="Q17" i="71"/>
  <c r="AH17" i="71" s="1"/>
  <c r="Q18" i="71"/>
  <c r="AH18" i="71" s="1"/>
  <c r="Q30" i="74"/>
  <c r="AH30" i="74" s="1"/>
  <c r="Q37" i="74"/>
  <c r="AH37" i="74" s="1"/>
  <c r="Q32" i="74"/>
  <c r="AH32" i="74" s="1"/>
  <c r="Q36" i="74"/>
  <c r="AH36" i="74" s="1"/>
  <c r="Q26" i="74"/>
  <c r="AH26" i="74" s="1"/>
  <c r="Q34" i="74"/>
  <c r="AH34" i="74" s="1"/>
  <c r="Q33" i="74"/>
  <c r="AH33" i="74" s="1"/>
  <c r="Q31" i="74"/>
  <c r="AH31" i="74" s="1"/>
  <c r="Q29" i="74"/>
  <c r="AH29" i="74" s="1"/>
  <c r="Q19" i="74"/>
  <c r="AH19" i="74" s="1"/>
  <c r="Q28" i="74"/>
  <c r="AH28" i="74" s="1"/>
  <c r="Q23" i="74"/>
  <c r="AH23" i="74" s="1"/>
  <c r="Q27" i="74"/>
  <c r="AH27" i="74" s="1"/>
  <c r="Q22" i="74"/>
  <c r="AH22" i="74" s="1"/>
  <c r="Q24" i="74"/>
  <c r="AH24" i="74" s="1"/>
  <c r="Q17" i="74"/>
  <c r="AH17" i="74" s="1"/>
  <c r="Q21" i="74"/>
  <c r="AH21" i="74" s="1"/>
  <c r="Q16" i="74"/>
  <c r="AH16" i="74" s="1"/>
  <c r="Q31" i="70"/>
  <c r="AH31" i="70" s="1"/>
  <c r="Q32" i="70"/>
  <c r="AH32" i="70" s="1"/>
  <c r="Q21" i="70"/>
  <c r="AH21" i="70" s="1"/>
  <c r="Q39" i="70"/>
  <c r="AH39" i="70" s="1"/>
  <c r="Q38" i="70"/>
  <c r="AH38" i="70" s="1"/>
  <c r="Q34" i="70"/>
  <c r="AH34" i="70" s="1"/>
  <c r="Q37" i="70"/>
  <c r="AH37" i="70" s="1"/>
  <c r="Q36" i="70"/>
  <c r="AH36" i="70" s="1"/>
  <c r="Q30" i="70"/>
  <c r="AH30" i="70" s="1"/>
  <c r="Q28" i="70"/>
  <c r="AH28" i="70" s="1"/>
  <c r="Q25" i="70"/>
  <c r="AH25" i="70" s="1"/>
  <c r="Q20" i="70"/>
  <c r="AH20" i="70" s="1"/>
  <c r="Q23" i="70"/>
  <c r="AH23" i="70" s="1"/>
  <c r="Q29" i="70"/>
  <c r="AH29" i="70" s="1"/>
  <c r="Q26" i="70"/>
  <c r="AH26" i="70" s="1"/>
  <c r="Q19" i="70"/>
  <c r="AH19" i="70" s="1"/>
  <c r="Q17" i="70"/>
  <c r="AH17" i="70" s="1"/>
  <c r="Q18" i="70"/>
  <c r="AH18" i="70" s="1"/>
  <c r="Q16" i="70"/>
  <c r="AH16" i="70" s="1"/>
  <c r="Q30" i="69"/>
  <c r="AH30" i="69" s="1"/>
  <c r="Q34" i="69"/>
  <c r="AH34" i="69" s="1"/>
  <c r="Q41" i="69"/>
  <c r="AH41" i="69" s="1"/>
  <c r="Q40" i="69"/>
  <c r="AH40" i="69" s="1"/>
  <c r="Q39" i="69"/>
  <c r="AH39" i="69" s="1"/>
  <c r="Q38" i="69"/>
  <c r="AH38" i="69" s="1"/>
  <c r="Q33" i="69"/>
  <c r="AH33" i="69" s="1"/>
  <c r="Q17" i="69"/>
  <c r="AH17" i="69" s="1"/>
  <c r="Q36" i="69"/>
  <c r="AH36" i="69" s="1"/>
  <c r="Q35" i="69"/>
  <c r="AH35" i="69" s="1"/>
  <c r="Q23" i="69"/>
  <c r="AH23" i="69" s="1"/>
  <c r="Q31" i="69"/>
  <c r="AH31" i="69" s="1"/>
  <c r="Q16" i="69"/>
  <c r="AH16" i="69" s="1"/>
  <c r="Q29" i="69"/>
  <c r="AH29" i="69" s="1"/>
  <c r="Q28" i="69"/>
  <c r="AH28" i="69" s="1"/>
  <c r="Q24" i="69"/>
  <c r="AH24" i="69" s="1"/>
  <c r="Q25" i="69"/>
  <c r="AH25" i="69" s="1"/>
  <c r="Q22" i="69"/>
  <c r="AH22" i="69" s="1"/>
  <c r="Q21" i="69"/>
  <c r="AH21" i="69" s="1"/>
  <c r="Q18" i="69"/>
  <c r="AH18" i="69" s="1"/>
  <c r="Q40" i="68"/>
  <c r="AH40" i="68" s="1"/>
  <c r="Q39" i="68"/>
  <c r="AH39" i="68" s="1"/>
  <c r="Q38" i="68"/>
  <c r="AH38" i="68" s="1"/>
  <c r="Q37" i="68"/>
  <c r="AH37" i="68" s="1"/>
  <c r="Q36" i="68"/>
  <c r="AH36" i="68" s="1"/>
  <c r="Q33" i="68"/>
  <c r="AH33" i="68" s="1"/>
  <c r="Q28" i="68"/>
  <c r="AH28" i="68" s="1"/>
  <c r="Q20" i="68"/>
  <c r="AH20" i="68" s="1"/>
  <c r="Q32" i="68"/>
  <c r="AH32" i="68" s="1"/>
  <c r="Q30" i="68"/>
  <c r="AH30" i="68" s="1"/>
  <c r="Q27" i="68"/>
  <c r="AH27" i="68" s="1"/>
  <c r="Q29" i="68"/>
  <c r="AH29" i="68" s="1"/>
  <c r="Q19" i="68"/>
  <c r="AH19" i="68" s="1"/>
  <c r="Q25" i="68"/>
  <c r="AH25" i="68" s="1"/>
  <c r="Q22" i="68"/>
  <c r="AH22" i="68" s="1"/>
  <c r="Q15" i="68"/>
  <c r="AH15" i="68" s="1"/>
  <c r="Q21" i="68"/>
  <c r="AH21" i="68" s="1"/>
  <c r="Q18" i="68"/>
  <c r="AH18" i="68" s="1"/>
  <c r="Q17" i="68"/>
  <c r="AH17" i="68" s="1"/>
  <c r="Q26" i="67"/>
  <c r="AH26" i="67" s="1"/>
  <c r="Q24" i="67"/>
  <c r="AH24" i="67" s="1"/>
  <c r="Q30" i="67"/>
  <c r="AH30" i="67" s="1"/>
  <c r="Q31" i="67"/>
  <c r="Q29" i="67"/>
  <c r="Q19" i="67"/>
  <c r="Q28" i="67"/>
  <c r="Q27" i="67"/>
  <c r="Q25" i="67"/>
  <c r="Q23" i="67"/>
  <c r="Q16" i="67"/>
  <c r="Q22" i="67"/>
  <c r="Q20" i="67"/>
  <c r="Q18" i="67"/>
  <c r="Q21" i="67"/>
  <c r="Q17" i="67"/>
  <c r="Q21" i="77"/>
  <c r="Q19" i="77"/>
  <c r="Q24" i="77"/>
  <c r="Q23" i="77"/>
  <c r="Q18" i="77"/>
  <c r="Q16" i="77"/>
  <c r="Q15" i="77"/>
  <c r="Q33" i="66"/>
  <c r="Q32" i="66"/>
  <c r="Q26" i="66"/>
  <c r="Q31" i="66"/>
  <c r="Q22" i="66"/>
  <c r="Q25" i="66"/>
  <c r="Q24" i="66"/>
  <c r="Q27" i="66"/>
  <c r="Q21" i="66"/>
  <c r="Q20" i="66"/>
  <c r="Q23" i="66"/>
  <c r="Q19" i="66"/>
  <c r="Q18" i="66"/>
  <c r="Q17" i="66"/>
  <c r="Q16" i="66"/>
  <c r="Q24" i="76"/>
  <c r="O24" i="76"/>
  <c r="Q31" i="76"/>
  <c r="O31" i="76"/>
  <c r="Q21" i="76"/>
  <c r="O21" i="76"/>
  <c r="Q38" i="76"/>
  <c r="O38" i="76"/>
  <c r="Q25" i="76"/>
  <c r="O25" i="76"/>
  <c r="Q20" i="76"/>
  <c r="O20" i="76"/>
  <c r="Q22" i="76"/>
  <c r="O22" i="76"/>
  <c r="Q19" i="76"/>
  <c r="O19" i="76"/>
  <c r="Q16" i="76"/>
  <c r="O16" i="76"/>
  <c r="Q18" i="76"/>
  <c r="O18" i="76"/>
  <c r="Q23" i="76"/>
  <c r="O23" i="76"/>
  <c r="Q15" i="76"/>
  <c r="O15" i="76"/>
  <c r="Q57" i="63"/>
  <c r="O57" i="63"/>
  <c r="AH57" i="63" s="1"/>
  <c r="Q43" i="63"/>
  <c r="O43" i="63"/>
  <c r="Q40" i="65"/>
  <c r="AH40" i="65" s="1"/>
  <c r="AH57" i="65"/>
  <c r="Q44" i="65"/>
  <c r="AH44" i="65" s="1"/>
  <c r="Q56" i="65"/>
  <c r="Q33" i="65"/>
  <c r="Q55" i="65"/>
  <c r="Q28" i="65"/>
  <c r="Q54" i="65"/>
  <c r="Q49" i="65"/>
  <c r="Q50" i="65"/>
  <c r="Q36" i="65"/>
  <c r="Q42" i="65"/>
  <c r="Q47" i="65"/>
  <c r="Q46" i="65"/>
  <c r="Q39" i="65"/>
  <c r="Q38" i="65"/>
  <c r="Q31" i="65"/>
  <c r="Q45" i="65"/>
  <c r="Q32" i="65"/>
  <c r="Q29" i="65"/>
  <c r="Q34" i="65"/>
  <c r="Q24" i="65"/>
  <c r="Q41" i="65"/>
  <c r="Q30" i="65"/>
  <c r="Q27" i="65"/>
  <c r="Q25" i="65"/>
  <c r="Q22" i="65"/>
  <c r="Q19" i="65"/>
  <c r="Q26" i="65"/>
  <c r="Q21" i="65"/>
  <c r="Q23" i="65"/>
  <c r="Q20" i="65"/>
  <c r="Q17" i="65"/>
  <c r="Q18" i="65"/>
  <c r="Q16" i="65"/>
  <c r="Q24" i="64"/>
  <c r="Q23" i="64"/>
  <c r="Q21" i="64"/>
  <c r="Q18" i="64"/>
  <c r="Q20" i="64"/>
  <c r="Q22" i="64"/>
  <c r="Q19" i="64"/>
  <c r="Q17" i="64"/>
  <c r="Q16" i="64"/>
  <c r="Q41" i="63"/>
  <c r="Q70" i="63"/>
  <c r="Q50" i="63"/>
  <c r="Q71" i="63"/>
  <c r="Q62" i="63"/>
  <c r="Q65" i="63"/>
  <c r="Q42" i="63"/>
  <c r="Q38" i="63"/>
  <c r="Q55" i="63"/>
  <c r="Q64" i="63"/>
  <c r="Q58" i="63"/>
  <c r="Q54" i="63"/>
  <c r="Q63" i="63"/>
  <c r="Q34" i="63"/>
  <c r="Q53" i="63"/>
  <c r="Q35" i="63"/>
  <c r="Q39" i="63"/>
  <c r="Q61" i="63"/>
  <c r="Q25" i="63"/>
  <c r="Q52" i="63"/>
  <c r="Q33" i="63"/>
  <c r="Q47" i="63"/>
  <c r="Q30" i="63"/>
  <c r="Q44" i="63"/>
  <c r="Q36" i="63"/>
  <c r="Q48" i="63"/>
  <c r="Q31" i="63"/>
  <c r="Q29" i="63"/>
  <c r="Q46" i="63"/>
  <c r="Q26" i="63"/>
  <c r="Q45" i="63"/>
  <c r="Q24" i="63"/>
  <c r="Q28" i="63"/>
  <c r="Q37" i="63"/>
  <c r="Q40" i="63"/>
  <c r="Q49" i="63"/>
  <c r="Q27" i="63"/>
  <c r="Q23" i="63"/>
  <c r="Q21" i="63"/>
  <c r="Q15" i="63"/>
  <c r="Q32" i="63"/>
  <c r="Q19" i="63"/>
  <c r="Q18" i="63"/>
  <c r="Q22" i="63"/>
  <c r="Q20" i="63"/>
  <c r="Q16" i="63"/>
  <c r="E31" i="72"/>
  <c r="D31" i="72"/>
  <c r="E25" i="74"/>
  <c r="D25" i="74"/>
  <c r="E30" i="74"/>
  <c r="D30" i="74"/>
  <c r="E37" i="74"/>
  <c r="D37" i="74"/>
  <c r="E31" i="70"/>
  <c r="D31" i="70"/>
  <c r="E32" i="70"/>
  <c r="D32" i="70"/>
  <c r="E21" i="70"/>
  <c r="D21" i="70"/>
  <c r="E30" i="69"/>
  <c r="D30" i="69"/>
  <c r="E27" i="69"/>
  <c r="D27" i="69"/>
  <c r="E34" i="69"/>
  <c r="D34" i="69"/>
  <c r="E34" i="68"/>
  <c r="D34" i="68"/>
  <c r="E33" i="67"/>
  <c r="D33" i="67"/>
  <c r="E26" i="67"/>
  <c r="D26" i="67"/>
  <c r="E24" i="67"/>
  <c r="D24" i="67"/>
  <c r="E32" i="67"/>
  <c r="D32" i="67"/>
  <c r="E30" i="67"/>
  <c r="D30" i="67"/>
  <c r="E24" i="76"/>
  <c r="D24" i="76"/>
  <c r="E31" i="76"/>
  <c r="D31" i="76"/>
  <c r="E21" i="76"/>
  <c r="D21" i="76"/>
  <c r="E44" i="65"/>
  <c r="D44" i="65"/>
  <c r="E57" i="63"/>
  <c r="D57" i="63"/>
  <c r="E43" i="63"/>
  <c r="D43" i="63"/>
  <c r="E40" i="65"/>
  <c r="D40" i="65"/>
  <c r="E57" i="65"/>
  <c r="D57" i="65"/>
  <c r="AH23" i="76" l="1"/>
  <c r="AH16" i="76"/>
  <c r="AH22" i="76"/>
  <c r="AH25" i="76"/>
  <c r="AH21" i="76"/>
  <c r="AH18" i="76"/>
  <c r="AH19" i="76"/>
  <c r="AH20" i="76"/>
  <c r="AH38" i="76"/>
  <c r="AH31" i="76"/>
  <c r="AH24" i="76"/>
  <c r="AH43" i="63"/>
  <c r="N15" i="73"/>
  <c r="N15" i="74"/>
  <c r="Q33" i="67" l="1"/>
  <c r="AH33" i="67" s="1"/>
  <c r="O19" i="67" l="1"/>
  <c r="AH19" i="67" s="1"/>
  <c r="O16" i="67"/>
  <c r="O27" i="67"/>
  <c r="AH27" i="67" s="1"/>
  <c r="O31" i="67"/>
  <c r="AH31" i="67" s="1"/>
  <c r="O29" i="67"/>
  <c r="AH29" i="67" s="1"/>
  <c r="O20" i="67"/>
  <c r="AH20" i="67" s="1"/>
  <c r="O21" i="67"/>
  <c r="AH21" i="67" s="1"/>
  <c r="O28" i="67"/>
  <c r="AH28" i="67" s="1"/>
  <c r="O25" i="67"/>
  <c r="AH25" i="67" s="1"/>
  <c r="O18" i="67"/>
  <c r="AH18" i="67" s="1"/>
  <c r="O23" i="67"/>
  <c r="AH23" i="67" s="1"/>
  <c r="O17" i="67"/>
  <c r="AH17" i="67" s="1"/>
  <c r="O22" i="67"/>
  <c r="AH22" i="67" s="1"/>
  <c r="Q17" i="75"/>
  <c r="AH17" i="75" s="1"/>
  <c r="Q18" i="75"/>
  <c r="AH18" i="75" s="1"/>
  <c r="Q15" i="75"/>
  <c r="Q16" i="73"/>
  <c r="Q16" i="72"/>
  <c r="AH16" i="72" s="1"/>
  <c r="O21" i="77"/>
  <c r="AH21" i="77" s="1"/>
  <c r="O23" i="77"/>
  <c r="AH23" i="77" s="1"/>
  <c r="O19" i="77"/>
  <c r="AH19" i="77" s="1"/>
  <c r="O24" i="77"/>
  <c r="AH24" i="77" s="1"/>
  <c r="O18" i="77"/>
  <c r="AH18" i="77" s="1"/>
  <c r="O15" i="77"/>
  <c r="AH15" i="77" s="1"/>
  <c r="O16" i="77"/>
  <c r="J251" i="56"/>
  <c r="W15" i="79" s="1"/>
  <c r="J252" i="56"/>
  <c r="J253" i="56"/>
  <c r="J254" i="56"/>
  <c r="J255" i="56"/>
  <c r="J256" i="56"/>
  <c r="J257" i="56"/>
  <c r="J258" i="56"/>
  <c r="J259" i="56"/>
  <c r="J260" i="56"/>
  <c r="J261" i="56"/>
  <c r="J262" i="56"/>
  <c r="J263" i="56"/>
  <c r="J264" i="56"/>
  <c r="J265" i="56"/>
  <c r="O56" i="65"/>
  <c r="AH56" i="65" s="1"/>
  <c r="O54" i="65"/>
  <c r="AH54" i="65" s="1"/>
  <c r="O36" i="65"/>
  <c r="AH36" i="65" s="1"/>
  <c r="O38" i="65"/>
  <c r="AH38" i="65" s="1"/>
  <c r="O33" i="65"/>
  <c r="AH33" i="65" s="1"/>
  <c r="O50" i="65"/>
  <c r="AH50" i="65" s="1"/>
  <c r="O47" i="65"/>
  <c r="AH47" i="65" s="1"/>
  <c r="O49" i="65"/>
  <c r="AH49" i="65" s="1"/>
  <c r="O55" i="65"/>
  <c r="AH55" i="65" s="1"/>
  <c r="O28" i="65"/>
  <c r="AH28" i="65" s="1"/>
  <c r="O32" i="65"/>
  <c r="AH32" i="65" s="1"/>
  <c r="O45" i="65"/>
  <c r="AH45" i="65" s="1"/>
  <c r="O31" i="65"/>
  <c r="AH31" i="65" s="1"/>
  <c r="O29" i="65"/>
  <c r="AH29" i="65" s="1"/>
  <c r="O42" i="65"/>
  <c r="AH42" i="65" s="1"/>
  <c r="O27" i="65"/>
  <c r="AH27" i="65" s="1"/>
  <c r="O34" i="65"/>
  <c r="AH34" i="65" s="1"/>
  <c r="O41" i="65"/>
  <c r="AH41" i="65" s="1"/>
  <c r="O30" i="65"/>
  <c r="AH30" i="65" s="1"/>
  <c r="O24" i="65"/>
  <c r="AH24" i="65" s="1"/>
  <c r="O46" i="65"/>
  <c r="AH46" i="65" s="1"/>
  <c r="O39" i="65"/>
  <c r="AH39" i="65" s="1"/>
  <c r="O22" i="65"/>
  <c r="AH22" i="65" s="1"/>
  <c r="O25" i="65"/>
  <c r="AH25" i="65" s="1"/>
  <c r="O21" i="65"/>
  <c r="AH21" i="65" s="1"/>
  <c r="O26" i="65"/>
  <c r="AH26" i="65" s="1"/>
  <c r="O23" i="65"/>
  <c r="AH23" i="65" s="1"/>
  <c r="O20" i="65"/>
  <c r="AH20" i="65" s="1"/>
  <c r="O18" i="65"/>
  <c r="AH18" i="65" s="1"/>
  <c r="O17" i="65"/>
  <c r="AH17" i="65" s="1"/>
  <c r="O16" i="65"/>
  <c r="AH16" i="65" s="1"/>
  <c r="O19" i="65"/>
  <c r="AH19" i="65" s="1"/>
  <c r="O23" i="64"/>
  <c r="AH23" i="64" s="1"/>
  <c r="O24" i="64"/>
  <c r="AH24" i="64" s="1"/>
  <c r="O18" i="64"/>
  <c r="AH18" i="64" s="1"/>
  <c r="O22" i="64"/>
  <c r="AH22" i="64" s="1"/>
  <c r="O21" i="64"/>
  <c r="AH21" i="64" s="1"/>
  <c r="O20" i="64"/>
  <c r="AH20" i="64" s="1"/>
  <c r="O17" i="64"/>
  <c r="AH17" i="64" s="1"/>
  <c r="O19" i="64"/>
  <c r="AH19" i="64" s="1"/>
  <c r="O16" i="64"/>
  <c r="AH16" i="64" s="1"/>
  <c r="O39" i="63"/>
  <c r="AH39" i="63" s="1"/>
  <c r="O64" i="63"/>
  <c r="AH64" i="63" s="1"/>
  <c r="O30" i="63"/>
  <c r="AH30" i="63" s="1"/>
  <c r="O62" i="63"/>
  <c r="AH62" i="63" s="1"/>
  <c r="O54" i="63"/>
  <c r="AH54" i="63" s="1"/>
  <c r="O38" i="63"/>
  <c r="AH38" i="63" s="1"/>
  <c r="O34" i="63"/>
  <c r="AH34" i="63" s="1"/>
  <c r="O41" i="63"/>
  <c r="AH41" i="63" s="1"/>
  <c r="O70" i="63"/>
  <c r="AH70" i="63" s="1"/>
  <c r="O42" i="63"/>
  <c r="AH42" i="63" s="1"/>
  <c r="O25" i="63"/>
  <c r="AH25" i="63" s="1"/>
  <c r="O50" i="63"/>
  <c r="AH50" i="63" s="1"/>
  <c r="O71" i="63"/>
  <c r="AH71" i="63" s="1"/>
  <c r="O33" i="63"/>
  <c r="AH33" i="63" s="1"/>
  <c r="O16" i="63"/>
  <c r="O29" i="63"/>
  <c r="AH29" i="63" s="1"/>
  <c r="O65" i="63"/>
  <c r="AH65" i="63" s="1"/>
  <c r="O35" i="63"/>
  <c r="AH35" i="63" s="1"/>
  <c r="O40" i="63"/>
  <c r="AH40" i="63" s="1"/>
  <c r="O55" i="63"/>
  <c r="AH55" i="63" s="1"/>
  <c r="O52" i="63"/>
  <c r="AH52" i="63" s="1"/>
  <c r="O61" i="63"/>
  <c r="AH61" i="63" s="1"/>
  <c r="O58" i="63"/>
  <c r="AH58" i="63" s="1"/>
  <c r="O36" i="63"/>
  <c r="AH36" i="63" s="1"/>
  <c r="O63" i="63"/>
  <c r="AH63" i="63" s="1"/>
  <c r="O47" i="63"/>
  <c r="AH47" i="63" s="1"/>
  <c r="O44" i="63"/>
  <c r="AH44" i="63" s="1"/>
  <c r="O46" i="63"/>
  <c r="AH46" i="63" s="1"/>
  <c r="O53" i="63"/>
  <c r="AH53" i="63" s="1"/>
  <c r="O45" i="63"/>
  <c r="AH45" i="63" s="1"/>
  <c r="O48" i="63"/>
  <c r="AH48" i="63" s="1"/>
  <c r="O18" i="63"/>
  <c r="AH18" i="63" s="1"/>
  <c r="O31" i="63"/>
  <c r="AH31" i="63" s="1"/>
  <c r="O49" i="63"/>
  <c r="AH49" i="63" s="1"/>
  <c r="O15" i="63"/>
  <c r="AH15" i="63" s="1"/>
  <c r="O24" i="63"/>
  <c r="AH24" i="63" s="1"/>
  <c r="O26" i="63"/>
  <c r="AH26" i="63" s="1"/>
  <c r="O28" i="63"/>
  <c r="AH28" i="63" s="1"/>
  <c r="O37" i="63"/>
  <c r="AH37" i="63" s="1"/>
  <c r="O22" i="63"/>
  <c r="AH22" i="63" s="1"/>
  <c r="O23" i="63"/>
  <c r="AH23" i="63" s="1"/>
  <c r="O27" i="63"/>
  <c r="AH27" i="63" s="1"/>
  <c r="O19" i="63"/>
  <c r="AH19" i="63" s="1"/>
  <c r="O32" i="63"/>
  <c r="AH32" i="63" s="1"/>
  <c r="O20" i="63"/>
  <c r="AH20" i="63" s="1"/>
  <c r="O21" i="63"/>
  <c r="AH21" i="63" s="1"/>
  <c r="Q18" i="62"/>
  <c r="O18" i="62"/>
  <c r="AH18" i="62" s="1"/>
  <c r="Q16" i="62"/>
  <c r="O16" i="62"/>
  <c r="Q17" i="62"/>
  <c r="O17" i="62"/>
  <c r="Q20" i="62"/>
  <c r="O20" i="62"/>
  <c r="Q46" i="61"/>
  <c r="O46" i="61"/>
  <c r="AH46" i="61" s="1"/>
  <c r="Q76" i="61"/>
  <c r="O76" i="61"/>
  <c r="Q75" i="61"/>
  <c r="O75" i="61"/>
  <c r="AH75" i="61" s="1"/>
  <c r="Q84" i="61"/>
  <c r="O84" i="61"/>
  <c r="Q83" i="61"/>
  <c r="O83" i="61"/>
  <c r="AH83" i="61" s="1"/>
  <c r="Q77" i="61"/>
  <c r="O77" i="61"/>
  <c r="Q72" i="61"/>
  <c r="O72" i="61"/>
  <c r="AH72" i="61" s="1"/>
  <c r="Q78" i="61"/>
  <c r="O78" i="61"/>
  <c r="Q74" i="61"/>
  <c r="O74" i="61"/>
  <c r="AH74" i="61" s="1"/>
  <c r="Q35" i="61"/>
  <c r="O35" i="61"/>
  <c r="Q37" i="61"/>
  <c r="O37" i="61"/>
  <c r="AH37" i="61" s="1"/>
  <c r="Q45" i="61"/>
  <c r="O45" i="61"/>
  <c r="Q20" i="61"/>
  <c r="O20" i="61"/>
  <c r="AH20" i="61" s="1"/>
  <c r="Q71" i="61"/>
  <c r="O71" i="61"/>
  <c r="Q30" i="61"/>
  <c r="O30" i="61"/>
  <c r="AH30" i="61" s="1"/>
  <c r="Q82" i="61"/>
  <c r="O82" i="61"/>
  <c r="Q79" i="61"/>
  <c r="O79" i="61"/>
  <c r="AH79" i="61" s="1"/>
  <c r="Q73" i="61"/>
  <c r="O73" i="61"/>
  <c r="Q31" i="61"/>
  <c r="O31" i="61"/>
  <c r="AH31" i="61" s="1"/>
  <c r="Q59" i="61"/>
  <c r="O59" i="61"/>
  <c r="Q81" i="61"/>
  <c r="O81" i="61"/>
  <c r="AH81" i="61" s="1"/>
  <c r="Q47" i="61"/>
  <c r="O47" i="61"/>
  <c r="Q64" i="61"/>
  <c r="O64" i="61"/>
  <c r="AH64" i="61" s="1"/>
  <c r="Q62" i="61"/>
  <c r="O62" i="61"/>
  <c r="Q38" i="61"/>
  <c r="O38" i="61"/>
  <c r="Q27" i="61"/>
  <c r="O27" i="61"/>
  <c r="Q65" i="61"/>
  <c r="O65" i="61"/>
  <c r="AH65" i="61" s="1"/>
  <c r="Q28" i="61"/>
  <c r="O28" i="61"/>
  <c r="Q68" i="61"/>
  <c r="O68" i="61"/>
  <c r="AH68" i="61" s="1"/>
  <c r="Q67" i="61"/>
  <c r="O67" i="61"/>
  <c r="Q56" i="61"/>
  <c r="O56" i="61"/>
  <c r="AH56" i="61" s="1"/>
  <c r="Q51" i="61"/>
  <c r="O51" i="61"/>
  <c r="Q36" i="61"/>
  <c r="O36" i="61"/>
  <c r="AH36" i="61" s="1"/>
  <c r="Q53" i="61"/>
  <c r="O53" i="61"/>
  <c r="Q26" i="61"/>
  <c r="O26" i="61"/>
  <c r="AH26" i="61" s="1"/>
  <c r="Q39" i="61"/>
  <c r="O39" i="61"/>
  <c r="Q32" i="61"/>
  <c r="O32" i="61"/>
  <c r="AH32" i="61" s="1"/>
  <c r="Q25" i="61"/>
  <c r="O25" i="61"/>
  <c r="Q21" i="61"/>
  <c r="O21" i="61"/>
  <c r="AH21" i="61" s="1"/>
  <c r="Q43" i="61"/>
  <c r="O43" i="61"/>
  <c r="Q49" i="61"/>
  <c r="O49" i="61"/>
  <c r="AH49" i="61" s="1"/>
  <c r="Q23" i="61"/>
  <c r="O23" i="61"/>
  <c r="Q24" i="61"/>
  <c r="O24" i="61"/>
  <c r="AH24" i="61" s="1"/>
  <c r="Q22" i="61"/>
  <c r="O22" i="61"/>
  <c r="Q44" i="61"/>
  <c r="O44" i="61"/>
  <c r="AH44" i="61" s="1"/>
  <c r="Q29" i="61"/>
  <c r="O29" i="61"/>
  <c r="Q48" i="61"/>
  <c r="O48" i="61"/>
  <c r="AH48" i="61" s="1"/>
  <c r="Q58" i="61"/>
  <c r="O58" i="61"/>
  <c r="Q41" i="61"/>
  <c r="O41" i="61"/>
  <c r="AH41" i="61" s="1"/>
  <c r="Q34" i="61"/>
  <c r="O34" i="61"/>
  <c r="Q19" i="61"/>
  <c r="O19" i="61"/>
  <c r="AH19" i="61" s="1"/>
  <c r="Q17" i="61"/>
  <c r="O17" i="61"/>
  <c r="Q15" i="61"/>
  <c r="O15" i="61"/>
  <c r="Q16" i="61"/>
  <c r="O16" i="61"/>
  <c r="Y34" i="58"/>
  <c r="W34" i="58"/>
  <c r="U34" i="58"/>
  <c r="Q34" i="58"/>
  <c r="O34" i="58"/>
  <c r="Y41" i="58"/>
  <c r="W41" i="58"/>
  <c r="U41" i="58"/>
  <c r="Q41" i="58"/>
  <c r="O41" i="58"/>
  <c r="Y40" i="58"/>
  <c r="W40" i="58"/>
  <c r="U40" i="58"/>
  <c r="Q40" i="58"/>
  <c r="O40" i="58"/>
  <c r="Y17" i="58"/>
  <c r="W17" i="58"/>
  <c r="U17" i="58"/>
  <c r="Q17" i="58"/>
  <c r="O17" i="58"/>
  <c r="Y45" i="58"/>
  <c r="W45" i="58"/>
  <c r="U45" i="58"/>
  <c r="Q45" i="58"/>
  <c r="O45" i="58"/>
  <c r="Y44" i="58"/>
  <c r="W44" i="58"/>
  <c r="U44" i="58"/>
  <c r="Q44" i="58"/>
  <c r="O44" i="58"/>
  <c r="Y43" i="58"/>
  <c r="W43" i="58"/>
  <c r="U43" i="58"/>
  <c r="Q43" i="58"/>
  <c r="O43" i="58"/>
  <c r="Y24" i="58"/>
  <c r="W24" i="58"/>
  <c r="U24" i="58"/>
  <c r="Q24" i="58"/>
  <c r="O24" i="58"/>
  <c r="Y23" i="58"/>
  <c r="W23" i="58"/>
  <c r="U23" i="58"/>
  <c r="Q23" i="58"/>
  <c r="O23" i="58"/>
  <c r="Y19" i="58"/>
  <c r="W19" i="58"/>
  <c r="U19" i="58"/>
  <c r="Q19" i="58"/>
  <c r="O19" i="58"/>
  <c r="Y22" i="58"/>
  <c r="W22" i="58"/>
  <c r="U22" i="58"/>
  <c r="Q22" i="58"/>
  <c r="O22" i="58"/>
  <c r="Y30" i="58"/>
  <c r="W30" i="58"/>
  <c r="U30" i="58"/>
  <c r="Q30" i="58"/>
  <c r="O30" i="58"/>
  <c r="Y20" i="58"/>
  <c r="W20" i="58"/>
  <c r="U20" i="58"/>
  <c r="Q20" i="58"/>
  <c r="O20" i="58"/>
  <c r="Y29" i="58"/>
  <c r="W29" i="58"/>
  <c r="U29" i="58"/>
  <c r="Q29" i="58"/>
  <c r="O29" i="58"/>
  <c r="Y18" i="58"/>
  <c r="W18" i="58"/>
  <c r="U18" i="58"/>
  <c r="Q18" i="58"/>
  <c r="O18" i="58"/>
  <c r="Y21" i="58"/>
  <c r="W21" i="58"/>
  <c r="U21" i="58"/>
  <c r="Q21" i="58"/>
  <c r="O21" i="58"/>
  <c r="Y16" i="58"/>
  <c r="W16" i="58"/>
  <c r="U16" i="58"/>
  <c r="Q16" i="58"/>
  <c r="O16" i="58"/>
  <c r="Y17" i="59"/>
  <c r="W17" i="59"/>
  <c r="U17" i="59"/>
  <c r="S17" i="59"/>
  <c r="Q17" i="59"/>
  <c r="O17" i="59"/>
  <c r="Y15" i="59"/>
  <c r="W15" i="59"/>
  <c r="U15" i="59"/>
  <c r="S15" i="59"/>
  <c r="Q15" i="59"/>
  <c r="O15" i="59"/>
  <c r="Y23" i="59"/>
  <c r="W23" i="59"/>
  <c r="U23" i="59"/>
  <c r="S23" i="59"/>
  <c r="Q23" i="59"/>
  <c r="O23" i="59"/>
  <c r="Y19" i="59"/>
  <c r="W19" i="59"/>
  <c r="U19" i="59"/>
  <c r="S19" i="59"/>
  <c r="Q19" i="59"/>
  <c r="O19" i="59"/>
  <c r="Y16" i="59"/>
  <c r="W16" i="59"/>
  <c r="U16" i="59"/>
  <c r="S16" i="59"/>
  <c r="Q16" i="59"/>
  <c r="O16" i="59"/>
  <c r="Y24" i="59"/>
  <c r="W24" i="59"/>
  <c r="U24" i="59"/>
  <c r="S24" i="59"/>
  <c r="Q24" i="59"/>
  <c r="O24" i="59"/>
  <c r="Y18" i="59"/>
  <c r="W18" i="59"/>
  <c r="U18" i="59"/>
  <c r="S18" i="59"/>
  <c r="Q18" i="59"/>
  <c r="O18" i="59"/>
  <c r="Y22" i="59"/>
  <c r="W22" i="59"/>
  <c r="U22" i="59"/>
  <c r="S22" i="59"/>
  <c r="Q22" i="59"/>
  <c r="O22" i="59"/>
  <c r="M17" i="59"/>
  <c r="M15" i="59"/>
  <c r="K17" i="59"/>
  <c r="K15" i="59"/>
  <c r="K23" i="59"/>
  <c r="K19" i="59"/>
  <c r="K16" i="59"/>
  <c r="K24" i="59"/>
  <c r="K18" i="59"/>
  <c r="K22" i="59"/>
  <c r="M34" i="58"/>
  <c r="M41" i="58"/>
  <c r="M40" i="58"/>
  <c r="M17" i="58"/>
  <c r="M45" i="58"/>
  <c r="M44" i="58"/>
  <c r="M43" i="58"/>
  <c r="M24" i="58"/>
  <c r="M23" i="58"/>
  <c r="M19" i="58"/>
  <c r="M22" i="58"/>
  <c r="M30" i="58"/>
  <c r="M20" i="58"/>
  <c r="M29" i="58"/>
  <c r="M18" i="58"/>
  <c r="M21" i="58"/>
  <c r="M16" i="58"/>
  <c r="K34" i="58"/>
  <c r="AH34" i="58" s="1"/>
  <c r="K41" i="58"/>
  <c r="K40" i="58"/>
  <c r="K17" i="58"/>
  <c r="K45" i="58"/>
  <c r="K44" i="58"/>
  <c r="K43" i="58"/>
  <c r="K24" i="58"/>
  <c r="K23" i="58"/>
  <c r="K19" i="58"/>
  <c r="K22" i="58"/>
  <c r="K30" i="58"/>
  <c r="K20" i="58"/>
  <c r="K29" i="58"/>
  <c r="K18" i="58"/>
  <c r="K21" i="58"/>
  <c r="K16" i="58"/>
  <c r="Q19" i="57"/>
  <c r="O19" i="57"/>
  <c r="Q20" i="57"/>
  <c r="O20" i="57"/>
  <c r="Q16" i="57"/>
  <c r="O16" i="57"/>
  <c r="Q33" i="57"/>
  <c r="O33" i="57"/>
  <c r="Q32" i="57"/>
  <c r="O32" i="57"/>
  <c r="Q21" i="57"/>
  <c r="O21" i="57"/>
  <c r="Q22" i="57"/>
  <c r="O22" i="57"/>
  <c r="Q31" i="57"/>
  <c r="O31" i="57"/>
  <c r="Q18" i="57"/>
  <c r="O18" i="57"/>
  <c r="Q23" i="57"/>
  <c r="O23" i="57"/>
  <c r="Q28" i="57"/>
  <c r="O28" i="57"/>
  <c r="Q27" i="57"/>
  <c r="O27" i="57"/>
  <c r="Q17" i="57"/>
  <c r="O17" i="57"/>
  <c r="O24" i="66"/>
  <c r="AH24" i="66" s="1"/>
  <c r="O26" i="66"/>
  <c r="AH26" i="66" s="1"/>
  <c r="O27" i="66"/>
  <c r="AH27" i="66" s="1"/>
  <c r="O33" i="66"/>
  <c r="AH33" i="66" s="1"/>
  <c r="O31" i="66"/>
  <c r="AH31" i="66" s="1"/>
  <c r="O32" i="66"/>
  <c r="AH32" i="66" s="1"/>
  <c r="O22" i="66"/>
  <c r="AH22" i="66" s="1"/>
  <c r="O25" i="66"/>
  <c r="AH25" i="66" s="1"/>
  <c r="O21" i="66"/>
  <c r="AH21" i="66" s="1"/>
  <c r="O23" i="66"/>
  <c r="AH23" i="66" s="1"/>
  <c r="O18" i="66"/>
  <c r="AH18" i="66" s="1"/>
  <c r="O20" i="66"/>
  <c r="AH20" i="66" s="1"/>
  <c r="O19" i="66"/>
  <c r="AH19" i="66" s="1"/>
  <c r="O16" i="66"/>
  <c r="AH16" i="66" s="1"/>
  <c r="O17" i="66"/>
  <c r="AH17" i="66" s="1"/>
  <c r="AH20" i="62" l="1"/>
  <c r="AH16" i="62"/>
  <c r="AH16" i="61"/>
  <c r="AH17" i="61"/>
  <c r="AH34" i="61"/>
  <c r="AH58" i="61"/>
  <c r="AH29" i="61"/>
  <c r="AH22" i="61"/>
  <c r="AH23" i="61"/>
  <c r="AH43" i="61"/>
  <c r="AH25" i="61"/>
  <c r="AH39" i="61"/>
  <c r="AH53" i="61"/>
  <c r="AH51" i="61"/>
  <c r="AH67" i="61"/>
  <c r="AH28" i="61"/>
  <c r="AH62" i="61"/>
  <c r="AH47" i="61"/>
  <c r="AH59" i="61"/>
  <c r="AH73" i="61"/>
  <c r="AH82" i="61"/>
  <c r="AH71" i="61"/>
  <c r="AH35" i="61"/>
  <c r="AH78" i="61"/>
  <c r="AH77" i="61"/>
  <c r="AH84" i="61"/>
  <c r="AH76" i="61"/>
  <c r="AH27" i="57"/>
  <c r="AH23" i="57"/>
  <c r="AH31" i="57"/>
  <c r="AH21" i="57"/>
  <c r="AH33" i="57"/>
  <c r="AH20" i="57"/>
  <c r="AH17" i="57"/>
  <c r="AH28" i="57"/>
  <c r="AH18" i="57"/>
  <c r="AH22" i="57"/>
  <c r="AH32" i="57"/>
  <c r="AH16" i="57"/>
  <c r="AH19" i="57"/>
  <c r="AH17" i="58"/>
  <c r="AH40" i="58"/>
  <c r="AH41" i="58"/>
  <c r="AH17" i="59"/>
  <c r="AH15" i="59"/>
  <c r="U57" i="1" l="1"/>
  <c r="Q57" i="1"/>
  <c r="O57" i="1"/>
  <c r="U55" i="1"/>
  <c r="Q55" i="1"/>
  <c r="O55" i="1"/>
  <c r="U59" i="1"/>
  <c r="Q59" i="1"/>
  <c r="O59" i="1"/>
  <c r="U58" i="1"/>
  <c r="Q58" i="1"/>
  <c r="O58" i="1"/>
  <c r="U19" i="1"/>
  <c r="Q19" i="1"/>
  <c r="O19" i="1"/>
  <c r="U35" i="1"/>
  <c r="Q35" i="1"/>
  <c r="O35" i="1"/>
  <c r="U39" i="1"/>
  <c r="Q39" i="1"/>
  <c r="O39" i="1"/>
  <c r="U21" i="1"/>
  <c r="Q21" i="1"/>
  <c r="O21" i="1"/>
  <c r="U61" i="1"/>
  <c r="Q61" i="1"/>
  <c r="O61" i="1"/>
  <c r="U60" i="1"/>
  <c r="Q60" i="1"/>
  <c r="O60" i="1"/>
  <c r="U43" i="1"/>
  <c r="Q43" i="1"/>
  <c r="O43" i="1"/>
  <c r="U29" i="1"/>
  <c r="Q29" i="1"/>
  <c r="O29" i="1"/>
  <c r="U56" i="1"/>
  <c r="Q56" i="1"/>
  <c r="O56" i="1"/>
  <c r="U22" i="1"/>
  <c r="Q22" i="1"/>
  <c r="O22" i="1"/>
  <c r="U27" i="1"/>
  <c r="Q27" i="1"/>
  <c r="O27" i="1"/>
  <c r="U26" i="1"/>
  <c r="Q26" i="1"/>
  <c r="O26" i="1"/>
  <c r="U50" i="1"/>
  <c r="Q50" i="1"/>
  <c r="O50" i="1"/>
  <c r="U20" i="1"/>
  <c r="Q20" i="1"/>
  <c r="O20" i="1"/>
  <c r="U48" i="1"/>
  <c r="Q48" i="1"/>
  <c r="O48" i="1"/>
  <c r="U18" i="1"/>
  <c r="Q18" i="1"/>
  <c r="O18" i="1"/>
  <c r="U33" i="1"/>
  <c r="Q33" i="1"/>
  <c r="O33" i="1"/>
  <c r="U25" i="1"/>
  <c r="Q25" i="1"/>
  <c r="O25" i="1"/>
  <c r="U16" i="1"/>
  <c r="Q16" i="1"/>
  <c r="O16" i="1"/>
  <c r="U28" i="1"/>
  <c r="Q28" i="1"/>
  <c r="O28" i="1"/>
  <c r="U17" i="1"/>
  <c r="Q17" i="1"/>
  <c r="O17" i="1"/>
  <c r="U23" i="1"/>
  <c r="Q23" i="1"/>
  <c r="O23" i="1"/>
  <c r="E36" i="80"/>
  <c r="D36" i="80"/>
  <c r="E24" i="80"/>
  <c r="D24" i="80"/>
  <c r="E23" i="80"/>
  <c r="D23" i="80"/>
  <c r="E35" i="80"/>
  <c r="D35" i="80"/>
  <c r="E17" i="75"/>
  <c r="D17" i="75"/>
  <c r="E18" i="75"/>
  <c r="D18" i="75"/>
  <c r="E17" i="79"/>
  <c r="D17" i="79"/>
  <c r="E15" i="79"/>
  <c r="D15" i="79"/>
  <c r="E20" i="79"/>
  <c r="D20" i="79"/>
  <c r="E16" i="73"/>
  <c r="D16" i="73"/>
  <c r="E45" i="72"/>
  <c r="D45" i="72"/>
  <c r="E22" i="72"/>
  <c r="D22" i="72"/>
  <c r="E34" i="72"/>
  <c r="D34" i="72"/>
  <c r="E44" i="72"/>
  <c r="D44" i="72"/>
  <c r="E18" i="72"/>
  <c r="D18" i="72"/>
  <c r="E16" i="78"/>
  <c r="D16" i="78"/>
  <c r="E18" i="78"/>
  <c r="D18" i="78"/>
  <c r="E20" i="78"/>
  <c r="D20" i="78"/>
  <c r="E15" i="71"/>
  <c r="D15" i="71"/>
  <c r="E26" i="74"/>
  <c r="D26" i="74"/>
  <c r="E31" i="74"/>
  <c r="D31" i="74"/>
  <c r="E34" i="74"/>
  <c r="D34" i="74"/>
  <c r="E29" i="74"/>
  <c r="D29" i="74"/>
  <c r="E35" i="69"/>
  <c r="D35" i="69"/>
  <c r="E16" i="69"/>
  <c r="D16" i="69"/>
  <c r="E31" i="69"/>
  <c r="D31" i="69"/>
  <c r="E25" i="69"/>
  <c r="D25" i="69"/>
  <c r="E38" i="69"/>
  <c r="D38" i="69"/>
  <c r="E33" i="68"/>
  <c r="D33" i="68"/>
  <c r="E36" i="68"/>
  <c r="D36" i="68"/>
  <c r="E38" i="68"/>
  <c r="D38" i="68"/>
  <c r="E25" i="68"/>
  <c r="D25" i="68"/>
  <c r="E20" i="68"/>
  <c r="D20" i="68"/>
  <c r="E29" i="68"/>
  <c r="D29" i="68"/>
  <c r="E24" i="68"/>
  <c r="D24" i="68"/>
  <c r="E19" i="67"/>
  <c r="D19" i="67"/>
  <c r="E16" i="67"/>
  <c r="D16" i="67"/>
  <c r="E27" i="67"/>
  <c r="D27" i="67"/>
  <c r="E21" i="77"/>
  <c r="D21" i="77"/>
  <c r="E23" i="77"/>
  <c r="D23" i="77"/>
  <c r="E19" i="77"/>
  <c r="D19" i="77"/>
  <c r="E24" i="77"/>
  <c r="D24" i="77"/>
  <c r="E24" i="66"/>
  <c r="D24" i="66"/>
  <c r="E26" i="66"/>
  <c r="D26" i="66"/>
  <c r="E27" i="66"/>
  <c r="D27" i="66"/>
  <c r="E33" i="66"/>
  <c r="D33" i="66"/>
  <c r="E31" i="66"/>
  <c r="D31" i="66"/>
  <c r="E32" i="66"/>
  <c r="D32" i="66"/>
  <c r="E25" i="76"/>
  <c r="D25" i="76"/>
  <c r="E22" i="76"/>
  <c r="D22" i="76"/>
  <c r="E38" i="76"/>
  <c r="D38" i="76"/>
  <c r="E19" i="76"/>
  <c r="D19" i="76"/>
  <c r="E56" i="65"/>
  <c r="D56" i="65"/>
  <c r="E54" i="65"/>
  <c r="D54" i="65"/>
  <c r="E36" i="65"/>
  <c r="D36" i="65"/>
  <c r="E38" i="65"/>
  <c r="D38" i="65"/>
  <c r="E33" i="65"/>
  <c r="D33" i="65"/>
  <c r="E50" i="65"/>
  <c r="D50" i="65"/>
  <c r="E47" i="65"/>
  <c r="D47" i="65"/>
  <c r="E49" i="65"/>
  <c r="D49" i="65"/>
  <c r="E55" i="65"/>
  <c r="D55" i="65"/>
  <c r="E23" i="64"/>
  <c r="D23" i="64"/>
  <c r="E39" i="63"/>
  <c r="D39" i="63"/>
  <c r="E64" i="63"/>
  <c r="D64" i="63"/>
  <c r="E30" i="63"/>
  <c r="D30" i="63"/>
  <c r="E62" i="63"/>
  <c r="D62" i="63"/>
  <c r="E54" i="63"/>
  <c r="D54" i="63"/>
  <c r="E38" i="63"/>
  <c r="D38" i="63"/>
  <c r="E34" i="63"/>
  <c r="D34" i="63"/>
  <c r="E41" i="63"/>
  <c r="D41" i="63"/>
  <c r="AH25" i="1" l="1"/>
  <c r="AH20" i="1"/>
  <c r="AH60" i="1"/>
  <c r="AH35" i="1"/>
  <c r="AH59" i="1"/>
  <c r="AH48" i="1"/>
  <c r="AH27" i="1"/>
  <c r="AH43" i="1"/>
  <c r="AH39" i="1"/>
  <c r="AH58" i="1"/>
  <c r="AH28" i="1"/>
  <c r="AH21" i="1"/>
  <c r="AH62" i="1"/>
  <c r="AH57" i="1"/>
  <c r="AH33" i="1"/>
  <c r="AH50" i="1"/>
  <c r="AH56" i="1"/>
  <c r="AH61" i="1"/>
  <c r="AH55" i="1"/>
  <c r="M23" i="59"/>
  <c r="I23" i="59"/>
  <c r="G23" i="59"/>
  <c r="O15" i="1"/>
  <c r="Q15" i="1"/>
  <c r="Y15" i="1"/>
  <c r="AH23" i="59" l="1"/>
  <c r="E18" i="80"/>
  <c r="D18" i="80"/>
  <c r="E34" i="80"/>
  <c r="D34" i="80"/>
  <c r="E20" i="80"/>
  <c r="D20" i="80"/>
  <c r="E25" i="80"/>
  <c r="D25" i="80"/>
  <c r="E21" i="80"/>
  <c r="D21" i="80"/>
  <c r="E22" i="80"/>
  <c r="D22" i="80"/>
  <c r="E33" i="80"/>
  <c r="D33" i="80"/>
  <c r="E17" i="80"/>
  <c r="D17" i="80"/>
  <c r="Y15" i="80"/>
  <c r="U15" i="80"/>
  <c r="Q15" i="80"/>
  <c r="E15" i="80"/>
  <c r="D15" i="80"/>
  <c r="E16" i="80"/>
  <c r="D16" i="80"/>
  <c r="E32" i="80"/>
  <c r="D32" i="80"/>
  <c r="E31" i="80"/>
  <c r="D31" i="80"/>
  <c r="E26" i="80"/>
  <c r="D26" i="80"/>
  <c r="E30" i="80"/>
  <c r="D30" i="80"/>
  <c r="E28" i="80"/>
  <c r="D28" i="80"/>
  <c r="E29" i="80"/>
  <c r="D29" i="80"/>
  <c r="E19" i="80"/>
  <c r="D19" i="80"/>
  <c r="E27" i="80"/>
  <c r="D27" i="80"/>
  <c r="E17" i="71"/>
  <c r="D17" i="71"/>
  <c r="E20" i="71"/>
  <c r="D20" i="71"/>
  <c r="E33" i="74"/>
  <c r="D33" i="74"/>
  <c r="E32" i="74"/>
  <c r="D32" i="74"/>
  <c r="E20" i="74"/>
  <c r="D20" i="74"/>
  <c r="E39" i="70"/>
  <c r="D39" i="70"/>
  <c r="E16" i="70"/>
  <c r="D16" i="70"/>
  <c r="E38" i="70"/>
  <c r="D38" i="70"/>
  <c r="E34" i="70"/>
  <c r="D34" i="70"/>
  <c r="E24" i="69"/>
  <c r="D24" i="69"/>
  <c r="E36" i="69"/>
  <c r="D36" i="69"/>
  <c r="E26" i="68"/>
  <c r="D26" i="68"/>
  <c r="E32" i="68"/>
  <c r="D32" i="68"/>
  <c r="E19" i="68"/>
  <c r="D19" i="68"/>
  <c r="E26" i="65"/>
  <c r="D26" i="65"/>
  <c r="E30" i="65"/>
  <c r="D30" i="65"/>
  <c r="E41" i="65"/>
  <c r="D41" i="65"/>
  <c r="E24" i="64"/>
  <c r="D24" i="64"/>
  <c r="E21" i="64"/>
  <c r="D21" i="64"/>
  <c r="E53" i="63"/>
  <c r="D53" i="63"/>
  <c r="E63" i="63"/>
  <c r="D63" i="63"/>
  <c r="E61" i="63"/>
  <c r="D61" i="63"/>
  <c r="E23" i="63"/>
  <c r="D23" i="63"/>
  <c r="E37" i="63"/>
  <c r="D37" i="63"/>
  <c r="M19" i="59"/>
  <c r="I19" i="59"/>
  <c r="G19" i="59"/>
  <c r="I43" i="58"/>
  <c r="G43" i="58"/>
  <c r="I19" i="58"/>
  <c r="G19" i="58"/>
  <c r="AH19" i="58" s="1"/>
  <c r="I24" i="58"/>
  <c r="G24" i="58"/>
  <c r="AH24" i="58" l="1"/>
  <c r="AH43" i="58"/>
  <c r="AH19" i="59"/>
  <c r="M16" i="59" l="1"/>
  <c r="I16" i="59"/>
  <c r="G16" i="59"/>
  <c r="Y20" i="59"/>
  <c r="W20" i="59"/>
  <c r="U20" i="59"/>
  <c r="S20" i="59"/>
  <c r="Q20" i="59"/>
  <c r="O20" i="59"/>
  <c r="M20" i="59"/>
  <c r="K20" i="59"/>
  <c r="I20" i="59"/>
  <c r="G20" i="59"/>
  <c r="M24" i="59"/>
  <c r="I24" i="59"/>
  <c r="G24" i="59"/>
  <c r="E22" i="79"/>
  <c r="D22" i="79"/>
  <c r="E19" i="79"/>
  <c r="D19" i="79"/>
  <c r="E16" i="79"/>
  <c r="D16" i="79"/>
  <c r="Q18" i="79"/>
  <c r="AH18" i="79" s="1"/>
  <c r="E18" i="79"/>
  <c r="D18" i="79"/>
  <c r="E19" i="78"/>
  <c r="D19" i="78"/>
  <c r="E15" i="78"/>
  <c r="D15" i="78"/>
  <c r="E17" i="67"/>
  <c r="D17" i="67"/>
  <c r="E18" i="77"/>
  <c r="D18" i="77"/>
  <c r="O17" i="77"/>
  <c r="E17" i="77"/>
  <c r="D17" i="77"/>
  <c r="E16" i="77"/>
  <c r="D16" i="77"/>
  <c r="E15" i="77"/>
  <c r="D15" i="77"/>
  <c r="E15" i="76"/>
  <c r="D15" i="76"/>
  <c r="Q17" i="76"/>
  <c r="O17" i="76"/>
  <c r="E17" i="76"/>
  <c r="D17" i="76"/>
  <c r="E18" i="76"/>
  <c r="D18" i="76"/>
  <c r="E16" i="76"/>
  <c r="D16" i="76"/>
  <c r="E23" i="76"/>
  <c r="D23" i="76"/>
  <c r="E20" i="76"/>
  <c r="D20" i="76"/>
  <c r="AH17" i="76" l="1"/>
  <c r="AH24" i="59"/>
  <c r="AH16" i="59"/>
  <c r="AH20" i="59"/>
  <c r="M18" i="59" l="1"/>
  <c r="I18" i="59"/>
  <c r="G18" i="59"/>
  <c r="M22" i="59"/>
  <c r="I22" i="59"/>
  <c r="G22" i="59"/>
  <c r="I30" i="58"/>
  <c r="G30" i="58"/>
  <c r="AH30" i="58" s="1"/>
  <c r="I21" i="58"/>
  <c r="G21" i="58"/>
  <c r="I22" i="58"/>
  <c r="G22" i="58"/>
  <c r="AH22" i="58" s="1"/>
  <c r="I44" i="58"/>
  <c r="G44" i="58"/>
  <c r="I20" i="58"/>
  <c r="G20" i="58"/>
  <c r="AH20" i="58" s="1"/>
  <c r="I29" i="58"/>
  <c r="G29" i="58"/>
  <c r="I16" i="58"/>
  <c r="G16" i="58"/>
  <c r="AH16" i="58" s="1"/>
  <c r="I45" i="58"/>
  <c r="G45" i="58"/>
  <c r="I18" i="58"/>
  <c r="G18" i="58"/>
  <c r="AH18" i="58" s="1"/>
  <c r="I23" i="58"/>
  <c r="G23" i="58"/>
  <c r="Y15" i="58"/>
  <c r="W15" i="58"/>
  <c r="U15" i="58"/>
  <c r="Q15" i="58"/>
  <c r="O15" i="58"/>
  <c r="M15" i="58"/>
  <c r="K15" i="58"/>
  <c r="I15" i="58"/>
  <c r="G15" i="58"/>
  <c r="E28" i="67"/>
  <c r="D28" i="67"/>
  <c r="E23" i="67"/>
  <c r="D23" i="67"/>
  <c r="J250" i="56"/>
  <c r="J249" i="56"/>
  <c r="J248" i="56"/>
  <c r="J247" i="56"/>
  <c r="J246" i="56"/>
  <c r="J245" i="56"/>
  <c r="J244" i="56"/>
  <c r="J243" i="56"/>
  <c r="J242" i="56"/>
  <c r="J241" i="56"/>
  <c r="J240" i="56"/>
  <c r="J239" i="56"/>
  <c r="J238" i="56"/>
  <c r="J237" i="56"/>
  <c r="J236" i="56"/>
  <c r="J235" i="56"/>
  <c r="J234" i="56"/>
  <c r="J233" i="56"/>
  <c r="J232" i="56"/>
  <c r="J231" i="56"/>
  <c r="J230" i="56"/>
  <c r="W15" i="1" s="1"/>
  <c r="J229" i="56"/>
  <c r="J228" i="56"/>
  <c r="J227" i="56"/>
  <c r="J226" i="56"/>
  <c r="W15" i="78" s="1"/>
  <c r="J225" i="56"/>
  <c r="J224" i="56"/>
  <c r="J223" i="56"/>
  <c r="N16" i="71" s="1"/>
  <c r="J222" i="56"/>
  <c r="W15" i="71" s="1"/>
  <c r="J221" i="56"/>
  <c r="J220" i="56"/>
  <c r="J219" i="56"/>
  <c r="J218" i="56"/>
  <c r="J217" i="56"/>
  <c r="W15" i="62" s="1"/>
  <c r="J216" i="56"/>
  <c r="J215" i="56"/>
  <c r="J214" i="56"/>
  <c r="J213" i="56"/>
  <c r="J212" i="56"/>
  <c r="J211" i="56"/>
  <c r="J210" i="56"/>
  <c r="W15" i="57" s="1"/>
  <c r="J209" i="56"/>
  <c r="J208" i="56"/>
  <c r="Z17" i="79" s="1"/>
  <c r="AA17" i="79" s="1"/>
  <c r="J207" i="56"/>
  <c r="Z16" i="79" s="1"/>
  <c r="AA16" i="79" s="1"/>
  <c r="J206" i="56"/>
  <c r="Z15" i="79" s="1"/>
  <c r="AA15" i="79" s="1"/>
  <c r="J205" i="56"/>
  <c r="J204" i="56"/>
  <c r="J203" i="56"/>
  <c r="J202" i="56"/>
  <c r="J201" i="56"/>
  <c r="J200" i="56"/>
  <c r="J199" i="56"/>
  <c r="Z23" i="1" s="1"/>
  <c r="AA23" i="1" s="1"/>
  <c r="AH23" i="1" s="1"/>
  <c r="J198" i="56"/>
  <c r="J197" i="56"/>
  <c r="Z40" i="1" s="1"/>
  <c r="AA40" i="1" s="1"/>
  <c r="AH40" i="1" s="1"/>
  <c r="J196" i="56"/>
  <c r="Z29" i="1" s="1"/>
  <c r="AA29" i="1" s="1"/>
  <c r="AH29" i="1" s="1"/>
  <c r="J195" i="56"/>
  <c r="J194" i="56"/>
  <c r="Z34" i="1" s="1"/>
  <c r="AA34" i="1" s="1"/>
  <c r="AH34" i="1" s="1"/>
  <c r="J193" i="56"/>
  <c r="Z22" i="1" s="1"/>
  <c r="AA22" i="1" s="1"/>
  <c r="AH22" i="1" s="1"/>
  <c r="J192" i="56"/>
  <c r="Z26" i="1" s="1"/>
  <c r="AA26" i="1" s="1"/>
  <c r="AH26" i="1" s="1"/>
  <c r="J191" i="56"/>
  <c r="Z16" i="1" s="1"/>
  <c r="AA16" i="1" s="1"/>
  <c r="AH16" i="1" s="1"/>
  <c r="J190" i="56"/>
  <c r="Z18" i="1" s="1"/>
  <c r="AA18" i="1" s="1"/>
  <c r="AH18" i="1" s="1"/>
  <c r="J189" i="56"/>
  <c r="Z17" i="1" s="1"/>
  <c r="AA17" i="1" s="1"/>
  <c r="AH17" i="1" s="1"/>
  <c r="J188" i="56"/>
  <c r="Z19" i="1" s="1"/>
  <c r="AA19" i="1" s="1"/>
  <c r="AH19" i="1" s="1"/>
  <c r="S15" i="1"/>
  <c r="S15" i="78"/>
  <c r="S15" i="62"/>
  <c r="S15" i="61"/>
  <c r="S15" i="72"/>
  <c r="S15" i="69"/>
  <c r="S15" i="65"/>
  <c r="S16" i="77"/>
  <c r="J2" i="56"/>
  <c r="AH15" i="58" l="1"/>
  <c r="AH23" i="58"/>
  <c r="AH45" i="58"/>
  <c r="AH29" i="58"/>
  <c r="AH44" i="58"/>
  <c r="AH21" i="58"/>
  <c r="S15" i="76"/>
  <c r="Z16" i="67"/>
  <c r="AA16" i="67" s="1"/>
  <c r="AH16" i="67" s="1"/>
  <c r="S15" i="67"/>
  <c r="S17" i="63"/>
  <c r="N15" i="70"/>
  <c r="N16" i="68"/>
  <c r="N15" i="65"/>
  <c r="N15" i="69"/>
  <c r="N15" i="78"/>
  <c r="N16" i="72"/>
  <c r="AH22" i="59"/>
  <c r="AH18" i="59"/>
  <c r="O15" i="66" l="1"/>
  <c r="Q16" i="75"/>
  <c r="AH16" i="75" s="1"/>
  <c r="E15" i="75"/>
  <c r="D15" i="75"/>
  <c r="E16" i="75"/>
  <c r="D16" i="75"/>
  <c r="E15" i="73"/>
  <c r="D15" i="73"/>
  <c r="E43" i="72"/>
  <c r="D43" i="72"/>
  <c r="E27" i="72"/>
  <c r="D27" i="72"/>
  <c r="E25" i="72"/>
  <c r="D25" i="72"/>
  <c r="E17" i="72"/>
  <c r="D17" i="72"/>
  <c r="E42" i="72"/>
  <c r="D42" i="72"/>
  <c r="E19" i="72"/>
  <c r="D19" i="72"/>
  <c r="E24" i="72"/>
  <c r="D24" i="72"/>
  <c r="E15" i="72"/>
  <c r="D15" i="72"/>
  <c r="E39" i="72"/>
  <c r="D39" i="72"/>
  <c r="E36" i="72"/>
  <c r="D36" i="72"/>
  <c r="E41" i="72"/>
  <c r="D41" i="72"/>
  <c r="E38" i="72"/>
  <c r="D38" i="72"/>
  <c r="E20" i="72"/>
  <c r="D20" i="72"/>
  <c r="E33" i="72"/>
  <c r="D33" i="72"/>
  <c r="E40" i="72"/>
  <c r="D40" i="72"/>
  <c r="E35" i="72"/>
  <c r="D35" i="72"/>
  <c r="E30" i="72"/>
  <c r="D30" i="72"/>
  <c r="E16" i="72"/>
  <c r="D16" i="72"/>
  <c r="E37" i="72"/>
  <c r="D37" i="72"/>
  <c r="E23" i="72"/>
  <c r="D23" i="72"/>
  <c r="E16" i="71"/>
  <c r="D16" i="71"/>
  <c r="E22" i="74"/>
  <c r="D22" i="74"/>
  <c r="E15" i="74"/>
  <c r="D15" i="74"/>
  <c r="E17" i="74"/>
  <c r="D17" i="74"/>
  <c r="E23" i="74"/>
  <c r="D23" i="74"/>
  <c r="E16" i="74"/>
  <c r="D16" i="74"/>
  <c r="E24" i="74"/>
  <c r="D24" i="74"/>
  <c r="E20" i="70"/>
  <c r="D20" i="70"/>
  <c r="E29" i="70"/>
  <c r="D29" i="70"/>
  <c r="E30" i="70"/>
  <c r="D30" i="70"/>
  <c r="E25" i="70"/>
  <c r="D25" i="70"/>
  <c r="E18" i="70"/>
  <c r="D18" i="70"/>
  <c r="E19" i="70"/>
  <c r="D19" i="70"/>
  <c r="E23" i="70"/>
  <c r="D23" i="70"/>
  <c r="E24" i="70"/>
  <c r="D24" i="70"/>
  <c r="E28" i="70"/>
  <c r="D28" i="70"/>
  <c r="E15" i="70"/>
  <c r="D15" i="70"/>
  <c r="E22" i="70"/>
  <c r="D22" i="70"/>
  <c r="E15" i="68"/>
  <c r="E27" i="68"/>
  <c r="E40" i="68"/>
  <c r="E37" i="68"/>
  <c r="E18" i="68"/>
  <c r="E39" i="68"/>
  <c r="E30" i="68"/>
  <c r="E17" i="68"/>
  <c r="E22" i="68"/>
  <c r="E16" i="68"/>
  <c r="E28" i="68"/>
  <c r="D15" i="68"/>
  <c r="D27" i="68"/>
  <c r="D40" i="68"/>
  <c r="D37" i="68"/>
  <c r="D18" i="68"/>
  <c r="D39" i="68"/>
  <c r="D30" i="68"/>
  <c r="D17" i="68"/>
  <c r="D22" i="68"/>
  <c r="D16" i="68"/>
  <c r="D28" i="68"/>
  <c r="O15" i="65" l="1"/>
  <c r="O17" i="63"/>
  <c r="Q15" i="62"/>
  <c r="Q18" i="61"/>
  <c r="O18" i="61"/>
  <c r="J407" i="55"/>
  <c r="J406" i="55"/>
  <c r="J405" i="55"/>
  <c r="J404" i="55"/>
  <c r="J403" i="55"/>
  <c r="J402" i="55"/>
  <c r="J401" i="55"/>
  <c r="J400" i="55"/>
  <c r="J399" i="55"/>
  <c r="J398" i="55"/>
  <c r="J397" i="55"/>
  <c r="J396" i="55"/>
  <c r="J395" i="55"/>
  <c r="J394" i="55"/>
  <c r="J393" i="55"/>
  <c r="J392" i="55"/>
  <c r="J391" i="55"/>
  <c r="J390" i="55"/>
  <c r="J389" i="55"/>
  <c r="J388" i="55"/>
  <c r="J387" i="55"/>
  <c r="J386" i="55"/>
  <c r="J385" i="55"/>
  <c r="J384" i="55"/>
  <c r="J383" i="55"/>
  <c r="J382" i="55"/>
  <c r="J381" i="55"/>
  <c r="J380" i="55"/>
  <c r="J379" i="55"/>
  <c r="J378" i="55"/>
  <c r="J377" i="55"/>
  <c r="J376" i="55"/>
  <c r="J375" i="55"/>
  <c r="J374" i="55"/>
  <c r="J373" i="55"/>
  <c r="J372" i="55"/>
  <c r="J371" i="55"/>
  <c r="J370" i="55"/>
  <c r="J369" i="55"/>
  <c r="J368" i="55"/>
  <c r="J367" i="55"/>
  <c r="J366" i="55"/>
  <c r="J365" i="55"/>
  <c r="J364" i="55"/>
  <c r="J363" i="55"/>
  <c r="J362" i="55"/>
  <c r="J361" i="55"/>
  <c r="J360" i="55"/>
  <c r="J359" i="55"/>
  <c r="J358" i="55"/>
  <c r="J357" i="55"/>
  <c r="J356" i="55"/>
  <c r="J355" i="55"/>
  <c r="J354" i="55"/>
  <c r="J353" i="55"/>
  <c r="J352" i="55"/>
  <c r="J351" i="55"/>
  <c r="J350" i="55"/>
  <c r="J349" i="55"/>
  <c r="J348" i="55"/>
  <c r="J347" i="55"/>
  <c r="J346" i="55"/>
  <c r="J345" i="55"/>
  <c r="J344" i="55"/>
  <c r="J343" i="55"/>
  <c r="J342" i="55"/>
  <c r="J341" i="55"/>
  <c r="J340" i="55"/>
  <c r="J339" i="55"/>
  <c r="J338" i="55"/>
  <c r="J337" i="55"/>
  <c r="J336" i="55"/>
  <c r="J335" i="55"/>
  <c r="J334" i="55"/>
  <c r="J333" i="55"/>
  <c r="J332" i="55"/>
  <c r="J331" i="55"/>
  <c r="J330" i="55"/>
  <c r="J329" i="55"/>
  <c r="J328" i="55"/>
  <c r="J327" i="55"/>
  <c r="J326" i="55"/>
  <c r="J325" i="55"/>
  <c r="J324" i="55"/>
  <c r="J323" i="55"/>
  <c r="J322" i="55"/>
  <c r="J321" i="55"/>
  <c r="J320" i="55"/>
  <c r="J319" i="55"/>
  <c r="J318" i="55"/>
  <c r="J317" i="55"/>
  <c r="J316" i="55"/>
  <c r="J315" i="55"/>
  <c r="J314" i="55"/>
  <c r="J313" i="55"/>
  <c r="J312" i="55"/>
  <c r="J311" i="55"/>
  <c r="J310" i="55"/>
  <c r="J309" i="55"/>
  <c r="J308" i="55"/>
  <c r="J307" i="55"/>
  <c r="J306" i="55"/>
  <c r="J305" i="55"/>
  <c r="J304" i="55"/>
  <c r="Q19" i="69"/>
  <c r="AH19" i="69" s="1"/>
  <c r="Q20" i="69"/>
  <c r="AH20" i="69" s="1"/>
  <c r="J303" i="55"/>
  <c r="J302" i="55"/>
  <c r="J301" i="55"/>
  <c r="J300" i="55"/>
  <c r="J299" i="55"/>
  <c r="J298" i="55"/>
  <c r="J297" i="55"/>
  <c r="J296" i="55"/>
  <c r="J295" i="55"/>
  <c r="J294" i="55"/>
  <c r="J293" i="55"/>
  <c r="J292" i="55"/>
  <c r="J291" i="55"/>
  <c r="J290" i="55"/>
  <c r="J289" i="55"/>
  <c r="J288" i="55"/>
  <c r="J287" i="55"/>
  <c r="J286" i="55"/>
  <c r="J285" i="55"/>
  <c r="J284" i="55"/>
  <c r="J283" i="55"/>
  <c r="J282" i="55"/>
  <c r="J281" i="55"/>
  <c r="J280" i="55"/>
  <c r="J279" i="55"/>
  <c r="J278" i="55"/>
  <c r="J277" i="55"/>
  <c r="J276" i="55"/>
  <c r="J275" i="55"/>
  <c r="J274" i="55"/>
  <c r="Y15" i="64" s="1"/>
  <c r="J273" i="55"/>
  <c r="J272" i="55"/>
  <c r="J271" i="55"/>
  <c r="J270" i="55"/>
  <c r="J269" i="55"/>
  <c r="J268" i="55"/>
  <c r="J267" i="55"/>
  <c r="J266" i="55"/>
  <c r="J265" i="55"/>
  <c r="J264" i="55"/>
  <c r="J263" i="55"/>
  <c r="J262" i="55"/>
  <c r="J261" i="55"/>
  <c r="J260" i="55"/>
  <c r="J259" i="55"/>
  <c r="J258" i="55"/>
  <c r="J257" i="55"/>
  <c r="J256" i="55"/>
  <c r="J255" i="55"/>
  <c r="J254" i="55"/>
  <c r="J253" i="55"/>
  <c r="J252" i="55"/>
  <c r="J251" i="55"/>
  <c r="J250" i="55"/>
  <c r="J249" i="55"/>
  <c r="J248" i="55"/>
  <c r="J247" i="55"/>
  <c r="J246" i="55"/>
  <c r="J245" i="55"/>
  <c r="J244" i="55"/>
  <c r="J243" i="55"/>
  <c r="J242" i="55"/>
  <c r="J241" i="55"/>
  <c r="J240" i="55"/>
  <c r="J239" i="55"/>
  <c r="J238" i="55"/>
  <c r="J237" i="55"/>
  <c r="Y16" i="63" s="1"/>
  <c r="AH16" i="63" s="1"/>
  <c r="J236" i="55"/>
  <c r="AB17" i="62" s="1"/>
  <c r="AC17" i="62" s="1"/>
  <c r="AH17" i="62" s="1"/>
  <c r="J235" i="55"/>
  <c r="AB15" i="62" s="1"/>
  <c r="AC15" i="62" s="1"/>
  <c r="J234" i="55"/>
  <c r="J233" i="55"/>
  <c r="J232" i="55"/>
  <c r="AB42" i="61" s="1"/>
  <c r="AC42" i="61" s="1"/>
  <c r="AH42" i="61" s="1"/>
  <c r="J231" i="55"/>
  <c r="AB45" i="61" s="1"/>
  <c r="AC45" i="61" s="1"/>
  <c r="AH45" i="61" s="1"/>
  <c r="J230" i="55"/>
  <c r="AB15" i="61" s="1"/>
  <c r="AC15" i="61" s="1"/>
  <c r="J229" i="55"/>
  <c r="J228" i="55"/>
  <c r="Y15" i="62" s="1"/>
  <c r="J227" i="55"/>
  <c r="AB27" i="61" s="1"/>
  <c r="AC27" i="61" s="1"/>
  <c r="AH27" i="61" s="1"/>
  <c r="J226" i="55"/>
  <c r="AB38" i="61" s="1"/>
  <c r="AC38" i="61" s="1"/>
  <c r="AH38" i="61" s="1"/>
  <c r="U17" i="79"/>
  <c r="AH17" i="79" s="1"/>
  <c r="U16" i="79"/>
  <c r="AH16" i="79" s="1"/>
  <c r="U15" i="79"/>
  <c r="AH15" i="79" s="1"/>
  <c r="U15" i="75"/>
  <c r="U15" i="62"/>
  <c r="Q17" i="63"/>
  <c r="U15" i="1"/>
  <c r="AH15" i="1" s="1"/>
  <c r="Q15" i="66"/>
  <c r="AH15" i="66" s="1"/>
  <c r="U16" i="77"/>
  <c r="AH16" i="77" s="1"/>
  <c r="U15" i="66"/>
  <c r="Q15" i="65"/>
  <c r="U15" i="76"/>
  <c r="AH15" i="76" s="1"/>
  <c r="Q15" i="78"/>
  <c r="AH15" i="78" s="1"/>
  <c r="Q20" i="74"/>
  <c r="AH20" i="74" s="1"/>
  <c r="Q25" i="74"/>
  <c r="AH25" i="74" s="1"/>
  <c r="Q18" i="74"/>
  <c r="AH18" i="74" s="1"/>
  <c r="Q15" i="71"/>
  <c r="AH15" i="71" s="1"/>
  <c r="U15" i="65"/>
  <c r="Q15" i="70"/>
  <c r="Q22" i="70"/>
  <c r="AH22" i="70" s="1"/>
  <c r="Q24" i="70"/>
  <c r="AH24" i="70" s="1"/>
  <c r="U15" i="73"/>
  <c r="U15" i="78"/>
  <c r="U15" i="70"/>
  <c r="Q15" i="69"/>
  <c r="Q22" i="72"/>
  <c r="AH22" i="72" s="1"/>
  <c r="Q25" i="72"/>
  <c r="AH25" i="72" s="1"/>
  <c r="Q20" i="72"/>
  <c r="AH20" i="72" s="1"/>
  <c r="Q24" i="68"/>
  <c r="AH24" i="68" s="1"/>
  <c r="Q34" i="68"/>
  <c r="AH34" i="68" s="1"/>
  <c r="Q32" i="67"/>
  <c r="AH32" i="67" s="1"/>
  <c r="AH18" i="61" l="1"/>
  <c r="AH15" i="70"/>
  <c r="AH15" i="65"/>
  <c r="U15" i="61"/>
  <c r="AH15" i="61" s="1"/>
  <c r="U15" i="64"/>
  <c r="U17" i="63"/>
  <c r="AH17" i="63" s="1"/>
  <c r="Q27" i="69"/>
  <c r="AH27" i="69" s="1"/>
  <c r="U15" i="74"/>
  <c r="Q26" i="68"/>
  <c r="AH26" i="68" s="1"/>
  <c r="U15" i="69"/>
  <c r="AH15" i="69" s="1"/>
  <c r="Q16" i="68"/>
  <c r="AH16" i="68" s="1"/>
  <c r="U15" i="72"/>
  <c r="AH15" i="72" s="1"/>
  <c r="Q17" i="77"/>
  <c r="AH17" i="77" s="1"/>
  <c r="E21" i="67" l="1"/>
  <c r="D21" i="67"/>
  <c r="E31" i="67"/>
  <c r="D31" i="67"/>
  <c r="E21" i="65"/>
  <c r="D21" i="65"/>
  <c r="E22" i="66" l="1"/>
  <c r="D22" i="66"/>
  <c r="E15" i="66"/>
  <c r="D15" i="66"/>
  <c r="E23" i="66"/>
  <c r="D23" i="66"/>
  <c r="E18" i="66"/>
  <c r="D18" i="66"/>
  <c r="Q15" i="74" l="1"/>
  <c r="AH15" i="74" s="1"/>
  <c r="E19" i="63" l="1"/>
  <c r="D19" i="63"/>
  <c r="O15" i="57" l="1"/>
  <c r="E27" i="74" l="1"/>
  <c r="D27" i="74"/>
  <c r="E36" i="74"/>
  <c r="D36" i="74"/>
  <c r="E21" i="74"/>
  <c r="D21" i="74"/>
  <c r="E18" i="74"/>
  <c r="D18" i="74"/>
  <c r="E19" i="74"/>
  <c r="D19" i="74"/>
  <c r="E28" i="74"/>
  <c r="D28" i="74"/>
  <c r="U15" i="67" l="1"/>
  <c r="X15" i="75"/>
  <c r="Y15" i="75" s="1"/>
  <c r="AH15" i="75" s="1"/>
  <c r="E21" i="72"/>
  <c r="D21" i="72"/>
  <c r="E18" i="71"/>
  <c r="D18" i="71"/>
  <c r="E17" i="70"/>
  <c r="D17" i="70"/>
  <c r="E37" i="70"/>
  <c r="D37" i="70"/>
  <c r="E26" i="70"/>
  <c r="D26" i="70"/>
  <c r="E36" i="70"/>
  <c r="D36" i="70"/>
  <c r="E20" i="69"/>
  <c r="D20" i="69"/>
  <c r="E21" i="69"/>
  <c r="D21" i="69"/>
  <c r="E39" i="69"/>
  <c r="D39" i="69"/>
  <c r="E15" i="69"/>
  <c r="D15" i="69"/>
  <c r="E22" i="69"/>
  <c r="D22" i="69"/>
  <c r="E41" i="69"/>
  <c r="D41" i="69"/>
  <c r="E23" i="69"/>
  <c r="D23" i="69"/>
  <c r="E18" i="69"/>
  <c r="D18" i="69"/>
  <c r="E28" i="69"/>
  <c r="D28" i="69"/>
  <c r="E40" i="69"/>
  <c r="D40" i="69"/>
  <c r="E17" i="69"/>
  <c r="D17" i="69"/>
  <c r="E29" i="69"/>
  <c r="D29" i="69"/>
  <c r="E19" i="69"/>
  <c r="D19" i="69"/>
  <c r="E33" i="69"/>
  <c r="D33" i="69"/>
  <c r="E21" i="68"/>
  <c r="D21" i="68"/>
  <c r="E29" i="67"/>
  <c r="D29" i="67"/>
  <c r="E22" i="67"/>
  <c r="D22" i="67"/>
  <c r="E18" i="67"/>
  <c r="D18" i="67"/>
  <c r="E20" i="67"/>
  <c r="D20" i="67"/>
  <c r="E25" i="67"/>
  <c r="D25" i="67"/>
  <c r="O15" i="67"/>
  <c r="E15" i="67"/>
  <c r="D15" i="67"/>
  <c r="E17" i="66"/>
  <c r="D17" i="66"/>
  <c r="E21" i="66"/>
  <c r="D21" i="66"/>
  <c r="E19" i="66"/>
  <c r="D19" i="66"/>
  <c r="E16" i="66"/>
  <c r="D16" i="66"/>
  <c r="E25" i="66"/>
  <c r="D25" i="66"/>
  <c r="E20" i="66"/>
  <c r="D20" i="66"/>
  <c r="E25" i="65"/>
  <c r="D25" i="65"/>
  <c r="E27" i="65"/>
  <c r="D27" i="65"/>
  <c r="E28" i="65"/>
  <c r="D28" i="65"/>
  <c r="E31" i="65"/>
  <c r="D31" i="65"/>
  <c r="E24" i="65"/>
  <c r="D24" i="65"/>
  <c r="E17" i="65"/>
  <c r="D17" i="65"/>
  <c r="E46" i="65"/>
  <c r="D46" i="65"/>
  <c r="E23" i="65"/>
  <c r="D23" i="65"/>
  <c r="E32" i="65"/>
  <c r="D32" i="65"/>
  <c r="E20" i="65"/>
  <c r="D20" i="65"/>
  <c r="E42" i="65"/>
  <c r="D42" i="65"/>
  <c r="E22" i="65"/>
  <c r="D22" i="65"/>
  <c r="E19" i="65"/>
  <c r="D19" i="65"/>
  <c r="E34" i="65"/>
  <c r="D34" i="65"/>
  <c r="E15" i="65"/>
  <c r="D15" i="65"/>
  <c r="E18" i="65"/>
  <c r="D18" i="65"/>
  <c r="E39" i="65"/>
  <c r="D39" i="65"/>
  <c r="E16" i="65"/>
  <c r="D16" i="65"/>
  <c r="E29" i="65"/>
  <c r="D29" i="65"/>
  <c r="E45" i="65"/>
  <c r="D45" i="65"/>
  <c r="E16" i="64"/>
  <c r="D16" i="64"/>
  <c r="E19" i="64"/>
  <c r="D19" i="64"/>
  <c r="E18" i="64"/>
  <c r="D18" i="64"/>
  <c r="E15" i="64"/>
  <c r="D15" i="64"/>
  <c r="E17" i="64"/>
  <c r="D17" i="64"/>
  <c r="E20" i="64"/>
  <c r="D20" i="64"/>
  <c r="E22" i="64"/>
  <c r="D22" i="64"/>
  <c r="E55" i="63"/>
  <c r="D55" i="63"/>
  <c r="E26" i="63"/>
  <c r="D26" i="63"/>
  <c r="E22" i="63"/>
  <c r="D22" i="63"/>
  <c r="E17" i="63"/>
  <c r="D17" i="63"/>
  <c r="E45" i="63"/>
  <c r="D45" i="63"/>
  <c r="E48" i="63"/>
  <c r="D48" i="63"/>
  <c r="E65" i="63"/>
  <c r="D65" i="63"/>
  <c r="E36" i="63"/>
  <c r="D36" i="63"/>
  <c r="E18" i="63"/>
  <c r="D18" i="63"/>
  <c r="E27" i="63"/>
  <c r="D27" i="63"/>
  <c r="E44" i="63"/>
  <c r="D44" i="63"/>
  <c r="E35" i="63"/>
  <c r="D35" i="63"/>
  <c r="E47" i="63"/>
  <c r="D47" i="63"/>
  <c r="E46" i="63"/>
  <c r="D46" i="63"/>
  <c r="E58" i="63"/>
  <c r="D58" i="63"/>
  <c r="E71" i="63"/>
  <c r="D71" i="63"/>
  <c r="E70" i="63"/>
  <c r="D70" i="63"/>
  <c r="E28" i="63"/>
  <c r="D28" i="63"/>
  <c r="E42" i="63"/>
  <c r="D42" i="63"/>
  <c r="E32" i="63"/>
  <c r="D32" i="63"/>
  <c r="E21" i="63"/>
  <c r="D21" i="63"/>
  <c r="E24" i="63"/>
  <c r="D24" i="63"/>
  <c r="E25" i="63"/>
  <c r="D25" i="63"/>
  <c r="E49" i="63"/>
  <c r="D49" i="63"/>
  <c r="E15" i="63"/>
  <c r="D15" i="63"/>
  <c r="E29" i="63"/>
  <c r="D29" i="63"/>
  <c r="E50" i="63"/>
  <c r="D50" i="63"/>
  <c r="E33" i="63"/>
  <c r="D33" i="63"/>
  <c r="E40" i="63"/>
  <c r="D40" i="63"/>
  <c r="E52" i="63"/>
  <c r="D52" i="63"/>
  <c r="E20" i="63"/>
  <c r="D20" i="63"/>
  <c r="E31" i="63"/>
  <c r="D31" i="63"/>
  <c r="E16" i="63"/>
  <c r="D16" i="63"/>
  <c r="Q15" i="57"/>
  <c r="AH15" i="57" s="1"/>
  <c r="Q15" i="67" l="1"/>
  <c r="AH15" i="67" s="1"/>
  <c r="Q15" i="73"/>
  <c r="Q16" i="71"/>
  <c r="AH16" i="71" s="1"/>
  <c r="Q15" i="64"/>
  <c r="O15" i="64"/>
  <c r="AH15" i="64" s="1"/>
  <c r="O15" i="62"/>
  <c r="AH15" i="62" s="1"/>
</calcChain>
</file>

<file path=xl/sharedStrings.xml><?xml version="1.0" encoding="utf-8"?>
<sst xmlns="http://schemas.openxmlformats.org/spreadsheetml/2006/main" count="8065" uniqueCount="1703">
  <si>
    <t>POSICION</t>
  </si>
  <si>
    <t>ACTUAL</t>
  </si>
  <si>
    <t>ANTERIOR</t>
  </si>
  <si>
    <t>NO</t>
  </si>
  <si>
    <t>NOMBRE</t>
  </si>
  <si>
    <t>EQUIPO</t>
  </si>
  <si>
    <t/>
  </si>
  <si>
    <t xml:space="preserve">CCDR CARTAGO </t>
  </si>
  <si>
    <t>ELITE</t>
  </si>
  <si>
    <t>ECC CICLO COREA BIKE</t>
  </si>
  <si>
    <t>C-C-D-R- SAN JOSÉ</t>
  </si>
  <si>
    <t>MONTERO Juan Pablo</t>
  </si>
  <si>
    <t>GORGONA Keivin</t>
  </si>
  <si>
    <t xml:space="preserve">MORA  Fabricio </t>
  </si>
  <si>
    <t>ECHANDI Felipe</t>
  </si>
  <si>
    <t>ARAYA Isaac Andres</t>
  </si>
  <si>
    <t>MURILLO Cristopher</t>
  </si>
  <si>
    <t>CASCANTE Pablo Cesar</t>
  </si>
  <si>
    <t>FONSECA  Rosmy Andres</t>
  </si>
  <si>
    <t xml:space="preserve">MASIS  Brandon </t>
  </si>
  <si>
    <t>CAMBRONERO Alejandro</t>
  </si>
  <si>
    <t xml:space="preserve">NUÑEZ  Andres </t>
  </si>
  <si>
    <t>GOÑI Andres</t>
  </si>
  <si>
    <t>SANTA CRUZ BIKE</t>
  </si>
  <si>
    <t>ACIR- SAN RAMÓN</t>
  </si>
  <si>
    <t>POWERCYCLING</t>
  </si>
  <si>
    <t xml:space="preserve">QUESADA  Yeicoth </t>
  </si>
  <si>
    <t xml:space="preserve">BADILLA  Sebastian </t>
  </si>
  <si>
    <t>GONZALEZ Ernesto</t>
  </si>
  <si>
    <t>SALAZAR Santiago</t>
  </si>
  <si>
    <t>MATAMOROS José David</t>
  </si>
  <si>
    <t xml:space="preserve">GONZÁLEZ Andrey </t>
  </si>
  <si>
    <t>ACUÑA Marvin</t>
  </si>
  <si>
    <t>ASOCIACION DE CICLISMO BARVA</t>
  </si>
  <si>
    <t>AMPM</t>
  </si>
  <si>
    <t>AM PM NITIDOS</t>
  </si>
  <si>
    <t>INFANTIL</t>
  </si>
  <si>
    <t>pre juvenil masculino</t>
  </si>
  <si>
    <t>ciudad  colon</t>
  </si>
  <si>
    <t>JUVE MASC</t>
  </si>
  <si>
    <t>master a</t>
  </si>
  <si>
    <t>master b</t>
  </si>
  <si>
    <t>sub 23</t>
  </si>
  <si>
    <t>POS XCC</t>
  </si>
  <si>
    <t>PTOS XCC</t>
  </si>
  <si>
    <t>POS XCO</t>
  </si>
  <si>
    <t>PTOS XCO</t>
  </si>
  <si>
    <t>TOTAL PUNTOS</t>
  </si>
  <si>
    <t>UCI ID</t>
  </si>
  <si>
    <t>CATEGORIA</t>
  </si>
  <si>
    <t>ELITE MASCULINO (19+)</t>
  </si>
  <si>
    <t>ELITE FEMENINO (19+)</t>
  </si>
  <si>
    <t>JUVENIL MASCULINO (17-18)</t>
  </si>
  <si>
    <t>JUVENIL FEMENINO (17-18)</t>
  </si>
  <si>
    <t>PREJUVENIL MASCULINO (15-16)</t>
  </si>
  <si>
    <t>PREJUVENIL FEMENINO (15-16)</t>
  </si>
  <si>
    <t>INFANTIL MASCULINO (13-14)</t>
  </si>
  <si>
    <t>INFANTIL FEMENINO (13-14)</t>
  </si>
  <si>
    <t>MASTER A MASCULINO (30-34)</t>
  </si>
  <si>
    <t>MASTER B MASCULINO (35-39)</t>
  </si>
  <si>
    <t>OPEN (18+)</t>
  </si>
  <si>
    <t>MASTER A (30-34)</t>
  </si>
  <si>
    <t>MASTER B (35-39)</t>
  </si>
  <si>
    <t>CCDR CARTAGO</t>
  </si>
  <si>
    <t>CCDR SANTA ANA</t>
  </si>
  <si>
    <t>CODEA</t>
  </si>
  <si>
    <t xml:space="preserve"> </t>
  </si>
  <si>
    <t>SUB23 FEMENINO (19-22)</t>
  </si>
  <si>
    <t>SUB23 MASCULINO (19-22)</t>
  </si>
  <si>
    <t>DUROS COMO ROCA</t>
  </si>
  <si>
    <t xml:space="preserve">INDEPENDIENTE </t>
  </si>
  <si>
    <t xml:space="preserve">CODEA ALAJUELA </t>
  </si>
  <si>
    <t>MASTER C MASCULINO (40-44)</t>
  </si>
  <si>
    <t>RUBI Luis</t>
  </si>
  <si>
    <t>Posición</t>
  </si>
  <si>
    <t>Número</t>
  </si>
  <si>
    <t>Nombre</t>
  </si>
  <si>
    <t>Equipo</t>
  </si>
  <si>
    <t>Tiempo</t>
  </si>
  <si>
    <t>Secuencia</t>
  </si>
  <si>
    <t>Diferencia</t>
  </si>
  <si>
    <t>ELITE FEMENINO</t>
  </si>
  <si>
    <t>MASTER C (40-44)</t>
  </si>
  <si>
    <t>OPEN</t>
  </si>
  <si>
    <t xml:space="preserve">CCDR PARAÍSO </t>
  </si>
  <si>
    <t xml:space="preserve">CCDR DESAMPARADOS </t>
  </si>
  <si>
    <t xml:space="preserve">DESAMPARADOS </t>
  </si>
  <si>
    <t>CORTES Jerry</t>
  </si>
  <si>
    <t>LIZANO Federico</t>
  </si>
  <si>
    <t>TEAM LIZANO HERRA</t>
  </si>
  <si>
    <t>MASTER D MASCULINO (45-49)</t>
  </si>
  <si>
    <t>MASTER E MASCULINO (50+)</t>
  </si>
  <si>
    <t>OPEN FEMENINO (18+)</t>
  </si>
  <si>
    <t>MASTER E (50+)</t>
  </si>
  <si>
    <t>OPEN FEMENINO</t>
  </si>
  <si>
    <t>PAIS</t>
  </si>
  <si>
    <t>Planilla I Fecha CDF</t>
  </si>
  <si>
    <t>Planilla II Fecha Oikoumene</t>
  </si>
  <si>
    <t>MASTER D (45-49)</t>
  </si>
  <si>
    <t>Planilla III Fecha Ujarras</t>
  </si>
  <si>
    <t>BOBBYS CYCLING TEAM</t>
  </si>
  <si>
    <t xml:space="preserve">TURRIALBA </t>
  </si>
  <si>
    <t>E-BIKE MASCULINO</t>
  </si>
  <si>
    <t>ARIAS Kibeth</t>
  </si>
  <si>
    <t>TURRIALBA</t>
  </si>
  <si>
    <t xml:space="preserve">TEAM INNOVABIKES-SKOLER </t>
  </si>
  <si>
    <t>GONZALEZ Raymond</t>
  </si>
  <si>
    <t xml:space="preserve">ACISA SARAPIQUÍ </t>
  </si>
  <si>
    <t xml:space="preserve">CICLISMO BELÉN </t>
  </si>
  <si>
    <t xml:space="preserve">COLONO BIKE STATION KOLBI </t>
  </si>
  <si>
    <t>SCOTT SHIMANO CYCLING TEAM</t>
  </si>
  <si>
    <t>ACISA</t>
  </si>
  <si>
    <t>CODEA ALAJUELA</t>
  </si>
  <si>
    <t xml:space="preserve">SANABRIA  Carlos Alonso </t>
  </si>
  <si>
    <t>HERRERA Elber</t>
  </si>
  <si>
    <t>EL SEMAANI Jean Paul</t>
  </si>
  <si>
    <t xml:space="preserve">TOMATERO </t>
  </si>
  <si>
    <t xml:space="preserve">AUTOTRONICA ARAYA </t>
  </si>
  <si>
    <t>HERRERA Jeffrey</t>
  </si>
  <si>
    <t>TEAM CORECO/MOMENTUM SPORTS</t>
  </si>
  <si>
    <t>NA</t>
  </si>
  <si>
    <t>RODRÍGUEZ Luis Angel</t>
  </si>
  <si>
    <t>SOLANO Cristian</t>
  </si>
  <si>
    <t>INDEPENDIENTE</t>
  </si>
  <si>
    <t xml:space="preserve">CCDRESCAZU </t>
  </si>
  <si>
    <t xml:space="preserve">CCDR SAN JOSÉ </t>
  </si>
  <si>
    <t xml:space="preserve">CCDR SANTA CRUZ </t>
  </si>
  <si>
    <t>CDR CERVANTES</t>
  </si>
  <si>
    <t xml:space="preserve">CCDR ESCAZÚ </t>
  </si>
  <si>
    <t>CCDR MATINA CICLO SALAS BATAN</t>
  </si>
  <si>
    <t>CCDRESCAZU</t>
  </si>
  <si>
    <t xml:space="preserve">INDIVIDUAL </t>
  </si>
  <si>
    <t>CCDR LIMÓN</t>
  </si>
  <si>
    <t xml:space="preserve">NUMU COACHING </t>
  </si>
  <si>
    <t xml:space="preserve">DESAMPARADOS BIKE CAFÉ </t>
  </si>
  <si>
    <t xml:space="preserve">NAVARRO  Damon </t>
  </si>
  <si>
    <t xml:space="preserve">SÁNCHEZ  Steven </t>
  </si>
  <si>
    <t xml:space="preserve">BIKE BROS CYCLING </t>
  </si>
  <si>
    <t>RAMIREZ Federico</t>
  </si>
  <si>
    <t>MENESES  Mario Alfredo</t>
  </si>
  <si>
    <t xml:space="preserve">VILLALOBOS  Steven </t>
  </si>
  <si>
    <t>GONZALEZ Jose Alejandro</t>
  </si>
  <si>
    <t xml:space="preserve">ARAYA  Pablo </t>
  </si>
  <si>
    <t xml:space="preserve">MENESES Rolando </t>
  </si>
  <si>
    <t>TREK</t>
  </si>
  <si>
    <t xml:space="preserve">AUTOS SALAS </t>
  </si>
  <si>
    <t>VALVERDE William</t>
  </si>
  <si>
    <t>TEAM CQ.PZ</t>
  </si>
  <si>
    <t xml:space="preserve">ESPINOZA  Cristel </t>
  </si>
  <si>
    <t>AGUILAR Jonathan*</t>
  </si>
  <si>
    <t xml:space="preserve">ACISA SARAPIQUI </t>
  </si>
  <si>
    <t>NOSOTROS DOTA</t>
  </si>
  <si>
    <t>MARIN Daniel</t>
  </si>
  <si>
    <t xml:space="preserve">CAMPOS Diego Alberto </t>
  </si>
  <si>
    <t xml:space="preserve">TEAM CQ.PZ </t>
  </si>
  <si>
    <t xml:space="preserve">CICLO VICTOR VARGAS </t>
  </si>
  <si>
    <t>LORIA Dilcen</t>
  </si>
  <si>
    <t>MENESES Jose</t>
  </si>
  <si>
    <t>PREINFANTIL MASCULINO (11-12)</t>
  </si>
  <si>
    <t>PREINFANTIL FEMENINO (11-12)</t>
  </si>
  <si>
    <t>MASTER A FEMENINO (30-39)</t>
  </si>
  <si>
    <t>MASTER B FEMENINO (40+)</t>
  </si>
  <si>
    <t>PESO PLUMA MASCULINO</t>
  </si>
  <si>
    <t>PESO PLUMA</t>
  </si>
  <si>
    <t xml:space="preserve">HERRERA  Carlos </t>
  </si>
  <si>
    <t xml:space="preserve">PEDREGAL 7C ECONOMY </t>
  </si>
  <si>
    <t>MENDEZ Jared*</t>
  </si>
  <si>
    <t>CICLO VÍCTOR VARGAS / BIKESTORE TREK</t>
  </si>
  <si>
    <t>GONZÁLEZ  Adriano*</t>
  </si>
  <si>
    <t>VARGAS Steven Andres</t>
  </si>
  <si>
    <t>MEGAMO MANZATÉ LA SELVA</t>
  </si>
  <si>
    <t>ALVARADO Armando*</t>
  </si>
  <si>
    <t xml:space="preserve">CCDR DESAMPARADOS BIKE CAFÉ </t>
  </si>
  <si>
    <t>MANZA TÉ LA SELVA SCOTT</t>
  </si>
  <si>
    <t>MADRIGAL  Adriano*</t>
  </si>
  <si>
    <t>RAABE  Fabricio*</t>
  </si>
  <si>
    <t>HIDALGO  Stefano*</t>
  </si>
  <si>
    <t>TORRES Kevin*</t>
  </si>
  <si>
    <t>CAMPOS Haswel*</t>
  </si>
  <si>
    <t>VARGAS  Ismael Felipe*</t>
  </si>
  <si>
    <t xml:space="preserve">7C ECONOMIC HYUNDAI </t>
  </si>
  <si>
    <t>AZOFEIFA Daniel*</t>
  </si>
  <si>
    <t>BOBBYS CICLING TEAM</t>
  </si>
  <si>
    <t>MORA Kendall*</t>
  </si>
  <si>
    <t>CODEA-HDZ TEAM</t>
  </si>
  <si>
    <t>ASTUA Kyvan</t>
  </si>
  <si>
    <t>TEAM FKV KOCHIS</t>
  </si>
  <si>
    <t>ROJAS Alejandro*</t>
  </si>
  <si>
    <t>MENESES Sebastian*</t>
  </si>
  <si>
    <t>MANZATE LA SELVA SCOTT</t>
  </si>
  <si>
    <t>ROJAS Adriana</t>
  </si>
  <si>
    <t>CBZ- DEKRA</t>
  </si>
  <si>
    <t>ASFALTOS CBZ - DEKRA - SECNET</t>
  </si>
  <si>
    <t xml:space="preserve">MENA  Milagro </t>
  </si>
  <si>
    <t>AVILA  Melisa*</t>
  </si>
  <si>
    <t>MANZATÉ LA SELVA NOVARIX</t>
  </si>
  <si>
    <t>MARTINEZ Daniela</t>
  </si>
  <si>
    <t>MONTES Naidelyn*</t>
  </si>
  <si>
    <t>ALVARADO  Elizabeth*</t>
  </si>
  <si>
    <t xml:space="preserve">SANTA ANA </t>
  </si>
  <si>
    <t>VARGAS Naomy*</t>
  </si>
  <si>
    <t>NÚÑEZ  Alison*</t>
  </si>
  <si>
    <t>RAHILLY Denise*</t>
  </si>
  <si>
    <t>GOMEZ Yailin*</t>
  </si>
  <si>
    <t xml:space="preserve">QUIRÓS  Neythan Yariel </t>
  </si>
  <si>
    <t>NARANJO Didier</t>
  </si>
  <si>
    <t xml:space="preserve">ACUÑA  Alejandro </t>
  </si>
  <si>
    <t>TEAM INNOVABIKES-SKOLER</t>
  </si>
  <si>
    <t>ULATE Joshua*</t>
  </si>
  <si>
    <t xml:space="preserve">MECATRONICS / MCT COMPONENTS  </t>
  </si>
  <si>
    <t>BERMUDEZ Diego Andres*</t>
  </si>
  <si>
    <t>PEÑA  Anthony*</t>
  </si>
  <si>
    <t>FALCON Fernando*</t>
  </si>
  <si>
    <t>PORRAS Santiago*</t>
  </si>
  <si>
    <t>RODRIGUEZ José Pablo*</t>
  </si>
  <si>
    <t xml:space="preserve">RODRIGUEZ  Lenny Jeffrey </t>
  </si>
  <si>
    <t xml:space="preserve">BOLAÑOS  Justin </t>
  </si>
  <si>
    <t xml:space="preserve">DESAMPARADOS BIKE CAFE </t>
  </si>
  <si>
    <t>THOMAS  Dominick*</t>
  </si>
  <si>
    <t>PIEDRA  Fabián*</t>
  </si>
  <si>
    <t>UMAÑA  Devis*</t>
  </si>
  <si>
    <t xml:space="preserve">CCDR DESAMPARADOS BIKE CAFE </t>
  </si>
  <si>
    <t xml:space="preserve">JIMÉNEZ  Samuel </t>
  </si>
  <si>
    <t xml:space="preserve">DESAMPARA BIKI CAFÉ </t>
  </si>
  <si>
    <t xml:space="preserve">SOLANO  Dilan </t>
  </si>
  <si>
    <t xml:space="preserve">AGUILAR  Mauro </t>
  </si>
  <si>
    <t xml:space="preserve">CHINCHILLA  Yeilan </t>
  </si>
  <si>
    <t>WESTRA  Seyo*</t>
  </si>
  <si>
    <t>GAMBOA  Elian*</t>
  </si>
  <si>
    <t>QUESADA Jerald De Jesus*</t>
  </si>
  <si>
    <t>CASTILLO Edwan*</t>
  </si>
  <si>
    <t>ESC GUIDO /CCDRL</t>
  </si>
  <si>
    <t>MURILLO  Sebastian*</t>
  </si>
  <si>
    <t>FERNANDEZ Jose Eduardo</t>
  </si>
  <si>
    <t>CCDR TURRIALBA</t>
  </si>
  <si>
    <t xml:space="preserve">MANZANARES  Leandro </t>
  </si>
  <si>
    <t>NUÑEZ Axell*</t>
  </si>
  <si>
    <t>SANTA ANA</t>
  </si>
  <si>
    <t>MENESES  Cesar*</t>
  </si>
  <si>
    <t xml:space="preserve">VEGA  Santiago </t>
  </si>
  <si>
    <t>CCDR DE NARANJO</t>
  </si>
  <si>
    <t xml:space="preserve">JACKSON Bruce </t>
  </si>
  <si>
    <t>LEIVA  Jean Carlo*</t>
  </si>
  <si>
    <t>BARBOZA  Mathias*</t>
  </si>
  <si>
    <t>OROZCO  Aaron Felipe*</t>
  </si>
  <si>
    <t>CAMPOS Matias Alejandro</t>
  </si>
  <si>
    <t>PZ CICLYNG TEAM</t>
  </si>
  <si>
    <t>FONSECA Dianey</t>
  </si>
  <si>
    <t xml:space="preserve">NINGUNO </t>
  </si>
  <si>
    <t xml:space="preserve">SOJO  Joshua Samir </t>
  </si>
  <si>
    <t>TEAM COSTA FRUT - GIANT- AC MARRIOTT BELEN / CODEA</t>
  </si>
  <si>
    <t>CASASOLA Steven Mauricio</t>
  </si>
  <si>
    <t>BRIONES Gedmelheintch Aichlan*</t>
  </si>
  <si>
    <t>CDDR GUACIMO</t>
  </si>
  <si>
    <t>RODRÍGUEZ Axel</t>
  </si>
  <si>
    <t xml:space="preserve">ARAYA  Luis </t>
  </si>
  <si>
    <t>CRUZ  Alejandro*</t>
  </si>
  <si>
    <t xml:space="preserve">EPIC BIKE CENTER MEDIA LUNA </t>
  </si>
  <si>
    <t>CORDERO  Adriano*</t>
  </si>
  <si>
    <t>GOMEZ  Allan</t>
  </si>
  <si>
    <t>MARCHENA  Ethan*</t>
  </si>
  <si>
    <t>CORRALES Isaac</t>
  </si>
  <si>
    <t xml:space="preserve">MADRIGAL Maidelyn De Los Angeles  </t>
  </si>
  <si>
    <t>ZÁRATE  Nazareth*</t>
  </si>
  <si>
    <t>BARQUERO  Brenda*</t>
  </si>
  <si>
    <t xml:space="preserve">BUENOS AIRES </t>
  </si>
  <si>
    <t>ALVARADO  Jimena*</t>
  </si>
  <si>
    <t xml:space="preserve">GARCÍA  Miguel </t>
  </si>
  <si>
    <t>CAMPOS  Isaac Eduardo*</t>
  </si>
  <si>
    <t>HERNANDEZ Walter David*</t>
  </si>
  <si>
    <t>RODRÍGUEZ  Esteban*</t>
  </si>
  <si>
    <t xml:space="preserve">SPACE SCENSE-FERROCA-SST CONSULTORES - CCDR SANTA CRUZ </t>
  </si>
  <si>
    <t>BRICEÑO  Mike Josué*</t>
  </si>
  <si>
    <t>CCDR SANTA CRUZ/TEAM COSTA FRUT</t>
  </si>
  <si>
    <t xml:space="preserve">VARELA  Mathias </t>
  </si>
  <si>
    <t>ARIAS Daniel*</t>
  </si>
  <si>
    <t>HERRERO Josué*</t>
  </si>
  <si>
    <t>HERNÁNDEZ  Felipe</t>
  </si>
  <si>
    <t xml:space="preserve">SEGURA Thomas </t>
  </si>
  <si>
    <t>SABALLOS  Joshua</t>
  </si>
  <si>
    <t>CICLISMO BELEN</t>
  </si>
  <si>
    <t>VARGAS  Saul*</t>
  </si>
  <si>
    <t>ARIAS  Daniel*</t>
  </si>
  <si>
    <t>HERRERO  Josué*</t>
  </si>
  <si>
    <t xml:space="preserve">MALDONADO  Franco </t>
  </si>
  <si>
    <t xml:space="preserve">CHAVES  Emanuel </t>
  </si>
  <si>
    <t>MOYA  Santiago*</t>
  </si>
  <si>
    <t>CAMPOS  Moisés*</t>
  </si>
  <si>
    <t>GARITA  Damián*</t>
  </si>
  <si>
    <t xml:space="preserve">C.C.D.R SAN JOSÉ </t>
  </si>
  <si>
    <t xml:space="preserve">SUNSIN  Eithan </t>
  </si>
  <si>
    <t xml:space="preserve">AGUILAR  Luciano </t>
  </si>
  <si>
    <t xml:space="preserve">CCDR GUACIMO </t>
  </si>
  <si>
    <t>DUARTE Luis Andrés*</t>
  </si>
  <si>
    <t>ESCUELA GUIDO BLANCO CCDR LIBERIA</t>
  </si>
  <si>
    <t xml:space="preserve">CRUZ  Denzell </t>
  </si>
  <si>
    <t xml:space="preserve">ESCUELA GUIDO BLANCO CCDR LIBERIA </t>
  </si>
  <si>
    <t>ALVAREZ Mateo*</t>
  </si>
  <si>
    <t>C.C.D.R. ESCAZU</t>
  </si>
  <si>
    <t>ALFARO Emmanuel</t>
  </si>
  <si>
    <t>MEDINA Anders Uriel</t>
  </si>
  <si>
    <t>ACUÑA Felipe</t>
  </si>
  <si>
    <t>CISNEROS Ian Felipe*</t>
  </si>
  <si>
    <t>TEAM CQ PZ</t>
  </si>
  <si>
    <t>RAMÍREZ Adrian</t>
  </si>
  <si>
    <t xml:space="preserve">CASTRO Juandavid </t>
  </si>
  <si>
    <t xml:space="preserve">PRENDAS  Santiago </t>
  </si>
  <si>
    <t xml:space="preserve">CCDRCARTAGO </t>
  </si>
  <si>
    <t>SEGURA Isaac*</t>
  </si>
  <si>
    <t xml:space="preserve">SOTO  Sebastian </t>
  </si>
  <si>
    <t xml:space="preserve">CODEA </t>
  </si>
  <si>
    <t>SOLIS  Santiago*</t>
  </si>
  <si>
    <t xml:space="preserve">CCDRZ ZARCERO </t>
  </si>
  <si>
    <t>BARRANTES  Thomas*</t>
  </si>
  <si>
    <t>ASOC. CICLISTICA GRIEGA</t>
  </si>
  <si>
    <t xml:space="preserve">ALFARO  Yahel </t>
  </si>
  <si>
    <t xml:space="preserve">CCDR GUÁCIMO </t>
  </si>
  <si>
    <t xml:space="preserve">CORRALES  Billy </t>
  </si>
  <si>
    <t>PICADO Emiliano</t>
  </si>
  <si>
    <t>DONDE LANDA</t>
  </si>
  <si>
    <t>BRENES Tayron Fabián*</t>
  </si>
  <si>
    <t>GUEVARA Esteban*</t>
  </si>
  <si>
    <t>JIMENEZ Briana</t>
  </si>
  <si>
    <t>CASTRO  Camila</t>
  </si>
  <si>
    <t>ALFARO María Isabella*</t>
  </si>
  <si>
    <t>SOLÍS  Nathalia Fabiana*</t>
  </si>
  <si>
    <t xml:space="preserve">CODEA POWER KIDS </t>
  </si>
  <si>
    <t xml:space="preserve">OVIEDO Camíla </t>
  </si>
  <si>
    <t xml:space="preserve">LIZANO Nicole </t>
  </si>
  <si>
    <t>AZOFEIFA Sofia*</t>
  </si>
  <si>
    <t>CÉSPEDES  Isabella Jazlene*</t>
  </si>
  <si>
    <t xml:space="preserve">SKALA/ CCDR MONTEVERDE </t>
  </si>
  <si>
    <t xml:space="preserve">PÉREZ  Alexa </t>
  </si>
  <si>
    <t xml:space="preserve">CICLISMO TURRIALBA </t>
  </si>
  <si>
    <t>DURAN Emanuel</t>
  </si>
  <si>
    <t>Anual</t>
  </si>
  <si>
    <t xml:space="preserve">ARCE Mathew </t>
  </si>
  <si>
    <t>CAMPOS Angelo Samuel*</t>
  </si>
  <si>
    <t>BONILLA  Keyshmer*</t>
  </si>
  <si>
    <t xml:space="preserve">CORDERO  Iker Mattias </t>
  </si>
  <si>
    <t>PZ CYCLING TEAM</t>
  </si>
  <si>
    <t>CASTILLO  Santiago*</t>
  </si>
  <si>
    <t xml:space="preserve"> 1017171656840</t>
  </si>
  <si>
    <t xml:space="preserve">MARÍN  Isaac </t>
  </si>
  <si>
    <t xml:space="preserve">BONILLA  Mattew </t>
  </si>
  <si>
    <t xml:space="preserve"> 101716561133</t>
  </si>
  <si>
    <t>VILLALOBOS  Mathias</t>
  </si>
  <si>
    <t xml:space="preserve">RODRÍGUEZ  Joaquín </t>
  </si>
  <si>
    <t xml:space="preserve">VASQUEZ  Yariel </t>
  </si>
  <si>
    <t xml:space="preserve">SANDI  Derek Ivan </t>
  </si>
  <si>
    <t xml:space="preserve">GUTIERREZ Simao </t>
  </si>
  <si>
    <t xml:space="preserve">JEREZ Gabriel </t>
  </si>
  <si>
    <t>CCDR LIBERIA</t>
  </si>
  <si>
    <t>ARAYA  Samuel</t>
  </si>
  <si>
    <t>MATA  Antuan*</t>
  </si>
  <si>
    <t>ARAYA Alejandro</t>
  </si>
  <si>
    <t>VALVERDE  Liam</t>
  </si>
  <si>
    <t xml:space="preserve">CCDR TURRIALBA </t>
  </si>
  <si>
    <t>RUIZ Randy</t>
  </si>
  <si>
    <t xml:space="preserve">CCDR SANTA CRUZ / FISH BIKE TOURS TAMARINDO </t>
  </si>
  <si>
    <t>MORERA  Derrick</t>
  </si>
  <si>
    <t>Xx</t>
  </si>
  <si>
    <t>RAMIREZ David</t>
  </si>
  <si>
    <t>FERNÁNDEZ  Heyfy</t>
  </si>
  <si>
    <t>PÉREZ  Keileb*</t>
  </si>
  <si>
    <t>GARCIA  Dany</t>
  </si>
  <si>
    <t xml:space="preserve">CALDERÓN  Ariana </t>
  </si>
  <si>
    <t xml:space="preserve">TORRES Camila Del Pilar </t>
  </si>
  <si>
    <t>MARCHENA  Shelly Yuliana</t>
  </si>
  <si>
    <t>CRUZ Monica*</t>
  </si>
  <si>
    <t>NÚÑEZ  Ashly*</t>
  </si>
  <si>
    <t xml:space="preserve">CORTES  Maríam </t>
  </si>
  <si>
    <t>GUERRERO  Mariangel*</t>
  </si>
  <si>
    <t>PIZARRO  Keysi</t>
  </si>
  <si>
    <t>MUÑOZ Amy</t>
  </si>
  <si>
    <t>VILLALOBOS  Jimena*</t>
  </si>
  <si>
    <t xml:space="preserve">ACISA </t>
  </si>
  <si>
    <t xml:space="preserve">ARAYA Emiliano </t>
  </si>
  <si>
    <t>CERDAS  Isaac*</t>
  </si>
  <si>
    <t xml:space="preserve">SOJO Nathan </t>
  </si>
  <si>
    <t>HUNTER Ian*</t>
  </si>
  <si>
    <t xml:space="preserve">CESPEDES  Santiago </t>
  </si>
  <si>
    <t xml:space="preserve">ACCIPAL PALMARES </t>
  </si>
  <si>
    <t>CÉSPEDES  Anthony Luan*</t>
  </si>
  <si>
    <t>MONTEALEGRE Maria Paula</t>
  </si>
  <si>
    <t>CCDR SANTA CRUZ</t>
  </si>
  <si>
    <t>HERNÁNDEZ  Maripaz*</t>
  </si>
  <si>
    <t>SANTA ANA  / HDZ TEAM</t>
  </si>
  <si>
    <t xml:space="preserve">MORA  Valentina </t>
  </si>
  <si>
    <t>JIMÉNEZ  Mia</t>
  </si>
  <si>
    <t xml:space="preserve">MARTÍNEZ Andrés </t>
  </si>
  <si>
    <t xml:space="preserve">ALPÍZAR  Roberto </t>
  </si>
  <si>
    <t xml:space="preserve">GOCHA CYCLING TEAM </t>
  </si>
  <si>
    <t xml:space="preserve">ZÚÑIGA  Sergio </t>
  </si>
  <si>
    <t>VEINTE24</t>
  </si>
  <si>
    <t>CALDERON Edwin</t>
  </si>
  <si>
    <t xml:space="preserve">RIVERA Bryan </t>
  </si>
  <si>
    <t>CICLO JUAN VIÑAS</t>
  </si>
  <si>
    <t xml:space="preserve">CHAVO MECHANICS </t>
  </si>
  <si>
    <t xml:space="preserve">MORALES Allan  </t>
  </si>
  <si>
    <t>TEAM INNOVABIKES</t>
  </si>
  <si>
    <t>GOCHA CYCLING TEAM</t>
  </si>
  <si>
    <t xml:space="preserve">MORENO  Carlos </t>
  </si>
  <si>
    <t>SEGURA Luis Diego</t>
  </si>
  <si>
    <t>AUTOPAMA - COLYPRO - CLETEROS BATAAN</t>
  </si>
  <si>
    <t xml:space="preserve">RAMÍREZ  Federico </t>
  </si>
  <si>
    <t>SEVEN CARD</t>
  </si>
  <si>
    <t xml:space="preserve">RAMIREZ  Cristian </t>
  </si>
  <si>
    <t xml:space="preserve">TEAM RAMIREZ REPAUT </t>
  </si>
  <si>
    <t>ADNBIKESCR</t>
  </si>
  <si>
    <t>ALBERTO Luis</t>
  </si>
  <si>
    <t xml:space="preserve">ESC GUIDO </t>
  </si>
  <si>
    <t>BARRANTES Richard</t>
  </si>
  <si>
    <t xml:space="preserve">CICLO JUAN VIÑAS-COLYPRO </t>
  </si>
  <si>
    <t xml:space="preserve">MOLINA Hairo </t>
  </si>
  <si>
    <t>FERNANDEZ Marco</t>
  </si>
  <si>
    <t>CMS- TRANSPORTEGRUPOEYAN-ROMABIKES</t>
  </si>
  <si>
    <t>MORERA  Oscar</t>
  </si>
  <si>
    <t>GRUPO 86- MAXXIS-GU ENERGY</t>
  </si>
  <si>
    <t>BUF, DRASANVI, ECOTIENDA...</t>
  </si>
  <si>
    <t xml:space="preserve">VASQUEZ  Michael </t>
  </si>
  <si>
    <t xml:space="preserve">RODRÍGUEZ  Julián </t>
  </si>
  <si>
    <t xml:space="preserve">BELÉN TEAM </t>
  </si>
  <si>
    <t xml:space="preserve">SOJO Luis Miguel </t>
  </si>
  <si>
    <t xml:space="preserve">COLYPRO </t>
  </si>
  <si>
    <t>RODRÍGUEZ Rodolfo</t>
  </si>
  <si>
    <t xml:space="preserve">TEAM CQ-PZ </t>
  </si>
  <si>
    <t>HATOVIEJO - MOMIA TS</t>
  </si>
  <si>
    <t>CHACON Gonzalo</t>
  </si>
  <si>
    <t>TEAM GOCHA</t>
  </si>
  <si>
    <t>ZUÑIGA Douglas</t>
  </si>
  <si>
    <t>GAVIA88</t>
  </si>
  <si>
    <t>FERNANDEZ Raul</t>
  </si>
  <si>
    <t xml:space="preserve">CALLE NIÑO SANO </t>
  </si>
  <si>
    <t>ACUÑA Luis</t>
  </si>
  <si>
    <t>AZOFEIFA Guillermo</t>
  </si>
  <si>
    <t>LOTUS</t>
  </si>
  <si>
    <t>AZOFEIFA Marcos</t>
  </si>
  <si>
    <t xml:space="preserve">RECIO  Rodrigo </t>
  </si>
  <si>
    <t>CÓRDOBA  Juan José</t>
  </si>
  <si>
    <t xml:space="preserve">KBCT - IMPORTADORA SALAZAR </t>
  </si>
  <si>
    <t xml:space="preserve">GARCÍA  Jorge </t>
  </si>
  <si>
    <t>WATIOS CYCLING PERFORMANCE</t>
  </si>
  <si>
    <t xml:space="preserve">CAMPOS  Eduardo </t>
  </si>
  <si>
    <t>CAMPOS Sergio</t>
  </si>
  <si>
    <t xml:space="preserve">EL GATO MECANICO </t>
  </si>
  <si>
    <t xml:space="preserve">ARCE  Alberth Antonio </t>
  </si>
  <si>
    <t xml:space="preserve">CARVAJAL Jonathan </t>
  </si>
  <si>
    <t xml:space="preserve">TENORIO  Carlos </t>
  </si>
  <si>
    <t>ACISA SARAPIQUI</t>
  </si>
  <si>
    <t>PESSOA Pablo</t>
  </si>
  <si>
    <t>ROBLES Cesar</t>
  </si>
  <si>
    <t>CRS80</t>
  </si>
  <si>
    <t>SUAREZ  Christian</t>
  </si>
  <si>
    <t>GAVIA 88</t>
  </si>
  <si>
    <t xml:space="preserve">VÁSQUEZ  Ricardo </t>
  </si>
  <si>
    <t>Pendiente</t>
  </si>
  <si>
    <t>CH TRAINING</t>
  </si>
  <si>
    <t xml:space="preserve">VEGA  Oldemar </t>
  </si>
  <si>
    <t>VEGAS TEAM POAS</t>
  </si>
  <si>
    <t>UREÑA  Edgar</t>
  </si>
  <si>
    <t>BELTRAN  Pablo</t>
  </si>
  <si>
    <t>BELPOWER RUGATI</t>
  </si>
  <si>
    <t xml:space="preserve">BERMÚDEZ  Guillermo </t>
  </si>
  <si>
    <t>VARGAS Gustavo</t>
  </si>
  <si>
    <t>BRENES Mario</t>
  </si>
  <si>
    <t>BDRIFT MOTORSPORT NUTRITION</t>
  </si>
  <si>
    <t>PORRAS  Guillermo</t>
  </si>
  <si>
    <t>BERMUDEZ  Guillermo</t>
  </si>
  <si>
    <t>MARÍN  Alonso</t>
  </si>
  <si>
    <t xml:space="preserve">CRUZ Eddy Antonio </t>
  </si>
  <si>
    <t>MUEBLES CRUZ</t>
  </si>
  <si>
    <t>SOLIS Marco</t>
  </si>
  <si>
    <t>MUÑOZ German</t>
  </si>
  <si>
    <t xml:space="preserve">MONGE Freizer </t>
  </si>
  <si>
    <t xml:space="preserve">HOTEL WYNDHAM GARDEN - MENSAJERÍA M.A - JAVA </t>
  </si>
  <si>
    <t>ROJAS Melvin</t>
  </si>
  <si>
    <t>CASTRO  Martin</t>
  </si>
  <si>
    <t xml:space="preserve">CCSOLDADURAS19 </t>
  </si>
  <si>
    <t>FISIONORTE-QUESADAJONATHAN.CYCLING</t>
  </si>
  <si>
    <t>TEAM RRS-FR-ACADEMIA AR</t>
  </si>
  <si>
    <t>CAMPOS Marvin</t>
  </si>
  <si>
    <t>BELEN TEAM</t>
  </si>
  <si>
    <t xml:space="preserve">SALAS  Mauricio </t>
  </si>
  <si>
    <t xml:space="preserve">FERNÁNDEZ  José Luis </t>
  </si>
  <si>
    <t>LUCART</t>
  </si>
  <si>
    <t xml:space="preserve">CAMPOS Luis Javier </t>
  </si>
  <si>
    <t>NUMU COACHING</t>
  </si>
  <si>
    <t>PARAÍSO-GRUPETA DE LAS 5AM</t>
  </si>
  <si>
    <t xml:space="preserve">JIMÉNEZ  Nelson </t>
  </si>
  <si>
    <t xml:space="preserve">LOYOLA MTB </t>
  </si>
  <si>
    <t>ZÚÑIGA  Laura</t>
  </si>
  <si>
    <t xml:space="preserve">HERNÁNDEZ  Yuliana </t>
  </si>
  <si>
    <t xml:space="preserve">SAPPHIRE TABA CYCLING TEAM </t>
  </si>
  <si>
    <t xml:space="preserve">ALFARO Ana Semiramis </t>
  </si>
  <si>
    <t>INFINITY - ONE TWO CYCLING - GAVIA88</t>
  </si>
  <si>
    <t xml:space="preserve">BADILLA  Valeria </t>
  </si>
  <si>
    <t xml:space="preserve">FISIOSANA </t>
  </si>
  <si>
    <t>FISIONORTE/ QUESADAJONATHAN.CYCLING</t>
  </si>
  <si>
    <t>VARGAS Laura</t>
  </si>
  <si>
    <t>MORA Esteban</t>
  </si>
  <si>
    <t>BIKE BROS CYCLING</t>
  </si>
  <si>
    <t>RIVERA Jack Dany</t>
  </si>
  <si>
    <t>VEINTE24 CYCLING</t>
  </si>
  <si>
    <t>BARRANTES  Lenin Juran</t>
  </si>
  <si>
    <t>CUBILLO Yuster</t>
  </si>
  <si>
    <t>Xxxx</t>
  </si>
  <si>
    <t xml:space="preserve">CCDR MATINA CICLO SALAS BATAN </t>
  </si>
  <si>
    <t>MENA Juan Carlos</t>
  </si>
  <si>
    <t>ALFARO  Jonathan Alberto</t>
  </si>
  <si>
    <t>QUECA</t>
  </si>
  <si>
    <t xml:space="preserve">SANTANA  Jesús </t>
  </si>
  <si>
    <t xml:space="preserve">ACISA CCDR SARAPIQUI </t>
  </si>
  <si>
    <t>SANDI Kendall</t>
  </si>
  <si>
    <t>POWERCYCLING STORE</t>
  </si>
  <si>
    <t>ROJAS Gonzalo</t>
  </si>
  <si>
    <t>TALENTTEC</t>
  </si>
  <si>
    <t>SALAS  Randall</t>
  </si>
  <si>
    <t>QUIROS  John</t>
  </si>
  <si>
    <t xml:space="preserve">JQ_ CICLO SALAS BATAN </t>
  </si>
  <si>
    <t>SIBAJA Jean Carlo</t>
  </si>
  <si>
    <t>VCC - STYM</t>
  </si>
  <si>
    <t xml:space="preserve">CALVO  Gabriel Andres </t>
  </si>
  <si>
    <t xml:space="preserve">CDR TURRIALBA </t>
  </si>
  <si>
    <t xml:space="preserve">QUIRÓS  Arturo </t>
  </si>
  <si>
    <t>ASOCIACIÓN VQ CARTAGO</t>
  </si>
  <si>
    <t xml:space="preserve">BRENES Cristopher </t>
  </si>
  <si>
    <t xml:space="preserve">ZAMORA  José David </t>
  </si>
  <si>
    <t>GUTIERREZ  Daniel</t>
  </si>
  <si>
    <t>CHAVES Jose</t>
  </si>
  <si>
    <t xml:space="preserve">MÉNDEZ  Miguel Alonso </t>
  </si>
  <si>
    <t xml:space="preserve">KOKOS MECHANIC </t>
  </si>
  <si>
    <t>TRETTI Caterina</t>
  </si>
  <si>
    <t>LEIVA Kenneth</t>
  </si>
  <si>
    <t xml:space="preserve">MORA Leonardo </t>
  </si>
  <si>
    <t xml:space="preserve">GALERÍA DEPORTIVA </t>
  </si>
  <si>
    <t xml:space="preserve">JIMÉNEZ  Roylan </t>
  </si>
  <si>
    <t>TALLER ROY</t>
  </si>
  <si>
    <t xml:space="preserve">MATA  Jefrey Alexander </t>
  </si>
  <si>
    <t>GRUPETA 5AM</t>
  </si>
  <si>
    <t>GUZMAN Aaaron</t>
  </si>
  <si>
    <t>GUZMÁN Alex</t>
  </si>
  <si>
    <t>CYCLO CROSS MASCULINO</t>
  </si>
  <si>
    <t xml:space="preserve">DOBLES  Christopher </t>
  </si>
  <si>
    <t>CONGELADOS ADIS /OKAPI DRINKS/PROTUBE /TODO CR</t>
  </si>
  <si>
    <t>REDONDO Mevin</t>
  </si>
  <si>
    <t>BEST PC</t>
  </si>
  <si>
    <t>MONGE Andres</t>
  </si>
  <si>
    <t>SANDI Hector</t>
  </si>
  <si>
    <t xml:space="preserve">COLYPRO/ANDARIEG@S </t>
  </si>
  <si>
    <t>JIMENEZ Carlos Eduardo</t>
  </si>
  <si>
    <t>BIKEWAY/ADAMAGRO</t>
  </si>
  <si>
    <t xml:space="preserve">BOLAÑOS Jean Carlo </t>
  </si>
  <si>
    <t xml:space="preserve">TEAM BIKE CENTER COSTA RICA </t>
  </si>
  <si>
    <t xml:space="preserve">MEZA Alexander </t>
  </si>
  <si>
    <t xml:space="preserve">AGENCIADAGRO </t>
  </si>
  <si>
    <t>POS CX</t>
  </si>
  <si>
    <t>PTOS CX</t>
  </si>
  <si>
    <t>PRIMERA FECHA OROSI</t>
  </si>
  <si>
    <t>SEGUNDA FECHA DESAMPARADOS</t>
  </si>
  <si>
    <t>LOPEZ Luis Enrique</t>
  </si>
  <si>
    <t>PEDREGAL 7C</t>
  </si>
  <si>
    <t>10092456037</t>
  </si>
  <si>
    <t>RAMÍREZ  Joseph</t>
  </si>
  <si>
    <t xml:space="preserve">FONSECA  Andrey </t>
  </si>
  <si>
    <t>TEAM INNOVABIKES SKOLER</t>
  </si>
  <si>
    <t>CICLO VÍCTOR VARGAS | BIKESTORE TREK</t>
  </si>
  <si>
    <t>GONZÁLEZ  Adriano *</t>
  </si>
  <si>
    <t>VARGAS Steven Andrres</t>
  </si>
  <si>
    <t>RAMIREZ Federico.</t>
  </si>
  <si>
    <t>VARGAS  José David *</t>
  </si>
  <si>
    <t>RAABE  Fabricio *</t>
  </si>
  <si>
    <t>TEAM HC</t>
  </si>
  <si>
    <t>MORA Kendall *</t>
  </si>
  <si>
    <t xml:space="preserve">BALTODANO Jeremy </t>
  </si>
  <si>
    <t>CAMACHO  Jeancarlo *</t>
  </si>
  <si>
    <t>ALFARO Jeison*</t>
  </si>
  <si>
    <t xml:space="preserve">QUINTERO  Jose Carmelo </t>
  </si>
  <si>
    <t xml:space="preserve">BIKE RIDE SIQUIRRES </t>
  </si>
  <si>
    <t>HIDALGO  Isaac*</t>
  </si>
  <si>
    <t>TEAM COSTAFRUT GIANT AC MARRIOT</t>
  </si>
  <si>
    <t xml:space="preserve">ASTUA Kyvan </t>
  </si>
  <si>
    <t xml:space="preserve">VARGAS Kenneth </t>
  </si>
  <si>
    <t>MATINA</t>
  </si>
  <si>
    <t xml:space="preserve">CBZ ASFALTOS - DEKRA - SECNET </t>
  </si>
  <si>
    <t>GARCÍA  Isabel *</t>
  </si>
  <si>
    <t>GARCÍA  Marisol *</t>
  </si>
  <si>
    <t>ZELEDÓN  Gabriela</t>
  </si>
  <si>
    <t>ALVARADO  Elizabeth *</t>
  </si>
  <si>
    <t>NUÑEZ  Alison *</t>
  </si>
  <si>
    <t xml:space="preserve">NARANJO  Didier </t>
  </si>
  <si>
    <t>MECATRONICS / MCT COMPONENTS</t>
  </si>
  <si>
    <t>MANZANARES  Leandro</t>
  </si>
  <si>
    <t>BARBOZA  Mathias *</t>
  </si>
  <si>
    <t>LEIVA  Jean Carlo *</t>
  </si>
  <si>
    <t xml:space="preserve">OROZCO  Aaron Felipe* </t>
  </si>
  <si>
    <t>SOJO  Joshua Samir</t>
  </si>
  <si>
    <t>CODEA COSTA FRUT</t>
  </si>
  <si>
    <t xml:space="preserve">MURILLO Sebastian* </t>
  </si>
  <si>
    <t xml:space="preserve">CASASOLA  Steven </t>
  </si>
  <si>
    <t xml:space="preserve">NO TENGO </t>
  </si>
  <si>
    <t xml:space="preserve">DESAMPARADOS BIKI CAFÉ </t>
  </si>
  <si>
    <t>VEGA Santiago</t>
  </si>
  <si>
    <t>CAMPOS Matias</t>
  </si>
  <si>
    <t>THOMAS  Dominick *</t>
  </si>
  <si>
    <t xml:space="preserve">COMITÉ DE SANTA ANA </t>
  </si>
  <si>
    <t>QUESADA  Jerald Jesus*</t>
  </si>
  <si>
    <t xml:space="preserve">PIEDRA  Fabián* </t>
  </si>
  <si>
    <t xml:space="preserve">PEÑA  Anthony* </t>
  </si>
  <si>
    <t xml:space="preserve">MENESES  Cesar* </t>
  </si>
  <si>
    <t xml:space="preserve">BRIONES  Gedmelheintch* </t>
  </si>
  <si>
    <t xml:space="preserve">FALCÓN  Fernando* </t>
  </si>
  <si>
    <t xml:space="preserve">GAMBOA  Elian* </t>
  </si>
  <si>
    <t>RODRÍGUEZ José Pablo*</t>
  </si>
  <si>
    <t>CICLISMO BELÉN</t>
  </si>
  <si>
    <t xml:space="preserve">UMAÑA  Devis* </t>
  </si>
  <si>
    <t>WESTRA  Seyo *</t>
  </si>
  <si>
    <t>CASTILLO  Edwan*</t>
  </si>
  <si>
    <t>ESC GUIDO BLANCO/CCDRL</t>
  </si>
  <si>
    <t xml:space="preserve">EPIC BIKE CENTER </t>
  </si>
  <si>
    <t xml:space="preserve">VQ ATHLETIC </t>
  </si>
  <si>
    <t xml:space="preserve">AGUILAR  Valentino* </t>
  </si>
  <si>
    <t>CAMPOS  Emmanuel *</t>
  </si>
  <si>
    <t xml:space="preserve">CCDR DE NARANJO </t>
  </si>
  <si>
    <t xml:space="preserve">CAMPOS  Kevin Andrey </t>
  </si>
  <si>
    <t>LIRA  Axel *</t>
  </si>
  <si>
    <t>DISTRIBUIDORA CRUZ TECNOCFORES CCDR POCOCI</t>
  </si>
  <si>
    <t>FERNÁNDEZ  Caled*</t>
  </si>
  <si>
    <t>DISTRIBUIDORA CRUZ TECNOFORES CCDR POCOCÍ</t>
  </si>
  <si>
    <t xml:space="preserve">VASQUEZ  Cristóbal* </t>
  </si>
  <si>
    <t xml:space="preserve">MARTINEZ  Alejandro* </t>
  </si>
  <si>
    <t xml:space="preserve">GARRO  Sergio* </t>
  </si>
  <si>
    <t xml:space="preserve">  DISTRIBUIDORA CRUZ TECNOCFORES CCDR POCOCI</t>
  </si>
  <si>
    <t>GAMBOA Yeirel*</t>
  </si>
  <si>
    <t>TEAM CRUZ DISTRIBUIDORA CRUZ CCDR POCOCI</t>
  </si>
  <si>
    <t>VILLALOBOS  Yohel*</t>
  </si>
  <si>
    <t xml:space="preserve">FERVISA LLISA BIOMED </t>
  </si>
  <si>
    <t>BOLANOS Jean Carlo</t>
  </si>
  <si>
    <t xml:space="preserve">TEAM BIKECENTER CR/ CICLISMO BELEN </t>
  </si>
  <si>
    <t xml:space="preserve">MADRIGAL  Maidelyn De Los Angeles </t>
  </si>
  <si>
    <t xml:space="preserve">ZÁRATE  Nazareth* </t>
  </si>
  <si>
    <t xml:space="preserve">BARQUERO  Brenda* </t>
  </si>
  <si>
    <t xml:space="preserve">CCDR BUENOS AIRES </t>
  </si>
  <si>
    <t xml:space="preserve">RIVERA Leonor* </t>
  </si>
  <si>
    <t xml:space="preserve">CAMPOS   Isaac Eduardo* </t>
  </si>
  <si>
    <t>RODRÍGUEZ  Marcelo*</t>
  </si>
  <si>
    <t xml:space="preserve">FERROCA </t>
  </si>
  <si>
    <t>CRUZ Denzell</t>
  </si>
  <si>
    <t>ESCUELA GUIDO BLANCO/CCDRL</t>
  </si>
  <si>
    <t xml:space="preserve">ALFARO Emmanuel </t>
  </si>
  <si>
    <t>BRICEÑO  Mike Josue*</t>
  </si>
  <si>
    <t xml:space="preserve">CCDR SANTA CRUZ/TEAM COSTA FRUT </t>
  </si>
  <si>
    <t xml:space="preserve">HERRERO Josué* </t>
  </si>
  <si>
    <t>SOTO  Sebastián</t>
  </si>
  <si>
    <t>ARIAS  Daniel *</t>
  </si>
  <si>
    <t xml:space="preserve">SABALLOS  Joshua </t>
  </si>
  <si>
    <t xml:space="preserve">CISNEROS Ian Felipe* </t>
  </si>
  <si>
    <t>BARRANTES  Thomas *</t>
  </si>
  <si>
    <t xml:space="preserve">ASOC. CICLISTICA GRIEGA </t>
  </si>
  <si>
    <t xml:space="preserve">SUNSIN Eithan </t>
  </si>
  <si>
    <t>MOYA  Santiago *</t>
  </si>
  <si>
    <t>CAMPOS  Moisés *</t>
  </si>
  <si>
    <t xml:space="preserve">PICADO  Emiliano </t>
  </si>
  <si>
    <t xml:space="preserve">DONDE LANDA </t>
  </si>
  <si>
    <t>DUARTE  Luis Andrés *</t>
  </si>
  <si>
    <t>ALVAREZ  Mateo*</t>
  </si>
  <si>
    <t>C.C.D.R.ESCAZU</t>
  </si>
  <si>
    <t>MEDINA Anders</t>
  </si>
  <si>
    <t xml:space="preserve">RAMÍREZ  Adrián </t>
  </si>
  <si>
    <t>BETHEL, MOANA, EDUS , ZARCERO</t>
  </si>
  <si>
    <t>ZUMBADO Yaikel</t>
  </si>
  <si>
    <t>RODRIGUEZ  Dylan*</t>
  </si>
  <si>
    <t xml:space="preserve">SKALA/CCDR MONTEVERDE </t>
  </si>
  <si>
    <t xml:space="preserve">VARGAS  David </t>
  </si>
  <si>
    <t>ACOSTA  Jakob</t>
  </si>
  <si>
    <t>CCDR</t>
  </si>
  <si>
    <t xml:space="preserve">MONGE Mathias* </t>
  </si>
  <si>
    <t xml:space="preserve">NUÑEZ  Lorenzo </t>
  </si>
  <si>
    <t>CCDR SAN JOSÉ</t>
  </si>
  <si>
    <t>SALAZAR Adriel*</t>
  </si>
  <si>
    <t>FERNÁNDEZ Sebastián*</t>
  </si>
  <si>
    <t xml:space="preserve">LIZANO  Nicole </t>
  </si>
  <si>
    <t xml:space="preserve">CCDR SANTA ANA </t>
  </si>
  <si>
    <t xml:space="preserve">OVIEDO  Camila </t>
  </si>
  <si>
    <t xml:space="preserve">CÉSPEDES  Isabella* </t>
  </si>
  <si>
    <t>ALFARO Isabella*</t>
  </si>
  <si>
    <t>SOLIS Nathalia *</t>
  </si>
  <si>
    <t>GUTIÉRREZ  Gaele Sofía*</t>
  </si>
  <si>
    <t>CCDR SANTA CRUZ, INVERSIONES GS</t>
  </si>
  <si>
    <t xml:space="preserve">SANDI Derek Ivan </t>
  </si>
  <si>
    <t xml:space="preserve">CORDERO Iker Mattias </t>
  </si>
  <si>
    <t>ARCE Mathew</t>
  </si>
  <si>
    <t xml:space="preserve">DURÁN  Emanuel </t>
  </si>
  <si>
    <t xml:space="preserve">RAMÍREZ  David </t>
  </si>
  <si>
    <t xml:space="preserve">GARCÍA  Danny Armando  </t>
  </si>
  <si>
    <t xml:space="preserve">ROES CENTELA </t>
  </si>
  <si>
    <t xml:space="preserve">MARÍN  Isaac José </t>
  </si>
  <si>
    <t xml:space="preserve">CAMPOS Samuel </t>
  </si>
  <si>
    <t xml:space="preserve">MORERA Derrick </t>
  </si>
  <si>
    <t>CCDR MATINA- CICLO SALAS BATAN</t>
  </si>
  <si>
    <t xml:space="preserve">BONILLA  Keyshmer </t>
  </si>
  <si>
    <t>FERNÁNDEZ  Heydan</t>
  </si>
  <si>
    <t>GUTIERREZ  Jose Simao</t>
  </si>
  <si>
    <t>MATA  Antuan *</t>
  </si>
  <si>
    <t xml:space="preserve">CASTILLO  Santiago* </t>
  </si>
  <si>
    <t>ARAYA Samuel</t>
  </si>
  <si>
    <t>ARAYA Alejandro*</t>
  </si>
  <si>
    <t>BONILLA  Mattew</t>
  </si>
  <si>
    <t xml:space="preserve">VILLALOBOS  Mathias </t>
  </si>
  <si>
    <t>FERNÁNDEZ  Owen Mathias *</t>
  </si>
  <si>
    <t>VELOZ CYCLING</t>
  </si>
  <si>
    <t xml:space="preserve">QUIRÓS  Alejandro Martín </t>
  </si>
  <si>
    <t>HERRERAZ´Z TEAM - ANIMO PARQ</t>
  </si>
  <si>
    <t>QUIROZ  Leyser Noel *</t>
  </si>
  <si>
    <t>ACIPAL CMS</t>
  </si>
  <si>
    <t>CALDERON Jaden</t>
  </si>
  <si>
    <t>CCDRSANJOSE</t>
  </si>
  <si>
    <t xml:space="preserve">MOLINA  Bayron </t>
  </si>
  <si>
    <t xml:space="preserve">EQUIPO DE CICLISMO CCDR SAN JOSÉ </t>
  </si>
  <si>
    <t>GARRO Andrey</t>
  </si>
  <si>
    <t xml:space="preserve">SALAS  Santiago </t>
  </si>
  <si>
    <t>CCDR SAN JOSE</t>
  </si>
  <si>
    <t>QUESADA  Juan Diego*</t>
  </si>
  <si>
    <t>POWER CYCLING</t>
  </si>
  <si>
    <t>CARMONA Ian Josue</t>
  </si>
  <si>
    <t>pendiente</t>
  </si>
  <si>
    <t xml:space="preserve">MORA  David </t>
  </si>
  <si>
    <t>MARCHENA  Shelly</t>
  </si>
  <si>
    <t>CORTES  Mariam</t>
  </si>
  <si>
    <t xml:space="preserve">PIZARRO  Keysi </t>
  </si>
  <si>
    <t>VILLALOBOS  Jimena *</t>
  </si>
  <si>
    <t>HERNANDEZ  Isabella *</t>
  </si>
  <si>
    <t xml:space="preserve">ESCUELITA GUIDO BLANCO </t>
  </si>
  <si>
    <t xml:space="preserve">ALVARADO  Elena </t>
  </si>
  <si>
    <t xml:space="preserve">ESCUELITA GUIDO BLANCO LIBERIA </t>
  </si>
  <si>
    <t>RODRIGUEZ Sara*</t>
  </si>
  <si>
    <t>FRM</t>
  </si>
  <si>
    <t xml:space="preserve">ARAYA Sharon María </t>
  </si>
  <si>
    <t>DIAZ  Elisa Alejandra*</t>
  </si>
  <si>
    <t xml:space="preserve">ZÚÑIGA  María Fernanda </t>
  </si>
  <si>
    <t>CESPEDES  Santiago</t>
  </si>
  <si>
    <t>ACCIPAL CMS</t>
  </si>
  <si>
    <t xml:space="preserve">CÉSPEDES  Anthony* </t>
  </si>
  <si>
    <t xml:space="preserve">ARAYA  Emiliano </t>
  </si>
  <si>
    <t>CCDR SANTA CRUZ, TEAM COSTA FRUT</t>
  </si>
  <si>
    <t>CERDAS Isaac*</t>
  </si>
  <si>
    <t>FLORES Eytham*</t>
  </si>
  <si>
    <t>PERSONAL</t>
  </si>
  <si>
    <t>ARAYA Ian Adrian*</t>
  </si>
  <si>
    <t xml:space="preserve">FREER  Isaac* </t>
  </si>
  <si>
    <t>SOLÍS  1. Sebastián *</t>
  </si>
  <si>
    <t>MONTEALEGRE María Paula</t>
  </si>
  <si>
    <t>CCDR-SANTA CRUZ</t>
  </si>
  <si>
    <t>HERNÁNDEZ  Maripaz *</t>
  </si>
  <si>
    <t>SANTA ANA / HDZ TEAM</t>
  </si>
  <si>
    <t xml:space="preserve">MORA Valentina </t>
  </si>
  <si>
    <t>HERNANDEZ  Fiorella *</t>
  </si>
  <si>
    <t>PIZARRO  Shailene *</t>
  </si>
  <si>
    <t xml:space="preserve">FERNÁNDEZ  Brihana </t>
  </si>
  <si>
    <t xml:space="preserve">ZÚÑIGA  Mariangel </t>
  </si>
  <si>
    <t>MARTÍNEZ Andrés</t>
  </si>
  <si>
    <t xml:space="preserve">MORALES  Allan </t>
  </si>
  <si>
    <t xml:space="preserve">TEAM GOCHA </t>
  </si>
  <si>
    <t>ARIAS  Kibeth</t>
  </si>
  <si>
    <t>CAMPOS Diego</t>
  </si>
  <si>
    <t xml:space="preserve">GAMBOA  Francisco </t>
  </si>
  <si>
    <t>ARTAVIA Enrique</t>
  </si>
  <si>
    <t>DELGADO  Alfredo</t>
  </si>
  <si>
    <t xml:space="preserve">MOLINA  Hairo </t>
  </si>
  <si>
    <t>TEAM CQ-PZ</t>
  </si>
  <si>
    <t>MORERA Oscar</t>
  </si>
  <si>
    <t xml:space="preserve">TEAM GOCHA-MAXXIS-GU ENERGY </t>
  </si>
  <si>
    <t>QUIROS John</t>
  </si>
  <si>
    <t>CCDR MATINA_ CICLO SALAS BATAN</t>
  </si>
  <si>
    <t>MOLINA Felipe</t>
  </si>
  <si>
    <t>BRAND LIFT - VIDA VERDE CBD</t>
  </si>
  <si>
    <t xml:space="preserve">GAMBOA  Andrés </t>
  </si>
  <si>
    <t>SANABRIA Kenneth</t>
  </si>
  <si>
    <t>TREK BIKE STORE</t>
  </si>
  <si>
    <t xml:space="preserve">SÁNCHEZ  Daniel Jesús </t>
  </si>
  <si>
    <t>FONSECA Roy</t>
  </si>
  <si>
    <t>GRUPETA DE LAS 5AM</t>
  </si>
  <si>
    <t>COLYPRO - AUTOPAMA- CLETEROS BATAAN</t>
  </si>
  <si>
    <t>AZOFEIFA  Marcos</t>
  </si>
  <si>
    <t xml:space="preserve">GARCIA Jorge </t>
  </si>
  <si>
    <t>FERNÁNDEZ Raúl</t>
  </si>
  <si>
    <t xml:space="preserve">CAMPOS  Eduardo Alberto </t>
  </si>
  <si>
    <t>HERNANDEZ Patricio</t>
  </si>
  <si>
    <t>VEINTE24 CYCLING TEAM</t>
  </si>
  <si>
    <t>LOPEZ Jose</t>
  </si>
  <si>
    <t>VILLALTA Carlos</t>
  </si>
  <si>
    <t>MENDEZ  Diego</t>
  </si>
  <si>
    <t>UT</t>
  </si>
  <si>
    <t>UBAU Randall</t>
  </si>
  <si>
    <t>VIVÉLO</t>
  </si>
  <si>
    <t xml:space="preserve">ARCE  Alberth </t>
  </si>
  <si>
    <t>VEGA Oldemar</t>
  </si>
  <si>
    <t>MARIN Alonso</t>
  </si>
  <si>
    <t>CARVAJAL Jonathan</t>
  </si>
  <si>
    <t xml:space="preserve">UREÑA  Edgar </t>
  </si>
  <si>
    <t>BDRIFT-MOTORSPORTNUTRITION</t>
  </si>
  <si>
    <t xml:space="preserve">VASQUEZ  Ricardo </t>
  </si>
  <si>
    <t xml:space="preserve">CH TRAINING </t>
  </si>
  <si>
    <t xml:space="preserve">SUÁREZ  Christian </t>
  </si>
  <si>
    <t>BELTRAN Pablo</t>
  </si>
  <si>
    <t>BELPOWER RUGATI PINARES</t>
  </si>
  <si>
    <t xml:space="preserve">SALAS Mauricio </t>
  </si>
  <si>
    <t xml:space="preserve">RODRÍGUEZ  Luis Angel </t>
  </si>
  <si>
    <t xml:space="preserve">JONATHAN QUESADA TRAINING/ FISIO NORTE </t>
  </si>
  <si>
    <t xml:space="preserve">SOLANO Cristian </t>
  </si>
  <si>
    <t>HOTEL WHYNDAN GARDEN - MENSAJERÍA M-A BICICLETA JAVA</t>
  </si>
  <si>
    <t>CAMPOS Luis Javier</t>
  </si>
  <si>
    <t xml:space="preserve">CASTRO  Martín </t>
  </si>
  <si>
    <t>CCSOLDADURAS.</t>
  </si>
  <si>
    <t>VARGAS Dennis</t>
  </si>
  <si>
    <t>X3ME/SPECIALIZED</t>
  </si>
  <si>
    <t xml:space="preserve">HERRERA  Gustavo </t>
  </si>
  <si>
    <t>DRIN TIN</t>
  </si>
  <si>
    <t xml:space="preserve">ULLOA  Warner </t>
  </si>
  <si>
    <t xml:space="preserve">PÉREZ  Javier </t>
  </si>
  <si>
    <t>CNERGY</t>
  </si>
  <si>
    <t>HERNÁNDEZ Yuliana</t>
  </si>
  <si>
    <t>SAPPHIRE TABA CYCLING TEAM</t>
  </si>
  <si>
    <t>ZÚÑIGA Laura</t>
  </si>
  <si>
    <t xml:space="preserve">VEINTE24 </t>
  </si>
  <si>
    <t>GONZALEZ  Alejandra</t>
  </si>
  <si>
    <t xml:space="preserve">LORÍA Dilcen </t>
  </si>
  <si>
    <t>FISIONORTE/QUESADAJONATHAN.CYCLING</t>
  </si>
  <si>
    <t>FERNÁNDEZ  Sindy</t>
  </si>
  <si>
    <t xml:space="preserve">VELOZ CYCLING - CICLO BOUTIQUE ROES - COLYPRO </t>
  </si>
  <si>
    <t>MORA  Odexinia</t>
  </si>
  <si>
    <t xml:space="preserve">ALVARADO  Lisbeth </t>
  </si>
  <si>
    <t>STYM X VIVELO</t>
  </si>
  <si>
    <t>SANDÍ Kendall</t>
  </si>
  <si>
    <t xml:space="preserve">TEAM POWERCYCLING </t>
  </si>
  <si>
    <t>RIVERA  Jackdanny</t>
  </si>
  <si>
    <t xml:space="preserve">VEINTE24 CYCLING </t>
  </si>
  <si>
    <t xml:space="preserve">MENA Juan Carlos </t>
  </si>
  <si>
    <t>GOCHA CYCLINGTEAM</t>
  </si>
  <si>
    <t xml:space="preserve">MARIN Daniel </t>
  </si>
  <si>
    <t>SALAS Randall</t>
  </si>
  <si>
    <t xml:space="preserve"> CORREDOR INDIVIDUAL </t>
  </si>
  <si>
    <t xml:space="preserve">OCAMPO  Yalí </t>
  </si>
  <si>
    <t xml:space="preserve">TEAM BELSCO </t>
  </si>
  <si>
    <t xml:space="preserve">TRETTI  Caterina </t>
  </si>
  <si>
    <t>SOLÍS  Thania Daniela</t>
  </si>
  <si>
    <t>CISNEROS Cristofer</t>
  </si>
  <si>
    <t xml:space="preserve">ALFARO  Dany </t>
  </si>
  <si>
    <t>SERVICIO AUTOMOTRIZ DANY</t>
  </si>
  <si>
    <t>VARGAS Omar</t>
  </si>
  <si>
    <t>ACM-EL COMI CASI ENDURERO</t>
  </si>
  <si>
    <t>GUZMAN Alex Jesus</t>
  </si>
  <si>
    <t xml:space="preserve">TENORIO  Carlos Alberto </t>
  </si>
  <si>
    <t>E-BIKE FEMENINO</t>
  </si>
  <si>
    <t xml:space="preserve">DOBLES  Chisthpher </t>
  </si>
  <si>
    <t xml:space="preserve">CONGELADOS ADIS / PROTUBE /OKAPI DRINKS / TODO CR </t>
  </si>
  <si>
    <t>VARGAS Efren</t>
  </si>
  <si>
    <t xml:space="preserve">CHAVES  Luis </t>
  </si>
  <si>
    <t xml:space="preserve">ESC CIC GUIDO BLANCO </t>
  </si>
  <si>
    <t>JIMENEZ Jefry</t>
  </si>
  <si>
    <t>TEAM A+</t>
  </si>
  <si>
    <t>0</t>
  </si>
  <si>
    <t xml:space="preserve">NOSOTROS DOTA - PASION MX </t>
  </si>
  <si>
    <t>TEAM INNOVABIKES SKOLER UH</t>
  </si>
  <si>
    <t>MORA Juan Manuel</t>
  </si>
  <si>
    <t>N/A</t>
  </si>
  <si>
    <t>SANDOVAL  Alberto</t>
  </si>
  <si>
    <t>ALGO RITMO DEVELOMET</t>
  </si>
  <si>
    <t>CALDERÓN  Edwin</t>
  </si>
  <si>
    <t>CAPOS MOBI BIKE TEAM</t>
  </si>
  <si>
    <t xml:space="preserve">ALPIZAR Roberto </t>
  </si>
  <si>
    <t>CAMPOS  Diego</t>
  </si>
  <si>
    <t>BENAVIDES  Kenneth</t>
  </si>
  <si>
    <t>ALFARO Jonathan</t>
  </si>
  <si>
    <t>EQUIPO QUECA</t>
  </si>
  <si>
    <t>SUAREZ Ariel</t>
  </si>
  <si>
    <t>MCT CYCLING TEAM</t>
  </si>
  <si>
    <t>RAMÍREZ  Federico</t>
  </si>
  <si>
    <t xml:space="preserve">SEVEN CARD WILLIER </t>
  </si>
  <si>
    <t>MOLINA  Hairo</t>
  </si>
  <si>
    <t>BUF, DRASANVI, ECOTIENDA</t>
  </si>
  <si>
    <t>RODRÍGUEZ  Julián</t>
  </si>
  <si>
    <t>ARIAS Adrian</t>
  </si>
  <si>
    <t xml:space="preserve">QUIROS John </t>
  </si>
  <si>
    <t xml:space="preserve">CCDR MATINA-CICLO SALAS BATAAN </t>
  </si>
  <si>
    <t>MENESES  Jose</t>
  </si>
  <si>
    <t xml:space="preserve">STYM </t>
  </si>
  <si>
    <t>ZAMORA  Jose David</t>
  </si>
  <si>
    <t xml:space="preserve">SANDI Kendall </t>
  </si>
  <si>
    <t xml:space="preserve">POWERCYCLING </t>
  </si>
  <si>
    <t xml:space="preserve">NUMUCOACHING </t>
  </si>
  <si>
    <t xml:space="preserve">RIVERA  Jackdanny </t>
  </si>
  <si>
    <t>ARAYA Bryan</t>
  </si>
  <si>
    <t>BPT/ CYCLINGLAB</t>
  </si>
  <si>
    <t>BRENES Cristopher</t>
  </si>
  <si>
    <t>SARAPIQUI</t>
  </si>
  <si>
    <t>CHACÓN  Gonzalo</t>
  </si>
  <si>
    <t xml:space="preserve">MÉNDEZ Diego </t>
  </si>
  <si>
    <t>ULTIMATE TEAM</t>
  </si>
  <si>
    <t>GARCIA Jorge</t>
  </si>
  <si>
    <t>PEREZ Hector</t>
  </si>
  <si>
    <t>GW ERCO SPORTFITNESS</t>
  </si>
  <si>
    <t>LORIA Luis</t>
  </si>
  <si>
    <t>ASOCIACIÓN PURISCAL</t>
  </si>
  <si>
    <t xml:space="preserve">VILLALTA Carlos </t>
  </si>
  <si>
    <t>MCT</t>
  </si>
  <si>
    <t>RAMIREZ Luis</t>
  </si>
  <si>
    <t>GONZALEZ  Victor</t>
  </si>
  <si>
    <t>EPIC BIKE ATENAS</t>
  </si>
  <si>
    <t xml:space="preserve">GÓMEZ  José Antonio </t>
  </si>
  <si>
    <t xml:space="preserve">BPT </t>
  </si>
  <si>
    <t>ARAYA  Ronald</t>
  </si>
  <si>
    <t xml:space="preserve">X3ME XTREME </t>
  </si>
  <si>
    <t>PORRAS Guillermo</t>
  </si>
  <si>
    <t>BERMUDEZ Guillermo</t>
  </si>
  <si>
    <t>ARCE  Alberth</t>
  </si>
  <si>
    <t xml:space="preserve">GONZALEZ  Alejandra </t>
  </si>
  <si>
    <t xml:space="preserve">MUÑOZ Germán </t>
  </si>
  <si>
    <t xml:space="preserve">JONATHAN QUESADA TRAINING/FISIO NORTE </t>
  </si>
  <si>
    <t>GONZALEZ Alejandro</t>
  </si>
  <si>
    <t>S/E</t>
  </si>
  <si>
    <t>MONGE  Freizer</t>
  </si>
  <si>
    <t xml:space="preserve">HOTEL WHYNDAN GARDEN -MENSAJERIA M-A BICICLETA JAVA </t>
  </si>
  <si>
    <t>MORA Alexander Alfredo</t>
  </si>
  <si>
    <t>TEAM CORECO / MOMENTUM SPORTS</t>
  </si>
  <si>
    <t>CAMPOS  Luis Javier</t>
  </si>
  <si>
    <t>DELGADO Angelo</t>
  </si>
  <si>
    <t>7EIGHT7 PROJECT</t>
  </si>
  <si>
    <t>LORIA  Dilcen</t>
  </si>
  <si>
    <t>FISIONORTE / QUESADACYCLING</t>
  </si>
  <si>
    <t>VALVERDE Liam</t>
  </si>
  <si>
    <t>CARBALLO Abraham</t>
  </si>
  <si>
    <t>BIKERS RACING TEAM</t>
  </si>
  <si>
    <t xml:space="preserve">TEAM ARCE </t>
  </si>
  <si>
    <t>SANDI Derek Ivan</t>
  </si>
  <si>
    <t xml:space="preserve">GARCÍA  Danny Armando </t>
  </si>
  <si>
    <t xml:space="preserve">ROES/COMITÉ CANTONAL ZARCERO </t>
  </si>
  <si>
    <t>MORERA Derrick</t>
  </si>
  <si>
    <t>CCDR MATINA-CICLO SALAS BATAAN</t>
  </si>
  <si>
    <t>CAMPOS  Angelo Samuel*</t>
  </si>
  <si>
    <t xml:space="preserve">TEAMCQ </t>
  </si>
  <si>
    <t xml:space="preserve">GARRO Andrey </t>
  </si>
  <si>
    <t>RAMÍREZ  David</t>
  </si>
  <si>
    <t>RODRIGUEZ  Damian</t>
  </si>
  <si>
    <t>JEREZ Gabriel</t>
  </si>
  <si>
    <t>10157013577</t>
  </si>
  <si>
    <t>CCDR LIBERIA TEAM COSTA FRUT</t>
  </si>
  <si>
    <t>BONILLA Keyshmer*</t>
  </si>
  <si>
    <t xml:space="preserve">ARAYA Samuel </t>
  </si>
  <si>
    <t xml:space="preserve">ROJAS Pedro </t>
  </si>
  <si>
    <t xml:space="preserve">TORRES  Camila Del Pilar </t>
  </si>
  <si>
    <t xml:space="preserve">MARCHENA  Shelly </t>
  </si>
  <si>
    <t>NUÑEZ Ashly*</t>
  </si>
  <si>
    <t xml:space="preserve">SANTA ANA / HDZ TEAM </t>
  </si>
  <si>
    <t>PAREDES  Miguel</t>
  </si>
  <si>
    <t xml:space="preserve">ASTRANOVA BIKE HOUSE TREK </t>
  </si>
  <si>
    <t>CARBALLO Bryan*</t>
  </si>
  <si>
    <t>CCDR ESCAZU</t>
  </si>
  <si>
    <t xml:space="preserve">SPACE SCENSE-FERROCA-SST CONSULTORES </t>
  </si>
  <si>
    <t>CRUZ Denzell Alberto</t>
  </si>
  <si>
    <t xml:space="preserve">SOTO  Sebastián </t>
  </si>
  <si>
    <t>BRICEÑO Mike Josue*</t>
  </si>
  <si>
    <t>RODRÍGUEZ  Dylan Fabian*</t>
  </si>
  <si>
    <t xml:space="preserve">CCDR MONTEVERDE/ SKALA </t>
  </si>
  <si>
    <t xml:space="preserve">VARELA Mathias </t>
  </si>
  <si>
    <t>FERNÁNDEZ  Sebastián*</t>
  </si>
  <si>
    <t xml:space="preserve">ASOCIACIÓN CICLISTICA DE TURRIALBA </t>
  </si>
  <si>
    <t>GUIDO BLANCO-CCDRLIBERIA</t>
  </si>
  <si>
    <t xml:space="preserve">ZUMBADO  Yaikel </t>
  </si>
  <si>
    <t>CISNEROS  Ian Felipe*</t>
  </si>
  <si>
    <t xml:space="preserve">TEAM CQ PZ </t>
  </si>
  <si>
    <t>CAMPOS  Isaac*</t>
  </si>
  <si>
    <t xml:space="preserve">COLONO </t>
  </si>
  <si>
    <t>ALVAREZ  Mateo Armando*</t>
  </si>
  <si>
    <t>CCDRE ESCAZU</t>
  </si>
  <si>
    <t xml:space="preserve">SKALA MONTEVERDE/CCDR MONTEVERDE </t>
  </si>
  <si>
    <t>SOLIS Nathalia*</t>
  </si>
  <si>
    <t xml:space="preserve">LIZANO  Nicole Daniela </t>
  </si>
  <si>
    <t xml:space="preserve">PZ CYCLING TEAM </t>
  </si>
  <si>
    <t xml:space="preserve">MARQUES  José Gabriel </t>
  </si>
  <si>
    <t xml:space="preserve">COD RACING </t>
  </si>
  <si>
    <t>ELITE MASCULINO (23+)</t>
  </si>
  <si>
    <t>BOTERO Jhonnatan</t>
  </si>
  <si>
    <t>AGUILAR Ivan</t>
  </si>
  <si>
    <t>REGULUS 333</t>
  </si>
  <si>
    <t>LÓPEZ Luis Enrique</t>
  </si>
  <si>
    <t xml:space="preserve">BEDOYA Jeronimo </t>
  </si>
  <si>
    <t xml:space="preserve">RAMÍREZ  Joseph </t>
  </si>
  <si>
    <t xml:space="preserve">MONTOYA  Paolo </t>
  </si>
  <si>
    <t xml:space="preserve">CICLO VÍCTOR VARGAS </t>
  </si>
  <si>
    <t>FARNWORTH  Landon</t>
  </si>
  <si>
    <t xml:space="preserve">UNATTACHED </t>
  </si>
  <si>
    <t xml:space="preserve">SOLÍS  Keiron </t>
  </si>
  <si>
    <t xml:space="preserve">PEDREGAL - 7C </t>
  </si>
  <si>
    <t>SAN MARTIN Maximiliano*</t>
  </si>
  <si>
    <t>ER CICLISMO CHILE.</t>
  </si>
  <si>
    <t>TAILLEFER Tristan*</t>
  </si>
  <si>
    <t>PIVOT OTE CONTINENTAL</t>
  </si>
  <si>
    <t>DUVAL Mathis*</t>
  </si>
  <si>
    <t>SIBOIRE QUIROULE</t>
  </si>
  <si>
    <t>VARGAS  José David*</t>
  </si>
  <si>
    <t>HIDALGO Stefano*</t>
  </si>
  <si>
    <t>MORA  Kendall*</t>
  </si>
  <si>
    <t xml:space="preserve">1000 FPS- ZONA INFINITO SPORT </t>
  </si>
  <si>
    <t>BRUNELLE Alix*</t>
  </si>
  <si>
    <t>RODRIGUEZ Angel*</t>
  </si>
  <si>
    <t>CASTILLO  Alejandro*</t>
  </si>
  <si>
    <t>LUNA  José Carlos*</t>
  </si>
  <si>
    <t xml:space="preserve">MI BICLA </t>
  </si>
  <si>
    <t>GOULÃO  Raiza</t>
  </si>
  <si>
    <t xml:space="preserve">SQUADRA OGGI </t>
  </si>
  <si>
    <t>ELITE FEMENINO (23+)</t>
  </si>
  <si>
    <t>RODRÍGUEZ Suheily</t>
  </si>
  <si>
    <t>SINTESIS DEVELOPMENT TEAM</t>
  </si>
  <si>
    <t>SALVINI Giuliana</t>
  </si>
  <si>
    <t>RAMIREZ Coral Marie</t>
  </si>
  <si>
    <t>CBZ ASFALTOS- DEKRA- MAXXIS</t>
  </si>
  <si>
    <t xml:space="preserve">ASFALTOS CBZ/ DEKRA/ SECNET </t>
  </si>
  <si>
    <t>RODRIGUEZ Erika</t>
  </si>
  <si>
    <t>MASSI</t>
  </si>
  <si>
    <t xml:space="preserve">ZELEDÓN  Gabriela </t>
  </si>
  <si>
    <t>GARCÍA  Isabel*</t>
  </si>
  <si>
    <t>GARCÍA  Marisol*</t>
  </si>
  <si>
    <t>WESTER Isabela Katerina*</t>
  </si>
  <si>
    <t>DONOVAN RACING</t>
  </si>
  <si>
    <t>NUÑEZ  Alison*</t>
  </si>
  <si>
    <t>DESAMPARADOS BIKE CAFÉ FAST&amp;UP</t>
  </si>
  <si>
    <t>QUINTERO Santiago</t>
  </si>
  <si>
    <t xml:space="preserve">DE JESÚS  Yandel </t>
  </si>
  <si>
    <t xml:space="preserve">SPORTSCIENCE RACING &amp; DEVELOPMENT TEAM </t>
  </si>
  <si>
    <t>CODEA DE ALAJUELA</t>
  </si>
  <si>
    <t>MURILLO Sebastian*</t>
  </si>
  <si>
    <t>CASASOLA  Steven</t>
  </si>
  <si>
    <t xml:space="preserve">CAMPOS Matías </t>
  </si>
  <si>
    <t>QUINTO Gabriel Jheremi*</t>
  </si>
  <si>
    <t>GIANT PERÚ SIN FRONTERAS</t>
  </si>
  <si>
    <t>FONSECA  Dianey</t>
  </si>
  <si>
    <t>AGUILAR  Valentino*</t>
  </si>
  <si>
    <t>FALCÓN  Fernando*</t>
  </si>
  <si>
    <t xml:space="preserve">BOLAÑOS  Jean Carlo </t>
  </si>
  <si>
    <t xml:space="preserve">CICLISMO BELÉN/ TEAM BIKE CENTER </t>
  </si>
  <si>
    <t>O'NEAL Kypton*</t>
  </si>
  <si>
    <t>RODRIGUEZ Jose Pablo*</t>
  </si>
  <si>
    <t>CAMPOS Kevin Andrey</t>
  </si>
  <si>
    <t>ALPIZAR  Alejandro*</t>
  </si>
  <si>
    <t>CODEA ALAJUELA - CICLO EPIC</t>
  </si>
  <si>
    <t>DICKENS Matthew*</t>
  </si>
  <si>
    <t>DIRT CAMP RACING</t>
  </si>
  <si>
    <t xml:space="preserve">CICLISMO BELÉN  </t>
  </si>
  <si>
    <t>CAMPOS Emmanuel*</t>
  </si>
  <si>
    <t>SOTO Cristian*</t>
  </si>
  <si>
    <t>MARIN  Sebastián*</t>
  </si>
  <si>
    <t xml:space="preserve">GAVIRIA  Daniela </t>
  </si>
  <si>
    <t>LEDGARD  Alice</t>
  </si>
  <si>
    <t xml:space="preserve">MADRIGAL  Maidelyn </t>
  </si>
  <si>
    <t>RIVERA  Leonor Fernanda*</t>
  </si>
  <si>
    <t>ARAYA  Emiliano</t>
  </si>
  <si>
    <t>FLORES  Eytham*</t>
  </si>
  <si>
    <t>HERRERA Mathias*</t>
  </si>
  <si>
    <t>CASTRO Lucas*</t>
  </si>
  <si>
    <t>ESCGB/CCDRL</t>
  </si>
  <si>
    <t>CARVAJAL Saúl Alonso*</t>
  </si>
  <si>
    <t>CLETA BOUTIQUE/ UT</t>
  </si>
  <si>
    <t>Planilla III Fecha Adventure Park</t>
  </si>
  <si>
    <t>1*</t>
  </si>
  <si>
    <t>2*</t>
  </si>
  <si>
    <t>14*</t>
  </si>
  <si>
    <t>3*</t>
  </si>
  <si>
    <t>4*</t>
  </si>
  <si>
    <t>5*</t>
  </si>
  <si>
    <t>6*</t>
  </si>
  <si>
    <t>7*</t>
  </si>
  <si>
    <t>8*</t>
  </si>
  <si>
    <t>9*</t>
  </si>
  <si>
    <t>10*</t>
  </si>
  <si>
    <t>11*</t>
  </si>
  <si>
    <t>12*</t>
  </si>
  <si>
    <t>13*</t>
  </si>
  <si>
    <t>21*</t>
  </si>
  <si>
    <t>22*</t>
  </si>
  <si>
    <t>23*</t>
  </si>
  <si>
    <t>24*</t>
  </si>
  <si>
    <t>25*</t>
  </si>
  <si>
    <t>26*</t>
  </si>
  <si>
    <t>27*</t>
  </si>
  <si>
    <t>28*</t>
  </si>
  <si>
    <t>29*</t>
  </si>
  <si>
    <t>30*</t>
  </si>
  <si>
    <t>31*</t>
  </si>
  <si>
    <t>32*</t>
  </si>
  <si>
    <t>33*</t>
  </si>
  <si>
    <t>34*</t>
  </si>
  <si>
    <t>35*</t>
  </si>
  <si>
    <t>36*</t>
  </si>
  <si>
    <t>81*</t>
  </si>
  <si>
    <t>82*</t>
  </si>
  <si>
    <t>89*</t>
  </si>
  <si>
    <t>83*</t>
  </si>
  <si>
    <t>84*</t>
  </si>
  <si>
    <t>85*</t>
  </si>
  <si>
    <t>86*</t>
  </si>
  <si>
    <t>87*</t>
  </si>
  <si>
    <t>88*</t>
  </si>
  <si>
    <t>91*</t>
  </si>
  <si>
    <t>92*</t>
  </si>
  <si>
    <t>93*</t>
  </si>
  <si>
    <t>94*</t>
  </si>
  <si>
    <t>101*</t>
  </si>
  <si>
    <t>102*</t>
  </si>
  <si>
    <t>103*</t>
  </si>
  <si>
    <t>104*</t>
  </si>
  <si>
    <t>105*</t>
  </si>
  <si>
    <t>106*</t>
  </si>
  <si>
    <t>107*</t>
  </si>
  <si>
    <t>108*</t>
  </si>
  <si>
    <t>109*</t>
  </si>
  <si>
    <t>110*</t>
  </si>
  <si>
    <t>111*</t>
  </si>
  <si>
    <t>112*</t>
  </si>
  <si>
    <t>113*</t>
  </si>
  <si>
    <t>114*</t>
  </si>
  <si>
    <t>115*</t>
  </si>
  <si>
    <t>116*</t>
  </si>
  <si>
    <t>117*</t>
  </si>
  <si>
    <t>118*</t>
  </si>
  <si>
    <t>119*</t>
  </si>
  <si>
    <t>120*</t>
  </si>
  <si>
    <t>121*</t>
  </si>
  <si>
    <t>122*</t>
  </si>
  <si>
    <t>123*</t>
  </si>
  <si>
    <t>124*</t>
  </si>
  <si>
    <t>125*</t>
  </si>
  <si>
    <t>126*</t>
  </si>
  <si>
    <t>127*</t>
  </si>
  <si>
    <t>261*</t>
  </si>
  <si>
    <t>262*</t>
  </si>
  <si>
    <t>263*</t>
  </si>
  <si>
    <t>264*</t>
  </si>
  <si>
    <t>265*</t>
  </si>
  <si>
    <t>GEN2RISE</t>
  </si>
  <si>
    <t>WESTER Isabella Katerina</t>
  </si>
  <si>
    <t>CCDR SANTA CRUZ- TEAM COSTA FRUT</t>
  </si>
  <si>
    <t>TEAM ARCE</t>
  </si>
  <si>
    <t>HERRERA  Mathias*</t>
  </si>
  <si>
    <t>FREER Isaac*</t>
  </si>
  <si>
    <t>DESAMPARADOS BIKE CAFE</t>
  </si>
  <si>
    <t xml:space="preserve">SOLIS Sebastian </t>
  </si>
  <si>
    <t>HERNÁNDEZ  Mateo</t>
  </si>
  <si>
    <t>CCDR-SANTA CRUZ/TEAM COSTAFRUT</t>
  </si>
  <si>
    <t xml:space="preserve">HDZTEAM/ SANTA ANA </t>
  </si>
  <si>
    <t>CODEA/E-VEGATRAINER</t>
  </si>
  <si>
    <t>SANDI  Derek Ivan</t>
  </si>
  <si>
    <t>BETEL/MOANA/PIZZA EDUS/PRODUCTOS CECI.</t>
  </si>
  <si>
    <t>CCDR LIBERIA COSTA FRUT</t>
  </si>
  <si>
    <t xml:space="preserve">RODRIGUEZ  Damian </t>
  </si>
  <si>
    <t xml:space="preserve">GUTIERREZ  Simao </t>
  </si>
  <si>
    <t xml:space="preserve">ROJAS  Pedro Saúl </t>
  </si>
  <si>
    <t>CASTRO  Camil</t>
  </si>
  <si>
    <t xml:space="preserve">CCDR MATINA CICLO SALAS BATAAN </t>
  </si>
  <si>
    <t>QUESADA Juan Diego*</t>
  </si>
  <si>
    <t>POWER KIDS</t>
  </si>
  <si>
    <t>CALDERON  Jaden</t>
  </si>
  <si>
    <t>CASTRO Camila</t>
  </si>
  <si>
    <t>SOLÍS  Nathalia*</t>
  </si>
  <si>
    <t>CODEA ALAJUELA POWER KIDS</t>
  </si>
  <si>
    <t>OVIEDO Camila</t>
  </si>
  <si>
    <t xml:space="preserve">CICLISMO BELEN </t>
  </si>
  <si>
    <t>TORRES Camila</t>
  </si>
  <si>
    <t xml:space="preserve">DESAMPARADOS BIKE CAFÉ FAST &amp; UP </t>
  </si>
  <si>
    <t>MORA Keren*</t>
  </si>
  <si>
    <t>COMITE CANTONAL DE DEPORTES SAN JOSE</t>
  </si>
  <si>
    <t>CAMPOS Isaac Eduardo*</t>
  </si>
  <si>
    <t>TEAM COLONO BIKESTATION KOLBI</t>
  </si>
  <si>
    <t xml:space="preserve">SABALLO  Joshua </t>
  </si>
  <si>
    <t xml:space="preserve">ESPACE SCENSE-FERROCA-SST CONSULTORES </t>
  </si>
  <si>
    <t>ACUÑA  Felipe</t>
  </si>
  <si>
    <t>CCDR NARANJO</t>
  </si>
  <si>
    <t xml:space="preserve">SOTO Sebastián </t>
  </si>
  <si>
    <t>BRICEÑO Mike Josué*</t>
  </si>
  <si>
    <t xml:space="preserve">TEAM COSTA FRUT/CCDR SANTA CRUZ </t>
  </si>
  <si>
    <t>SEGURA Thomas</t>
  </si>
  <si>
    <t>VARELA Mathias</t>
  </si>
  <si>
    <t xml:space="preserve">ACOSTA  Jakob </t>
  </si>
  <si>
    <t>RODRÍGUEZ  Dylan*</t>
  </si>
  <si>
    <t>TRANSPORTES DYGEMA</t>
  </si>
  <si>
    <t xml:space="preserve">MEDINA Anders </t>
  </si>
  <si>
    <t>MALDONADO  Franco</t>
  </si>
  <si>
    <t xml:space="preserve">ESCUELA GUIDO BLANCO CCDRLIBERIA </t>
  </si>
  <si>
    <t xml:space="preserve">SALAS Matías </t>
  </si>
  <si>
    <t>C.C.D.R.E. ESCAZU</t>
  </si>
  <si>
    <t>MOLINA Hairo</t>
  </si>
  <si>
    <t xml:space="preserve">BARRANTES Richard </t>
  </si>
  <si>
    <t>BOBBYS CYCLNG TEAM</t>
  </si>
  <si>
    <t xml:space="preserve">MÉNDEZ  Diego </t>
  </si>
  <si>
    <t>ULTIMATE</t>
  </si>
  <si>
    <t>LOTUS TEAM</t>
  </si>
  <si>
    <t xml:space="preserve">EPIC BIKE ATENAS </t>
  </si>
  <si>
    <t xml:space="preserve">PESSOA Pablo </t>
  </si>
  <si>
    <t xml:space="preserve">JQUESADA CYCLING/FISIO NORTE </t>
  </si>
  <si>
    <t>TEAM CORECO/MOMENTUM SPORT</t>
  </si>
  <si>
    <t>STICKTOYOURMINDSET - STYM</t>
  </si>
  <si>
    <t xml:space="preserve">SANDÍ  Kendall </t>
  </si>
  <si>
    <t>TEAM POWERCYCLING</t>
  </si>
  <si>
    <t>MORENO  Carlos</t>
  </si>
  <si>
    <t xml:space="preserve">QUIRÓS  Neythan </t>
  </si>
  <si>
    <t>INFINITY BIKE CENTER</t>
  </si>
  <si>
    <t>CAMPOS  Matías</t>
  </si>
  <si>
    <t xml:space="preserve">GOMEZ  Allan </t>
  </si>
  <si>
    <t xml:space="preserve">CCDR CARTAGO VQ ATHLETIC </t>
  </si>
  <si>
    <t xml:space="preserve">CCDR ESCAZU </t>
  </si>
  <si>
    <t>CRUZ Alejandro*</t>
  </si>
  <si>
    <t>CODEA ALAJUELA EPIC BIKE CENTER</t>
  </si>
  <si>
    <t>ARAYA Luis</t>
  </si>
  <si>
    <t>BOLAÑOS  Justin</t>
  </si>
  <si>
    <t>NUÑEZ  Axell*</t>
  </si>
  <si>
    <t>CASASOLA Steven</t>
  </si>
  <si>
    <t>SÁNCHEZ  Bruce</t>
  </si>
  <si>
    <t>GUILLEN  Samuel</t>
  </si>
  <si>
    <t xml:space="preserve">DESAMPARADOS BIKE CAFE FAST UP </t>
  </si>
  <si>
    <t xml:space="preserve"> CODEA COSTA FRUT</t>
  </si>
  <si>
    <t xml:space="preserve">AZFALTOS BCZ- DEKRA- MAXXIS </t>
  </si>
  <si>
    <t xml:space="preserve">DESAMPARADOS FAST&amp; UP </t>
  </si>
  <si>
    <t xml:space="preserve">MADRIGAL   Maidelyn </t>
  </si>
  <si>
    <t>CCDR BUENOS AIRES</t>
  </si>
  <si>
    <t>FISIONORTE / QUESADAJONATHAN.CYCLING</t>
  </si>
  <si>
    <t xml:space="preserve">SOLÍS  Thania Daniela </t>
  </si>
  <si>
    <t>MEGAMO MANZATE LA SELVA</t>
  </si>
  <si>
    <t>PEDREGAL - 7C</t>
  </si>
  <si>
    <t>TEAM HC FERRETERÍA AGUILAR</t>
  </si>
  <si>
    <t>ALVARADO  Armando*</t>
  </si>
  <si>
    <t xml:space="preserve">GONZÁLEZ  Raymond </t>
  </si>
  <si>
    <t>CICLO VÍCTOR VARGAS</t>
  </si>
  <si>
    <t xml:space="preserve">GUZMAN  Aaron </t>
  </si>
  <si>
    <t>GUZMAN Alex</t>
  </si>
  <si>
    <t xml:space="preserve">ALFARO Dany </t>
  </si>
  <si>
    <t>SERVICIO AUTOMOTRIZ  NEO CICLYNG</t>
  </si>
  <si>
    <t>JIMÉNEZ  Roylan</t>
  </si>
  <si>
    <t xml:space="preserve">SKALA-TRI-CYC TALLER ROY </t>
  </si>
  <si>
    <t>ANCM-COMI CASI ENDURERO</t>
  </si>
  <si>
    <t xml:space="preserve">CCRR ESCAZÚ </t>
  </si>
  <si>
    <t>DURAN Allan</t>
  </si>
  <si>
    <t xml:space="preserve">GARCIA  Jorge </t>
  </si>
  <si>
    <t xml:space="preserve">BEMEUDEZ Guillermo </t>
  </si>
  <si>
    <t>ARCE Alberth</t>
  </si>
  <si>
    <t xml:space="preserve">UT- CLETA BOUTIQUE </t>
  </si>
  <si>
    <t xml:space="preserve">ARCE  Mathew </t>
  </si>
  <si>
    <t>PIZARRO  Shailene*</t>
  </si>
  <si>
    <t>ARAYA  Roberto*</t>
  </si>
  <si>
    <t>PORTUGUÉS  Mathias*</t>
  </si>
  <si>
    <t>BARBOZA Mathias*</t>
  </si>
  <si>
    <t xml:space="preserve"> LEIVA  Jean Carlo*</t>
  </si>
  <si>
    <t>Planilla IV Fecha Finca La Hisopa</t>
  </si>
  <si>
    <t>MARTINEZ Andres</t>
  </si>
  <si>
    <t>*</t>
  </si>
  <si>
    <t xml:space="preserve">MENESES  Mario Alfredo </t>
  </si>
  <si>
    <t xml:space="preserve">ADNBIKESCR </t>
  </si>
  <si>
    <t>CHAVARRIA Henry</t>
  </si>
  <si>
    <t>*10144174316</t>
  </si>
  <si>
    <t>TEAM GOCHA-MAXXIS-GRUPO 86</t>
  </si>
  <si>
    <t>BUFF, DRASANVI, ECOTIENDA.</t>
  </si>
  <si>
    <t xml:space="preserve">MENDEZ  Diego </t>
  </si>
  <si>
    <t xml:space="preserve">ULTIMATE </t>
  </si>
  <si>
    <t xml:space="preserve">CAMPOS  Sergio </t>
  </si>
  <si>
    <t xml:space="preserve">SPOT DETAIL FACTORY TEAM </t>
  </si>
  <si>
    <t>GARCÍA Jorge</t>
  </si>
  <si>
    <t xml:space="preserve">GRUPETA DE LAS 5AM </t>
  </si>
  <si>
    <t>VALERIO Walter</t>
  </si>
  <si>
    <t>FISH AND CHIPS</t>
  </si>
  <si>
    <t>HATOVIEMO - MOMIA TS</t>
  </si>
  <si>
    <t>*10124200400</t>
  </si>
  <si>
    <t>FERANANDEZ Raul</t>
  </si>
  <si>
    <t xml:space="preserve">MENDOZA  Marcos Vinicio </t>
  </si>
  <si>
    <t xml:space="preserve">PROFE REMO TRAINING CLUB </t>
  </si>
  <si>
    <t>UREÑA  Edhar</t>
  </si>
  <si>
    <t>COLYPRO</t>
  </si>
  <si>
    <t xml:space="preserve">QUIROS Victor Hugo </t>
  </si>
  <si>
    <t xml:space="preserve">VEGABIKES </t>
  </si>
  <si>
    <t>BRENES  Mario</t>
  </si>
  <si>
    <t>BDRIFTMOTORSPORTNUTRITION</t>
  </si>
  <si>
    <t>VÁSQUEZ  Ricardo</t>
  </si>
  <si>
    <t xml:space="preserve">CH TRAINIG </t>
  </si>
  <si>
    <t>LD</t>
  </si>
  <si>
    <t xml:space="preserve">BELTRAN  Pablo </t>
  </si>
  <si>
    <t>BELPOWER</t>
  </si>
  <si>
    <t xml:space="preserve">MENESES Paulo </t>
  </si>
  <si>
    <t>UNIFORMAX</t>
  </si>
  <si>
    <t>*10061990660</t>
  </si>
  <si>
    <t>JONATHAN.CYCLING/FISIO NORTE</t>
  </si>
  <si>
    <t xml:space="preserve">CAMPOS  Marvin </t>
  </si>
  <si>
    <t>VALVERDE Wiliiam</t>
  </si>
  <si>
    <t>MENESES Rolando</t>
  </si>
  <si>
    <t>CCSOLDADURAS BIORACER CR</t>
  </si>
  <si>
    <t xml:space="preserve">PENTÁCOLO  Gennaro </t>
  </si>
  <si>
    <t xml:space="preserve">CICLO PENTA BIKE </t>
  </si>
  <si>
    <t>HOTEL WHYNDAN - MENSAJERÍA M.A.,JAVA</t>
  </si>
  <si>
    <t xml:space="preserve">ACCIPAL CMS </t>
  </si>
  <si>
    <t xml:space="preserve">CCDR SANTA CRUZ/ TEAM COSTA FRUT </t>
  </si>
  <si>
    <t>GÓMEZ  James</t>
  </si>
  <si>
    <t xml:space="preserve">SKALA MONTEVERDE/ CCDR MONTEVERDE </t>
  </si>
  <si>
    <t>FLORES  Eythan*</t>
  </si>
  <si>
    <t>*LD</t>
  </si>
  <si>
    <t>MARIN Santiago*</t>
  </si>
  <si>
    <t>SOTO TRAINING -CCDR LIBERIA</t>
  </si>
  <si>
    <t>SOJO Nathan</t>
  </si>
  <si>
    <t xml:space="preserve">TRIATLÓN TURRIALBA </t>
  </si>
  <si>
    <t xml:space="preserve">BENAVIDES Emiliano </t>
  </si>
  <si>
    <t xml:space="preserve">SOTO-TRAINING-CCDR LIBERIA </t>
  </si>
  <si>
    <t>*10151394247</t>
  </si>
  <si>
    <t>DESAMPARADOS BIKE CAFÉ</t>
  </si>
  <si>
    <t xml:space="preserve">MONTERO Santiago </t>
  </si>
  <si>
    <t>SOLIS Sebastian*</t>
  </si>
  <si>
    <t>DESAMPARADOS</t>
  </si>
  <si>
    <t>MARÍN  Abigail</t>
  </si>
  <si>
    <t>CCDRSJ</t>
  </si>
  <si>
    <t xml:space="preserve">CODEA/ E-VEGA TRAINER </t>
  </si>
  <si>
    <t>ASOCIACIÓN CICLÍSTICA TURRIALBEÑA</t>
  </si>
  <si>
    <t xml:space="preserve"> *</t>
  </si>
  <si>
    <t>CORDERO  Iker Mattias</t>
  </si>
  <si>
    <t xml:space="preserve">SOLIS  Alvaro </t>
  </si>
  <si>
    <t>VILLALOBOS Mathias</t>
  </si>
  <si>
    <t xml:space="preserve">SALAS Santiago </t>
  </si>
  <si>
    <t>GUTIERREZ Simao</t>
  </si>
  <si>
    <t>RUBI Ian*</t>
  </si>
  <si>
    <t>BONILLA  Mattew Andres</t>
  </si>
  <si>
    <t xml:space="preserve">DURAN  Emanuel </t>
  </si>
  <si>
    <t>ZARCERO BETEL MOANA EDUS PROD CECI</t>
  </si>
  <si>
    <t>CASTRO Camil</t>
  </si>
  <si>
    <t>ROJAS Pedro</t>
  </si>
  <si>
    <t>AZOFEIFA  Sofia*</t>
  </si>
  <si>
    <t>LIZANO Nicole Daniela</t>
  </si>
  <si>
    <t>SOLIS Nathalia Fabiana*</t>
  </si>
  <si>
    <t xml:space="preserve">CCDR ALAJUELA </t>
  </si>
  <si>
    <t>*10171339063</t>
  </si>
  <si>
    <t>GUTIÉRREZ  Gaele Sofia*</t>
  </si>
  <si>
    <t>CCDR SANTA CRUZ NUMU</t>
  </si>
  <si>
    <t>CASTILLO Mariana</t>
  </si>
  <si>
    <t>MUÑOZ  Amy</t>
  </si>
  <si>
    <t>ALVARADO Luciana*</t>
  </si>
  <si>
    <t>AYG MANTENIMIENTOS</t>
  </si>
  <si>
    <t>MORA  Keren*</t>
  </si>
  <si>
    <t>TEAM- TIERNITICOS- ELKY FERRETERÍA- BIORACER</t>
  </si>
  <si>
    <t>SABALLO Joshua</t>
  </si>
  <si>
    <t xml:space="preserve">ACUÑA  Felipe </t>
  </si>
  <si>
    <t>*10120480953</t>
  </si>
  <si>
    <t>CCDR ESCAZÚ</t>
  </si>
  <si>
    <t>HERNÁNDEZ  Walter David*</t>
  </si>
  <si>
    <t>AGUILAR Luciano</t>
  </si>
  <si>
    <t xml:space="preserve">ASOCIACIÓN CICLISTICA TURRIALBA </t>
  </si>
  <si>
    <t>*10155992956</t>
  </si>
  <si>
    <t>SOTO Sebastian</t>
  </si>
  <si>
    <t xml:space="preserve">504930380 930380 </t>
  </si>
  <si>
    <t>RODRÍGUEZ Dylan Fabian*</t>
  </si>
  <si>
    <t xml:space="preserve">SEGURA  Thomas </t>
  </si>
  <si>
    <t xml:space="preserve">RAMIREZ  Adrián </t>
  </si>
  <si>
    <t>RODRIGUEZ Esteban Marcelo*</t>
  </si>
  <si>
    <t>ALVAREZ Deyler*</t>
  </si>
  <si>
    <t>HERNANDEZ Felipe</t>
  </si>
  <si>
    <t>BELÉN</t>
  </si>
  <si>
    <t>VARGAS Saul*</t>
  </si>
  <si>
    <t>GUEVARA Esteban Mauricio*</t>
  </si>
  <si>
    <t xml:space="preserve">CUBERO Sebastián </t>
  </si>
  <si>
    <t>PIZARRO  Jose Alejandro*</t>
  </si>
  <si>
    <t xml:space="preserve">SALAS  Matías </t>
  </si>
  <si>
    <t>GUIDO  Sebastián Manuel*</t>
  </si>
  <si>
    <t>101 765 360 41</t>
  </si>
  <si>
    <t xml:space="preserve">NARANJO Didier </t>
  </si>
  <si>
    <t>MORA Jeferson*</t>
  </si>
  <si>
    <t>INFINITY BIKE CENTER-CCDR DE ANRANJO</t>
  </si>
  <si>
    <t xml:space="preserve">GÓMEZ  Allan </t>
  </si>
  <si>
    <t>MURILLO Sebastián*</t>
  </si>
  <si>
    <t xml:space="preserve">CAMPOS Matias </t>
  </si>
  <si>
    <t xml:space="preserve">CODEA ALAJUELA EPIC BIKE </t>
  </si>
  <si>
    <t>ARAYA  Luis</t>
  </si>
  <si>
    <t>*10164526027</t>
  </si>
  <si>
    <t>RODRIGUEZ  Jose Pablo*</t>
  </si>
  <si>
    <t>PEREIRA Keiner*</t>
  </si>
  <si>
    <t>*10104119376</t>
  </si>
  <si>
    <t>TEAM TIERNITICOS-ELKY FERRETERÍA BIORACER</t>
  </si>
  <si>
    <t>THOMAS Dominick*</t>
  </si>
  <si>
    <t xml:space="preserve">CCDR DESAMPARADOS BINE CAFÉ </t>
  </si>
  <si>
    <t xml:space="preserve">CASASOLA Steven </t>
  </si>
  <si>
    <t>FERNANDEZ  Jose Eduardo</t>
  </si>
  <si>
    <t>MARCHENA Ethan Daniel*</t>
  </si>
  <si>
    <t xml:space="preserve">VARGAS  Justin </t>
  </si>
  <si>
    <t xml:space="preserve">SÁNCHEZ  Bruce </t>
  </si>
  <si>
    <t xml:space="preserve">RODRIGUEZ  Lenny </t>
  </si>
  <si>
    <t>GUILLEN Samuel</t>
  </si>
  <si>
    <t>MECATRONICS/ MCT COMPONENTS</t>
  </si>
  <si>
    <t xml:space="preserve">ASFALTOS CBZ / DEKRA / MAXXIS </t>
  </si>
  <si>
    <t>ROJAS  Adriana</t>
  </si>
  <si>
    <t xml:space="preserve">ASFALTOS CBZ- DEKRA- MAXXIS </t>
  </si>
  <si>
    <t xml:space="preserve">MADRIGAL  Maidelyn  </t>
  </si>
  <si>
    <t>RIVERA  Leonor*</t>
  </si>
  <si>
    <t xml:space="preserve">CLETA BOUTIQUE </t>
  </si>
  <si>
    <t>FISIOSANA - VEINTE24</t>
  </si>
  <si>
    <t>FISIONORTE/ JONATHANQUESADA.CYCLING</t>
  </si>
  <si>
    <t>DURÁN Anny</t>
  </si>
  <si>
    <t>PEDREGAL -7C</t>
  </si>
  <si>
    <t>HERRERA  Carlos</t>
  </si>
  <si>
    <t>TEAM HC-FERRETERÍA AGUILAR</t>
  </si>
  <si>
    <t>ROJAS Juan Diego*</t>
  </si>
  <si>
    <t>GUTIÉRREZ Carlos Daniel*</t>
  </si>
  <si>
    <t>GUZMAN Aaron</t>
  </si>
  <si>
    <t>TENORIO Carlos</t>
  </si>
  <si>
    <t>ASISA SARAPIQUI</t>
  </si>
  <si>
    <t>GUZMÁN  Alex</t>
  </si>
  <si>
    <t>CALDERON Gerardo</t>
  </si>
  <si>
    <t>CAMEL 4X4</t>
  </si>
  <si>
    <t xml:space="preserve">HERRERA  Miguel </t>
  </si>
  <si>
    <t>CHURUCA SA.</t>
  </si>
  <si>
    <t>ALFARO  Dany</t>
  </si>
  <si>
    <t xml:space="preserve">SERVICIO AUTOMOTRIZ NEO CICLYNG </t>
  </si>
  <si>
    <t>ANCM EL COMI CASI ENDURERO</t>
  </si>
  <si>
    <t>JIMÉNEZ  Royland</t>
  </si>
  <si>
    <t xml:space="preserve">SKALA-TRI-CYC/ CICLO FOFO /TALLER ROY </t>
  </si>
  <si>
    <t>CALDERON Alejandro</t>
  </si>
  <si>
    <t>EL PALIDAZO CYCLING CLUB</t>
  </si>
  <si>
    <t xml:space="preserve">CAMPOS  Diego </t>
  </si>
  <si>
    <t xml:space="preserve">DELGADO  Alfredo </t>
  </si>
  <si>
    <t>CAPOS MOBY BIKE TEAM</t>
  </si>
  <si>
    <t>VEGA  Jose Andres</t>
  </si>
  <si>
    <t xml:space="preserve">FERNÁNDEZ  Marco </t>
  </si>
  <si>
    <t>CMS- TRANSPORTE GRUPO EYAN- ROMA BIKES</t>
  </si>
  <si>
    <t>STYM</t>
  </si>
  <si>
    <t xml:space="preserve">GAMBOA  Jose Daniel </t>
  </si>
  <si>
    <t>MANTENIMIENTO GABRE</t>
  </si>
  <si>
    <t>RAMÍREZ  Luis</t>
  </si>
  <si>
    <t>CASTRO Felipe</t>
  </si>
  <si>
    <t>BLANCO  Edward</t>
  </si>
  <si>
    <t>*10109578254</t>
  </si>
  <si>
    <t xml:space="preserve">A+TEAM </t>
  </si>
  <si>
    <t>GUERRERO Arlette</t>
  </si>
  <si>
    <t>MMR SPORTIVSTORE</t>
  </si>
  <si>
    <t>SEGURA  Francisco Javier</t>
  </si>
  <si>
    <t xml:space="preserve">COMITÉ DE DEPORTES DE ACOSTA </t>
  </si>
  <si>
    <t>HERNÁNDEZ  Axel Steve*</t>
  </si>
  <si>
    <t>COMITÉ DE DEPORTES ACOSTA</t>
  </si>
  <si>
    <t xml:space="preserve">ALVARADO  Julián </t>
  </si>
  <si>
    <t xml:space="preserve">MONTEVERDE </t>
  </si>
  <si>
    <t>FERNÁNDEZ  Fabricio Alberto*</t>
  </si>
  <si>
    <t>CAMPOS  Janail Emmanuel*</t>
  </si>
  <si>
    <t xml:space="preserve">CCDR NARANJO </t>
  </si>
  <si>
    <t>CALVO Fiorella</t>
  </si>
  <si>
    <t xml:space="preserve">ASOCIACIÓN CICLISTICA GRECIA </t>
  </si>
  <si>
    <t xml:space="preserve">CASTRO  Carlos Isaac </t>
  </si>
  <si>
    <t>Planilla V Fecha Oikoumene</t>
  </si>
  <si>
    <t xml:space="preserve">QUIRÓS  John </t>
  </si>
  <si>
    <t>ARTAVIA ENRIQUE</t>
  </si>
  <si>
    <t>CRC</t>
  </si>
  <si>
    <t>BOBBYS/FOX/YETTI</t>
  </si>
  <si>
    <t>Nosotros Dota</t>
  </si>
  <si>
    <t xml:space="preserve">RODRÍGUEZ Julián </t>
  </si>
  <si>
    <t xml:space="preserve">Belén Team </t>
  </si>
  <si>
    <t xml:space="preserve">MENESES Jose </t>
  </si>
  <si>
    <t xml:space="preserve">MORENO Carlos </t>
  </si>
  <si>
    <t xml:space="preserve">Numu coaching </t>
  </si>
  <si>
    <t>AGUILAR Yaret</t>
  </si>
  <si>
    <t xml:space="preserve">RCA Trailers </t>
  </si>
  <si>
    <t>MARIN Gabriel</t>
  </si>
  <si>
    <t>DNS</t>
  </si>
  <si>
    <t>ELSEMAANI Jean Paul</t>
  </si>
  <si>
    <t xml:space="preserve">Grupeta 5 am </t>
  </si>
  <si>
    <t xml:space="preserve">VALERIO Walter </t>
  </si>
  <si>
    <t>Fish and Chips</t>
  </si>
  <si>
    <t xml:space="preserve">RUBÍ Andrés </t>
  </si>
  <si>
    <t>CODEA (Chepe)</t>
  </si>
  <si>
    <t>Independiente</t>
  </si>
  <si>
    <t>Team CoreCo/Momentum Sports</t>
  </si>
  <si>
    <t xml:space="preserve">Tomatero </t>
  </si>
  <si>
    <t>CARVAJAL JONATHAN</t>
  </si>
  <si>
    <t>VEGA OLDEMAR</t>
  </si>
  <si>
    <t xml:space="preserve">UREÑA Edgar </t>
  </si>
  <si>
    <t xml:space="preserve">Colypro </t>
  </si>
  <si>
    <t xml:space="preserve">BdriftMotorSportNutrition </t>
  </si>
  <si>
    <t>BERMÚDEZ Guillermo</t>
  </si>
  <si>
    <t>Individual</t>
  </si>
  <si>
    <t xml:space="preserve">Quesada Jonathan.Cycling / Fisio Norte </t>
  </si>
  <si>
    <t>Duros Como Roca</t>
  </si>
  <si>
    <t xml:space="preserve">Autos Salas </t>
  </si>
  <si>
    <t>PÉREZ Javier</t>
  </si>
  <si>
    <t>Cnergy</t>
  </si>
  <si>
    <t>Hotel Whyndan Garden -Mensajeria M-A.</t>
  </si>
  <si>
    <t xml:space="preserve"> -1 LAP</t>
  </si>
  <si>
    <t xml:space="preserve">CASTRO Martín </t>
  </si>
  <si>
    <t>ccsoldaduras</t>
  </si>
  <si>
    <t>CCDR Santa Cruz- Team Costa Frut</t>
  </si>
  <si>
    <t xml:space="preserve">ORTIZ Luis Diego </t>
  </si>
  <si>
    <t xml:space="preserve">CCDR Santa Cruz / Kids Team Villarreal </t>
  </si>
  <si>
    <t>FLORES Eythan*</t>
  </si>
  <si>
    <t>CÉSPEDES Anthony Luan*</t>
  </si>
  <si>
    <t xml:space="preserve">Skala Monteverde/CCDR Monteverde </t>
  </si>
  <si>
    <t>RODRÍGUEZ Gerald Josue</t>
  </si>
  <si>
    <t>SOLANO Diego Andrés*</t>
  </si>
  <si>
    <t>Guacimo</t>
  </si>
  <si>
    <t>Desamparados Bike Café</t>
  </si>
  <si>
    <t>CCDR SANJOSE</t>
  </si>
  <si>
    <t xml:space="preserve">ORTIZ Kingston </t>
  </si>
  <si>
    <t xml:space="preserve">CASTRO Adrian </t>
  </si>
  <si>
    <t>ROSALES Heltzing*</t>
  </si>
  <si>
    <t>MARÍN Abigail</t>
  </si>
  <si>
    <t xml:space="preserve">CCDR San José </t>
  </si>
  <si>
    <t>HERNÁNDEZ Maripaz*</t>
  </si>
  <si>
    <t xml:space="preserve">HDZ  / Santa Ana </t>
  </si>
  <si>
    <t>JIMÉNEZ Mia</t>
  </si>
  <si>
    <t xml:space="preserve">CODEA -E VEGA TRAINER </t>
  </si>
  <si>
    <t>ZUÑIGA Mariangel</t>
  </si>
  <si>
    <t>CCDR San Jose</t>
  </si>
  <si>
    <t>GONZÁLEZ Elizabeth</t>
  </si>
  <si>
    <t xml:space="preserve">CCDR Santa Cruz  / Kids Team Villarreal </t>
  </si>
  <si>
    <t>VARGAS Lucila de los Angeles*</t>
  </si>
  <si>
    <t>PIZARRO Shailene*</t>
  </si>
  <si>
    <t xml:space="preserve">DURAN Emanuel </t>
  </si>
  <si>
    <t>Zarcero Betel Mohana Edus Ceci</t>
  </si>
  <si>
    <t xml:space="preserve">Asociación Ciclística Turrialbeña </t>
  </si>
  <si>
    <t xml:space="preserve">RODRÍGUEZ Joaquín </t>
  </si>
  <si>
    <t>MARÍN  Isaac José</t>
  </si>
  <si>
    <t xml:space="preserve">SOLÍS Jafet </t>
  </si>
  <si>
    <t xml:space="preserve">MOLINA Bayron </t>
  </si>
  <si>
    <t>Distribuidora cruz tecnocfores CCDR POCOCI</t>
  </si>
  <si>
    <t>QUIRÓS Alejandro Martín</t>
  </si>
  <si>
    <t>Gavia 88 Academy</t>
  </si>
  <si>
    <t>RUBÍ Ian Caleb*</t>
  </si>
  <si>
    <t>SALAS Santiago</t>
  </si>
  <si>
    <t>Ccdr san jose</t>
  </si>
  <si>
    <t>CCDR Liberia / FST</t>
  </si>
  <si>
    <t>PÉREZ Keyleb*</t>
  </si>
  <si>
    <t>RUIZ Randy Joan</t>
  </si>
  <si>
    <t xml:space="preserve">CCDR Santa Cruz / KidsTeam Villarreal </t>
  </si>
  <si>
    <t>MATA Antuan*</t>
  </si>
  <si>
    <t>CASTILLO Santiago*</t>
  </si>
  <si>
    <t>Ciclismo Belen</t>
  </si>
  <si>
    <t>BONILLA Mattew</t>
  </si>
  <si>
    <t xml:space="preserve">Ciclismo Belen </t>
  </si>
  <si>
    <t xml:space="preserve">CCdr Matina ciclo salas batán </t>
  </si>
  <si>
    <t>WRAY Yhan Ricardo*</t>
  </si>
  <si>
    <t xml:space="preserve"> -2 LAP</t>
  </si>
  <si>
    <t>CORTES Johan*</t>
  </si>
  <si>
    <t>Cocer escazu</t>
  </si>
  <si>
    <t xml:space="preserve">VILLALOBOS Mathias </t>
  </si>
  <si>
    <t>CODEA Alajuela</t>
  </si>
  <si>
    <t>DNF</t>
  </si>
  <si>
    <t>MORA David</t>
  </si>
  <si>
    <t>Desamparados</t>
  </si>
  <si>
    <t>GUTIERREZ SIMAO</t>
  </si>
  <si>
    <t xml:space="preserve">RODRIGUEZ Damian </t>
  </si>
  <si>
    <t>Bethel Mohana Edus Ceci CCDR</t>
  </si>
  <si>
    <t xml:space="preserve">JIMÉNEZ Briana </t>
  </si>
  <si>
    <t xml:space="preserve"> Bobbys cycling team codea</t>
  </si>
  <si>
    <t>AZOFEIFA SOFIA*</t>
  </si>
  <si>
    <t xml:space="preserve">CASTRO Camila </t>
  </si>
  <si>
    <t xml:space="preserve">CCDR Santa Ana </t>
  </si>
  <si>
    <t>Megamo ManzaTé La Selva</t>
  </si>
  <si>
    <t>GUTIÉRREZ Gaele Sofia*</t>
  </si>
  <si>
    <t xml:space="preserve">CCDR Santa Cruz/Numu Coaching </t>
  </si>
  <si>
    <t xml:space="preserve">CALDERÓN Ariana </t>
  </si>
  <si>
    <t xml:space="preserve">Colono Bike Station Kolbi </t>
  </si>
  <si>
    <t>CORTES Mariam</t>
  </si>
  <si>
    <t>ZUÑIGA María Fernanda</t>
  </si>
  <si>
    <t>MARCHENA Shelly</t>
  </si>
  <si>
    <t>VILLALOBOS Jimena*</t>
  </si>
  <si>
    <t xml:space="preserve">PIZARRO Keysi </t>
  </si>
  <si>
    <t xml:space="preserve">ACISA Sarapiqui </t>
  </si>
  <si>
    <t>GUERRERO Mariangel*</t>
  </si>
  <si>
    <t>Scott Shimano Cycling Team</t>
  </si>
  <si>
    <t>DIAZ Elisa Alejandra*</t>
  </si>
  <si>
    <t xml:space="preserve">GARCÍA Miguel </t>
  </si>
  <si>
    <t>CAMPOS Isaac*</t>
  </si>
  <si>
    <t xml:space="preserve">NUÑEZ Lorenzo </t>
  </si>
  <si>
    <t>Team- Tierniticos- Elky Ferretería- BIORACER</t>
  </si>
  <si>
    <t>SOLIS Santiago*</t>
  </si>
  <si>
    <t xml:space="preserve">Betel Moana </t>
  </si>
  <si>
    <t>HERNÁNDEZ Walter David*</t>
  </si>
  <si>
    <t xml:space="preserve">HDZ Drasanvi- Santa Ana </t>
  </si>
  <si>
    <t>HERRERO Josue*</t>
  </si>
  <si>
    <t>Ciclismo belen</t>
  </si>
  <si>
    <t>CUBERO Ruben*</t>
  </si>
  <si>
    <t>Team Betel Moana Edus</t>
  </si>
  <si>
    <t xml:space="preserve">RAMIREZ Adrián </t>
  </si>
  <si>
    <t xml:space="preserve">Codea Alajuela </t>
  </si>
  <si>
    <t>HERNÁNDEZ Felipe</t>
  </si>
  <si>
    <t xml:space="preserve">CHAVES Emanuel </t>
  </si>
  <si>
    <t xml:space="preserve">ACiSA Sarapiqui </t>
  </si>
  <si>
    <t xml:space="preserve">Asociación ciclistica de Turrialba </t>
  </si>
  <si>
    <t>MALDONADO Franco</t>
  </si>
  <si>
    <t xml:space="preserve">Team desamparados </t>
  </si>
  <si>
    <t>BARRANTES Thomas*</t>
  </si>
  <si>
    <t xml:space="preserve">MECATRONICS  /  MCT Componets </t>
  </si>
  <si>
    <t>Ccdr matina-ciclo salas bataan</t>
  </si>
  <si>
    <t>CCDR Santa Cruz/Team Costa Frut</t>
  </si>
  <si>
    <t>GARITA Damian*</t>
  </si>
  <si>
    <t>MOLINA Mathias</t>
  </si>
  <si>
    <t xml:space="preserve">VARGAS David </t>
  </si>
  <si>
    <t>C.C.D.R.ESCAZU.</t>
  </si>
  <si>
    <t>MOYA Santiago*</t>
  </si>
  <si>
    <t>PORTUGUÉS Mathias*</t>
  </si>
  <si>
    <t>MONGE MATHIAS*</t>
  </si>
  <si>
    <t xml:space="preserve"> -3 LAP</t>
  </si>
  <si>
    <t xml:space="preserve">SABALLOS Joshua </t>
  </si>
  <si>
    <t>ACUÑA ALEJANDRO</t>
  </si>
  <si>
    <t>AGUILAR Valentino*</t>
  </si>
  <si>
    <t>MANZANARES Leandro Duvan</t>
  </si>
  <si>
    <t>MECATRONICS / MCT Components</t>
  </si>
  <si>
    <t xml:space="preserve">CAMPOS Matías Alejandro </t>
  </si>
  <si>
    <t xml:space="preserve">QUIROS Neythan </t>
  </si>
  <si>
    <t xml:space="preserve">Ccdr Matina Ciclo Salas Bataan </t>
  </si>
  <si>
    <t xml:space="preserve">Independiente </t>
  </si>
  <si>
    <t>GONZÁLEZ Isaac*</t>
  </si>
  <si>
    <t xml:space="preserve">CCDR LIMON </t>
  </si>
  <si>
    <t>BARBOZA MATHIAS*</t>
  </si>
  <si>
    <t xml:space="preserve">Santa Ana </t>
  </si>
  <si>
    <t>LEIVA JEAN CARLO*</t>
  </si>
  <si>
    <t>OROZCO AARON*</t>
  </si>
  <si>
    <t>FALCON  Fernando*</t>
  </si>
  <si>
    <t>MENESES Cesar*</t>
  </si>
  <si>
    <t>UMAÑA Devis*</t>
  </si>
  <si>
    <t xml:space="preserve">CCDR desamparados bike cafe </t>
  </si>
  <si>
    <t>SANCHES Bruce sanche mendenz</t>
  </si>
  <si>
    <t>Acisa sarapiqui</t>
  </si>
  <si>
    <t>SALAS Sebastian*</t>
  </si>
  <si>
    <t>QUESADA Jerald Jesus*</t>
  </si>
  <si>
    <t>GAMBOA Elian*</t>
  </si>
  <si>
    <t>RAHILY DENISE*</t>
  </si>
  <si>
    <t>NUÑEZ Alison*</t>
  </si>
  <si>
    <t xml:space="preserve">Desamparados bike café </t>
  </si>
  <si>
    <t>GARCÍA Isabel*</t>
  </si>
  <si>
    <t>GARCÍA Marisol*</t>
  </si>
  <si>
    <t xml:space="preserve">MADRIGAL Maidelyn </t>
  </si>
  <si>
    <t>ALVARADO Jimena*</t>
  </si>
  <si>
    <t>CCDR Limon</t>
  </si>
  <si>
    <t xml:space="preserve">HERRERA Carlos </t>
  </si>
  <si>
    <t>Pedregal 7C</t>
  </si>
  <si>
    <t>VARGAS José David*</t>
  </si>
  <si>
    <t>Colono Bike Station Kolbi</t>
  </si>
  <si>
    <t>GONZÁLEZ Adriano*</t>
  </si>
  <si>
    <t>RAABE Fabricio*</t>
  </si>
  <si>
    <t xml:space="preserve">TEAM HC-FERRETERÍA AGUILAR </t>
  </si>
  <si>
    <t>FERNADEZ Fabricio Alberto*</t>
  </si>
  <si>
    <t xml:space="preserve">Sin equipo </t>
  </si>
  <si>
    <t>SUNSIN Ean*</t>
  </si>
  <si>
    <t xml:space="preserve">ACISA - SARAPIQUÍ </t>
  </si>
  <si>
    <t xml:space="preserve"> 1000FPS-ZONAINFINITO SPORTS</t>
  </si>
  <si>
    <t xml:space="preserve">GUTIERREZ Carlos Daniel </t>
  </si>
  <si>
    <t>turrialba</t>
  </si>
  <si>
    <t>ORTEGA Kelvin José*</t>
  </si>
  <si>
    <t xml:space="preserve">CCDR Santa Cruz </t>
  </si>
  <si>
    <t xml:space="preserve"> -4 LAP</t>
  </si>
  <si>
    <t xml:space="preserve">Ciclo Víctor Vargas - BikeStore TREK </t>
  </si>
  <si>
    <t xml:space="preserve">GUZMAN Aaron </t>
  </si>
  <si>
    <t>Acisa</t>
  </si>
  <si>
    <t xml:space="preserve">AGUILAR Randy </t>
  </si>
  <si>
    <t xml:space="preserve">Bikestation Riders </t>
  </si>
  <si>
    <t xml:space="preserve">TENORIO Carlos </t>
  </si>
  <si>
    <t xml:space="preserve">Servicio automotriz Dany NEO CICLYNG </t>
  </si>
  <si>
    <t>JIMÉNEZ Roylan</t>
  </si>
  <si>
    <t xml:space="preserve">Skala-tri-Cyc Ciclo Fofo Taller Roy </t>
  </si>
  <si>
    <t>ANCM-Comi casi Endurero</t>
  </si>
  <si>
    <t xml:space="preserve">BELL Emanuel </t>
  </si>
  <si>
    <t>Ciclo Bell</t>
  </si>
  <si>
    <t>RODRIGUEZ RODOLFO</t>
  </si>
  <si>
    <t>TALLER EUROPEOS-EL RINCON DEL MATE</t>
  </si>
  <si>
    <t>MORALES Allan</t>
  </si>
  <si>
    <t xml:space="preserve">Grupeta 5am Ciclo Morales </t>
  </si>
  <si>
    <t xml:space="preserve">DELGADO Alfredo </t>
  </si>
  <si>
    <t>RAMÍREZ Federico</t>
  </si>
  <si>
    <t xml:space="preserve">Seven Card Willier </t>
  </si>
  <si>
    <t>HERRERA ELBER</t>
  </si>
  <si>
    <t>GAMBOA Andres</t>
  </si>
  <si>
    <t xml:space="preserve">Team Numu coaching </t>
  </si>
  <si>
    <t xml:space="preserve">URBINA Kevin </t>
  </si>
  <si>
    <t xml:space="preserve">Team Belsco </t>
  </si>
  <si>
    <t>SOTO Juan jose</t>
  </si>
  <si>
    <t xml:space="preserve">Acisa Sarapiquí </t>
  </si>
  <si>
    <t>AZPFEIFA MARCOS</t>
  </si>
  <si>
    <t>MENDEZ Diego</t>
  </si>
  <si>
    <t>MARÍN Alonso</t>
  </si>
  <si>
    <t>Team Gocha</t>
  </si>
  <si>
    <t>UGALDE Luis</t>
  </si>
  <si>
    <t xml:space="preserve">Individual </t>
  </si>
  <si>
    <t>Duros como Roca</t>
  </si>
  <si>
    <t>ROJAS MELVIN</t>
  </si>
  <si>
    <t>DSQ</t>
  </si>
  <si>
    <t xml:space="preserve">Codea </t>
  </si>
  <si>
    <t>HERRERA Mathias Joel*</t>
  </si>
  <si>
    <t>CCDR  SAN JOSE</t>
  </si>
  <si>
    <t>CARVAJAL Saúl*</t>
  </si>
  <si>
    <t xml:space="preserve">CCDR Naranjo </t>
  </si>
  <si>
    <t>31 P</t>
  </si>
  <si>
    <t xml:space="preserve">RETANA Emiliano </t>
  </si>
  <si>
    <t>MORA Kendal*</t>
  </si>
  <si>
    <t>Codea Alajuela</t>
  </si>
  <si>
    <t>ROJAS Adriana Maria</t>
  </si>
  <si>
    <t>CBZ Asfaltos-Dekra-secnet- maxxis</t>
  </si>
  <si>
    <t>MARTINEZ DANIELA</t>
  </si>
  <si>
    <t>CORRALES Billy</t>
  </si>
  <si>
    <t>.</t>
  </si>
  <si>
    <t>ZÚÑIGA Roberto</t>
  </si>
  <si>
    <t>Alajuela codea</t>
  </si>
  <si>
    <t xml:space="preserve">DNS </t>
  </si>
  <si>
    <t>MAYORGA Lucía*</t>
  </si>
  <si>
    <t xml:space="preserve">Codea alajuela </t>
  </si>
  <si>
    <t>Planilla VI Fech Orosi</t>
  </si>
  <si>
    <t xml:space="preserve">         1 - Finca Grupo Orosi &gt;21 y 22 febrero                                                         2 - Parque La Libertad Desamparados &gt; 28 y 29 marzo                                    3 - Adventure Park &gt; 16 y 17 mayo                                    4 - Finca La Hisopa San Pedro de Turrubares  &gt; 13 y 14 junio</t>
  </si>
  <si>
    <t xml:space="preserve">         5 -  Campamento Oikoumene, Ochomogo &gt; 18 y 19 julio                         6 - Finca Grupo Orosi, Paraiso &gt; 12 y 13 setiembre                                           7 - Parque Recreativo Sarapiqui &gt; 31 Oct y 01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</si>
</sst>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;@"/>
    <numFmt numFmtId="165" formatCode="[$-140A]General"/>
  </numFmts>
  <fonts count="32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color indexed="30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Arial1"/>
    </font>
    <font>
      <sz val="10"/>
      <color rgb="FF000000"/>
      <name val="Times New Roman"/>
      <family val="1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20"/>
      <name val="Arial"/>
      <family val="2"/>
    </font>
    <font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sz val="10"/>
      <color indexed="9"/>
      <name val="Arial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5" fontId="10" fillId="0" borderId="0" applyBorder="0" applyProtection="0"/>
    <xf numFmtId="0" fontId="11" fillId="0" borderId="0"/>
    <xf numFmtId="0" fontId="4" fillId="0" borderId="0"/>
    <xf numFmtId="0" fontId="24" fillId="0" borderId="0"/>
  </cellStyleXfs>
  <cellXfs count="14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wrapText="1"/>
    </xf>
    <xf numFmtId="1" fontId="14" fillId="0" borderId="0" xfId="0" applyNumberFormat="1" applyFont="1" applyAlignment="1">
      <alignment horizontal="center" shrinkToFit="1"/>
    </xf>
    <xf numFmtId="0" fontId="13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2" applyFont="1" applyAlignment="1">
      <alignment wrapText="1"/>
    </xf>
    <xf numFmtId="0" fontId="18" fillId="0" borderId="7" xfId="2" applyFont="1" applyBorder="1"/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0" borderId="0" xfId="0" applyFont="1" applyAlignment="1">
      <alignment horizontal="center"/>
    </xf>
    <xf numFmtId="1" fontId="18" fillId="0" borderId="0" xfId="2" applyNumberFormat="1" applyFont="1" applyAlignment="1">
      <alignment horizontal="center" shrinkToFit="1"/>
    </xf>
    <xf numFmtId="0" fontId="9" fillId="0" borderId="0" xfId="0" applyFont="1" applyAlignment="1">
      <alignment horizontal="left" vertical="top" wrapText="1" indent="1"/>
    </xf>
    <xf numFmtId="0" fontId="21" fillId="0" borderId="0" xfId="0" applyFont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5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13" fillId="0" borderId="0" xfId="0" applyFont="1"/>
    <xf numFmtId="0" fontId="3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3" borderId="0" xfId="0" applyFill="1"/>
    <xf numFmtId="0" fontId="4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6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18" fillId="0" borderId="0" xfId="2" applyFont="1"/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18" fillId="0" borderId="0" xfId="2" applyFont="1" applyAlignment="1">
      <alignment horizontal="left"/>
    </xf>
    <xf numFmtId="0" fontId="28" fillId="4" borderId="0" xfId="0" applyFont="1" applyFill="1" applyAlignment="1">
      <alignment horizontal="center"/>
    </xf>
    <xf numFmtId="0" fontId="18" fillId="0" borderId="0" xfId="2" applyFont="1" applyBorder="1"/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 vertical="center" wrapText="1"/>
    </xf>
    <xf numFmtId="1" fontId="2" fillId="5" borderId="0" xfId="0" applyNumberFormat="1" applyFont="1" applyFill="1" applyAlignment="1">
      <alignment horizontal="left" vertical="center" wrapText="1"/>
    </xf>
    <xf numFmtId="1" fontId="2" fillId="5" borderId="7" xfId="0" applyNumberFormat="1" applyFont="1" applyFill="1" applyBorder="1" applyAlignment="1">
      <alignment horizontal="left" vertical="center" wrapText="1"/>
    </xf>
    <xf numFmtId="1" fontId="2" fillId="5" borderId="0" xfId="0" applyNumberFormat="1" applyFont="1" applyFill="1" applyAlignment="1">
      <alignment horizontal="center" wrapText="1"/>
    </xf>
    <xf numFmtId="1" fontId="2" fillId="5" borderId="7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 wrapText="1"/>
    </xf>
    <xf numFmtId="0" fontId="23" fillId="5" borderId="0" xfId="0" applyFont="1" applyFill="1" applyAlignment="1">
      <alignment horizontal="center"/>
    </xf>
    <xf numFmtId="0" fontId="28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29" fillId="0" borderId="0" xfId="2" applyFont="1" applyAlignment="1">
      <alignment horizontal="center"/>
    </xf>
    <xf numFmtId="1" fontId="29" fillId="0" borderId="0" xfId="2" applyNumberFormat="1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1" fontId="2" fillId="6" borderId="0" xfId="0" applyNumberFormat="1" applyFont="1" applyFill="1" applyAlignment="1">
      <alignment horizontal="center" vertical="center" wrapText="1"/>
    </xf>
    <xf numFmtId="1" fontId="2" fillId="6" borderId="0" xfId="0" applyNumberFormat="1" applyFont="1" applyFill="1" applyAlignment="1">
      <alignment horizontal="left" vertical="center" wrapText="1"/>
    </xf>
    <xf numFmtId="1" fontId="2" fillId="6" borderId="7" xfId="0" applyNumberFormat="1" applyFont="1" applyFill="1" applyBorder="1" applyAlignment="1">
      <alignment horizontal="left" vertical="center" wrapText="1"/>
    </xf>
    <xf numFmtId="1" fontId="2" fillId="6" borderId="0" xfId="0" applyNumberFormat="1" applyFont="1" applyFill="1" applyAlignment="1">
      <alignment horizontal="center" wrapText="1"/>
    </xf>
    <xf numFmtId="1" fontId="2" fillId="6" borderId="7" xfId="0" applyNumberFormat="1" applyFont="1" applyFill="1" applyBorder="1" applyAlignment="1">
      <alignment horizontal="center" wrapText="1"/>
    </xf>
    <xf numFmtId="1" fontId="2" fillId="6" borderId="8" xfId="0" applyNumberFormat="1" applyFont="1" applyFill="1" applyBorder="1" applyAlignment="1">
      <alignment horizontal="center" wrapText="1"/>
    </xf>
    <xf numFmtId="0" fontId="2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wrapText="1"/>
    </xf>
    <xf numFmtId="49" fontId="17" fillId="0" borderId="0" xfId="0" applyNumberFormat="1" applyFont="1" applyAlignment="1">
      <alignment horizontal="left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24" fillId="0" borderId="0" xfId="2" applyFont="1" applyAlignment="1">
      <alignment horizontal="center"/>
    </xf>
    <xf numFmtId="1" fontId="24" fillId="0" borderId="0" xfId="2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17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center"/>
    </xf>
    <xf numFmtId="0" fontId="21" fillId="0" borderId="0" xfId="0" applyFont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8" fillId="5" borderId="7" xfId="0" applyFont="1" applyFill="1" applyBorder="1" applyAlignment="1">
      <alignment horizontal="center"/>
    </xf>
    <xf numFmtId="1" fontId="28" fillId="5" borderId="0" xfId="0" applyNumberFormat="1" applyFont="1" applyFill="1" applyAlignment="1">
      <alignment horizontal="center" vertical="center" wrapText="1"/>
    </xf>
    <xf numFmtId="1" fontId="28" fillId="5" borderId="0" xfId="0" applyNumberFormat="1" applyFont="1" applyFill="1" applyAlignment="1">
      <alignment horizontal="left" vertical="center" wrapText="1"/>
    </xf>
    <xf numFmtId="1" fontId="28" fillId="5" borderId="7" xfId="0" applyNumberFormat="1" applyFont="1" applyFill="1" applyBorder="1" applyAlignment="1">
      <alignment horizontal="left" vertical="center" wrapText="1"/>
    </xf>
    <xf numFmtId="1" fontId="28" fillId="5" borderId="0" xfId="0" applyNumberFormat="1" applyFont="1" applyFill="1" applyAlignment="1">
      <alignment horizontal="center" wrapText="1"/>
    </xf>
    <xf numFmtId="1" fontId="28" fillId="5" borderId="7" xfId="0" applyNumberFormat="1" applyFont="1" applyFill="1" applyBorder="1" applyAlignment="1">
      <alignment horizontal="center" wrapText="1"/>
    </xf>
    <xf numFmtId="1" fontId="28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8" fillId="5" borderId="0" xfId="0" applyFont="1" applyFill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28" fillId="5" borderId="8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" fontId="2" fillId="6" borderId="8" xfId="0" applyNumberFormat="1" applyFont="1" applyFill="1" applyBorder="1" applyAlignment="1">
      <alignment horizontal="center" vertical="center" wrapText="1"/>
    </xf>
  </cellXfs>
  <cellStyles count="5">
    <cellStyle name="Excel Built-in Normal" xfId="1"/>
    <cellStyle name="Normal" xfId="0" builtinId="0"/>
    <cellStyle name="Normal 2" xfId="2"/>
    <cellStyle name="Normal 3" xfId="3"/>
    <cellStyle name="Normal 4" xfId="4"/>
  </cellStyles>
  <dxfs count="5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466172</xdr:colOff>
      <xdr:row>1</xdr:row>
      <xdr:rowOff>2976</xdr:rowOff>
    </xdr:from>
    <xdr:to>
      <xdr:col>33</xdr:col>
      <xdr:colOff>268271</xdr:colOff>
      <xdr:row>7</xdr:row>
      <xdr:rowOff>241100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6993" y="193476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149680</xdr:colOff>
      <xdr:row>0</xdr:row>
      <xdr:rowOff>27214</xdr:rowOff>
    </xdr:from>
    <xdr:to>
      <xdr:col>15</xdr:col>
      <xdr:colOff>381000</xdr:colOff>
      <xdr:row>4</xdr:row>
      <xdr:rowOff>103404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1" y="27214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517070</xdr:colOff>
      <xdr:row>4</xdr:row>
      <xdr:rowOff>13609</xdr:rowOff>
    </xdr:from>
    <xdr:to>
      <xdr:col>18</xdr:col>
      <xdr:colOff>483583</xdr:colOff>
      <xdr:row>7</xdr:row>
      <xdr:rowOff>2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483927" y="775609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27215</xdr:colOff>
      <xdr:row>1</xdr:row>
      <xdr:rowOff>98512</xdr:rowOff>
    </xdr:from>
    <xdr:to>
      <xdr:col>2</xdr:col>
      <xdr:colOff>312965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2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55940</xdr:colOff>
      <xdr:row>64</xdr:row>
      <xdr:rowOff>47629</xdr:rowOff>
    </xdr:from>
    <xdr:to>
      <xdr:col>22</xdr:col>
      <xdr:colOff>151801</xdr:colOff>
      <xdr:row>65</xdr:row>
      <xdr:rowOff>578979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16226" y="18662200"/>
          <a:ext cx="1061968" cy="721850"/>
        </a:xfrm>
        <a:prstGeom prst="rect">
          <a:avLst/>
        </a:prstGeom>
      </xdr:spPr>
    </xdr:pic>
    <xdr:clientData/>
  </xdr:twoCellAnchor>
  <xdr:twoCellAnchor editAs="oneCell">
    <xdr:from>
      <xdr:col>5</xdr:col>
      <xdr:colOff>518203</xdr:colOff>
      <xdr:row>65</xdr:row>
      <xdr:rowOff>789053</xdr:rowOff>
    </xdr:from>
    <xdr:to>
      <xdr:col>8</xdr:col>
      <xdr:colOff>511022</xdr:colOff>
      <xdr:row>65</xdr:row>
      <xdr:rowOff>1134797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85060" y="19594124"/>
          <a:ext cx="1489605" cy="345744"/>
        </a:xfrm>
        <a:prstGeom prst="rect">
          <a:avLst/>
        </a:prstGeom>
      </xdr:spPr>
    </xdr:pic>
    <xdr:clientData/>
  </xdr:twoCellAnchor>
  <xdr:twoCellAnchor editAs="oneCell">
    <xdr:from>
      <xdr:col>14</xdr:col>
      <xdr:colOff>329595</xdr:colOff>
      <xdr:row>65</xdr:row>
      <xdr:rowOff>569403</xdr:rowOff>
    </xdr:from>
    <xdr:to>
      <xdr:col>18</xdr:col>
      <xdr:colOff>429380</xdr:colOff>
      <xdr:row>65</xdr:row>
      <xdr:rowOff>1217603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1559" y="19374474"/>
          <a:ext cx="2032000" cy="648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354697</xdr:colOff>
      <xdr:row>64</xdr:row>
      <xdr:rowOff>103719</xdr:rowOff>
    </xdr:from>
    <xdr:to>
      <xdr:col>14</xdr:col>
      <xdr:colOff>501455</xdr:colOff>
      <xdr:row>65</xdr:row>
      <xdr:rowOff>489212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84447" y="18718290"/>
          <a:ext cx="2078972" cy="575993"/>
        </a:xfrm>
        <a:prstGeom prst="rect">
          <a:avLst/>
        </a:prstGeom>
      </xdr:spPr>
    </xdr:pic>
    <xdr:clientData/>
  </xdr:twoCellAnchor>
  <xdr:twoCellAnchor editAs="oneCell">
    <xdr:from>
      <xdr:col>3</xdr:col>
      <xdr:colOff>1074964</xdr:colOff>
      <xdr:row>65</xdr:row>
      <xdr:rowOff>344412</xdr:rowOff>
    </xdr:from>
    <xdr:to>
      <xdr:col>4</xdr:col>
      <xdr:colOff>671286</xdr:colOff>
      <xdr:row>65</xdr:row>
      <xdr:rowOff>1065715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0" y="19149483"/>
          <a:ext cx="1555750" cy="721303"/>
        </a:xfrm>
        <a:prstGeom prst="rect">
          <a:avLst/>
        </a:prstGeom>
      </xdr:spPr>
    </xdr:pic>
    <xdr:clientData/>
  </xdr:twoCellAnchor>
  <xdr:twoCellAnchor editAs="oneCell">
    <xdr:from>
      <xdr:col>4</xdr:col>
      <xdr:colOff>1519460</xdr:colOff>
      <xdr:row>64</xdr:row>
      <xdr:rowOff>122464</xdr:rowOff>
    </xdr:from>
    <xdr:to>
      <xdr:col>4</xdr:col>
      <xdr:colOff>2630713</xdr:colOff>
      <xdr:row>65</xdr:row>
      <xdr:rowOff>647253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2424" y="18737035"/>
          <a:ext cx="1111253" cy="715289"/>
        </a:xfrm>
        <a:prstGeom prst="rect">
          <a:avLst/>
        </a:prstGeom>
      </xdr:spPr>
    </xdr:pic>
    <xdr:clientData/>
  </xdr:twoCellAnchor>
  <xdr:oneCellAnchor>
    <xdr:from>
      <xdr:col>23</xdr:col>
      <xdr:colOff>435428</xdr:colOff>
      <xdr:row>65</xdr:row>
      <xdr:rowOff>588314</xdr:rowOff>
    </xdr:from>
    <xdr:ext cx="2475253" cy="423333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92499" y="19393385"/>
          <a:ext cx="2475253" cy="423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110372</xdr:colOff>
      <xdr:row>1</xdr:row>
      <xdr:rowOff>1463</xdr:rowOff>
    </xdr:from>
    <xdr:to>
      <xdr:col>33</xdr:col>
      <xdr:colOff>443150</xdr:colOff>
      <xdr:row>7</xdr:row>
      <xdr:rowOff>246643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3515" y="191963"/>
          <a:ext cx="1298885" cy="1388180"/>
        </a:xfrm>
        <a:prstGeom prst="rect">
          <a:avLst/>
        </a:prstGeom>
      </xdr:spPr>
    </xdr:pic>
    <xdr:clientData/>
  </xdr:twoCellAnchor>
  <xdr:twoCellAnchor editAs="oneCell">
    <xdr:from>
      <xdr:col>9</xdr:col>
      <xdr:colOff>68037</xdr:colOff>
      <xdr:row>0</xdr:row>
      <xdr:rowOff>0</xdr:rowOff>
    </xdr:from>
    <xdr:to>
      <xdr:col>15</xdr:col>
      <xdr:colOff>299357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1" y="0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4</xdr:row>
      <xdr:rowOff>13609</xdr:rowOff>
    </xdr:from>
    <xdr:to>
      <xdr:col>19</xdr:col>
      <xdr:colOff>7334</xdr:colOff>
      <xdr:row>7</xdr:row>
      <xdr:rowOff>2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619999" y="775609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122465</xdr:colOff>
      <xdr:row>1</xdr:row>
      <xdr:rowOff>98512</xdr:rowOff>
    </xdr:from>
    <xdr:to>
      <xdr:col>2</xdr:col>
      <xdr:colOff>408215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822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489857</xdr:colOff>
      <xdr:row>46</xdr:row>
      <xdr:rowOff>163286</xdr:rowOff>
    </xdr:from>
    <xdr:to>
      <xdr:col>23</xdr:col>
      <xdr:colOff>177123</xdr:colOff>
      <xdr:row>47</xdr:row>
      <xdr:rowOff>753945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2821" y="13090072"/>
          <a:ext cx="11403016" cy="781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61486</xdr:colOff>
      <xdr:row>0</xdr:row>
      <xdr:rowOff>172812</xdr:rowOff>
    </xdr:from>
    <xdr:to>
      <xdr:col>33</xdr:col>
      <xdr:colOff>289488</xdr:colOff>
      <xdr:row>7</xdr:row>
      <xdr:rowOff>220436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7307" y="172812"/>
          <a:ext cx="1289360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0</xdr:row>
      <xdr:rowOff>68035</xdr:rowOff>
    </xdr:from>
    <xdr:to>
      <xdr:col>15</xdr:col>
      <xdr:colOff>421821</xdr:colOff>
      <xdr:row>4</xdr:row>
      <xdr:rowOff>144225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7143" y="68035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380998</xdr:colOff>
      <xdr:row>4</xdr:row>
      <xdr:rowOff>27216</xdr:rowOff>
    </xdr:from>
    <xdr:to>
      <xdr:col>19</xdr:col>
      <xdr:colOff>252262</xdr:colOff>
      <xdr:row>7</xdr:row>
      <xdr:rowOff>13609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8109855" y="789216"/>
          <a:ext cx="6770086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0</xdr:col>
      <xdr:colOff>231321</xdr:colOff>
      <xdr:row>1</xdr:row>
      <xdr:rowOff>98512</xdr:rowOff>
    </xdr:from>
    <xdr:to>
      <xdr:col>1</xdr:col>
      <xdr:colOff>734786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1660071</xdr:colOff>
      <xdr:row>36</xdr:row>
      <xdr:rowOff>149679</xdr:rowOff>
    </xdr:from>
    <xdr:to>
      <xdr:col>26</xdr:col>
      <xdr:colOff>193478</xdr:colOff>
      <xdr:row>36</xdr:row>
      <xdr:rowOff>1156607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37214" y="10014858"/>
          <a:ext cx="14698693" cy="10069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469700</xdr:colOff>
      <xdr:row>1</xdr:row>
      <xdr:rowOff>44805</xdr:rowOff>
    </xdr:from>
    <xdr:to>
      <xdr:col>33</xdr:col>
      <xdr:colOff>259200</xdr:colOff>
      <xdr:row>7</xdr:row>
      <xdr:rowOff>282929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5771" y="235305"/>
          <a:ext cx="1286286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13608</xdr:colOff>
      <xdr:row>0</xdr:row>
      <xdr:rowOff>0</xdr:rowOff>
    </xdr:from>
    <xdr:to>
      <xdr:col>15</xdr:col>
      <xdr:colOff>244928</xdr:colOff>
      <xdr:row>4</xdr:row>
      <xdr:rowOff>76190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3179" y="0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326570</xdr:colOff>
      <xdr:row>4</xdr:row>
      <xdr:rowOff>27216</xdr:rowOff>
    </xdr:from>
    <xdr:to>
      <xdr:col>18</xdr:col>
      <xdr:colOff>293083</xdr:colOff>
      <xdr:row>7</xdr:row>
      <xdr:rowOff>13609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388677" y="789216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176893</xdr:colOff>
      <xdr:row>1</xdr:row>
      <xdr:rowOff>98512</xdr:rowOff>
    </xdr:from>
    <xdr:to>
      <xdr:col>2</xdr:col>
      <xdr:colOff>462643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1074964</xdr:colOff>
      <xdr:row>27</xdr:row>
      <xdr:rowOff>95250</xdr:rowOff>
    </xdr:from>
    <xdr:to>
      <xdr:col>27</xdr:col>
      <xdr:colOff>152657</xdr:colOff>
      <xdr:row>27</xdr:row>
      <xdr:rowOff>1102178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0" y="6953250"/>
          <a:ext cx="14698693" cy="10069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27215</xdr:colOff>
      <xdr:row>1</xdr:row>
      <xdr:rowOff>35733</xdr:rowOff>
    </xdr:from>
    <xdr:to>
      <xdr:col>33</xdr:col>
      <xdr:colOff>359993</xdr:colOff>
      <xdr:row>7</xdr:row>
      <xdr:rowOff>280913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9394" y="226233"/>
          <a:ext cx="1298885" cy="1388180"/>
        </a:xfrm>
        <a:prstGeom prst="rect">
          <a:avLst/>
        </a:prstGeom>
      </xdr:spPr>
    </xdr:pic>
    <xdr:clientData/>
  </xdr:twoCellAnchor>
  <xdr:twoCellAnchor editAs="oneCell">
    <xdr:from>
      <xdr:col>8</xdr:col>
      <xdr:colOff>272144</xdr:colOff>
      <xdr:row>0</xdr:row>
      <xdr:rowOff>54428</xdr:rowOff>
    </xdr:from>
    <xdr:to>
      <xdr:col>14</xdr:col>
      <xdr:colOff>503464</xdr:colOff>
      <xdr:row>4</xdr:row>
      <xdr:rowOff>130618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6465" y="54428"/>
          <a:ext cx="3129642" cy="838190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1</xdr:row>
      <xdr:rowOff>112119</xdr:rowOff>
    </xdr:from>
    <xdr:to>
      <xdr:col>2</xdr:col>
      <xdr:colOff>367393</xdr:colOff>
      <xdr:row>7</xdr:row>
      <xdr:rowOff>150132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619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95250</xdr:colOff>
      <xdr:row>4</xdr:row>
      <xdr:rowOff>0</xdr:rowOff>
    </xdr:from>
    <xdr:to>
      <xdr:col>18</xdr:col>
      <xdr:colOff>61764</xdr:colOff>
      <xdr:row>6</xdr:row>
      <xdr:rowOff>176893</xdr:rowOff>
    </xdr:to>
    <xdr:sp macro="" textlink="">
      <xdr:nvSpPr>
        <xdr:cNvPr id="8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592786" y="762000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3</xdr:col>
      <xdr:colOff>1782535</xdr:colOff>
      <xdr:row>88</xdr:row>
      <xdr:rowOff>95251</xdr:rowOff>
    </xdr:from>
    <xdr:to>
      <xdr:col>27</xdr:col>
      <xdr:colOff>424800</xdr:colOff>
      <xdr:row>88</xdr:row>
      <xdr:rowOff>1102179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6071" y="26044072"/>
          <a:ext cx="14698693" cy="10069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184958</xdr:colOff>
      <xdr:row>1</xdr:row>
      <xdr:rowOff>17087</xdr:rowOff>
    </xdr:from>
    <xdr:to>
      <xdr:col>32</xdr:col>
      <xdr:colOff>517736</xdr:colOff>
      <xdr:row>7</xdr:row>
      <xdr:rowOff>255211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65637" y="207587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476251</xdr:colOff>
      <xdr:row>0</xdr:row>
      <xdr:rowOff>40821</xdr:rowOff>
    </xdr:from>
    <xdr:to>
      <xdr:col>15</xdr:col>
      <xdr:colOff>176893</xdr:colOff>
      <xdr:row>4</xdr:row>
      <xdr:rowOff>117011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3358" y="40821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357867</xdr:colOff>
      <xdr:row>3</xdr:row>
      <xdr:rowOff>176895</xdr:rowOff>
    </xdr:from>
    <xdr:to>
      <xdr:col>18</xdr:col>
      <xdr:colOff>333904</xdr:colOff>
      <xdr:row>6</xdr:row>
      <xdr:rowOff>163288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828188" y="748395"/>
          <a:ext cx="6303359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163286</xdr:colOff>
      <xdr:row>1</xdr:row>
      <xdr:rowOff>98512</xdr:rowOff>
    </xdr:from>
    <xdr:to>
      <xdr:col>2</xdr:col>
      <xdr:colOff>449036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43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1551214</xdr:colOff>
      <xdr:row>26</xdr:row>
      <xdr:rowOff>163286</xdr:rowOff>
    </xdr:from>
    <xdr:to>
      <xdr:col>27</xdr:col>
      <xdr:colOff>234300</xdr:colOff>
      <xdr:row>26</xdr:row>
      <xdr:rowOff>1170214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4750" y="6708322"/>
          <a:ext cx="14698693" cy="10069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392089</xdr:colOff>
      <xdr:row>1</xdr:row>
      <xdr:rowOff>10535</xdr:rowOff>
    </xdr:from>
    <xdr:to>
      <xdr:col>33</xdr:col>
      <xdr:colOff>194188</xdr:colOff>
      <xdr:row>7</xdr:row>
      <xdr:rowOff>248659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7839" y="201035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8</xdr:col>
      <xdr:colOff>394609</xdr:colOff>
      <xdr:row>0</xdr:row>
      <xdr:rowOff>68036</xdr:rowOff>
    </xdr:from>
    <xdr:to>
      <xdr:col>15</xdr:col>
      <xdr:colOff>95251</xdr:colOff>
      <xdr:row>4</xdr:row>
      <xdr:rowOff>144226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3180" y="68036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262617</xdr:colOff>
      <xdr:row>4</xdr:row>
      <xdr:rowOff>13609</xdr:rowOff>
    </xdr:from>
    <xdr:to>
      <xdr:col>18</xdr:col>
      <xdr:colOff>238656</xdr:colOff>
      <xdr:row>7</xdr:row>
      <xdr:rowOff>2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474403" y="775609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54429</xdr:colOff>
      <xdr:row>1</xdr:row>
      <xdr:rowOff>98512</xdr:rowOff>
    </xdr:from>
    <xdr:to>
      <xdr:col>2</xdr:col>
      <xdr:colOff>340179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6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1415143</xdr:colOff>
      <xdr:row>75</xdr:row>
      <xdr:rowOff>40821</xdr:rowOff>
    </xdr:from>
    <xdr:to>
      <xdr:col>27</xdr:col>
      <xdr:colOff>343158</xdr:colOff>
      <xdr:row>75</xdr:row>
      <xdr:rowOff>1047749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8679" y="21921107"/>
          <a:ext cx="14698693" cy="10069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445509</xdr:colOff>
      <xdr:row>1</xdr:row>
      <xdr:rowOff>45307</xdr:rowOff>
    </xdr:from>
    <xdr:to>
      <xdr:col>33</xdr:col>
      <xdr:colOff>247608</xdr:colOff>
      <xdr:row>7</xdr:row>
      <xdr:rowOff>283431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36330" y="235807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0</xdr:row>
      <xdr:rowOff>95250</xdr:rowOff>
    </xdr:from>
    <xdr:to>
      <xdr:col>15</xdr:col>
      <xdr:colOff>326571</xdr:colOff>
      <xdr:row>4</xdr:row>
      <xdr:rowOff>171440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9572" y="95250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95248</xdr:colOff>
      <xdr:row>4</xdr:row>
      <xdr:rowOff>54430</xdr:rowOff>
    </xdr:from>
    <xdr:to>
      <xdr:col>19</xdr:col>
      <xdr:colOff>61762</xdr:colOff>
      <xdr:row>7</xdr:row>
      <xdr:rowOff>40823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592784" y="816430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6" name="Imagen 5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1483178</xdr:colOff>
      <xdr:row>27</xdr:row>
      <xdr:rowOff>217714</xdr:rowOff>
    </xdr:from>
    <xdr:to>
      <xdr:col>28</xdr:col>
      <xdr:colOff>220693</xdr:colOff>
      <xdr:row>27</xdr:row>
      <xdr:rowOff>1224642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6714" y="7075714"/>
          <a:ext cx="14698693" cy="100692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50900</xdr:colOff>
      <xdr:row>1</xdr:row>
      <xdr:rowOff>18093</xdr:rowOff>
    </xdr:from>
    <xdr:to>
      <xdr:col>33</xdr:col>
      <xdr:colOff>383678</xdr:colOff>
      <xdr:row>7</xdr:row>
      <xdr:rowOff>256217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72400" y="208593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13608</xdr:colOff>
      <xdr:row>0</xdr:row>
      <xdr:rowOff>54428</xdr:rowOff>
    </xdr:from>
    <xdr:to>
      <xdr:col>15</xdr:col>
      <xdr:colOff>244928</xdr:colOff>
      <xdr:row>4</xdr:row>
      <xdr:rowOff>130618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7929" y="54428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394606</xdr:colOff>
      <xdr:row>4</xdr:row>
      <xdr:rowOff>13609</xdr:rowOff>
    </xdr:from>
    <xdr:to>
      <xdr:col>18</xdr:col>
      <xdr:colOff>361119</xdr:colOff>
      <xdr:row>7</xdr:row>
      <xdr:rowOff>2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361463" y="775609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830037</xdr:colOff>
      <xdr:row>60</xdr:row>
      <xdr:rowOff>68035</xdr:rowOff>
    </xdr:from>
    <xdr:to>
      <xdr:col>27</xdr:col>
      <xdr:colOff>2980</xdr:colOff>
      <xdr:row>61</xdr:row>
      <xdr:rowOff>884463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573" y="17376321"/>
          <a:ext cx="14698693" cy="10069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472724</xdr:colOff>
      <xdr:row>1</xdr:row>
      <xdr:rowOff>31701</xdr:rowOff>
    </xdr:from>
    <xdr:to>
      <xdr:col>33</xdr:col>
      <xdr:colOff>274823</xdr:colOff>
      <xdr:row>7</xdr:row>
      <xdr:rowOff>269825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63545" y="222201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0</xdr:row>
      <xdr:rowOff>81643</xdr:rowOff>
    </xdr:from>
    <xdr:to>
      <xdr:col>15</xdr:col>
      <xdr:colOff>231321</xdr:colOff>
      <xdr:row>4</xdr:row>
      <xdr:rowOff>157833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4322" y="81643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380999</xdr:colOff>
      <xdr:row>4</xdr:row>
      <xdr:rowOff>40823</xdr:rowOff>
    </xdr:from>
    <xdr:to>
      <xdr:col>18</xdr:col>
      <xdr:colOff>347512</xdr:colOff>
      <xdr:row>7</xdr:row>
      <xdr:rowOff>27216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347856" y="802823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89012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1374321</xdr:colOff>
      <xdr:row>43</xdr:row>
      <xdr:rowOff>122464</xdr:rowOff>
    </xdr:from>
    <xdr:to>
      <xdr:col>28</xdr:col>
      <xdr:colOff>111836</xdr:colOff>
      <xdr:row>43</xdr:row>
      <xdr:rowOff>1129392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7857" y="11987893"/>
          <a:ext cx="14698693" cy="10069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527152</xdr:colOff>
      <xdr:row>1</xdr:row>
      <xdr:rowOff>18094</xdr:rowOff>
    </xdr:from>
    <xdr:to>
      <xdr:col>33</xdr:col>
      <xdr:colOff>329251</xdr:colOff>
      <xdr:row>7</xdr:row>
      <xdr:rowOff>256218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17973" y="208594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0</xdr:row>
      <xdr:rowOff>108857</xdr:rowOff>
    </xdr:from>
    <xdr:to>
      <xdr:col>15</xdr:col>
      <xdr:colOff>176892</xdr:colOff>
      <xdr:row>4</xdr:row>
      <xdr:rowOff>185047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9893" y="108857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462642</xdr:colOff>
      <xdr:row>4</xdr:row>
      <xdr:rowOff>54430</xdr:rowOff>
    </xdr:from>
    <xdr:to>
      <xdr:col>18</xdr:col>
      <xdr:colOff>429155</xdr:colOff>
      <xdr:row>7</xdr:row>
      <xdr:rowOff>40823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429499" y="816430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112119</xdr:rowOff>
    </xdr:from>
    <xdr:to>
      <xdr:col>2</xdr:col>
      <xdr:colOff>381000</xdr:colOff>
      <xdr:row>7</xdr:row>
      <xdr:rowOff>150132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7" y="302619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1211036</xdr:colOff>
      <xdr:row>36</xdr:row>
      <xdr:rowOff>176893</xdr:rowOff>
    </xdr:from>
    <xdr:to>
      <xdr:col>27</xdr:col>
      <xdr:colOff>383979</xdr:colOff>
      <xdr:row>36</xdr:row>
      <xdr:rowOff>1183821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4572" y="9851572"/>
          <a:ext cx="14698693" cy="10069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118937</xdr:colOff>
      <xdr:row>0</xdr:row>
      <xdr:rowOff>72523</xdr:rowOff>
    </xdr:from>
    <xdr:to>
      <xdr:col>33</xdr:col>
      <xdr:colOff>451715</xdr:colOff>
      <xdr:row>7</xdr:row>
      <xdr:rowOff>120147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0437" y="72523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0</xdr:row>
      <xdr:rowOff>81643</xdr:rowOff>
    </xdr:from>
    <xdr:to>
      <xdr:col>15</xdr:col>
      <xdr:colOff>326572</xdr:colOff>
      <xdr:row>4</xdr:row>
      <xdr:rowOff>157833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9572" y="81643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40819</xdr:colOff>
      <xdr:row>4</xdr:row>
      <xdr:rowOff>27216</xdr:rowOff>
    </xdr:from>
    <xdr:to>
      <xdr:col>19</xdr:col>
      <xdr:colOff>7333</xdr:colOff>
      <xdr:row>7</xdr:row>
      <xdr:rowOff>13609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538355" y="789216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112119</xdr:rowOff>
    </xdr:from>
    <xdr:to>
      <xdr:col>2</xdr:col>
      <xdr:colOff>381000</xdr:colOff>
      <xdr:row>7</xdr:row>
      <xdr:rowOff>150132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02619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1047750</xdr:colOff>
      <xdr:row>28</xdr:row>
      <xdr:rowOff>190500</xdr:rowOff>
    </xdr:from>
    <xdr:to>
      <xdr:col>27</xdr:col>
      <xdr:colOff>71015</xdr:colOff>
      <xdr:row>28</xdr:row>
      <xdr:rowOff>1197428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1286" y="7361464"/>
          <a:ext cx="14698693" cy="10069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23688</xdr:colOff>
      <xdr:row>1</xdr:row>
      <xdr:rowOff>4487</xdr:rowOff>
    </xdr:from>
    <xdr:to>
      <xdr:col>33</xdr:col>
      <xdr:colOff>356466</xdr:colOff>
      <xdr:row>7</xdr:row>
      <xdr:rowOff>242611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1581" y="194987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163287</xdr:colOff>
      <xdr:row>0</xdr:row>
      <xdr:rowOff>54428</xdr:rowOff>
    </xdr:from>
    <xdr:to>
      <xdr:col>15</xdr:col>
      <xdr:colOff>394607</xdr:colOff>
      <xdr:row>4</xdr:row>
      <xdr:rowOff>130618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7608" y="54428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4</xdr:row>
      <xdr:rowOff>13609</xdr:rowOff>
    </xdr:from>
    <xdr:to>
      <xdr:col>19</xdr:col>
      <xdr:colOff>75370</xdr:colOff>
      <xdr:row>7</xdr:row>
      <xdr:rowOff>2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592785" y="775609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190501</xdr:colOff>
      <xdr:row>1</xdr:row>
      <xdr:rowOff>98512</xdr:rowOff>
    </xdr:from>
    <xdr:to>
      <xdr:col>2</xdr:col>
      <xdr:colOff>476251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8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1360714</xdr:colOff>
      <xdr:row>37</xdr:row>
      <xdr:rowOff>231322</xdr:rowOff>
    </xdr:from>
    <xdr:to>
      <xdr:col>28</xdr:col>
      <xdr:colOff>111836</xdr:colOff>
      <xdr:row>37</xdr:row>
      <xdr:rowOff>1238250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0" y="10218965"/>
          <a:ext cx="14698693" cy="100692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255008</xdr:colOff>
      <xdr:row>0</xdr:row>
      <xdr:rowOff>154165</xdr:rowOff>
    </xdr:from>
    <xdr:to>
      <xdr:col>33</xdr:col>
      <xdr:colOff>587786</xdr:colOff>
      <xdr:row>7</xdr:row>
      <xdr:rowOff>201789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6508" y="154165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136072</xdr:colOff>
      <xdr:row>0</xdr:row>
      <xdr:rowOff>68036</xdr:rowOff>
    </xdr:from>
    <xdr:to>
      <xdr:col>15</xdr:col>
      <xdr:colOff>367392</xdr:colOff>
      <xdr:row>4</xdr:row>
      <xdr:rowOff>144226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0393" y="68036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153759</xdr:colOff>
      <xdr:row>4</xdr:row>
      <xdr:rowOff>40823</xdr:rowOff>
    </xdr:from>
    <xdr:to>
      <xdr:col>19</xdr:col>
      <xdr:colOff>129798</xdr:colOff>
      <xdr:row>7</xdr:row>
      <xdr:rowOff>27216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651295" y="802823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367393</xdr:colOff>
      <xdr:row>1</xdr:row>
      <xdr:rowOff>98512</xdr:rowOff>
    </xdr:from>
    <xdr:to>
      <xdr:col>3</xdr:col>
      <xdr:colOff>68036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1387928</xdr:colOff>
      <xdr:row>43</xdr:row>
      <xdr:rowOff>163286</xdr:rowOff>
    </xdr:from>
    <xdr:to>
      <xdr:col>28</xdr:col>
      <xdr:colOff>125443</xdr:colOff>
      <xdr:row>43</xdr:row>
      <xdr:rowOff>1170214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1464" y="12028715"/>
          <a:ext cx="14698693" cy="10069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445509</xdr:colOff>
      <xdr:row>0</xdr:row>
      <xdr:rowOff>181379</xdr:rowOff>
    </xdr:from>
    <xdr:to>
      <xdr:col>33</xdr:col>
      <xdr:colOff>247608</xdr:colOff>
      <xdr:row>7</xdr:row>
      <xdr:rowOff>229003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36330" y="181379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8</xdr:col>
      <xdr:colOff>462643</xdr:colOff>
      <xdr:row>0</xdr:row>
      <xdr:rowOff>68035</xdr:rowOff>
    </xdr:from>
    <xdr:to>
      <xdr:col>15</xdr:col>
      <xdr:colOff>163285</xdr:colOff>
      <xdr:row>4</xdr:row>
      <xdr:rowOff>144225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6286" y="68035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285749</xdr:colOff>
      <xdr:row>4</xdr:row>
      <xdr:rowOff>27216</xdr:rowOff>
    </xdr:from>
    <xdr:to>
      <xdr:col>18</xdr:col>
      <xdr:colOff>252262</xdr:colOff>
      <xdr:row>7</xdr:row>
      <xdr:rowOff>13609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252606" y="789216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190500</xdr:colOff>
      <xdr:row>1</xdr:row>
      <xdr:rowOff>98512</xdr:rowOff>
    </xdr:from>
    <xdr:to>
      <xdr:col>2</xdr:col>
      <xdr:colOff>476250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1102178</xdr:colOff>
      <xdr:row>46</xdr:row>
      <xdr:rowOff>163286</xdr:rowOff>
    </xdr:from>
    <xdr:to>
      <xdr:col>27</xdr:col>
      <xdr:colOff>275121</xdr:colOff>
      <xdr:row>46</xdr:row>
      <xdr:rowOff>1170214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5714" y="12967607"/>
          <a:ext cx="14698693" cy="10069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10080</xdr:colOff>
      <xdr:row>1</xdr:row>
      <xdr:rowOff>31701</xdr:rowOff>
    </xdr:from>
    <xdr:to>
      <xdr:col>33</xdr:col>
      <xdr:colOff>342858</xdr:colOff>
      <xdr:row>7</xdr:row>
      <xdr:rowOff>269825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1580" y="222201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149680</xdr:colOff>
      <xdr:row>0</xdr:row>
      <xdr:rowOff>122465</xdr:rowOff>
    </xdr:from>
    <xdr:to>
      <xdr:col>15</xdr:col>
      <xdr:colOff>381000</xdr:colOff>
      <xdr:row>5</xdr:row>
      <xdr:rowOff>8155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1" y="122465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81641</xdr:colOff>
      <xdr:row>4</xdr:row>
      <xdr:rowOff>40823</xdr:rowOff>
    </xdr:from>
    <xdr:to>
      <xdr:col>19</xdr:col>
      <xdr:colOff>48155</xdr:colOff>
      <xdr:row>7</xdr:row>
      <xdr:rowOff>27216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579177" y="802823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258536</xdr:colOff>
      <xdr:row>1</xdr:row>
      <xdr:rowOff>98512</xdr:rowOff>
    </xdr:from>
    <xdr:to>
      <xdr:col>2</xdr:col>
      <xdr:colOff>544286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893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1156607</xdr:colOff>
      <xdr:row>43</xdr:row>
      <xdr:rowOff>176893</xdr:rowOff>
    </xdr:from>
    <xdr:to>
      <xdr:col>27</xdr:col>
      <xdr:colOff>329550</xdr:colOff>
      <xdr:row>43</xdr:row>
      <xdr:rowOff>1183821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0143" y="12042322"/>
          <a:ext cx="14698693" cy="100692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486330</xdr:colOff>
      <xdr:row>1</xdr:row>
      <xdr:rowOff>31701</xdr:rowOff>
    </xdr:from>
    <xdr:to>
      <xdr:col>33</xdr:col>
      <xdr:colOff>288429</xdr:colOff>
      <xdr:row>7</xdr:row>
      <xdr:rowOff>269825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77151" y="222201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8</xdr:col>
      <xdr:colOff>517072</xdr:colOff>
      <xdr:row>0</xdr:row>
      <xdr:rowOff>108857</xdr:rowOff>
    </xdr:from>
    <xdr:to>
      <xdr:col>15</xdr:col>
      <xdr:colOff>217714</xdr:colOff>
      <xdr:row>4</xdr:row>
      <xdr:rowOff>185047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0715" y="108857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317045</xdr:colOff>
      <xdr:row>4</xdr:row>
      <xdr:rowOff>54430</xdr:rowOff>
    </xdr:from>
    <xdr:to>
      <xdr:col>18</xdr:col>
      <xdr:colOff>293083</xdr:colOff>
      <xdr:row>7</xdr:row>
      <xdr:rowOff>40823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283902" y="816430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176893</xdr:colOff>
      <xdr:row>1</xdr:row>
      <xdr:rowOff>98512</xdr:rowOff>
    </xdr:from>
    <xdr:to>
      <xdr:col>2</xdr:col>
      <xdr:colOff>462643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830036</xdr:colOff>
      <xdr:row>40</xdr:row>
      <xdr:rowOff>217715</xdr:rowOff>
    </xdr:from>
    <xdr:to>
      <xdr:col>27</xdr:col>
      <xdr:colOff>2979</xdr:colOff>
      <xdr:row>40</xdr:row>
      <xdr:rowOff>1224643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572" y="11144251"/>
          <a:ext cx="14698693" cy="100692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10081</xdr:colOff>
      <xdr:row>1</xdr:row>
      <xdr:rowOff>45308</xdr:rowOff>
    </xdr:from>
    <xdr:to>
      <xdr:col>33</xdr:col>
      <xdr:colOff>342859</xdr:colOff>
      <xdr:row>7</xdr:row>
      <xdr:rowOff>283432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1581" y="235808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40823</xdr:colOff>
      <xdr:row>0</xdr:row>
      <xdr:rowOff>54428</xdr:rowOff>
    </xdr:from>
    <xdr:to>
      <xdr:col>15</xdr:col>
      <xdr:colOff>272143</xdr:colOff>
      <xdr:row>4</xdr:row>
      <xdr:rowOff>130618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5144" y="54428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517071</xdr:colOff>
      <xdr:row>4</xdr:row>
      <xdr:rowOff>27216</xdr:rowOff>
    </xdr:from>
    <xdr:to>
      <xdr:col>18</xdr:col>
      <xdr:colOff>483584</xdr:colOff>
      <xdr:row>7</xdr:row>
      <xdr:rowOff>13609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483928" y="789216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176894</xdr:colOff>
      <xdr:row>1</xdr:row>
      <xdr:rowOff>98512</xdr:rowOff>
    </xdr:from>
    <xdr:to>
      <xdr:col>2</xdr:col>
      <xdr:colOff>462644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1115785</xdr:colOff>
      <xdr:row>23</xdr:row>
      <xdr:rowOff>190500</xdr:rowOff>
    </xdr:from>
    <xdr:to>
      <xdr:col>27</xdr:col>
      <xdr:colOff>288728</xdr:colOff>
      <xdr:row>23</xdr:row>
      <xdr:rowOff>1197428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9321" y="5796643"/>
          <a:ext cx="14698693" cy="10069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10079</xdr:colOff>
      <xdr:row>0</xdr:row>
      <xdr:rowOff>154165</xdr:rowOff>
    </xdr:from>
    <xdr:to>
      <xdr:col>33</xdr:col>
      <xdr:colOff>342857</xdr:colOff>
      <xdr:row>7</xdr:row>
      <xdr:rowOff>201789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1579" y="154165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68038</xdr:colOff>
      <xdr:row>0</xdr:row>
      <xdr:rowOff>0</xdr:rowOff>
    </xdr:from>
    <xdr:to>
      <xdr:col>15</xdr:col>
      <xdr:colOff>299358</xdr:colOff>
      <xdr:row>4</xdr:row>
      <xdr:rowOff>76190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2359" y="0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449035</xdr:colOff>
      <xdr:row>3</xdr:row>
      <xdr:rowOff>176895</xdr:rowOff>
    </xdr:from>
    <xdr:to>
      <xdr:col>18</xdr:col>
      <xdr:colOff>415548</xdr:colOff>
      <xdr:row>6</xdr:row>
      <xdr:rowOff>163288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415892" y="748395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176894</xdr:colOff>
      <xdr:row>1</xdr:row>
      <xdr:rowOff>98512</xdr:rowOff>
    </xdr:from>
    <xdr:to>
      <xdr:col>2</xdr:col>
      <xdr:colOff>462644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694" y="289012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1279071</xdr:colOff>
      <xdr:row>23</xdr:row>
      <xdr:rowOff>231322</xdr:rowOff>
    </xdr:from>
    <xdr:to>
      <xdr:col>28</xdr:col>
      <xdr:colOff>16586</xdr:colOff>
      <xdr:row>23</xdr:row>
      <xdr:rowOff>1238250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2607" y="5837465"/>
          <a:ext cx="14698693" cy="100692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146152</xdr:colOff>
      <xdr:row>0</xdr:row>
      <xdr:rowOff>181379</xdr:rowOff>
    </xdr:from>
    <xdr:to>
      <xdr:col>33</xdr:col>
      <xdr:colOff>478930</xdr:colOff>
      <xdr:row>7</xdr:row>
      <xdr:rowOff>229003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67652" y="181379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204108</xdr:colOff>
      <xdr:row>0</xdr:row>
      <xdr:rowOff>81643</xdr:rowOff>
    </xdr:from>
    <xdr:to>
      <xdr:col>16</xdr:col>
      <xdr:colOff>0</xdr:colOff>
      <xdr:row>4</xdr:row>
      <xdr:rowOff>157833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8429" y="81643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122462</xdr:colOff>
      <xdr:row>4</xdr:row>
      <xdr:rowOff>27216</xdr:rowOff>
    </xdr:from>
    <xdr:to>
      <xdr:col>19</xdr:col>
      <xdr:colOff>88976</xdr:colOff>
      <xdr:row>7</xdr:row>
      <xdr:rowOff>13609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619998" y="789216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217714</xdr:colOff>
      <xdr:row>1</xdr:row>
      <xdr:rowOff>98512</xdr:rowOff>
    </xdr:from>
    <xdr:to>
      <xdr:col>2</xdr:col>
      <xdr:colOff>503464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1170214</xdr:colOff>
      <xdr:row>49</xdr:row>
      <xdr:rowOff>163287</xdr:rowOff>
    </xdr:from>
    <xdr:to>
      <xdr:col>27</xdr:col>
      <xdr:colOff>343157</xdr:colOff>
      <xdr:row>49</xdr:row>
      <xdr:rowOff>1170215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0" y="13906501"/>
          <a:ext cx="14698693" cy="100692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241402</xdr:colOff>
      <xdr:row>0</xdr:row>
      <xdr:rowOff>167771</xdr:rowOff>
    </xdr:from>
    <xdr:to>
      <xdr:col>33</xdr:col>
      <xdr:colOff>574180</xdr:colOff>
      <xdr:row>7</xdr:row>
      <xdr:rowOff>215395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2902" y="167771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163286</xdr:colOff>
      <xdr:row>0</xdr:row>
      <xdr:rowOff>54428</xdr:rowOff>
    </xdr:from>
    <xdr:to>
      <xdr:col>15</xdr:col>
      <xdr:colOff>394606</xdr:colOff>
      <xdr:row>4</xdr:row>
      <xdr:rowOff>130618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7607" y="54428"/>
          <a:ext cx="3129642" cy="838190"/>
        </a:xfrm>
        <a:prstGeom prst="rect">
          <a:avLst/>
        </a:prstGeom>
      </xdr:spPr>
    </xdr:pic>
    <xdr:clientData/>
  </xdr:twoCellAnchor>
  <xdr:twoCellAnchor>
    <xdr:from>
      <xdr:col>5</xdr:col>
      <xdr:colOff>530676</xdr:colOff>
      <xdr:row>4</xdr:row>
      <xdr:rowOff>2</xdr:rowOff>
    </xdr:from>
    <xdr:to>
      <xdr:col>18</xdr:col>
      <xdr:colOff>497189</xdr:colOff>
      <xdr:row>6</xdr:row>
      <xdr:rowOff>176895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497533" y="762002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217714</xdr:colOff>
      <xdr:row>1</xdr:row>
      <xdr:rowOff>98512</xdr:rowOff>
    </xdr:from>
    <xdr:to>
      <xdr:col>2</xdr:col>
      <xdr:colOff>503464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1387929</xdr:colOff>
      <xdr:row>19</xdr:row>
      <xdr:rowOff>217714</xdr:rowOff>
    </xdr:from>
    <xdr:to>
      <xdr:col>28</xdr:col>
      <xdr:colOff>125444</xdr:colOff>
      <xdr:row>19</xdr:row>
      <xdr:rowOff>1224642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1465" y="4572000"/>
          <a:ext cx="14698693" cy="100692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241402</xdr:colOff>
      <xdr:row>0</xdr:row>
      <xdr:rowOff>167772</xdr:rowOff>
    </xdr:from>
    <xdr:to>
      <xdr:col>33</xdr:col>
      <xdr:colOff>574180</xdr:colOff>
      <xdr:row>7</xdr:row>
      <xdr:rowOff>215396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2902" y="167772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9</xdr:col>
      <xdr:colOff>40822</xdr:colOff>
      <xdr:row>0</xdr:row>
      <xdr:rowOff>108857</xdr:rowOff>
    </xdr:from>
    <xdr:to>
      <xdr:col>15</xdr:col>
      <xdr:colOff>272142</xdr:colOff>
      <xdr:row>4</xdr:row>
      <xdr:rowOff>185047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5143" y="108857"/>
          <a:ext cx="3129642" cy="838190"/>
        </a:xfrm>
        <a:prstGeom prst="rect">
          <a:avLst/>
        </a:prstGeom>
      </xdr:spPr>
    </xdr:pic>
    <xdr:clientData/>
  </xdr:twoCellAnchor>
  <xdr:twoCellAnchor>
    <xdr:from>
      <xdr:col>6</xdr:col>
      <xdr:colOff>54426</xdr:colOff>
      <xdr:row>4</xdr:row>
      <xdr:rowOff>54430</xdr:rowOff>
    </xdr:from>
    <xdr:to>
      <xdr:col>19</xdr:col>
      <xdr:colOff>20940</xdr:colOff>
      <xdr:row>7</xdr:row>
      <xdr:rowOff>40823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551962" y="816430"/>
          <a:ext cx="629383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1</xdr:col>
      <xdr:colOff>217714</xdr:colOff>
      <xdr:row>1</xdr:row>
      <xdr:rowOff>98512</xdr:rowOff>
    </xdr:from>
    <xdr:to>
      <xdr:col>2</xdr:col>
      <xdr:colOff>503464</xdr:colOff>
      <xdr:row>7</xdr:row>
      <xdr:rowOff>136525</xdr:rowOff>
    </xdr:to>
    <xdr:pic>
      <xdr:nvPicPr>
        <xdr:cNvPr id="5" name="Imagen 4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514" y="289012"/>
          <a:ext cx="1181100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1360714</xdr:colOff>
      <xdr:row>27</xdr:row>
      <xdr:rowOff>163287</xdr:rowOff>
    </xdr:from>
    <xdr:to>
      <xdr:col>28</xdr:col>
      <xdr:colOff>98229</xdr:colOff>
      <xdr:row>27</xdr:row>
      <xdr:rowOff>1170215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0" y="7021287"/>
          <a:ext cx="14698693" cy="100692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336652</xdr:colOff>
      <xdr:row>1</xdr:row>
      <xdr:rowOff>4486</xdr:rowOff>
    </xdr:from>
    <xdr:to>
      <xdr:col>33</xdr:col>
      <xdr:colOff>574180</xdr:colOff>
      <xdr:row>7</xdr:row>
      <xdr:rowOff>242610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92295" y="194986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10</xdr:col>
      <xdr:colOff>81645</xdr:colOff>
      <xdr:row>0</xdr:row>
      <xdr:rowOff>81642</xdr:rowOff>
    </xdr:from>
    <xdr:to>
      <xdr:col>16</xdr:col>
      <xdr:colOff>122466</xdr:colOff>
      <xdr:row>4</xdr:row>
      <xdr:rowOff>157832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8288" y="81642"/>
          <a:ext cx="3129642" cy="83819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4</xdr:row>
      <xdr:rowOff>27217</xdr:rowOff>
    </xdr:from>
    <xdr:to>
      <xdr:col>19</xdr:col>
      <xdr:colOff>48156</xdr:colOff>
      <xdr:row>7</xdr:row>
      <xdr:rowOff>13610</xdr:rowOff>
    </xdr:to>
    <xdr:sp macro="" textlink="">
      <xdr:nvSpPr>
        <xdr:cNvPr id="6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8137071" y="789217"/>
          <a:ext cx="6198585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 GENERAL 2026</a:t>
          </a:r>
        </a:p>
      </xdr:txBody>
    </xdr:sp>
    <xdr:clientData/>
  </xdr:twoCellAnchor>
  <xdr:twoCellAnchor editAs="oneCell">
    <xdr:from>
      <xdr:col>0</xdr:col>
      <xdr:colOff>503465</xdr:colOff>
      <xdr:row>1</xdr:row>
      <xdr:rowOff>98512</xdr:rowOff>
    </xdr:from>
    <xdr:to>
      <xdr:col>2</xdr:col>
      <xdr:colOff>122466</xdr:colOff>
      <xdr:row>7</xdr:row>
      <xdr:rowOff>136525</xdr:rowOff>
    </xdr:to>
    <xdr:pic>
      <xdr:nvPicPr>
        <xdr:cNvPr id="7" name="Imagen 6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5" y="289012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24</xdr:row>
      <xdr:rowOff>176893</xdr:rowOff>
    </xdr:from>
    <xdr:to>
      <xdr:col>27</xdr:col>
      <xdr:colOff>275122</xdr:colOff>
      <xdr:row>24</xdr:row>
      <xdr:rowOff>1183821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09358" y="6096000"/>
          <a:ext cx="14698693" cy="100692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214186</xdr:colOff>
      <xdr:row>1</xdr:row>
      <xdr:rowOff>18093</xdr:rowOff>
    </xdr:from>
    <xdr:to>
      <xdr:col>33</xdr:col>
      <xdr:colOff>451714</xdr:colOff>
      <xdr:row>7</xdr:row>
      <xdr:rowOff>256217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74579" y="208593"/>
          <a:ext cx="1298885" cy="1381124"/>
        </a:xfrm>
        <a:prstGeom prst="rect">
          <a:avLst/>
        </a:prstGeom>
      </xdr:spPr>
    </xdr:pic>
    <xdr:clientData/>
  </xdr:twoCellAnchor>
  <xdr:twoCellAnchor editAs="oneCell">
    <xdr:from>
      <xdr:col>10</xdr:col>
      <xdr:colOff>136072</xdr:colOff>
      <xdr:row>0</xdr:row>
      <xdr:rowOff>68036</xdr:rowOff>
    </xdr:from>
    <xdr:to>
      <xdr:col>16</xdr:col>
      <xdr:colOff>81643</xdr:colOff>
      <xdr:row>4</xdr:row>
      <xdr:rowOff>144226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2215" y="68036"/>
          <a:ext cx="3129642" cy="838190"/>
        </a:xfrm>
        <a:prstGeom prst="rect">
          <a:avLst/>
        </a:prstGeom>
      </xdr:spPr>
    </xdr:pic>
    <xdr:clientData/>
  </xdr:twoCellAnchor>
  <xdr:twoCellAnchor>
    <xdr:from>
      <xdr:col>7</xdr:col>
      <xdr:colOff>126545</xdr:colOff>
      <xdr:row>4</xdr:row>
      <xdr:rowOff>13609</xdr:rowOff>
    </xdr:from>
    <xdr:to>
      <xdr:col>19</xdr:col>
      <xdr:colOff>61762</xdr:colOff>
      <xdr:row>7</xdr:row>
      <xdr:rowOff>2</xdr:rowOff>
    </xdr:to>
    <xdr:sp macro="" textlink="">
      <xdr:nvSpPr>
        <xdr:cNvPr id="6" name="Título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Grp="1"/>
        </xdr:cNvSpPr>
      </xdr:nvSpPr>
      <xdr:spPr>
        <a:xfrm>
          <a:off x="7950652" y="775609"/>
          <a:ext cx="6303360" cy="557893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ctr"/>
          <a:r>
            <a:rPr lang="es-419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CLASIFICACIÓN</a:t>
          </a:r>
          <a:r>
            <a:rPr lang="es-419" sz="3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GENERAL 2026</a:t>
          </a:r>
        </a:p>
      </xdr:txBody>
    </xdr:sp>
    <xdr:clientData/>
  </xdr:twoCellAnchor>
  <xdr:twoCellAnchor editAs="oneCell">
    <xdr:from>
      <xdr:col>0</xdr:col>
      <xdr:colOff>489857</xdr:colOff>
      <xdr:row>1</xdr:row>
      <xdr:rowOff>71297</xdr:rowOff>
    </xdr:from>
    <xdr:to>
      <xdr:col>2</xdr:col>
      <xdr:colOff>299358</xdr:colOff>
      <xdr:row>7</xdr:row>
      <xdr:rowOff>109310</xdr:rowOff>
    </xdr:to>
    <xdr:pic>
      <xdr:nvPicPr>
        <xdr:cNvPr id="7" name="Imagen 6" descr="LOGO VERTICAL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" y="261797"/>
          <a:ext cx="1183822" cy="118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176893</xdr:colOff>
      <xdr:row>39</xdr:row>
      <xdr:rowOff>176893</xdr:rowOff>
    </xdr:from>
    <xdr:to>
      <xdr:col>27</xdr:col>
      <xdr:colOff>356764</xdr:colOff>
      <xdr:row>39</xdr:row>
      <xdr:rowOff>1183821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5750" y="10790464"/>
          <a:ext cx="14698693" cy="1006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8:AM67"/>
  <sheetViews>
    <sheetView showGridLines="0" tabSelected="1" zoomScale="70" zoomScaleNormal="70" zoomScaleSheetLayoutView="70" workbookViewId="0">
      <selection activeCell="A55" sqref="A55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0.8554687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30.95" customHeight="1">
      <c r="A8" s="129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3">
        <v>1</v>
      </c>
      <c r="B15" s="3">
        <v>1</v>
      </c>
      <c r="C15" s="113">
        <v>3</v>
      </c>
      <c r="D15" s="23" t="s">
        <v>164</v>
      </c>
      <c r="E15" s="53" t="s">
        <v>561</v>
      </c>
      <c r="F15" s="26">
        <v>2</v>
      </c>
      <c r="G15" s="15">
        <v>20</v>
      </c>
      <c r="H15" s="3">
        <v>1</v>
      </c>
      <c r="I15" s="25">
        <v>200</v>
      </c>
      <c r="J15" s="33">
        <v>2</v>
      </c>
      <c r="K15" s="22">
        <v>20</v>
      </c>
      <c r="L15" s="22">
        <v>3</v>
      </c>
      <c r="M15" s="34">
        <v>120</v>
      </c>
      <c r="N15" s="26">
        <v>9</v>
      </c>
      <c r="O15" s="3">
        <f>IFERROR(VLOOKUP(N15,'Puntos XCC Mayor'!$A$1:$B$15,2,FALSE),0)</f>
        <v>7</v>
      </c>
      <c r="P15" s="3">
        <v>5</v>
      </c>
      <c r="Q15" s="34">
        <f>IFERROR(VLOOKUP(P15,'Puntos XCO'!$A$1:$B$63,2,FALSE),0)</f>
        <v>100</v>
      </c>
      <c r="R15" s="16">
        <v>2</v>
      </c>
      <c r="S15" s="15">
        <f>IFERROR(VLOOKUP(R15,'Puntos XCC Mayor'!$A$1:$B$15,2,FALSE),0)</f>
        <v>20</v>
      </c>
      <c r="T15" s="15">
        <v>1</v>
      </c>
      <c r="U15" s="25">
        <f>IFERROR(VLOOKUP(T15,'Puntos XCO'!$A$1:$B$63,2,FALSE),0)</f>
        <v>200</v>
      </c>
      <c r="V15" s="16">
        <v>2</v>
      </c>
      <c r="W15" s="15">
        <f>IFERROR(VLOOKUP(V15,'Puntos XCC Mayor'!$A$1:$B$15,2,FALSE),0)</f>
        <v>20</v>
      </c>
      <c r="X15" s="15">
        <v>2</v>
      </c>
      <c r="Y15" s="25">
        <f>IFERROR(VLOOKUP(X15,'Puntos XCO'!$A$1:$B$63,2,FALSE),0)</f>
        <v>150</v>
      </c>
      <c r="Z15" s="16">
        <f t="shared" ref="Z15:Z62" si="0">IFERROR(VLOOKUP($C15,RESXCC_1,9,FALSE),0)</f>
        <v>1</v>
      </c>
      <c r="AA15" s="15">
        <f>IFERROR(VLOOKUP(Z15,'Puntos XCC Mayor'!$A$1:$B$15,2,FALSE),0)</f>
        <v>25</v>
      </c>
      <c r="AB15" s="15">
        <f t="shared" ref="AB15:AB62" si="1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62" si="2">G15+I15+K15+M15+O15+Q15+S15+U15+W15+Y15+AA15+AC15+AE15+AG15</f>
        <v>1082</v>
      </c>
      <c r="AJ15" s="2"/>
      <c r="AK15" s="13"/>
      <c r="AL15" s="12"/>
      <c r="AM15" s="14"/>
    </row>
    <row r="16" spans="1:39" ht="24.95" customHeight="1">
      <c r="A16" s="3">
        <v>2</v>
      </c>
      <c r="B16" s="3">
        <v>2</v>
      </c>
      <c r="C16" s="113">
        <v>27</v>
      </c>
      <c r="D16" s="23" t="s">
        <v>175</v>
      </c>
      <c r="E16" s="53" t="s">
        <v>109</v>
      </c>
      <c r="F16" s="26">
        <v>10</v>
      </c>
      <c r="G16" s="15">
        <v>6</v>
      </c>
      <c r="H16" s="3">
        <v>4</v>
      </c>
      <c r="I16" s="25">
        <v>110</v>
      </c>
      <c r="J16" s="33">
        <v>12</v>
      </c>
      <c r="K16" s="22">
        <v>4</v>
      </c>
      <c r="L16" s="22">
        <v>7</v>
      </c>
      <c r="M16" s="34">
        <v>90</v>
      </c>
      <c r="N16" s="26">
        <v>15</v>
      </c>
      <c r="O16" s="3">
        <f>IFERROR(VLOOKUP(N16,'Puntos XCC Mayor'!$A$1:$B$15,2,FALSE),0)</f>
        <v>1</v>
      </c>
      <c r="P16" s="3">
        <v>3</v>
      </c>
      <c r="Q16" s="34">
        <f>IFERROR(VLOOKUP(P16,'Puntos XCO'!$A$1:$B$63,2,FALSE),0)</f>
        <v>120</v>
      </c>
      <c r="R16" s="16">
        <v>6</v>
      </c>
      <c r="S16" s="15">
        <f>IFERROR(VLOOKUP(R16,'Puntos XCC Mayor'!$A$1:$B$15,2,FALSE),0)</f>
        <v>10</v>
      </c>
      <c r="T16" s="15">
        <v>5</v>
      </c>
      <c r="U16" s="25">
        <f>IFERROR(VLOOKUP(T16,'Puntos XCO'!$A$1:$B$63,2,FALSE),0)</f>
        <v>100</v>
      </c>
      <c r="V16" s="16">
        <v>10</v>
      </c>
      <c r="W16" s="15">
        <f>IFERROR(VLOOKUP(V16,'Puntos XCC Mayor'!$A$1:$B$15,2,FALSE),0)</f>
        <v>6</v>
      </c>
      <c r="X16" s="15">
        <v>8</v>
      </c>
      <c r="Y16" s="25">
        <f>IFERROR(VLOOKUP(X16,'Puntos XCO'!$A$1:$B$63,2,FALSE),0)</f>
        <v>85</v>
      </c>
      <c r="Z16" s="16">
        <f t="shared" si="0"/>
        <v>5</v>
      </c>
      <c r="AA16" s="15">
        <f>IFERROR(VLOOKUP(Z16,'Puntos XCC Mayor'!$A$1:$B$15,2,FALSE),0)</f>
        <v>12</v>
      </c>
      <c r="AB16" s="15">
        <f t="shared" si="1"/>
        <v>4</v>
      </c>
      <c r="AC16" s="25">
        <f>IFERROR(VLOOKUP(AB16,'Puntos XCO'!$A$1:$B$63,2,FALSE),0)</f>
        <v>110</v>
      </c>
      <c r="AD16" s="16"/>
      <c r="AE16" s="15"/>
      <c r="AF16" s="15"/>
      <c r="AG16" s="25"/>
      <c r="AH16" s="27">
        <f t="shared" si="2"/>
        <v>654</v>
      </c>
      <c r="AJ16" s="2"/>
      <c r="AK16" s="13"/>
      <c r="AL16" s="12"/>
      <c r="AM16" s="14"/>
    </row>
    <row r="17" spans="1:39" ht="24.95" customHeight="1">
      <c r="A17" s="3">
        <v>3</v>
      </c>
      <c r="B17" s="3">
        <v>5</v>
      </c>
      <c r="C17" s="113">
        <v>25</v>
      </c>
      <c r="D17" s="23" t="s">
        <v>168</v>
      </c>
      <c r="E17" s="53" t="s">
        <v>109</v>
      </c>
      <c r="F17" s="26">
        <v>4</v>
      </c>
      <c r="G17" s="15">
        <v>14</v>
      </c>
      <c r="H17" s="3">
        <v>3</v>
      </c>
      <c r="I17" s="25">
        <v>120</v>
      </c>
      <c r="J17" s="33">
        <v>5</v>
      </c>
      <c r="K17" s="22">
        <v>12</v>
      </c>
      <c r="L17" s="22">
        <v>5</v>
      </c>
      <c r="M17" s="34">
        <v>100</v>
      </c>
      <c r="N17" s="26">
        <v>14</v>
      </c>
      <c r="O17" s="3">
        <f>IFERROR(VLOOKUP(N17,'Puntos XCC Mayor'!$A$1:$B$15,2,FALSE),0)</f>
        <v>2</v>
      </c>
      <c r="P17" s="3">
        <v>4</v>
      </c>
      <c r="Q17" s="34">
        <f>IFERROR(VLOOKUP(P17,'Puntos XCO'!$A$1:$B$63,2,FALSE),0)</f>
        <v>110</v>
      </c>
      <c r="R17" s="16">
        <v>5</v>
      </c>
      <c r="S17" s="15">
        <f>IFERROR(VLOOKUP(R17,'Puntos XCC Mayor'!$A$1:$B$15,2,FALSE),0)</f>
        <v>12</v>
      </c>
      <c r="T17" s="15">
        <v>0</v>
      </c>
      <c r="U17" s="25">
        <f>IFERROR(VLOOKUP(T17,'Puntos XCO'!$A$1:$B$63,2,FALSE),0)</f>
        <v>0</v>
      </c>
      <c r="V17" s="16">
        <v>5</v>
      </c>
      <c r="W17" s="15">
        <f>IFERROR(VLOOKUP(V17,'Puntos XCC Mayor'!$A$1:$B$15,2,FALSE),0)</f>
        <v>12</v>
      </c>
      <c r="X17" s="15">
        <v>5</v>
      </c>
      <c r="Y17" s="25">
        <f>IFERROR(VLOOKUP(X17,'Puntos XCO'!$A$1:$B$63,2,FALSE),0)</f>
        <v>100</v>
      </c>
      <c r="Z17" s="16">
        <f t="shared" si="0"/>
        <v>3</v>
      </c>
      <c r="AA17" s="15">
        <f>IFERROR(VLOOKUP(Z17,'Puntos XCC Mayor'!$A$1:$B$15,2,FALSE),0)</f>
        <v>16</v>
      </c>
      <c r="AB17" s="15">
        <f t="shared" si="1"/>
        <v>3</v>
      </c>
      <c r="AC17" s="25">
        <f>IFERROR(VLOOKUP(AB17,'Puntos XCO'!$A$1:$B$63,2,FALSE),0)</f>
        <v>120</v>
      </c>
      <c r="AD17" s="16"/>
      <c r="AE17" s="15"/>
      <c r="AF17" s="15"/>
      <c r="AG17" s="25"/>
      <c r="AH17" s="27">
        <f t="shared" si="2"/>
        <v>618</v>
      </c>
      <c r="AJ17" s="2"/>
      <c r="AK17" s="13"/>
      <c r="AL17" s="12"/>
      <c r="AM17" s="14"/>
    </row>
    <row r="18" spans="1:39" ht="24.95" customHeight="1">
      <c r="A18" s="3">
        <v>4</v>
      </c>
      <c r="B18" s="3">
        <v>4</v>
      </c>
      <c r="C18" s="113">
        <v>12</v>
      </c>
      <c r="D18" s="23" t="s">
        <v>138</v>
      </c>
      <c r="E18" s="53" t="s">
        <v>170</v>
      </c>
      <c r="F18" s="26">
        <v>6</v>
      </c>
      <c r="G18" s="15">
        <v>10</v>
      </c>
      <c r="H18" s="3">
        <v>10</v>
      </c>
      <c r="I18" s="25">
        <v>78</v>
      </c>
      <c r="J18" s="33">
        <v>1</v>
      </c>
      <c r="K18" s="22">
        <v>25</v>
      </c>
      <c r="L18" s="22">
        <v>6</v>
      </c>
      <c r="M18" s="34">
        <v>95</v>
      </c>
      <c r="N18" s="26"/>
      <c r="O18" s="3">
        <f>IFERROR(VLOOKUP(N18,'Puntos XCC Mayor'!$A$1:$B$15,2,FALSE),0)</f>
        <v>0</v>
      </c>
      <c r="P18" s="3">
        <v>11</v>
      </c>
      <c r="Q18" s="34">
        <f>IFERROR(VLOOKUP(P18,'Puntos XCO'!$A$1:$B$63,2,FALSE),0)</f>
        <v>76</v>
      </c>
      <c r="R18" s="16">
        <v>0</v>
      </c>
      <c r="S18" s="15">
        <f>IFERROR(VLOOKUP(R18,'Puntos XCC Mayor'!$A$1:$B$15,2,FALSE),0)</f>
        <v>0</v>
      </c>
      <c r="T18" s="15">
        <v>7</v>
      </c>
      <c r="U18" s="25">
        <f>IFERROR(VLOOKUP(T18,'Puntos XCO'!$A$1:$B$63,2,FALSE),0)</f>
        <v>90</v>
      </c>
      <c r="V18" s="16">
        <v>4</v>
      </c>
      <c r="W18" s="15">
        <f>IFERROR(VLOOKUP(V18,'Puntos XCC Mayor'!$A$1:$B$15,2,FALSE),0)</f>
        <v>14</v>
      </c>
      <c r="X18" s="15">
        <v>6</v>
      </c>
      <c r="Y18" s="25">
        <f>IFERROR(VLOOKUP(X18,'Puntos XCO'!$A$1:$B$63,2,FALSE),0)</f>
        <v>95</v>
      </c>
      <c r="Z18" s="16">
        <f t="shared" si="0"/>
        <v>4</v>
      </c>
      <c r="AA18" s="15">
        <f>IFERROR(VLOOKUP(Z18,'Puntos XCC Mayor'!$A$1:$B$15,2,FALSE),0)</f>
        <v>14</v>
      </c>
      <c r="AB18" s="15">
        <f t="shared" si="1"/>
        <v>5</v>
      </c>
      <c r="AC18" s="25">
        <f>IFERROR(VLOOKUP(AB18,'Puntos XCO'!$A$1:$B$63,2,FALSE),0)</f>
        <v>100</v>
      </c>
      <c r="AD18" s="16"/>
      <c r="AE18" s="15"/>
      <c r="AF18" s="15"/>
      <c r="AG18" s="25"/>
      <c r="AH18" s="27">
        <f t="shared" si="2"/>
        <v>597</v>
      </c>
      <c r="AJ18" s="2"/>
      <c r="AK18" s="13"/>
      <c r="AL18" s="12"/>
      <c r="AM18" s="14"/>
    </row>
    <row r="19" spans="1:39" ht="24.95" customHeight="1">
      <c r="A19" s="3">
        <v>5</v>
      </c>
      <c r="B19" s="3">
        <v>10</v>
      </c>
      <c r="C19" s="113">
        <v>26</v>
      </c>
      <c r="D19" s="23" t="s">
        <v>1000</v>
      </c>
      <c r="E19" s="53" t="s">
        <v>109</v>
      </c>
      <c r="F19" s="26"/>
      <c r="G19" s="15"/>
      <c r="H19" s="3"/>
      <c r="I19" s="25"/>
      <c r="J19" s="33">
        <v>11</v>
      </c>
      <c r="K19" s="22">
        <v>5</v>
      </c>
      <c r="L19" s="22">
        <v>9</v>
      </c>
      <c r="M19" s="34">
        <v>80</v>
      </c>
      <c r="N19" s="26">
        <v>21</v>
      </c>
      <c r="O19" s="3">
        <f>IFERROR(VLOOKUP(N19,'Puntos XCC Mayor'!$A$1:$B$15,2,FALSE),0)</f>
        <v>0</v>
      </c>
      <c r="P19" s="3">
        <v>10</v>
      </c>
      <c r="Q19" s="34">
        <f>IFERROR(VLOOKUP(P19,'Puntos XCO'!$A$1:$B$63,2,FALSE),0)</f>
        <v>78</v>
      </c>
      <c r="R19" s="16">
        <v>9</v>
      </c>
      <c r="S19" s="15">
        <f>IFERROR(VLOOKUP(R19,'Puntos XCC Mayor'!$A$1:$B$15,2,FALSE),0)</f>
        <v>7</v>
      </c>
      <c r="T19" s="15">
        <v>8</v>
      </c>
      <c r="U19" s="25">
        <f>IFERROR(VLOOKUP(T19,'Puntos XCO'!$A$1:$B$63,2,FALSE),0)</f>
        <v>85</v>
      </c>
      <c r="V19" s="16">
        <v>12</v>
      </c>
      <c r="W19" s="15">
        <f>IFERROR(VLOOKUP(V19,'Puntos XCC Mayor'!$A$1:$B$15,2,FALSE),0)</f>
        <v>4</v>
      </c>
      <c r="X19" s="15">
        <v>7</v>
      </c>
      <c r="Y19" s="25">
        <f>IFERROR(VLOOKUP(X19,'Puntos XCO'!$A$1:$B$63,2,FALSE),0)</f>
        <v>90</v>
      </c>
      <c r="Z19" s="16">
        <f t="shared" si="0"/>
        <v>2</v>
      </c>
      <c r="AA19" s="15">
        <f>IFERROR(VLOOKUP(Z19,'Puntos XCC Mayor'!$A$1:$B$15,2,FALSE),0)</f>
        <v>20</v>
      </c>
      <c r="AB19" s="15">
        <f t="shared" si="1"/>
        <v>2</v>
      </c>
      <c r="AC19" s="25">
        <f>IFERROR(VLOOKUP(AB19,'Puntos XCO'!$A$1:$B$63,2,FALSE),0)</f>
        <v>150</v>
      </c>
      <c r="AD19" s="16"/>
      <c r="AE19" s="15"/>
      <c r="AF19" s="15"/>
      <c r="AG19" s="25"/>
      <c r="AH19" s="27">
        <f t="shared" si="2"/>
        <v>519</v>
      </c>
      <c r="AJ19" s="2"/>
      <c r="AK19" s="13"/>
      <c r="AL19" s="12"/>
      <c r="AM19" s="14"/>
    </row>
    <row r="20" spans="1:39" ht="24.95" customHeight="1">
      <c r="A20" s="3">
        <v>6</v>
      </c>
      <c r="B20" s="3">
        <v>3</v>
      </c>
      <c r="C20" s="113">
        <v>28</v>
      </c>
      <c r="D20" s="23" t="s">
        <v>181</v>
      </c>
      <c r="E20" s="53" t="s">
        <v>100</v>
      </c>
      <c r="F20" s="26">
        <v>13</v>
      </c>
      <c r="G20" s="15">
        <v>3</v>
      </c>
      <c r="H20" s="3">
        <v>8</v>
      </c>
      <c r="I20" s="25">
        <v>85</v>
      </c>
      <c r="J20" s="33">
        <v>2</v>
      </c>
      <c r="K20" s="22">
        <v>20</v>
      </c>
      <c r="L20" s="22">
        <v>11</v>
      </c>
      <c r="M20" s="34">
        <v>76</v>
      </c>
      <c r="N20" s="26">
        <v>16</v>
      </c>
      <c r="O20" s="3">
        <f>IFERROR(VLOOKUP(N20,'Puntos XCC Mayor'!$A$1:$B$15,2,FALSE),0)</f>
        <v>0</v>
      </c>
      <c r="P20" s="3">
        <v>6</v>
      </c>
      <c r="Q20" s="34">
        <f>IFERROR(VLOOKUP(P20,'Puntos XCO'!$A$1:$B$63,2,FALSE),0)</f>
        <v>95</v>
      </c>
      <c r="R20" s="16">
        <v>4</v>
      </c>
      <c r="S20" s="15">
        <f>IFERROR(VLOOKUP(R20,'Puntos XCC Mayor'!$A$1:$B$15,2,FALSE),0)</f>
        <v>14</v>
      </c>
      <c r="T20" s="15">
        <v>4</v>
      </c>
      <c r="U20" s="25">
        <f>IFERROR(VLOOKUP(T20,'Puntos XCO'!$A$1:$B$63,2,FALSE),0)</f>
        <v>110</v>
      </c>
      <c r="V20" s="16">
        <v>6</v>
      </c>
      <c r="W20" s="15">
        <f>IFERROR(VLOOKUP(V20,'Puntos XCC Mayor'!$A$1:$B$15,2,FALSE),0)</f>
        <v>10</v>
      </c>
      <c r="X20" s="15">
        <v>12</v>
      </c>
      <c r="Y20" s="25">
        <f>IFERROR(VLOOKUP(X20,'Puntos XCO'!$A$1:$B$63,2,FALSE),0)</f>
        <v>74</v>
      </c>
      <c r="Z20" s="16">
        <f t="shared" si="0"/>
        <v>0</v>
      </c>
      <c r="AA20" s="15">
        <f>IFERROR(VLOOKUP(Z20,'Puntos XCC Mayor'!$A$1:$B$15,2,FALSE),0)</f>
        <v>0</v>
      </c>
      <c r="AB20" s="15">
        <f t="shared" si="1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2"/>
        <v>487</v>
      </c>
      <c r="AJ20" s="2"/>
      <c r="AK20" s="13"/>
      <c r="AL20" s="12"/>
      <c r="AM20" s="14"/>
    </row>
    <row r="21" spans="1:39" ht="24.95" customHeight="1">
      <c r="A21" s="3">
        <v>7</v>
      </c>
      <c r="B21" s="3">
        <v>6</v>
      </c>
      <c r="C21" s="113">
        <v>4</v>
      </c>
      <c r="D21" s="23" t="s">
        <v>985</v>
      </c>
      <c r="E21" s="53" t="s">
        <v>170</v>
      </c>
      <c r="F21" s="26"/>
      <c r="G21" s="15"/>
      <c r="H21" s="3"/>
      <c r="I21" s="25"/>
      <c r="J21" s="33">
        <v>1</v>
      </c>
      <c r="K21" s="22">
        <v>25</v>
      </c>
      <c r="L21" s="22">
        <v>1</v>
      </c>
      <c r="M21" s="34">
        <v>200</v>
      </c>
      <c r="N21" s="26">
        <v>4</v>
      </c>
      <c r="O21" s="3">
        <f>IFERROR(VLOOKUP(N21,'Puntos XCC Mayor'!$A$1:$B$15,2,FALSE),0)</f>
        <v>14</v>
      </c>
      <c r="P21" s="3"/>
      <c r="Q21" s="34">
        <f>IFERROR(VLOOKUP(P21,'Puntos XCO'!$A$1:$B$63,2,FALSE),0)</f>
        <v>0</v>
      </c>
      <c r="R21" s="16">
        <v>1</v>
      </c>
      <c r="S21" s="15">
        <f>IFERROR(VLOOKUP(R21,'Puntos XCC Mayor'!$A$1:$B$15,2,FALSE),0)</f>
        <v>25</v>
      </c>
      <c r="T21" s="15">
        <v>2</v>
      </c>
      <c r="U21" s="25">
        <f>IFERROR(VLOOKUP(T21,'Puntos XCO'!$A$1:$B$63,2,FALSE),0)</f>
        <v>150</v>
      </c>
      <c r="V21" s="16">
        <v>0</v>
      </c>
      <c r="W21" s="15">
        <f>IFERROR(VLOOKUP(V21,'Puntos XCC Mayor'!$A$1:$B$15,2,FALSE),0)</f>
        <v>0</v>
      </c>
      <c r="X21" s="15">
        <v>0</v>
      </c>
      <c r="Y21" s="25">
        <f>IFERROR(VLOOKUP(X21,'Puntos XCO'!$A$1:$B$63,2,FALSE),0)</f>
        <v>0</v>
      </c>
      <c r="Z21" s="16">
        <f t="shared" si="0"/>
        <v>0</v>
      </c>
      <c r="AA21" s="15">
        <f>IFERROR(VLOOKUP(Z21,'Puntos XCC Mayor'!$A$1:$B$15,2,FALSE),0)</f>
        <v>0</v>
      </c>
      <c r="AB21" s="15">
        <f t="shared" si="1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2"/>
        <v>414</v>
      </c>
      <c r="AJ21" s="2"/>
      <c r="AK21" s="13"/>
      <c r="AL21" s="12"/>
      <c r="AM21" s="14"/>
    </row>
    <row r="22" spans="1:39" ht="24.95" customHeight="1">
      <c r="A22" s="3">
        <v>8</v>
      </c>
      <c r="B22" s="3">
        <v>12</v>
      </c>
      <c r="C22" s="113">
        <v>37</v>
      </c>
      <c r="D22" s="23" t="s">
        <v>187</v>
      </c>
      <c r="E22" s="53" t="s">
        <v>572</v>
      </c>
      <c r="F22" s="26">
        <v>15</v>
      </c>
      <c r="G22" s="15">
        <v>1</v>
      </c>
      <c r="H22" s="3">
        <v>14</v>
      </c>
      <c r="I22" s="25">
        <v>70</v>
      </c>
      <c r="J22" s="33">
        <v>13</v>
      </c>
      <c r="K22" s="22">
        <v>3</v>
      </c>
      <c r="L22" s="22">
        <v>17</v>
      </c>
      <c r="M22" s="34">
        <v>64</v>
      </c>
      <c r="N22" s="26"/>
      <c r="O22" s="3">
        <f>IFERROR(VLOOKUP(N22,'Puntos XCC Mayor'!$A$1:$B$15,2,FALSE),0)</f>
        <v>0</v>
      </c>
      <c r="P22" s="3"/>
      <c r="Q22" s="34">
        <f>IFERROR(VLOOKUP(P22,'Puntos XCO'!$A$1:$B$63,2,FALSE),0)</f>
        <v>0</v>
      </c>
      <c r="R22" s="16">
        <v>10</v>
      </c>
      <c r="S22" s="15">
        <f>IFERROR(VLOOKUP(R22,'Puntos XCC Mayor'!$A$1:$B$15,2,FALSE),0)</f>
        <v>6</v>
      </c>
      <c r="T22" s="15">
        <v>9</v>
      </c>
      <c r="U22" s="25">
        <f>IFERROR(VLOOKUP(T22,'Puntos XCO'!$A$1:$B$63,2,FALSE),0)</f>
        <v>80</v>
      </c>
      <c r="V22" s="16">
        <v>8</v>
      </c>
      <c r="W22" s="15">
        <f>IFERROR(VLOOKUP(V22,'Puntos XCC Mayor'!$A$1:$B$15,2,FALSE),0)</f>
        <v>8</v>
      </c>
      <c r="X22" s="15">
        <v>14</v>
      </c>
      <c r="Y22" s="25">
        <f>IFERROR(VLOOKUP(X22,'Puntos XCO'!$A$1:$B$63,2,FALSE),0)</f>
        <v>70</v>
      </c>
      <c r="Z22" s="16">
        <f t="shared" si="0"/>
        <v>7</v>
      </c>
      <c r="AA22" s="15">
        <f>IFERROR(VLOOKUP(Z22,'Puntos XCC Mayor'!$A$1:$B$15,2,FALSE),0)</f>
        <v>9</v>
      </c>
      <c r="AB22" s="15">
        <f t="shared" si="1"/>
        <v>7</v>
      </c>
      <c r="AC22" s="25">
        <f>IFERROR(VLOOKUP(AB22,'Puntos XCO'!$A$1:$B$63,2,FALSE),0)</f>
        <v>90</v>
      </c>
      <c r="AD22" s="16"/>
      <c r="AE22" s="15"/>
      <c r="AF22" s="15"/>
      <c r="AG22" s="25"/>
      <c r="AH22" s="27">
        <f t="shared" si="2"/>
        <v>401</v>
      </c>
      <c r="AJ22" s="2"/>
      <c r="AK22" s="13"/>
      <c r="AL22" s="12"/>
      <c r="AM22" s="14"/>
    </row>
    <row r="23" spans="1:39" ht="24.95" customHeight="1">
      <c r="A23" s="3">
        <v>9</v>
      </c>
      <c r="B23" s="3">
        <v>7</v>
      </c>
      <c r="C23" s="113">
        <v>9</v>
      </c>
      <c r="D23" s="23" t="s">
        <v>106</v>
      </c>
      <c r="E23" s="53" t="s">
        <v>989</v>
      </c>
      <c r="F23" s="26">
        <v>5</v>
      </c>
      <c r="G23" s="15">
        <v>12</v>
      </c>
      <c r="H23" s="3">
        <v>2</v>
      </c>
      <c r="I23" s="25">
        <v>150</v>
      </c>
      <c r="J23" s="33">
        <v>4</v>
      </c>
      <c r="K23" s="22">
        <v>14</v>
      </c>
      <c r="L23" s="22">
        <v>4</v>
      </c>
      <c r="M23" s="34">
        <v>110</v>
      </c>
      <c r="N23" s="26">
        <v>6</v>
      </c>
      <c r="O23" s="3">
        <f>IFERROR(VLOOKUP(N23,'Puntos XCC Mayor'!$A$1:$B$15,2,FALSE),0)</f>
        <v>10</v>
      </c>
      <c r="P23" s="3">
        <v>6</v>
      </c>
      <c r="Q23" s="34">
        <f>IFERROR(VLOOKUP(P23,'Puntos XCO'!$A$1:$B$63,2,FALSE),0)</f>
        <v>95</v>
      </c>
      <c r="R23" s="16">
        <v>0</v>
      </c>
      <c r="S23" s="15">
        <f>IFERROR(VLOOKUP(R23,'Puntos XCC Mayor'!$A$1:$B$15,2,FALSE),0)</f>
        <v>0</v>
      </c>
      <c r="T23" s="15">
        <v>0</v>
      </c>
      <c r="U23" s="25">
        <f>IFERROR(VLOOKUP(T23,'Puntos XCO'!$A$1:$B$63,2,FALSE),0)</f>
        <v>0</v>
      </c>
      <c r="V23" s="16">
        <v>0</v>
      </c>
      <c r="W23" s="15">
        <f>IFERROR(VLOOKUP(V23,'Puntos XCC Mayor'!$A$1:$B$15,2,FALSE),0)</f>
        <v>0</v>
      </c>
      <c r="X23" s="15">
        <v>0</v>
      </c>
      <c r="Y23" s="25">
        <f>IFERROR(VLOOKUP(X23,'Puntos XCO'!$A$1:$B$63,2,FALSE),0)</f>
        <v>0</v>
      </c>
      <c r="Z23" s="16">
        <f t="shared" si="0"/>
        <v>0</v>
      </c>
      <c r="AA23" s="15">
        <f>IFERROR(VLOOKUP(Z23,'Puntos XCC Mayor'!$A$1:$B$15,2,FALSE),0)</f>
        <v>0</v>
      </c>
      <c r="AB23" s="15">
        <f t="shared" si="1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2"/>
        <v>391</v>
      </c>
      <c r="AJ23" s="2"/>
      <c r="AK23" s="13"/>
      <c r="AL23" s="12"/>
      <c r="AM23" s="14"/>
    </row>
    <row r="24" spans="1:39" ht="24.95" customHeight="1">
      <c r="A24" s="3">
        <v>10</v>
      </c>
      <c r="B24" s="3">
        <v>8</v>
      </c>
      <c r="C24" s="113">
        <v>13</v>
      </c>
      <c r="D24" s="23" t="s">
        <v>992</v>
      </c>
      <c r="E24" s="53" t="s">
        <v>993</v>
      </c>
      <c r="F24" s="26"/>
      <c r="G24" s="15"/>
      <c r="H24" s="3"/>
      <c r="I24" s="25"/>
      <c r="J24" s="33"/>
      <c r="K24" s="22"/>
      <c r="L24" s="22"/>
      <c r="M24" s="34"/>
      <c r="N24" s="26">
        <v>5</v>
      </c>
      <c r="O24" s="3">
        <f>IFERROR(VLOOKUP(N24,'Puntos XCC Mayor'!$A$1:$B$15,2,FALSE),0)</f>
        <v>12</v>
      </c>
      <c r="P24" s="3"/>
      <c r="Q24" s="34">
        <f>IFERROR(VLOOKUP(P24,'Puntos XCO'!$A$1:$B$63,2,FALSE),0)</f>
        <v>0</v>
      </c>
      <c r="R24" s="16">
        <v>3</v>
      </c>
      <c r="S24" s="15">
        <f>IFERROR(VLOOKUP(R24,'Puntos XCC Mayor'!$A$1:$B$15,2,FALSE),0)</f>
        <v>16</v>
      </c>
      <c r="T24" s="15">
        <v>3</v>
      </c>
      <c r="U24" s="25">
        <f>IFERROR(VLOOKUP(T24,'Puntos XCO'!$A$1:$B$63,2,FALSE),0)</f>
        <v>120</v>
      </c>
      <c r="V24" s="16">
        <v>1</v>
      </c>
      <c r="W24" s="15">
        <f>IFERROR(VLOOKUP(V24,'Puntos XCC Mayor'!$A$1:$B$15,2,FALSE),0)</f>
        <v>25</v>
      </c>
      <c r="X24" s="15">
        <v>1</v>
      </c>
      <c r="Y24" s="25">
        <f>IFERROR(VLOOKUP(X24,'Puntos XCO'!$A$1:$B$63,2,FALSE),0)</f>
        <v>200</v>
      </c>
      <c r="Z24" s="16">
        <f t="shared" si="0"/>
        <v>0</v>
      </c>
      <c r="AA24" s="15">
        <f>IFERROR(VLOOKUP(Z24,'Puntos XCC Mayor'!$A$1:$B$15,2,FALSE),0)</f>
        <v>0</v>
      </c>
      <c r="AB24" s="15">
        <f t="shared" si="1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2"/>
        <v>373</v>
      </c>
      <c r="AJ24" s="2"/>
      <c r="AK24" s="13"/>
      <c r="AL24" s="12"/>
      <c r="AM24" s="14"/>
    </row>
    <row r="25" spans="1:39" ht="24.95" customHeight="1">
      <c r="A25" s="3">
        <v>11</v>
      </c>
      <c r="B25" s="3">
        <v>9</v>
      </c>
      <c r="C25" s="113">
        <v>10</v>
      </c>
      <c r="D25" s="23" t="s">
        <v>169</v>
      </c>
      <c r="E25" s="53" t="s">
        <v>110</v>
      </c>
      <c r="F25" s="26">
        <v>14</v>
      </c>
      <c r="G25" s="15">
        <v>2</v>
      </c>
      <c r="H25" s="3">
        <v>6</v>
      </c>
      <c r="I25" s="25">
        <v>95</v>
      </c>
      <c r="J25" s="33">
        <v>0</v>
      </c>
      <c r="K25" s="22" t="s">
        <v>861</v>
      </c>
      <c r="L25" s="22">
        <v>10</v>
      </c>
      <c r="M25" s="34">
        <v>78</v>
      </c>
      <c r="N25" s="26">
        <v>25</v>
      </c>
      <c r="O25" s="3">
        <f>IFERROR(VLOOKUP(N25,'Puntos XCC Mayor'!$A$1:$B$15,2,FALSE),0)</f>
        <v>0</v>
      </c>
      <c r="P25" s="3">
        <v>10</v>
      </c>
      <c r="Q25" s="34">
        <f>IFERROR(VLOOKUP(P25,'Puntos XCO'!$A$1:$B$63,2,FALSE),0)</f>
        <v>78</v>
      </c>
      <c r="R25" s="16">
        <v>7</v>
      </c>
      <c r="S25" s="15">
        <f>IFERROR(VLOOKUP(R25,'Puntos XCC Mayor'!$A$1:$B$15,2,FALSE),0)</f>
        <v>9</v>
      </c>
      <c r="T25" s="15">
        <v>6</v>
      </c>
      <c r="U25" s="25">
        <f>IFERROR(VLOOKUP(T25,'Puntos XCO'!$A$1:$B$63,2,FALSE),0)</f>
        <v>95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0"/>
        <v>0</v>
      </c>
      <c r="AA25" s="15">
        <f>IFERROR(VLOOKUP(Z25,'Puntos XCC Mayor'!$A$1:$B$15,2,FALSE),0)</f>
        <v>0</v>
      </c>
      <c r="AB25" s="15">
        <f t="shared" si="1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2"/>
        <v>357</v>
      </c>
      <c r="AJ25" s="2"/>
      <c r="AK25" s="13"/>
      <c r="AL25" s="12"/>
      <c r="AM25" s="14"/>
    </row>
    <row r="26" spans="1:39" ht="24.95" customHeight="1">
      <c r="A26" s="3">
        <v>12</v>
      </c>
      <c r="B26" s="3">
        <v>14</v>
      </c>
      <c r="C26" s="113">
        <v>30</v>
      </c>
      <c r="D26" s="23" t="s">
        <v>171</v>
      </c>
      <c r="E26" s="53" t="s">
        <v>85</v>
      </c>
      <c r="F26" s="26">
        <v>9</v>
      </c>
      <c r="G26" s="15">
        <v>7</v>
      </c>
      <c r="H26" s="3">
        <v>11</v>
      </c>
      <c r="I26" s="25">
        <v>76</v>
      </c>
      <c r="J26" s="33">
        <v>0</v>
      </c>
      <c r="K26" s="22" t="s">
        <v>861</v>
      </c>
      <c r="L26" s="22">
        <v>13</v>
      </c>
      <c r="M26" s="34">
        <v>72</v>
      </c>
      <c r="N26" s="26">
        <v>18</v>
      </c>
      <c r="O26" s="3">
        <f>IFERROR(VLOOKUP(N26,'Puntos XCC Mayor'!$A$1:$B$15,2,FALSE),0)</f>
        <v>0</v>
      </c>
      <c r="P26" s="3"/>
      <c r="Q26" s="34">
        <f>IFERROR(VLOOKUP(P26,'Puntos XCO'!$A$1:$B$63,2,FALSE),0)</f>
        <v>0</v>
      </c>
      <c r="R26" s="16">
        <v>11</v>
      </c>
      <c r="S26" s="15">
        <f>IFERROR(VLOOKUP(R26,'Puntos XCC Mayor'!$A$1:$B$15,2,FALSE),0)</f>
        <v>5</v>
      </c>
      <c r="T26" s="15">
        <v>0</v>
      </c>
      <c r="U26" s="25">
        <f>IFERROR(VLOOKUP(T26,'Puntos XCO'!$A$1:$B$63,2,FALSE),0)</f>
        <v>0</v>
      </c>
      <c r="V26" s="16">
        <v>13</v>
      </c>
      <c r="W26" s="15">
        <f>IFERROR(VLOOKUP(V26,'Puntos XCC Mayor'!$A$1:$B$15,2,FALSE),0)</f>
        <v>3</v>
      </c>
      <c r="X26" s="15">
        <v>9</v>
      </c>
      <c r="Y26" s="25">
        <f>IFERROR(VLOOKUP(X26,'Puntos XCO'!$A$1:$B$63,2,FALSE),0)</f>
        <v>80</v>
      </c>
      <c r="Z26" s="16">
        <f t="shared" si="0"/>
        <v>6</v>
      </c>
      <c r="AA26" s="15">
        <f>IFERROR(VLOOKUP(Z26,'Puntos XCC Mayor'!$A$1:$B$15,2,FALSE),0)</f>
        <v>10</v>
      </c>
      <c r="AB26" s="15">
        <f t="shared" si="1"/>
        <v>10</v>
      </c>
      <c r="AC26" s="25">
        <f>IFERROR(VLOOKUP(AB26,'Puntos XCO'!$A$1:$B$63,2,FALSE),0)</f>
        <v>78</v>
      </c>
      <c r="AD26" s="16"/>
      <c r="AE26" s="15"/>
      <c r="AF26" s="15"/>
      <c r="AG26" s="25"/>
      <c r="AH26" s="27">
        <f t="shared" si="2"/>
        <v>331</v>
      </c>
      <c r="AJ26" s="2"/>
      <c r="AK26" s="13"/>
      <c r="AL26" s="12"/>
      <c r="AM26" s="14"/>
    </row>
    <row r="27" spans="1:39" ht="24.95" customHeight="1">
      <c r="A27" s="3">
        <v>13</v>
      </c>
      <c r="B27" s="3">
        <v>11</v>
      </c>
      <c r="C27" s="113">
        <v>29</v>
      </c>
      <c r="D27" s="23" t="s">
        <v>1001</v>
      </c>
      <c r="E27" s="53" t="s">
        <v>100</v>
      </c>
      <c r="F27" s="26">
        <v>7</v>
      </c>
      <c r="G27" s="15">
        <v>9</v>
      </c>
      <c r="H27" s="3">
        <v>12</v>
      </c>
      <c r="I27" s="25">
        <v>74</v>
      </c>
      <c r="J27" s="33">
        <v>10</v>
      </c>
      <c r="K27" s="22">
        <v>6</v>
      </c>
      <c r="L27" s="22">
        <v>12</v>
      </c>
      <c r="M27" s="34">
        <v>74</v>
      </c>
      <c r="N27" s="26">
        <v>23</v>
      </c>
      <c r="O27" s="3">
        <f>IFERROR(VLOOKUP(N27,'Puntos XCC Mayor'!$A$1:$B$15,2,FALSE),0)</f>
        <v>0</v>
      </c>
      <c r="P27" s="3">
        <v>11</v>
      </c>
      <c r="Q27" s="34">
        <f>IFERROR(VLOOKUP(P27,'Puntos XCO'!$A$1:$B$63,2,FALSE),0)</f>
        <v>76</v>
      </c>
      <c r="R27" s="16">
        <v>8</v>
      </c>
      <c r="S27" s="15">
        <f>IFERROR(VLOOKUP(R27,'Puntos XCC Mayor'!$A$1:$B$15,2,FALSE),0)</f>
        <v>8</v>
      </c>
      <c r="T27" s="15">
        <v>0</v>
      </c>
      <c r="U27" s="25">
        <f>IFERROR(VLOOKUP(T27,'Puntos XCO'!$A$1:$B$63,2,FALSE),0)</f>
        <v>0</v>
      </c>
      <c r="V27" s="16">
        <v>7</v>
      </c>
      <c r="W27" s="15">
        <f>IFERROR(VLOOKUP(V27,'Puntos XCC Mayor'!$A$1:$B$15,2,FALSE),0)</f>
        <v>9</v>
      </c>
      <c r="X27" s="15">
        <v>13</v>
      </c>
      <c r="Y27" s="25">
        <f>IFERROR(VLOOKUP(X27,'Puntos XCO'!$A$1:$B$63,2,FALSE),0)</f>
        <v>72</v>
      </c>
      <c r="Z27" s="16">
        <f t="shared" si="0"/>
        <v>0</v>
      </c>
      <c r="AA27" s="15">
        <f>IFERROR(VLOOKUP(Z27,'Puntos XCC Mayor'!$A$1:$B$15,2,FALSE),0)</f>
        <v>0</v>
      </c>
      <c r="AB27" s="15">
        <f t="shared" si="1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2"/>
        <v>328</v>
      </c>
      <c r="AJ27" s="2"/>
      <c r="AK27" s="13"/>
      <c r="AL27" s="12"/>
      <c r="AM27" s="14"/>
    </row>
    <row r="28" spans="1:39" ht="24.95" customHeight="1">
      <c r="A28" s="3">
        <v>14</v>
      </c>
      <c r="B28" s="3">
        <v>13</v>
      </c>
      <c r="C28" s="113">
        <v>23</v>
      </c>
      <c r="D28" s="23" t="s">
        <v>166</v>
      </c>
      <c r="E28" s="53" t="s">
        <v>100</v>
      </c>
      <c r="F28" s="26">
        <v>1</v>
      </c>
      <c r="G28" s="15">
        <v>25</v>
      </c>
      <c r="H28" s="3">
        <v>5</v>
      </c>
      <c r="I28" s="25">
        <v>100</v>
      </c>
      <c r="J28" s="33">
        <v>3</v>
      </c>
      <c r="K28" s="22">
        <v>16</v>
      </c>
      <c r="L28" s="22">
        <v>0</v>
      </c>
      <c r="M28" s="34">
        <v>0</v>
      </c>
      <c r="N28" s="26">
        <v>11</v>
      </c>
      <c r="O28" s="3">
        <f>IFERROR(VLOOKUP(N28,'Puntos XCC Mayor'!$A$1:$B$15,2,FALSE),0)</f>
        <v>5</v>
      </c>
      <c r="P28" s="3"/>
      <c r="Q28" s="34">
        <f>IFERROR(VLOOKUP(P28,'Puntos XCO'!$A$1:$B$63,2,FALSE),0)</f>
        <v>0</v>
      </c>
      <c r="R28" s="16">
        <v>0</v>
      </c>
      <c r="S28" s="15">
        <f>IFERROR(VLOOKUP(R28,'Puntos XCC Mayor'!$A$1:$B$15,2,FALSE),0)</f>
        <v>0</v>
      </c>
      <c r="T28" s="15">
        <v>0</v>
      </c>
      <c r="U28" s="25">
        <f>IFERROR(VLOOKUP(T28,'Puntos XCO'!$A$1:$B$63,2,FALSE),0)</f>
        <v>0</v>
      </c>
      <c r="V28" s="16">
        <v>3</v>
      </c>
      <c r="W28" s="15">
        <f>IFERROR(VLOOKUP(V28,'Puntos XCC Mayor'!$A$1:$B$15,2,FALSE),0)</f>
        <v>16</v>
      </c>
      <c r="X28" s="15">
        <v>4</v>
      </c>
      <c r="Y28" s="25">
        <f>IFERROR(VLOOKUP(X28,'Puntos XCO'!$A$1:$B$63,2,FALSE),0)</f>
        <v>110</v>
      </c>
      <c r="Z28" s="16">
        <f t="shared" si="0"/>
        <v>0</v>
      </c>
      <c r="AA28" s="15">
        <f>IFERROR(VLOOKUP(Z28,'Puntos XCC Mayor'!$A$1:$B$15,2,FALSE),0)</f>
        <v>0</v>
      </c>
      <c r="AB28" s="15">
        <f t="shared" si="1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2"/>
        <v>272</v>
      </c>
      <c r="AJ28" s="3"/>
      <c r="AM28" s="29"/>
    </row>
    <row r="29" spans="1:39" ht="24.95" customHeight="1">
      <c r="A29" s="3">
        <v>15</v>
      </c>
      <c r="B29" s="3">
        <v>24</v>
      </c>
      <c r="C29" s="113">
        <v>32</v>
      </c>
      <c r="D29" s="23" t="s">
        <v>177</v>
      </c>
      <c r="E29" s="53" t="s">
        <v>1003</v>
      </c>
      <c r="F29" s="26">
        <v>16</v>
      </c>
      <c r="G29" s="15">
        <v>0</v>
      </c>
      <c r="H29" s="3">
        <v>16</v>
      </c>
      <c r="I29" s="25">
        <v>66</v>
      </c>
      <c r="J29" s="33">
        <v>0</v>
      </c>
      <c r="K29" s="22" t="s">
        <v>861</v>
      </c>
      <c r="L29" s="22">
        <v>0</v>
      </c>
      <c r="M29" s="34">
        <v>0</v>
      </c>
      <c r="N29" s="26">
        <v>27</v>
      </c>
      <c r="O29" s="3">
        <f>IFERROR(VLOOKUP(N29,'Puntos XCC Mayor'!$A$1:$B$15,2,FALSE),0)</f>
        <v>0</v>
      </c>
      <c r="P29" s="3">
        <v>12</v>
      </c>
      <c r="Q29" s="34">
        <f>IFERROR(VLOOKUP(P29,'Puntos XCO'!$A$1:$B$63,2,FALSE),0)</f>
        <v>74</v>
      </c>
      <c r="R29" s="16">
        <v>0</v>
      </c>
      <c r="S29" s="15">
        <f>IFERROR(VLOOKUP(R29,'Puntos XCC Mayor'!$A$1:$B$15,2,FALSE),0)</f>
        <v>0</v>
      </c>
      <c r="T29" s="15">
        <v>0</v>
      </c>
      <c r="U29" s="25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0"/>
        <v>10</v>
      </c>
      <c r="AA29" s="15">
        <f>IFERROR(VLOOKUP(Z29,'Puntos XCC Mayor'!$A$1:$B$15,2,FALSE),0)</f>
        <v>6</v>
      </c>
      <c r="AB29" s="15">
        <f t="shared" si="1"/>
        <v>9</v>
      </c>
      <c r="AC29" s="25">
        <f>IFERROR(VLOOKUP(AB29,'Puntos XCO'!$A$1:$B$63,2,FALSE),0)</f>
        <v>80</v>
      </c>
      <c r="AD29" s="16"/>
      <c r="AE29" s="15"/>
      <c r="AF29" s="15"/>
      <c r="AG29" s="25"/>
      <c r="AH29" s="27">
        <f t="shared" si="2"/>
        <v>226</v>
      </c>
      <c r="AJ29" s="3"/>
    </row>
    <row r="30" spans="1:39" ht="24.95" customHeight="1">
      <c r="A30" s="3">
        <v>16</v>
      </c>
      <c r="B30" s="3">
        <v>15</v>
      </c>
      <c r="C30" s="113">
        <v>1</v>
      </c>
      <c r="D30" s="23" t="s">
        <v>979</v>
      </c>
      <c r="E30" s="53" t="s">
        <v>980</v>
      </c>
      <c r="F30" s="26"/>
      <c r="G30" s="15"/>
      <c r="H30" s="3"/>
      <c r="I30" s="25"/>
      <c r="J30" s="33"/>
      <c r="K30" s="22"/>
      <c r="L30" s="22"/>
      <c r="M30" s="34"/>
      <c r="N30" s="26">
        <v>1</v>
      </c>
      <c r="O30" s="3">
        <f>IFERROR(VLOOKUP(N30,'Puntos XCC Mayor'!$A$1:$B$15,2,FALSE),0)</f>
        <v>25</v>
      </c>
      <c r="P30" s="3">
        <v>1</v>
      </c>
      <c r="Q30" s="34">
        <f>IFERROR(VLOOKUP(P30,'Puntos XCO'!$A$1:$B$63,2,FALSE),0)</f>
        <v>200</v>
      </c>
      <c r="R30" s="16">
        <v>0</v>
      </c>
      <c r="S30" s="15">
        <f>IFERROR(VLOOKUP(R30,'Puntos XCC Mayor'!$A$1:$B$15,2,FALSE),0)</f>
        <v>0</v>
      </c>
      <c r="T30" s="15">
        <v>0</v>
      </c>
      <c r="U30" s="25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0"/>
        <v>0</v>
      </c>
      <c r="AA30" s="15">
        <f>IFERROR(VLOOKUP(Z30,'Puntos XCC Mayor'!$A$1:$B$15,2,FALSE),0)</f>
        <v>0</v>
      </c>
      <c r="AB30" s="15">
        <f t="shared" si="1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2"/>
        <v>225</v>
      </c>
      <c r="AJ30" s="3"/>
    </row>
    <row r="31" spans="1:39" ht="24.95" customHeight="1">
      <c r="A31" s="3">
        <v>17</v>
      </c>
      <c r="B31" s="3">
        <v>16</v>
      </c>
      <c r="C31" s="113">
        <v>7</v>
      </c>
      <c r="D31" s="23" t="s">
        <v>988</v>
      </c>
      <c r="E31" s="53" t="s">
        <v>109</v>
      </c>
      <c r="F31" s="26"/>
      <c r="G31" s="15"/>
      <c r="H31" s="3"/>
      <c r="I31" s="25"/>
      <c r="J31" s="33"/>
      <c r="K31" s="22"/>
      <c r="L31" s="22"/>
      <c r="M31" s="34"/>
      <c r="N31" s="26"/>
      <c r="O31" s="3">
        <f>IFERROR(VLOOKUP(N31,'Puntos XCC Mayor'!$A$1:$B$15,2,FALSE),0)</f>
        <v>0</v>
      </c>
      <c r="P31" s="3">
        <v>7</v>
      </c>
      <c r="Q31" s="34">
        <f>IFERROR(VLOOKUP(P31,'Puntos XCO'!$A$1:$B$63,2,FALSE),0)</f>
        <v>90</v>
      </c>
      <c r="R31" s="16">
        <v>0</v>
      </c>
      <c r="S31" s="15">
        <f>IFERROR(VLOOKUP(R31,'Puntos XCC Mayor'!$A$1:$B$15,2,FALSE),0)</f>
        <v>0</v>
      </c>
      <c r="T31" s="15">
        <v>0</v>
      </c>
      <c r="U31" s="25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3</v>
      </c>
      <c r="Y31" s="25">
        <f>IFERROR(VLOOKUP(X31,'Puntos XCO'!$A$1:$B$63,2,FALSE),0)</f>
        <v>120</v>
      </c>
      <c r="Z31" s="16">
        <f t="shared" si="0"/>
        <v>0</v>
      </c>
      <c r="AA31" s="15">
        <f>IFERROR(VLOOKUP(Z31,'Puntos XCC Mayor'!$A$1:$B$15,2,FALSE),0)</f>
        <v>0</v>
      </c>
      <c r="AB31" s="15">
        <f t="shared" si="1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2"/>
        <v>210</v>
      </c>
      <c r="AJ31" s="3"/>
    </row>
    <row r="32" spans="1:39" ht="24.95" customHeight="1">
      <c r="A32" s="3">
        <v>18</v>
      </c>
      <c r="B32" s="3">
        <v>17</v>
      </c>
      <c r="C32" s="113">
        <v>22</v>
      </c>
      <c r="D32" s="23" t="s">
        <v>996</v>
      </c>
      <c r="E32" s="53" t="s">
        <v>997</v>
      </c>
      <c r="F32" s="26"/>
      <c r="G32" s="15"/>
      <c r="H32" s="3"/>
      <c r="I32" s="25"/>
      <c r="J32" s="33"/>
      <c r="K32" s="22"/>
      <c r="L32" s="22"/>
      <c r="M32" s="34"/>
      <c r="N32" s="26">
        <v>8</v>
      </c>
      <c r="O32" s="3">
        <f>IFERROR(VLOOKUP(N32,'Puntos XCC Mayor'!$A$1:$B$15,2,FALSE),0)</f>
        <v>8</v>
      </c>
      <c r="P32" s="3">
        <v>1</v>
      </c>
      <c r="Q32" s="34">
        <f>IFERROR(VLOOKUP(P32,'Puntos XCO'!$A$1:$B$63,2,FALSE),0)</f>
        <v>200</v>
      </c>
      <c r="R32" s="16">
        <v>0</v>
      </c>
      <c r="S32" s="15">
        <f>IFERROR(VLOOKUP(R32,'Puntos XCC Mayor'!$A$1:$B$15,2,FALSE),0)</f>
        <v>0</v>
      </c>
      <c r="T32" s="15">
        <v>0</v>
      </c>
      <c r="U32" s="25">
        <f>IFERROR(VLOOKUP(T32,'Puntos XCO'!$A$1:$B$63,2,FALSE),0)</f>
        <v>0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0"/>
        <v>0</v>
      </c>
      <c r="AA32" s="15">
        <f>IFERROR(VLOOKUP(Z32,'Puntos XCC Mayor'!$A$1:$B$15,2,FALSE),0)</f>
        <v>0</v>
      </c>
      <c r="AB32" s="15">
        <f t="shared" si="1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2"/>
        <v>208</v>
      </c>
      <c r="AJ32" s="3"/>
    </row>
    <row r="33" spans="1:36" ht="24.95" customHeight="1">
      <c r="A33" s="3">
        <v>19</v>
      </c>
      <c r="B33" s="3">
        <v>18</v>
      </c>
      <c r="C33" s="113"/>
      <c r="D33" s="23" t="s">
        <v>581</v>
      </c>
      <c r="E33" s="53" t="s">
        <v>123</v>
      </c>
      <c r="F33" s="26">
        <v>12</v>
      </c>
      <c r="G33" s="15">
        <v>4</v>
      </c>
      <c r="H33" s="3">
        <v>7</v>
      </c>
      <c r="I33" s="25">
        <v>90</v>
      </c>
      <c r="J33" s="33">
        <v>3</v>
      </c>
      <c r="K33" s="22">
        <v>16</v>
      </c>
      <c r="L33" s="22">
        <v>15</v>
      </c>
      <c r="M33" s="34">
        <v>68</v>
      </c>
      <c r="N33" s="26"/>
      <c r="O33" s="3">
        <f>IFERROR(VLOOKUP(N33,'Puntos XCC Mayor'!$A$1:$B$15,2,FALSE),0)</f>
        <v>0</v>
      </c>
      <c r="P33" s="3"/>
      <c r="Q33" s="34">
        <f>IFERROR(VLOOKUP(P33,'Puntos XCO'!$A$1:$B$63,2,FALSE),0)</f>
        <v>0</v>
      </c>
      <c r="R33" s="16">
        <v>0</v>
      </c>
      <c r="S33" s="15">
        <f>IFERROR(VLOOKUP(R33,'Puntos XCC Mayor'!$A$1:$B$15,2,FALSE),0)</f>
        <v>0</v>
      </c>
      <c r="T33" s="15">
        <v>0</v>
      </c>
      <c r="U33" s="25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0"/>
        <v>0</v>
      </c>
      <c r="AA33" s="15">
        <f>IFERROR(VLOOKUP(Z33,'Puntos XCC Mayor'!$A$1:$B$15,2,FALSE),0)</f>
        <v>0</v>
      </c>
      <c r="AB33" s="15">
        <f t="shared" si="1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2"/>
        <v>178</v>
      </c>
      <c r="AJ33" s="3"/>
    </row>
    <row r="34" spans="1:36" ht="24.95" customHeight="1">
      <c r="A34" s="3">
        <v>20</v>
      </c>
      <c r="B34" s="3">
        <v>39</v>
      </c>
      <c r="C34" s="113">
        <v>41</v>
      </c>
      <c r="D34" s="23" t="str">
        <f>VLOOKUP(C34,PLANILLA,2,FALSE)</f>
        <v>FERNADEZ Fabricio Alberto*</v>
      </c>
      <c r="E34" s="62" t="str">
        <f>VLOOKUP(C34,PLANILLA,4,FALSE)</f>
        <v xml:space="preserve">Sin equipo </v>
      </c>
      <c r="F34" s="26"/>
      <c r="G34" s="15"/>
      <c r="H34" s="3"/>
      <c r="I34" s="25"/>
      <c r="J34" s="33"/>
      <c r="K34" s="22"/>
      <c r="L34" s="22"/>
      <c r="M34" s="34"/>
      <c r="N34" s="26"/>
      <c r="O34" s="3"/>
      <c r="P34" s="3"/>
      <c r="Q34" s="34"/>
      <c r="R34" s="16"/>
      <c r="S34" s="15"/>
      <c r="T34" s="15"/>
      <c r="U34" s="25"/>
      <c r="V34" s="16">
        <v>0</v>
      </c>
      <c r="W34" s="15">
        <f>IFERROR(VLOOKUP(V34,'Puntos XCC Mayor'!$A$1:$B$15,2,FALSE),0)</f>
        <v>0</v>
      </c>
      <c r="X34" s="15">
        <v>15</v>
      </c>
      <c r="Y34" s="25">
        <f>IFERROR(VLOOKUP(X34,'Puntos XCO'!$A$1:$B$63,2,FALSE),0)</f>
        <v>68</v>
      </c>
      <c r="Z34" s="16">
        <f t="shared" si="0"/>
        <v>8</v>
      </c>
      <c r="AA34" s="15">
        <f>IFERROR(VLOOKUP(Z34,'Puntos XCC Mayor'!$A$1:$B$15,2,FALSE),0)</f>
        <v>8</v>
      </c>
      <c r="AB34" s="15">
        <f t="shared" si="1"/>
        <v>6</v>
      </c>
      <c r="AC34" s="25">
        <f>IFERROR(VLOOKUP(AB34,'Puntos XCO'!$A$1:$B$63,2,FALSE),0)</f>
        <v>95</v>
      </c>
      <c r="AD34" s="16"/>
      <c r="AE34" s="15"/>
      <c r="AF34" s="15"/>
      <c r="AG34" s="25"/>
      <c r="AH34" s="27">
        <f t="shared" si="2"/>
        <v>171</v>
      </c>
      <c r="AJ34" s="3"/>
    </row>
    <row r="35" spans="1:36" ht="24.95" customHeight="1">
      <c r="A35" s="3">
        <v>21</v>
      </c>
      <c r="B35" s="3">
        <v>19</v>
      </c>
      <c r="C35" s="113">
        <v>8</v>
      </c>
      <c r="D35" s="23" t="s">
        <v>564</v>
      </c>
      <c r="E35" s="53" t="s">
        <v>863</v>
      </c>
      <c r="F35" s="26"/>
      <c r="G35" s="15"/>
      <c r="H35" s="3"/>
      <c r="I35" s="25"/>
      <c r="J35" s="33">
        <v>0</v>
      </c>
      <c r="K35" s="22" t="s">
        <v>861</v>
      </c>
      <c r="L35" s="22">
        <v>8</v>
      </c>
      <c r="M35" s="34">
        <v>85</v>
      </c>
      <c r="N35" s="26">
        <v>22</v>
      </c>
      <c r="O35" s="3">
        <f>IFERROR(VLOOKUP(N35,'Puntos XCC Mayor'!$A$1:$B$15,2,FALSE),0)</f>
        <v>0</v>
      </c>
      <c r="P35" s="3">
        <v>8</v>
      </c>
      <c r="Q35" s="34">
        <f>IFERROR(VLOOKUP(P35,'Puntos XCO'!$A$1:$B$63,2,FALSE),0)</f>
        <v>85</v>
      </c>
      <c r="R35" s="16">
        <v>0</v>
      </c>
      <c r="S35" s="15">
        <f>IFERROR(VLOOKUP(R35,'Puntos XCC Mayor'!$A$1:$B$15,2,FALSE),0)</f>
        <v>0</v>
      </c>
      <c r="T35" s="15">
        <v>0</v>
      </c>
      <c r="U35" s="25">
        <f>IFERROR(VLOOKUP(T35,'Puntos XCO'!$A$1:$B$63,2,FALSE),0)</f>
        <v>0</v>
      </c>
      <c r="V35" s="16">
        <v>0</v>
      </c>
      <c r="W35" s="15">
        <f>IFERROR(VLOOKUP(V35,'Puntos XCC Mayor'!$A$1:$B$15,2,FALSE),0)</f>
        <v>0</v>
      </c>
      <c r="X35" s="15">
        <v>0</v>
      </c>
      <c r="Y35" s="25">
        <f>IFERROR(VLOOKUP(X35,'Puntos XCO'!$A$1:$B$63,2,FALSE),0)</f>
        <v>0</v>
      </c>
      <c r="Z35" s="16">
        <f t="shared" si="0"/>
        <v>0</v>
      </c>
      <c r="AA35" s="15">
        <f>IFERROR(VLOOKUP(Z35,'Puntos XCC Mayor'!$A$1:$B$15,2,FALSE),0)</f>
        <v>0</v>
      </c>
      <c r="AB35" s="15">
        <f t="shared" si="1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2"/>
        <v>170</v>
      </c>
      <c r="AJ35" s="3"/>
    </row>
    <row r="36" spans="1:36" ht="24.95" customHeight="1">
      <c r="A36" s="3">
        <v>22</v>
      </c>
      <c r="B36" s="3">
        <v>20</v>
      </c>
      <c r="C36" s="113">
        <v>35</v>
      </c>
      <c r="D36" s="23" t="s">
        <v>1006</v>
      </c>
      <c r="E36" s="53" t="s">
        <v>109</v>
      </c>
      <c r="F36" s="26"/>
      <c r="G36" s="15"/>
      <c r="H36" s="3"/>
      <c r="I36" s="25"/>
      <c r="J36" s="33"/>
      <c r="K36" s="22"/>
      <c r="L36" s="22"/>
      <c r="M36" s="34"/>
      <c r="N36" s="26">
        <v>24</v>
      </c>
      <c r="O36" s="3">
        <f>IFERROR(VLOOKUP(N36,'Puntos XCC Mayor'!$A$1:$B$15,2,FALSE),0)</f>
        <v>0</v>
      </c>
      <c r="P36" s="3"/>
      <c r="Q36" s="34">
        <f>IFERROR(VLOOKUP(P36,'Puntos XCO'!$A$1:$B$63,2,FALSE),0)</f>
        <v>0</v>
      </c>
      <c r="R36" s="16">
        <v>0</v>
      </c>
      <c r="S36" s="15">
        <f>IFERROR(VLOOKUP(R36,'Puntos XCC Mayor'!$A$1:$B$15,2,FALSE),0)</f>
        <v>0</v>
      </c>
      <c r="T36" s="15">
        <v>10</v>
      </c>
      <c r="U36" s="25">
        <f>IFERROR(VLOOKUP(T36,'Puntos XCO'!$A$1:$B$63,2,FALSE),0)</f>
        <v>78</v>
      </c>
      <c r="V36" s="16">
        <v>9</v>
      </c>
      <c r="W36" s="15">
        <f>IFERROR(VLOOKUP(V36,'Puntos XCC Mayor'!$A$1:$B$15,2,FALSE),0)</f>
        <v>7</v>
      </c>
      <c r="X36" s="15">
        <v>10</v>
      </c>
      <c r="Y36" s="25">
        <f>IFERROR(VLOOKUP(X36,'Puntos XCO'!$A$1:$B$63,2,FALSE),0)</f>
        <v>78</v>
      </c>
      <c r="Z36" s="16">
        <f t="shared" si="0"/>
        <v>0</v>
      </c>
      <c r="AA36" s="15">
        <f>IFERROR(VLOOKUP(Z36,'Puntos XCC Mayor'!$A$1:$B$15,2,FALSE),0)</f>
        <v>0</v>
      </c>
      <c r="AB36" s="15">
        <f t="shared" si="1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2"/>
        <v>163</v>
      </c>
      <c r="AJ36" s="3"/>
    </row>
    <row r="37" spans="1:36" ht="24.95" customHeight="1">
      <c r="A37" s="3">
        <v>23</v>
      </c>
      <c r="B37" s="3">
        <v>21</v>
      </c>
      <c r="C37" s="113">
        <v>21</v>
      </c>
      <c r="D37" s="23" t="s">
        <v>994</v>
      </c>
      <c r="E37" s="53" t="s">
        <v>995</v>
      </c>
      <c r="F37" s="26"/>
      <c r="G37" s="15"/>
      <c r="H37" s="3"/>
      <c r="I37" s="25"/>
      <c r="J37" s="33"/>
      <c r="K37" s="22"/>
      <c r="L37" s="22"/>
      <c r="M37" s="34"/>
      <c r="N37" s="26">
        <v>10</v>
      </c>
      <c r="O37" s="3">
        <f>IFERROR(VLOOKUP(N37,'Puntos XCC Mayor'!$A$1:$B$15,2,FALSE),0)</f>
        <v>6</v>
      </c>
      <c r="P37" s="3">
        <v>2</v>
      </c>
      <c r="Q37" s="34">
        <f>IFERROR(VLOOKUP(P37,'Puntos XCO'!$A$1:$B$63,2,FALSE),0)</f>
        <v>150</v>
      </c>
      <c r="R37" s="16">
        <v>0</v>
      </c>
      <c r="S37" s="15">
        <f>IFERROR(VLOOKUP(R37,'Puntos XCC Mayor'!$A$1:$B$15,2,FALSE),0)</f>
        <v>0</v>
      </c>
      <c r="T37" s="15">
        <v>0</v>
      </c>
      <c r="U37" s="25">
        <f>IFERROR(VLOOKUP(T37,'Puntos XCO'!$A$1:$B$63,2,FALSE),0)</f>
        <v>0</v>
      </c>
      <c r="V37" s="16">
        <v>0</v>
      </c>
      <c r="W37" s="15">
        <f>IFERROR(VLOOKUP(V37,'Puntos XCC Mayor'!$A$1:$B$15,2,FALSE),0)</f>
        <v>0</v>
      </c>
      <c r="X37" s="15">
        <v>0</v>
      </c>
      <c r="Y37" s="25">
        <f>IFERROR(VLOOKUP(X37,'Puntos XCO'!$A$1:$B$63,2,FALSE),0)</f>
        <v>0</v>
      </c>
      <c r="Z37" s="16">
        <f t="shared" si="0"/>
        <v>0</v>
      </c>
      <c r="AA37" s="15">
        <f>IFERROR(VLOOKUP(Z37,'Puntos XCC Mayor'!$A$1:$B$15,2,FALSE),0)</f>
        <v>0</v>
      </c>
      <c r="AB37" s="15">
        <f t="shared" si="1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2"/>
        <v>156</v>
      </c>
      <c r="AJ37" s="3"/>
    </row>
    <row r="38" spans="1:36" ht="24.95" customHeight="1">
      <c r="A38" s="3">
        <v>24</v>
      </c>
      <c r="B38" s="3">
        <v>22</v>
      </c>
      <c r="C38" s="113">
        <v>2</v>
      </c>
      <c r="D38" s="23" t="s">
        <v>982</v>
      </c>
      <c r="E38" s="53" t="s">
        <v>901</v>
      </c>
      <c r="F38" s="26"/>
      <c r="G38" s="15"/>
      <c r="H38" s="3"/>
      <c r="I38" s="25"/>
      <c r="J38" s="33"/>
      <c r="K38" s="22"/>
      <c r="L38" s="22"/>
      <c r="M38" s="34"/>
      <c r="N38" s="26"/>
      <c r="O38" s="3">
        <f>IFERROR(VLOOKUP(N38,'Puntos XCC Mayor'!$A$1:$B$15,2,FALSE),0)</f>
        <v>0</v>
      </c>
      <c r="P38" s="3">
        <v>2</v>
      </c>
      <c r="Q38" s="34">
        <f>IFERROR(VLOOKUP(P38,'Puntos XCO'!$A$1:$B$63,2,FALSE),0)</f>
        <v>150</v>
      </c>
      <c r="R38" s="16">
        <v>0</v>
      </c>
      <c r="S38" s="15">
        <f>IFERROR(VLOOKUP(R38,'Puntos XCC Mayor'!$A$1:$B$15,2,FALSE),0)</f>
        <v>0</v>
      </c>
      <c r="T38" s="15">
        <v>0</v>
      </c>
      <c r="U38" s="25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0"/>
        <v>0</v>
      </c>
      <c r="AA38" s="15">
        <f>IFERROR(VLOOKUP(Z38,'Puntos XCC Mayor'!$A$1:$B$15,2,FALSE),0)</f>
        <v>0</v>
      </c>
      <c r="AB38" s="15">
        <f t="shared" si="1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2"/>
        <v>150</v>
      </c>
      <c r="AJ38" s="3"/>
    </row>
    <row r="39" spans="1:36" ht="24.95" customHeight="1">
      <c r="A39" s="3">
        <v>25</v>
      </c>
      <c r="B39" s="3">
        <v>23</v>
      </c>
      <c r="C39" s="113">
        <v>6</v>
      </c>
      <c r="D39" s="23" t="s">
        <v>987</v>
      </c>
      <c r="E39" s="53" t="s">
        <v>109</v>
      </c>
      <c r="F39" s="26"/>
      <c r="G39" s="15"/>
      <c r="H39" s="3"/>
      <c r="I39" s="25"/>
      <c r="J39" s="33">
        <v>0</v>
      </c>
      <c r="K39" s="22" t="s">
        <v>861</v>
      </c>
      <c r="L39" s="22">
        <v>2</v>
      </c>
      <c r="M39" s="34">
        <v>150</v>
      </c>
      <c r="N39" s="26"/>
      <c r="O39" s="3">
        <f>IFERROR(VLOOKUP(N39,'Puntos XCC Mayor'!$A$1:$B$15,2,FALSE),0)</f>
        <v>0</v>
      </c>
      <c r="P39" s="3"/>
      <c r="Q39" s="34">
        <f>IFERROR(VLOOKUP(P39,'Puntos XCO'!$A$1:$B$63,2,FALSE),0)</f>
        <v>0</v>
      </c>
      <c r="R39" s="16">
        <v>0</v>
      </c>
      <c r="S39" s="15">
        <f>IFERROR(VLOOKUP(R39,'Puntos XCC Mayor'!$A$1:$B$15,2,FALSE),0)</f>
        <v>0</v>
      </c>
      <c r="T39" s="15">
        <v>0</v>
      </c>
      <c r="U39" s="25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0"/>
        <v>0</v>
      </c>
      <c r="AA39" s="15">
        <f>IFERROR(VLOOKUP(Z39,'Puntos XCC Mayor'!$A$1:$B$15,2,FALSE),0)</f>
        <v>0</v>
      </c>
      <c r="AB39" s="15">
        <f t="shared" si="1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2"/>
        <v>150</v>
      </c>
      <c r="AJ39" s="3"/>
    </row>
    <row r="40" spans="1:36" ht="24.95" customHeight="1">
      <c r="A40" s="3">
        <v>26</v>
      </c>
      <c r="B40" s="3">
        <v>40</v>
      </c>
      <c r="C40" s="113">
        <v>40</v>
      </c>
      <c r="D40" s="23" t="str">
        <f>VLOOKUP(C40,PLANILLA,2,FALSE)</f>
        <v xml:space="preserve">GUTIERREZ Carlos Daniel </v>
      </c>
      <c r="E40" s="62" t="str">
        <f>VLOOKUP(C40,PLANILLA,4,FALSE)</f>
        <v>turrialba</v>
      </c>
      <c r="F40" s="26"/>
      <c r="G40" s="15"/>
      <c r="H40" s="3"/>
      <c r="I40" s="25"/>
      <c r="J40" s="33"/>
      <c r="K40" s="22"/>
      <c r="L40" s="22"/>
      <c r="M40" s="34"/>
      <c r="N40" s="26"/>
      <c r="O40" s="3"/>
      <c r="P40" s="3"/>
      <c r="Q40" s="34"/>
      <c r="R40" s="16"/>
      <c r="S40" s="15"/>
      <c r="T40" s="15"/>
      <c r="U40" s="25"/>
      <c r="V40" s="16">
        <v>14</v>
      </c>
      <c r="W40" s="15">
        <f>IFERROR(VLOOKUP(V40,'Puntos XCC Mayor'!$A$1:$B$15,2,FALSE),0)</f>
        <v>2</v>
      </c>
      <c r="X40" s="15">
        <v>16</v>
      </c>
      <c r="Y40" s="25">
        <f>IFERROR(VLOOKUP(X40,'Puntos XCO'!$A$1:$B$63,2,FALSE),0)</f>
        <v>66</v>
      </c>
      <c r="Z40" s="16">
        <f t="shared" si="0"/>
        <v>11</v>
      </c>
      <c r="AA40" s="15">
        <f>IFERROR(VLOOKUP(Z40,'Puntos XCC Mayor'!$A$1:$B$15,2,FALSE),0)</f>
        <v>5</v>
      </c>
      <c r="AB40" s="15">
        <f t="shared" si="1"/>
        <v>11</v>
      </c>
      <c r="AC40" s="25">
        <f>IFERROR(VLOOKUP(AB40,'Puntos XCO'!$A$1:$B$63,2,FALSE),0)</f>
        <v>76</v>
      </c>
      <c r="AD40" s="16"/>
      <c r="AE40" s="15"/>
      <c r="AF40" s="15"/>
      <c r="AG40" s="25"/>
      <c r="AH40" s="27">
        <f t="shared" si="2"/>
        <v>149</v>
      </c>
      <c r="AJ40" s="3"/>
    </row>
    <row r="41" spans="1:36" ht="24.95" customHeight="1">
      <c r="A41" s="3">
        <v>27</v>
      </c>
      <c r="B41" s="3">
        <v>25</v>
      </c>
      <c r="C41" s="113">
        <v>5</v>
      </c>
      <c r="D41" s="23" t="s">
        <v>986</v>
      </c>
      <c r="E41" s="53" t="s">
        <v>901</v>
      </c>
      <c r="F41" s="26"/>
      <c r="G41" s="15"/>
      <c r="H41" s="3"/>
      <c r="I41" s="25"/>
      <c r="J41" s="33"/>
      <c r="K41" s="22"/>
      <c r="L41" s="22"/>
      <c r="M41" s="34"/>
      <c r="N41" s="26">
        <v>3</v>
      </c>
      <c r="O41" s="3">
        <f>IFERROR(VLOOKUP(N41,'Puntos XCC Mayor'!$A$1:$B$15,2,FALSE),0)</f>
        <v>16</v>
      </c>
      <c r="P41" s="3">
        <v>3</v>
      </c>
      <c r="Q41" s="34">
        <f>IFERROR(VLOOKUP(P41,'Puntos XCO'!$A$1:$B$63,2,FALSE),0)</f>
        <v>120</v>
      </c>
      <c r="R41" s="16">
        <v>0</v>
      </c>
      <c r="S41" s="15">
        <f>IFERROR(VLOOKUP(R41,'Puntos XCC Mayor'!$A$1:$B$15,2,FALSE),0)</f>
        <v>0</v>
      </c>
      <c r="T41" s="15">
        <v>0</v>
      </c>
      <c r="U41" s="25">
        <f>IFERROR(VLOOKUP(T41,'Puntos XCO'!$A$1:$B$63,2,FALSE),0)</f>
        <v>0</v>
      </c>
      <c r="V41" s="16">
        <v>0</v>
      </c>
      <c r="W41" s="15">
        <f>IFERROR(VLOOKUP(V41,'Puntos XCC Mayor'!$A$1:$B$15,2,FALSE),0)</f>
        <v>0</v>
      </c>
      <c r="X41" s="15">
        <v>0</v>
      </c>
      <c r="Y41" s="25">
        <f>IFERROR(VLOOKUP(X41,'Puntos XCO'!$A$1:$B$63,2,FALSE),0)</f>
        <v>0</v>
      </c>
      <c r="Z41" s="16">
        <f t="shared" si="0"/>
        <v>0</v>
      </c>
      <c r="AA41" s="15">
        <f>IFERROR(VLOOKUP(Z41,'Puntos XCC Mayor'!$A$1:$B$15,2,FALSE),0)</f>
        <v>0</v>
      </c>
      <c r="AB41" s="15">
        <f t="shared" si="1"/>
        <v>0</v>
      </c>
      <c r="AC41" s="25">
        <f>IFERROR(VLOOKUP(AB41,'Puntos XCO'!$A$1:$B$63,2,FALSE),0)</f>
        <v>0</v>
      </c>
      <c r="AD41" s="16"/>
      <c r="AE41" s="15"/>
      <c r="AF41" s="15"/>
      <c r="AG41" s="25"/>
      <c r="AH41" s="27">
        <f t="shared" si="2"/>
        <v>136</v>
      </c>
      <c r="AJ41" s="3"/>
    </row>
    <row r="42" spans="1:36" ht="24.95" customHeight="1">
      <c r="A42" s="3">
        <v>28</v>
      </c>
      <c r="B42" s="3">
        <v>26</v>
      </c>
      <c r="C42" s="113">
        <v>14</v>
      </c>
      <c r="D42" s="23" t="s">
        <v>983</v>
      </c>
      <c r="E42" s="53" t="s">
        <v>984</v>
      </c>
      <c r="F42" s="26"/>
      <c r="G42" s="15"/>
      <c r="H42" s="3"/>
      <c r="I42" s="25"/>
      <c r="J42" s="33"/>
      <c r="K42" s="22"/>
      <c r="L42" s="22"/>
      <c r="M42" s="34"/>
      <c r="N42" s="26">
        <v>2</v>
      </c>
      <c r="O42" s="3">
        <f>IFERROR(VLOOKUP(N42,'Puntos XCC Mayor'!$A$1:$B$15,2,FALSE),0)</f>
        <v>20</v>
      </c>
      <c r="P42" s="3">
        <v>4</v>
      </c>
      <c r="Q42" s="34">
        <f>IFERROR(VLOOKUP(P42,'Puntos XCO'!$A$1:$B$63,2,FALSE),0)</f>
        <v>110</v>
      </c>
      <c r="R42" s="16">
        <v>0</v>
      </c>
      <c r="S42" s="15">
        <f>IFERROR(VLOOKUP(R42,'Puntos XCC Mayor'!$A$1:$B$15,2,FALSE),0)</f>
        <v>0</v>
      </c>
      <c r="T42" s="15">
        <v>0</v>
      </c>
      <c r="U42" s="25">
        <f>IFERROR(VLOOKUP(T42,'Puntos XCO'!$A$1:$B$63,2,FALSE),0)</f>
        <v>0</v>
      </c>
      <c r="V42" s="16">
        <v>0</v>
      </c>
      <c r="W42" s="15">
        <f>IFERROR(VLOOKUP(V42,'Puntos XCC Mayor'!$A$1:$B$15,2,FALSE),0)</f>
        <v>0</v>
      </c>
      <c r="X42" s="15">
        <v>0</v>
      </c>
      <c r="Y42" s="25">
        <f>IFERROR(VLOOKUP(X42,'Puntos XCO'!$A$1:$B$63,2,FALSE),0)</f>
        <v>0</v>
      </c>
      <c r="Z42" s="16">
        <f t="shared" si="0"/>
        <v>0</v>
      </c>
      <c r="AA42" s="15">
        <f>IFERROR(VLOOKUP(Z42,'Puntos XCC Mayor'!$A$1:$B$15,2,FALSE),0)</f>
        <v>0</v>
      </c>
      <c r="AB42" s="15">
        <f t="shared" si="1"/>
        <v>0</v>
      </c>
      <c r="AC42" s="25">
        <f>IFERROR(VLOOKUP(AB42,'Puntos XCO'!$A$1:$B$63,2,FALSE),0)</f>
        <v>0</v>
      </c>
      <c r="AD42" s="16"/>
      <c r="AE42" s="15"/>
      <c r="AF42" s="15"/>
      <c r="AG42" s="25"/>
      <c r="AH42" s="27">
        <f t="shared" si="2"/>
        <v>130</v>
      </c>
      <c r="AJ42" s="3"/>
    </row>
    <row r="43" spans="1:36" ht="24.95" customHeight="1">
      <c r="A43" s="3">
        <v>29</v>
      </c>
      <c r="B43" s="3">
        <v>27</v>
      </c>
      <c r="C43" s="113">
        <v>31</v>
      </c>
      <c r="D43" s="23" t="s">
        <v>1002</v>
      </c>
      <c r="E43" s="53" t="s">
        <v>71</v>
      </c>
      <c r="F43" s="26">
        <v>17</v>
      </c>
      <c r="G43" s="15">
        <v>0</v>
      </c>
      <c r="H43" s="3">
        <v>17</v>
      </c>
      <c r="I43" s="25">
        <v>64</v>
      </c>
      <c r="J43" s="33">
        <v>16</v>
      </c>
      <c r="K43" s="22" t="s">
        <v>861</v>
      </c>
      <c r="L43" s="22">
        <v>19</v>
      </c>
      <c r="M43" s="34">
        <v>60</v>
      </c>
      <c r="N43" s="26">
        <v>26</v>
      </c>
      <c r="O43" s="3">
        <f>IFERROR(VLOOKUP(N43,'Puntos XCC Mayor'!$A$1:$B$15,2,FALSE),0)</f>
        <v>0</v>
      </c>
      <c r="P43" s="3"/>
      <c r="Q43" s="34">
        <f>IFERROR(VLOOKUP(P43,'Puntos XCO'!$A$1:$B$63,2,FALSE),0)</f>
        <v>0</v>
      </c>
      <c r="R43" s="16">
        <v>0</v>
      </c>
      <c r="S43" s="15">
        <f>IFERROR(VLOOKUP(R43,'Puntos XCC Mayor'!$A$1:$B$15,2,FALSE),0)</f>
        <v>0</v>
      </c>
      <c r="T43" s="15">
        <v>0</v>
      </c>
      <c r="U43" s="25">
        <f>IFERROR(VLOOKUP(T43,'Puntos XCO'!$A$1:$B$63,2,FALSE),0)</f>
        <v>0</v>
      </c>
      <c r="V43" s="16">
        <v>0</v>
      </c>
      <c r="W43" s="15">
        <f>IFERROR(VLOOKUP(V43,'Puntos XCC Mayor'!$A$1:$B$15,2,FALSE),0)</f>
        <v>0</v>
      </c>
      <c r="X43" s="15">
        <v>0</v>
      </c>
      <c r="Y43" s="25">
        <f>IFERROR(VLOOKUP(X43,'Puntos XCO'!$A$1:$B$63,2,FALSE),0)</f>
        <v>0</v>
      </c>
      <c r="Z43" s="16">
        <f t="shared" si="0"/>
        <v>0</v>
      </c>
      <c r="AA43" s="15">
        <f>IFERROR(VLOOKUP(Z43,'Puntos XCC Mayor'!$A$1:$B$15,2,FALSE),0)</f>
        <v>0</v>
      </c>
      <c r="AB43" s="15">
        <f t="shared" si="1"/>
        <v>0</v>
      </c>
      <c r="AC43" s="25">
        <f>IFERROR(VLOOKUP(AB43,'Puntos XCO'!$A$1:$B$63,2,FALSE),0)</f>
        <v>0</v>
      </c>
      <c r="AD43" s="16"/>
      <c r="AE43" s="15"/>
      <c r="AF43" s="15"/>
      <c r="AG43" s="25"/>
      <c r="AH43" s="27">
        <f t="shared" si="2"/>
        <v>124</v>
      </c>
      <c r="AJ43" s="3"/>
    </row>
    <row r="44" spans="1:36" ht="24.95" customHeight="1">
      <c r="A44" s="3">
        <v>30</v>
      </c>
      <c r="B44" s="3">
        <v>28</v>
      </c>
      <c r="C44" s="113">
        <v>33</v>
      </c>
      <c r="D44" s="23" t="s">
        <v>1004</v>
      </c>
      <c r="E44" s="53" t="s">
        <v>999</v>
      </c>
      <c r="F44" s="26"/>
      <c r="G44" s="15"/>
      <c r="H44" s="3"/>
      <c r="I44" s="25"/>
      <c r="J44" s="33"/>
      <c r="K44" s="22"/>
      <c r="L44" s="22"/>
      <c r="M44" s="34"/>
      <c r="N44" s="26"/>
      <c r="O44" s="3">
        <f>IFERROR(VLOOKUP(N44,'Puntos XCC Mayor'!$A$1:$B$15,2,FALSE),0)</f>
        <v>0</v>
      </c>
      <c r="P44" s="3">
        <v>5</v>
      </c>
      <c r="Q44" s="34">
        <f>IFERROR(VLOOKUP(P44,'Puntos XCO'!$A$1:$B$63,2,FALSE),0)</f>
        <v>100</v>
      </c>
      <c r="R44" s="16">
        <v>0</v>
      </c>
      <c r="S44" s="15">
        <f>IFERROR(VLOOKUP(R44,'Puntos XCC Mayor'!$A$1:$B$15,2,FALSE),0)</f>
        <v>0</v>
      </c>
      <c r="T44" s="15">
        <v>0</v>
      </c>
      <c r="U44" s="25">
        <f>IFERROR(VLOOKUP(T44,'Puntos XCO'!$A$1:$B$63,2,FALSE),0)</f>
        <v>0</v>
      </c>
      <c r="V44" s="16">
        <v>0</v>
      </c>
      <c r="W44" s="15">
        <f>IFERROR(VLOOKUP(V44,'Puntos XCC Mayor'!$A$1:$B$15,2,FALSE),0)</f>
        <v>0</v>
      </c>
      <c r="X44" s="15">
        <v>0</v>
      </c>
      <c r="Y44" s="25">
        <f>IFERROR(VLOOKUP(X44,'Puntos XCO'!$A$1:$B$63,2,FALSE),0)</f>
        <v>0</v>
      </c>
      <c r="Z44" s="16">
        <f t="shared" si="0"/>
        <v>0</v>
      </c>
      <c r="AA44" s="15">
        <f>IFERROR(VLOOKUP(Z44,'Puntos XCC Mayor'!$A$1:$B$15,2,FALSE),0)</f>
        <v>0</v>
      </c>
      <c r="AB44" s="15">
        <f t="shared" si="1"/>
        <v>0</v>
      </c>
      <c r="AC44" s="25">
        <f>IFERROR(VLOOKUP(AB44,'Puntos XCO'!$A$1:$B$63,2,FALSE),0)</f>
        <v>0</v>
      </c>
      <c r="AD44" s="16"/>
      <c r="AE44" s="15"/>
      <c r="AF44" s="15"/>
      <c r="AG44" s="25"/>
      <c r="AH44" s="27">
        <f t="shared" si="2"/>
        <v>100</v>
      </c>
      <c r="AJ44" s="3"/>
    </row>
    <row r="45" spans="1:36" ht="24.95" customHeight="1">
      <c r="A45" s="3">
        <v>31</v>
      </c>
      <c r="B45" s="3"/>
      <c r="C45" s="105">
        <v>43</v>
      </c>
      <c r="D45" s="23" t="str">
        <f>VLOOKUP(C45,PLANILLA,2,FALSE)</f>
        <v>SUNSIN Ean*</v>
      </c>
      <c r="E45" s="62" t="str">
        <f>VLOOKUP(C45,PLANILLA,4,FALSE)</f>
        <v xml:space="preserve">ACISA - SARAPIQUÍ </v>
      </c>
      <c r="F45" s="26"/>
      <c r="G45" s="15"/>
      <c r="H45" s="3"/>
      <c r="I45" s="25"/>
      <c r="J45" s="33"/>
      <c r="K45" s="22"/>
      <c r="L45" s="22"/>
      <c r="M45" s="34"/>
      <c r="N45" s="26"/>
      <c r="O45" s="3"/>
      <c r="P45" s="3"/>
      <c r="Q45" s="34"/>
      <c r="R45" s="16"/>
      <c r="S45" s="15"/>
      <c r="T45" s="15"/>
      <c r="U45" s="25"/>
      <c r="V45" s="16"/>
      <c r="W45" s="15"/>
      <c r="X45" s="15"/>
      <c r="Y45" s="25"/>
      <c r="Z45" s="16">
        <f t="shared" si="0"/>
        <v>9</v>
      </c>
      <c r="AA45" s="15">
        <f>IFERROR(VLOOKUP(Z45,'Puntos XCC Mayor'!$A$1:$B$15,2,FALSE),0)</f>
        <v>7</v>
      </c>
      <c r="AB45" s="15">
        <f t="shared" si="1"/>
        <v>8</v>
      </c>
      <c r="AC45" s="25">
        <f>IFERROR(VLOOKUP(AB45,'Puntos XCO'!$A$1:$B$63,2,FALSE),0)</f>
        <v>85</v>
      </c>
      <c r="AD45" s="16"/>
      <c r="AE45" s="15"/>
      <c r="AF45" s="15"/>
      <c r="AG45" s="25"/>
      <c r="AH45" s="27">
        <f t="shared" si="2"/>
        <v>92</v>
      </c>
      <c r="AJ45" s="3"/>
    </row>
    <row r="46" spans="1:36" ht="24.95" customHeight="1">
      <c r="A46" s="3">
        <v>32</v>
      </c>
      <c r="B46" s="3">
        <v>29</v>
      </c>
      <c r="C46" s="113">
        <v>34</v>
      </c>
      <c r="D46" s="23" t="s">
        <v>1005</v>
      </c>
      <c r="E46" s="53" t="s">
        <v>927</v>
      </c>
      <c r="F46" s="26"/>
      <c r="G46" s="15"/>
      <c r="H46" s="3"/>
      <c r="I46" s="25"/>
      <c r="J46" s="33"/>
      <c r="K46" s="22"/>
      <c r="L46" s="22"/>
      <c r="M46" s="34"/>
      <c r="N46" s="26">
        <v>20</v>
      </c>
      <c r="O46" s="3">
        <f>IFERROR(VLOOKUP(N46,'Puntos XCC Mayor'!$A$1:$B$15,2,FALSE),0)</f>
        <v>0</v>
      </c>
      <c r="P46" s="3">
        <v>7</v>
      </c>
      <c r="Q46" s="34">
        <f>IFERROR(VLOOKUP(P46,'Puntos XCO'!$A$1:$B$63,2,FALSE),0)</f>
        <v>90</v>
      </c>
      <c r="R46" s="16">
        <v>0</v>
      </c>
      <c r="S46" s="15">
        <f>IFERROR(VLOOKUP(R46,'Puntos XCC Mayor'!$A$1:$B$15,2,FALSE),0)</f>
        <v>0</v>
      </c>
      <c r="T46" s="15">
        <v>0</v>
      </c>
      <c r="U46" s="25">
        <f>IFERROR(VLOOKUP(T46,'Puntos XCO'!$A$1:$B$63,2,FALSE),0)</f>
        <v>0</v>
      </c>
      <c r="V46" s="16">
        <v>0</v>
      </c>
      <c r="W46" s="15">
        <f>IFERROR(VLOOKUP(V46,'Puntos XCC Mayor'!$A$1:$B$15,2,FALSE),0)</f>
        <v>0</v>
      </c>
      <c r="X46" s="15">
        <v>0</v>
      </c>
      <c r="Y46" s="25">
        <f>IFERROR(VLOOKUP(X46,'Puntos XCO'!$A$1:$B$63,2,FALSE),0)</f>
        <v>0</v>
      </c>
      <c r="Z46" s="16">
        <f t="shared" si="0"/>
        <v>0</v>
      </c>
      <c r="AA46" s="15">
        <f>IFERROR(VLOOKUP(Z46,'Puntos XCC Mayor'!$A$1:$B$15,2,FALSE),0)</f>
        <v>0</v>
      </c>
      <c r="AB46" s="15">
        <f t="shared" si="1"/>
        <v>0</v>
      </c>
      <c r="AC46" s="25">
        <f>IFERROR(VLOOKUP(AB46,'Puntos XCO'!$A$1:$B$63,2,FALSE),0)</f>
        <v>0</v>
      </c>
      <c r="AD46" s="16"/>
      <c r="AE46" s="15"/>
      <c r="AF46" s="15"/>
      <c r="AG46" s="25"/>
      <c r="AH46" s="27">
        <f t="shared" si="2"/>
        <v>90</v>
      </c>
      <c r="AJ46" s="3"/>
    </row>
    <row r="47" spans="1:36" ht="24.95" customHeight="1">
      <c r="A47" s="3">
        <v>33</v>
      </c>
      <c r="B47" s="3">
        <v>30</v>
      </c>
      <c r="C47" s="113">
        <v>24</v>
      </c>
      <c r="D47" s="23" t="s">
        <v>998</v>
      </c>
      <c r="E47" s="53" t="s">
        <v>999</v>
      </c>
      <c r="F47" s="26"/>
      <c r="G47" s="15"/>
      <c r="H47" s="3"/>
      <c r="I47" s="25"/>
      <c r="J47" s="33"/>
      <c r="K47" s="22"/>
      <c r="L47" s="22"/>
      <c r="M47" s="34"/>
      <c r="N47" s="26">
        <v>7</v>
      </c>
      <c r="O47" s="3">
        <f>IFERROR(VLOOKUP(N47,'Puntos XCC Mayor'!$A$1:$B$15,2,FALSE),0)</f>
        <v>9</v>
      </c>
      <c r="P47" s="3">
        <v>9</v>
      </c>
      <c r="Q47" s="34">
        <f>IFERROR(VLOOKUP(P47,'Puntos XCO'!$A$1:$B$63,2,FALSE),0)</f>
        <v>80</v>
      </c>
      <c r="R47" s="16">
        <v>0</v>
      </c>
      <c r="S47" s="15">
        <f>IFERROR(VLOOKUP(R47,'Puntos XCC Mayor'!$A$1:$B$15,2,FALSE),0)</f>
        <v>0</v>
      </c>
      <c r="T47" s="15">
        <v>0</v>
      </c>
      <c r="U47" s="25">
        <f>IFERROR(VLOOKUP(T47,'Puntos XCO'!$A$1:$B$63,2,FALSE),0)</f>
        <v>0</v>
      </c>
      <c r="V47" s="16">
        <v>0</v>
      </c>
      <c r="W47" s="15">
        <f>IFERROR(VLOOKUP(V47,'Puntos XCC Mayor'!$A$1:$B$15,2,FALSE),0)</f>
        <v>0</v>
      </c>
      <c r="X47" s="15">
        <v>0</v>
      </c>
      <c r="Y47" s="25">
        <f>IFERROR(VLOOKUP(X47,'Puntos XCO'!$A$1:$B$63,2,FALSE),0)</f>
        <v>0</v>
      </c>
      <c r="Z47" s="16">
        <f t="shared" si="0"/>
        <v>0</v>
      </c>
      <c r="AA47" s="15">
        <f>IFERROR(VLOOKUP(Z47,'Puntos XCC Mayor'!$A$1:$B$15,2,FALSE),0)</f>
        <v>0</v>
      </c>
      <c r="AB47" s="15">
        <f t="shared" si="1"/>
        <v>0</v>
      </c>
      <c r="AC47" s="25">
        <f>IFERROR(VLOOKUP(AB47,'Puntos XCO'!$A$1:$B$63,2,FALSE),0)</f>
        <v>0</v>
      </c>
      <c r="AD47" s="16"/>
      <c r="AE47" s="15"/>
      <c r="AF47" s="15"/>
      <c r="AG47" s="25"/>
      <c r="AH47" s="27">
        <f t="shared" si="2"/>
        <v>89</v>
      </c>
      <c r="AJ47" s="3"/>
    </row>
    <row r="48" spans="1:36" ht="24.95" customHeight="1">
      <c r="A48" s="3">
        <v>34</v>
      </c>
      <c r="B48" s="3">
        <v>31</v>
      </c>
      <c r="C48" s="113"/>
      <c r="D48" s="23" t="s">
        <v>149</v>
      </c>
      <c r="E48" s="53" t="s">
        <v>173</v>
      </c>
      <c r="F48" s="26">
        <v>3</v>
      </c>
      <c r="G48" s="15">
        <v>16</v>
      </c>
      <c r="H48" s="3">
        <v>13</v>
      </c>
      <c r="I48" s="25">
        <v>72</v>
      </c>
      <c r="J48" s="33">
        <v>0</v>
      </c>
      <c r="K48" s="22" t="s">
        <v>861</v>
      </c>
      <c r="L48" s="22">
        <v>0</v>
      </c>
      <c r="M48" s="34">
        <v>0</v>
      </c>
      <c r="N48" s="26"/>
      <c r="O48" s="3">
        <f>IFERROR(VLOOKUP(N48,'Puntos XCC Mayor'!$A$1:$B$15,2,FALSE),0)</f>
        <v>0</v>
      </c>
      <c r="P48" s="3"/>
      <c r="Q48" s="34">
        <f>IFERROR(VLOOKUP(P48,'Puntos XCO'!$A$1:$B$63,2,FALSE),0)</f>
        <v>0</v>
      </c>
      <c r="R48" s="16">
        <v>0</v>
      </c>
      <c r="S48" s="15">
        <f>IFERROR(VLOOKUP(R48,'Puntos XCC Mayor'!$A$1:$B$15,2,FALSE),0)</f>
        <v>0</v>
      </c>
      <c r="T48" s="15">
        <v>0</v>
      </c>
      <c r="U48" s="25">
        <f>IFERROR(VLOOKUP(T48,'Puntos XCO'!$A$1:$B$63,2,FALSE),0)</f>
        <v>0</v>
      </c>
      <c r="V48" s="16">
        <v>0</v>
      </c>
      <c r="W48" s="15">
        <f>IFERROR(VLOOKUP(V48,'Puntos XCC Mayor'!$A$1:$B$15,2,FALSE),0)</f>
        <v>0</v>
      </c>
      <c r="X48" s="15">
        <v>0</v>
      </c>
      <c r="Y48" s="25">
        <f>IFERROR(VLOOKUP(X48,'Puntos XCO'!$A$1:$B$63,2,FALSE),0)</f>
        <v>0</v>
      </c>
      <c r="Z48" s="16">
        <f t="shared" si="0"/>
        <v>0</v>
      </c>
      <c r="AA48" s="15">
        <f>IFERROR(VLOOKUP(Z48,'Puntos XCC Mayor'!$A$1:$B$15,2,FALSE),0)</f>
        <v>0</v>
      </c>
      <c r="AB48" s="15">
        <f t="shared" si="1"/>
        <v>0</v>
      </c>
      <c r="AC48" s="25">
        <f>IFERROR(VLOOKUP(AB48,'Puntos XCO'!$A$1:$B$63,2,FALSE),0)</f>
        <v>0</v>
      </c>
      <c r="AD48" s="16"/>
      <c r="AE48" s="15"/>
      <c r="AF48" s="15"/>
      <c r="AG48" s="25"/>
      <c r="AH48" s="27">
        <f t="shared" si="2"/>
        <v>88</v>
      </c>
      <c r="AJ48" s="3"/>
    </row>
    <row r="49" spans="1:36" ht="24.95" customHeight="1">
      <c r="A49" s="3">
        <v>35</v>
      </c>
      <c r="B49" s="3">
        <v>32</v>
      </c>
      <c r="C49" s="113">
        <v>36</v>
      </c>
      <c r="D49" s="23" t="s">
        <v>1007</v>
      </c>
      <c r="E49" s="53" t="s">
        <v>1008</v>
      </c>
      <c r="F49" s="26"/>
      <c r="G49" s="15"/>
      <c r="H49" s="3"/>
      <c r="I49" s="25"/>
      <c r="J49" s="33"/>
      <c r="K49" s="22"/>
      <c r="L49" s="22"/>
      <c r="M49" s="34"/>
      <c r="N49" s="26">
        <v>17</v>
      </c>
      <c r="O49" s="3">
        <f>IFERROR(VLOOKUP(N49,'Puntos XCC Mayor'!$A$1:$B$15,2,FALSE),0)</f>
        <v>0</v>
      </c>
      <c r="P49" s="3">
        <v>8</v>
      </c>
      <c r="Q49" s="34">
        <f>IFERROR(VLOOKUP(P49,'Puntos XCO'!$A$1:$B$63,2,FALSE),0)</f>
        <v>85</v>
      </c>
      <c r="R49" s="16">
        <v>0</v>
      </c>
      <c r="S49" s="15">
        <f>IFERROR(VLOOKUP(R49,'Puntos XCC Mayor'!$A$1:$B$15,2,FALSE),0)</f>
        <v>0</v>
      </c>
      <c r="T49" s="15">
        <v>0</v>
      </c>
      <c r="U49" s="25">
        <f>IFERROR(VLOOKUP(T49,'Puntos XCO'!$A$1:$B$63,2,FALSE),0)</f>
        <v>0</v>
      </c>
      <c r="V49" s="16">
        <v>0</v>
      </c>
      <c r="W49" s="15">
        <f>IFERROR(VLOOKUP(V49,'Puntos XCC Mayor'!$A$1:$B$15,2,FALSE),0)</f>
        <v>0</v>
      </c>
      <c r="X49" s="15">
        <v>0</v>
      </c>
      <c r="Y49" s="25">
        <f>IFERROR(VLOOKUP(X49,'Puntos XCO'!$A$1:$B$63,2,FALSE),0)</f>
        <v>0</v>
      </c>
      <c r="Z49" s="16">
        <f t="shared" si="0"/>
        <v>0</v>
      </c>
      <c r="AA49" s="15">
        <f>IFERROR(VLOOKUP(Z49,'Puntos XCC Mayor'!$A$1:$B$15,2,FALSE),0)</f>
        <v>0</v>
      </c>
      <c r="AB49" s="15">
        <f t="shared" si="1"/>
        <v>0</v>
      </c>
      <c r="AC49" s="25">
        <f>IFERROR(VLOOKUP(AB49,'Puntos XCO'!$A$1:$B$63,2,FALSE),0)</f>
        <v>0</v>
      </c>
      <c r="AD49" s="16"/>
      <c r="AE49" s="15"/>
      <c r="AF49" s="15"/>
      <c r="AG49" s="25"/>
      <c r="AH49" s="27">
        <f t="shared" si="2"/>
        <v>85</v>
      </c>
      <c r="AJ49" s="3"/>
    </row>
    <row r="50" spans="1:36" ht="24.95" customHeight="1">
      <c r="A50" s="3">
        <v>36</v>
      </c>
      <c r="B50" s="3">
        <v>33</v>
      </c>
      <c r="C50" s="113"/>
      <c r="D50" s="23" t="s">
        <v>174</v>
      </c>
      <c r="E50" s="53" t="s">
        <v>108</v>
      </c>
      <c r="F50" s="26">
        <v>11</v>
      </c>
      <c r="G50" s="15">
        <v>5</v>
      </c>
      <c r="H50" s="3">
        <v>9</v>
      </c>
      <c r="I50" s="25">
        <v>80</v>
      </c>
      <c r="J50" s="33">
        <v>0</v>
      </c>
      <c r="K50" s="22" t="s">
        <v>861</v>
      </c>
      <c r="L50" s="22">
        <v>0</v>
      </c>
      <c r="M50" s="34">
        <v>0</v>
      </c>
      <c r="N50" s="26"/>
      <c r="O50" s="3">
        <f>IFERROR(VLOOKUP(N50,'Puntos XCC Mayor'!$A$1:$B$15,2,FALSE),0)</f>
        <v>0</v>
      </c>
      <c r="P50" s="3"/>
      <c r="Q50" s="34">
        <f>IFERROR(VLOOKUP(P50,'Puntos XCO'!$A$1:$B$63,2,FALSE),0)</f>
        <v>0</v>
      </c>
      <c r="R50" s="16">
        <v>0</v>
      </c>
      <c r="S50" s="15">
        <f>IFERROR(VLOOKUP(R50,'Puntos XCC Mayor'!$A$1:$B$15,2,FALSE),0)</f>
        <v>0</v>
      </c>
      <c r="T50" s="15">
        <v>0</v>
      </c>
      <c r="U50" s="25">
        <f>IFERROR(VLOOKUP(T50,'Puntos XCO'!$A$1:$B$63,2,FALSE),0)</f>
        <v>0</v>
      </c>
      <c r="V50" s="16">
        <v>0</v>
      </c>
      <c r="W50" s="15">
        <f>IFERROR(VLOOKUP(V50,'Puntos XCC Mayor'!$A$1:$B$15,2,FALSE),0)</f>
        <v>0</v>
      </c>
      <c r="X50" s="15">
        <v>0</v>
      </c>
      <c r="Y50" s="25">
        <f>IFERROR(VLOOKUP(X50,'Puntos XCO'!$A$1:$B$63,2,FALSE),0)</f>
        <v>0</v>
      </c>
      <c r="Z50" s="16">
        <f t="shared" si="0"/>
        <v>0</v>
      </c>
      <c r="AA50" s="15">
        <f>IFERROR(VLOOKUP(Z50,'Puntos XCC Mayor'!$A$1:$B$15,2,FALSE),0)</f>
        <v>0</v>
      </c>
      <c r="AB50" s="15">
        <f t="shared" si="1"/>
        <v>0</v>
      </c>
      <c r="AC50" s="25">
        <f>IFERROR(VLOOKUP(AB50,'Puntos XCO'!$A$1:$B$63,2,FALSE),0)</f>
        <v>0</v>
      </c>
      <c r="AD50" s="16"/>
      <c r="AE50" s="15"/>
      <c r="AF50" s="15"/>
      <c r="AG50" s="25"/>
      <c r="AH50" s="27">
        <f t="shared" si="2"/>
        <v>85</v>
      </c>
      <c r="AJ50" s="3"/>
    </row>
    <row r="51" spans="1:36" ht="24.95" customHeight="1">
      <c r="A51" s="3">
        <v>37</v>
      </c>
      <c r="B51" s="3">
        <v>34</v>
      </c>
      <c r="C51" s="113">
        <v>39</v>
      </c>
      <c r="D51" s="23" t="str">
        <f>VLOOKUP(C51,PLANILLA,2,FALSE)</f>
        <v>ROJAS Juan Diego*</v>
      </c>
      <c r="E51" s="62" t="str">
        <f>VLOOKUP(C51,PLANILLA,4,FALSE)</f>
        <v>MEGAMO MANZATÉ LA SELVA</v>
      </c>
      <c r="F51" s="26"/>
      <c r="G51" s="15"/>
      <c r="H51" s="3"/>
      <c r="I51" s="25"/>
      <c r="J51" s="33"/>
      <c r="K51" s="22"/>
      <c r="L51" s="22"/>
      <c r="M51" s="34"/>
      <c r="N51" s="26"/>
      <c r="O51" s="3"/>
      <c r="P51" s="3"/>
      <c r="Q51" s="34"/>
      <c r="R51" s="16"/>
      <c r="S51" s="15"/>
      <c r="T51" s="15"/>
      <c r="U51" s="25"/>
      <c r="V51" s="16">
        <v>11</v>
      </c>
      <c r="W51" s="15">
        <f>IFERROR(VLOOKUP(V51,'Puntos XCC Mayor'!$A$1:$B$15,2,FALSE),0)</f>
        <v>5</v>
      </c>
      <c r="X51" s="15">
        <v>11</v>
      </c>
      <c r="Y51" s="25">
        <f>IFERROR(VLOOKUP(X51,'Puntos XCO'!$A$1:$B$63,2,FALSE),0)</f>
        <v>76</v>
      </c>
      <c r="Z51" s="16">
        <f t="shared" si="0"/>
        <v>0</v>
      </c>
      <c r="AA51" s="15">
        <f>IFERROR(VLOOKUP(Z51,'Puntos XCC Mayor'!$A$1:$B$15,2,FALSE),0)</f>
        <v>0</v>
      </c>
      <c r="AB51" s="15">
        <f t="shared" si="1"/>
        <v>0</v>
      </c>
      <c r="AC51" s="25">
        <f>IFERROR(VLOOKUP(AB51,'Puntos XCO'!$A$1:$B$63,2,FALSE),0)</f>
        <v>0</v>
      </c>
      <c r="AD51" s="16"/>
      <c r="AE51" s="15"/>
      <c r="AF51" s="15"/>
      <c r="AG51" s="25"/>
      <c r="AH51" s="27">
        <f t="shared" si="2"/>
        <v>81</v>
      </c>
      <c r="AJ51" s="3"/>
    </row>
    <row r="52" spans="1:36" ht="24.95" customHeight="1">
      <c r="A52" s="3">
        <v>38</v>
      </c>
      <c r="B52" s="3">
        <v>35</v>
      </c>
      <c r="C52" s="113">
        <v>11</v>
      </c>
      <c r="D52" s="23" t="s">
        <v>990</v>
      </c>
      <c r="E52" s="53" t="s">
        <v>991</v>
      </c>
      <c r="F52" s="26"/>
      <c r="G52" s="15"/>
      <c r="H52" s="3"/>
      <c r="I52" s="25"/>
      <c r="J52" s="33"/>
      <c r="K52" s="22"/>
      <c r="L52" s="22"/>
      <c r="M52" s="34"/>
      <c r="N52" s="26">
        <v>19</v>
      </c>
      <c r="O52" s="3">
        <f>IFERROR(VLOOKUP(N52,'Puntos XCC Mayor'!$A$1:$B$15,2,FALSE),0)</f>
        <v>0</v>
      </c>
      <c r="P52" s="3">
        <v>9</v>
      </c>
      <c r="Q52" s="34">
        <f>IFERROR(VLOOKUP(P52,'Puntos XCO'!$A$1:$B$63,2,FALSE),0)</f>
        <v>80</v>
      </c>
      <c r="R52" s="16">
        <v>0</v>
      </c>
      <c r="S52" s="15">
        <f>IFERROR(VLOOKUP(R52,'Puntos XCC Mayor'!$A$1:$B$15,2,FALSE),0)</f>
        <v>0</v>
      </c>
      <c r="T52" s="15">
        <v>0</v>
      </c>
      <c r="U52" s="25">
        <f>IFERROR(VLOOKUP(T52,'Puntos XCO'!$A$1:$B$63,2,FALSE),0)</f>
        <v>0</v>
      </c>
      <c r="V52" s="16">
        <v>0</v>
      </c>
      <c r="W52" s="15">
        <f>IFERROR(VLOOKUP(V52,'Puntos XCC Mayor'!$A$1:$B$15,2,FALSE),0)</f>
        <v>0</v>
      </c>
      <c r="X52" s="15">
        <v>0</v>
      </c>
      <c r="Y52" s="25">
        <f>IFERROR(VLOOKUP(X52,'Puntos XCO'!$A$1:$B$63,2,FALSE),0)</f>
        <v>0</v>
      </c>
      <c r="Z52" s="16">
        <f t="shared" si="0"/>
        <v>0</v>
      </c>
      <c r="AA52" s="15">
        <f>IFERROR(VLOOKUP(Z52,'Puntos XCC Mayor'!$A$1:$B$15,2,FALSE),0)</f>
        <v>0</v>
      </c>
      <c r="AB52" s="15">
        <f t="shared" si="1"/>
        <v>0</v>
      </c>
      <c r="AC52" s="25">
        <f>IFERROR(VLOOKUP(AB52,'Puntos XCO'!$A$1:$B$63,2,FALSE),0)</f>
        <v>0</v>
      </c>
      <c r="AD52" s="16"/>
      <c r="AE52" s="15"/>
      <c r="AF52" s="15"/>
      <c r="AG52" s="25"/>
      <c r="AH52" s="27">
        <f t="shared" si="2"/>
        <v>80</v>
      </c>
      <c r="AJ52" s="3"/>
    </row>
    <row r="53" spans="1:36" ht="24.95" customHeight="1">
      <c r="A53" s="3">
        <v>39</v>
      </c>
      <c r="B53" s="3"/>
      <c r="C53" s="105">
        <v>42</v>
      </c>
      <c r="D53" s="23" t="str">
        <f>VLOOKUP(C53,PLANILLA,2,FALSE)</f>
        <v>ORTEGA Kelvin José*</v>
      </c>
      <c r="E53" s="62" t="str">
        <f>VLOOKUP(C53,PLANILLA,4,FALSE)</f>
        <v xml:space="preserve">CCDR Santa Cruz </v>
      </c>
      <c r="F53" s="26"/>
      <c r="G53" s="15"/>
      <c r="H53" s="3"/>
      <c r="I53" s="25"/>
      <c r="J53" s="33"/>
      <c r="K53" s="22"/>
      <c r="L53" s="22"/>
      <c r="M53" s="34"/>
      <c r="N53" s="26"/>
      <c r="O53" s="3"/>
      <c r="P53" s="3"/>
      <c r="Q53" s="34"/>
      <c r="R53" s="16"/>
      <c r="S53" s="15"/>
      <c r="T53" s="15"/>
      <c r="U53" s="25"/>
      <c r="V53" s="16"/>
      <c r="W53" s="15"/>
      <c r="X53" s="15"/>
      <c r="Y53" s="25"/>
      <c r="Z53" s="16">
        <f t="shared" si="0"/>
        <v>12</v>
      </c>
      <c r="AA53" s="15">
        <f>IFERROR(VLOOKUP(Z53,'Puntos XCC Mayor'!$A$1:$B$15,2,FALSE),0)</f>
        <v>4</v>
      </c>
      <c r="AB53" s="15">
        <f t="shared" si="1"/>
        <v>12</v>
      </c>
      <c r="AC53" s="25">
        <f>IFERROR(VLOOKUP(AB53,'Puntos XCO'!$A$1:$B$63,2,FALSE),0)</f>
        <v>74</v>
      </c>
      <c r="AD53" s="16"/>
      <c r="AE53" s="15"/>
      <c r="AF53" s="15"/>
      <c r="AG53" s="25"/>
      <c r="AH53" s="27">
        <f t="shared" si="2"/>
        <v>78</v>
      </c>
      <c r="AJ53" s="3"/>
    </row>
    <row r="54" spans="1:36" ht="24.95" customHeight="1">
      <c r="A54" s="3">
        <v>40</v>
      </c>
      <c r="B54" s="3">
        <v>36</v>
      </c>
      <c r="C54" s="113">
        <v>38</v>
      </c>
      <c r="D54" s="23" t="str">
        <f>VLOOKUP(C54,PLANILLA,2,FALSE)</f>
        <v>ARAYA  Roberto*</v>
      </c>
      <c r="E54" s="62" t="str">
        <f>VLOOKUP(C54,PLANILLA,4,FALSE)</f>
        <v xml:space="preserve">CCDR PARAÍSO </v>
      </c>
      <c r="F54" s="26"/>
      <c r="G54" s="15"/>
      <c r="H54" s="3"/>
      <c r="I54" s="25"/>
      <c r="J54" s="33"/>
      <c r="K54" s="22"/>
      <c r="L54" s="22"/>
      <c r="M54" s="34"/>
      <c r="N54" s="26"/>
      <c r="O54" s="3"/>
      <c r="P54" s="3"/>
      <c r="Q54" s="34"/>
      <c r="R54" s="16">
        <v>0</v>
      </c>
      <c r="S54" s="15">
        <f>IFERROR(VLOOKUP(R54,'Puntos XCC Mayor'!$A$1:$B$15,2,FALSE),0)</f>
        <v>0</v>
      </c>
      <c r="T54" s="15">
        <v>11</v>
      </c>
      <c r="U54" s="25">
        <f>IFERROR(VLOOKUP(T54,'Puntos XCO'!$A$1:$B$63,2,FALSE),0)</f>
        <v>76</v>
      </c>
      <c r="V54" s="16">
        <v>0</v>
      </c>
      <c r="W54" s="15">
        <f>IFERROR(VLOOKUP(V54,'Puntos XCC Mayor'!$A$1:$B$15,2,FALSE),0)</f>
        <v>0</v>
      </c>
      <c r="X54" s="15">
        <v>0</v>
      </c>
      <c r="Y54" s="25">
        <f>IFERROR(VLOOKUP(X54,'Puntos XCO'!$A$1:$B$63,2,FALSE),0)</f>
        <v>0</v>
      </c>
      <c r="Z54" s="16">
        <f t="shared" si="0"/>
        <v>0</v>
      </c>
      <c r="AA54" s="15">
        <f>IFERROR(VLOOKUP(Z54,'Puntos XCC Mayor'!$A$1:$B$15,2,FALSE),0)</f>
        <v>0</v>
      </c>
      <c r="AB54" s="15">
        <f t="shared" si="1"/>
        <v>0</v>
      </c>
      <c r="AC54" s="25">
        <f>IFERROR(VLOOKUP(AB54,'Puntos XCO'!$A$1:$B$63,2,FALSE),0)</f>
        <v>0</v>
      </c>
      <c r="AD54" s="16"/>
      <c r="AE54" s="15"/>
      <c r="AF54" s="15"/>
      <c r="AG54" s="25"/>
      <c r="AH54" s="27">
        <f t="shared" si="2"/>
        <v>76</v>
      </c>
      <c r="AJ54" s="3"/>
    </row>
    <row r="55" spans="1:36" ht="24.95" customHeight="1">
      <c r="A55" s="3">
        <v>41</v>
      </c>
      <c r="B55" s="3">
        <v>37</v>
      </c>
      <c r="C55" s="113"/>
      <c r="D55" s="23" t="s">
        <v>577</v>
      </c>
      <c r="E55" s="53" t="s">
        <v>578</v>
      </c>
      <c r="F55" s="26"/>
      <c r="G55" s="15"/>
      <c r="H55" s="3"/>
      <c r="I55" s="25"/>
      <c r="J55" s="33">
        <v>14</v>
      </c>
      <c r="K55" s="22">
        <v>2</v>
      </c>
      <c r="L55" s="22">
        <v>14</v>
      </c>
      <c r="M55" s="34">
        <v>70</v>
      </c>
      <c r="N55" s="26"/>
      <c r="O55" s="3">
        <f>IFERROR(VLOOKUP(N55,'Puntos XCC Mayor'!$A$1:$B$15,2,FALSE),0)</f>
        <v>0</v>
      </c>
      <c r="P55" s="3"/>
      <c r="Q55" s="34">
        <f>IFERROR(VLOOKUP(P55,'Puntos XCO'!$A$1:$B$63,2,FALSE),0)</f>
        <v>0</v>
      </c>
      <c r="R55" s="16">
        <v>0</v>
      </c>
      <c r="S55" s="15">
        <f>IFERROR(VLOOKUP(R55,'Puntos XCC Mayor'!$A$1:$B$15,2,FALSE),0)</f>
        <v>0</v>
      </c>
      <c r="T55" s="15">
        <v>0</v>
      </c>
      <c r="U55" s="25">
        <f>IFERROR(VLOOKUP(T55,'Puntos XCO'!$A$1:$B$63,2,FALSE),0)</f>
        <v>0</v>
      </c>
      <c r="V55" s="16">
        <v>0</v>
      </c>
      <c r="W55" s="15">
        <f>IFERROR(VLOOKUP(V55,'Puntos XCC Mayor'!$A$1:$B$15,2,FALSE),0)</f>
        <v>0</v>
      </c>
      <c r="X55" s="15">
        <v>0</v>
      </c>
      <c r="Y55" s="25">
        <f>IFERROR(VLOOKUP(X55,'Puntos XCO'!$A$1:$B$63,2,FALSE),0)</f>
        <v>0</v>
      </c>
      <c r="Z55" s="16">
        <f t="shared" si="0"/>
        <v>0</v>
      </c>
      <c r="AA55" s="15">
        <f>IFERROR(VLOOKUP(Z55,'Puntos XCC Mayor'!$A$1:$B$15,2,FALSE),0)</f>
        <v>0</v>
      </c>
      <c r="AB55" s="15">
        <f t="shared" si="1"/>
        <v>0</v>
      </c>
      <c r="AC55" s="25">
        <f>IFERROR(VLOOKUP(AB55,'Puntos XCO'!$A$1:$B$63,2,FALSE),0)</f>
        <v>0</v>
      </c>
      <c r="AD55" s="16"/>
      <c r="AE55" s="15"/>
      <c r="AF55" s="15"/>
      <c r="AG55" s="25"/>
      <c r="AH55" s="27">
        <f t="shared" si="2"/>
        <v>72</v>
      </c>
      <c r="AJ55" s="3"/>
    </row>
    <row r="56" spans="1:36" ht="24.95" customHeight="1">
      <c r="A56" s="3">
        <v>42</v>
      </c>
      <c r="B56" s="3">
        <v>38</v>
      </c>
      <c r="C56" s="115"/>
      <c r="D56" s="23" t="s">
        <v>188</v>
      </c>
      <c r="E56" s="53" t="s">
        <v>189</v>
      </c>
      <c r="F56" s="26">
        <v>0</v>
      </c>
      <c r="G56" s="15">
        <v>0</v>
      </c>
      <c r="H56" s="3">
        <v>15</v>
      </c>
      <c r="I56" s="25">
        <v>68</v>
      </c>
      <c r="J56" s="33">
        <v>0</v>
      </c>
      <c r="K56" s="22" t="s">
        <v>861</v>
      </c>
      <c r="L56" s="22">
        <v>0</v>
      </c>
      <c r="M56" s="34">
        <v>0</v>
      </c>
      <c r="N56" s="26"/>
      <c r="O56" s="3">
        <f>IFERROR(VLOOKUP(N56,'Puntos XCC Mayor'!$A$1:$B$15,2,FALSE),0)</f>
        <v>0</v>
      </c>
      <c r="P56" s="3"/>
      <c r="Q56" s="34">
        <f>IFERROR(VLOOKUP(P56,'Puntos XCO'!$A$1:$B$63,2,FALSE),0)</f>
        <v>0</v>
      </c>
      <c r="R56" s="16">
        <v>0</v>
      </c>
      <c r="S56" s="15">
        <f>IFERROR(VLOOKUP(R56,'Puntos XCC Mayor'!$A$1:$B$15,2,FALSE),0)</f>
        <v>0</v>
      </c>
      <c r="T56" s="15">
        <v>0</v>
      </c>
      <c r="U56" s="25">
        <f>IFERROR(VLOOKUP(T56,'Puntos XCO'!$A$1:$B$63,2,FALSE),0)</f>
        <v>0</v>
      </c>
      <c r="V56" s="16">
        <v>0</v>
      </c>
      <c r="W56" s="15">
        <f>IFERROR(VLOOKUP(V56,'Puntos XCC Mayor'!$A$1:$B$15,2,FALSE),0)</f>
        <v>0</v>
      </c>
      <c r="X56" s="15">
        <v>0</v>
      </c>
      <c r="Y56" s="25">
        <f>IFERROR(VLOOKUP(X56,'Puntos XCO'!$A$1:$B$63,2,FALSE),0)</f>
        <v>0</v>
      </c>
      <c r="Z56" s="16">
        <f t="shared" si="0"/>
        <v>0</v>
      </c>
      <c r="AA56" s="15">
        <f>IFERROR(VLOOKUP(Z56,'Puntos XCC Mayor'!$A$1:$B$15,2,FALSE),0)</f>
        <v>0</v>
      </c>
      <c r="AB56" s="15">
        <f t="shared" si="1"/>
        <v>0</v>
      </c>
      <c r="AC56" s="25">
        <f>IFERROR(VLOOKUP(AB56,'Puntos XCO'!$A$1:$B$63,2,FALSE),0)</f>
        <v>0</v>
      </c>
      <c r="AD56" s="16"/>
      <c r="AE56" s="15"/>
      <c r="AF56" s="15"/>
      <c r="AG56" s="25"/>
      <c r="AH56" s="27">
        <f t="shared" si="2"/>
        <v>68</v>
      </c>
      <c r="AJ56" s="3"/>
    </row>
    <row r="57" spans="1:36" ht="24.95" customHeight="1">
      <c r="A57" s="3">
        <v>43</v>
      </c>
      <c r="B57" s="3">
        <v>41</v>
      </c>
      <c r="C57" s="113"/>
      <c r="D57" s="23" t="s">
        <v>579</v>
      </c>
      <c r="E57" s="24" t="s">
        <v>580</v>
      </c>
      <c r="F57" s="26"/>
      <c r="G57" s="15"/>
      <c r="H57" s="3"/>
      <c r="I57" s="25"/>
      <c r="J57" s="33">
        <v>15</v>
      </c>
      <c r="K57" s="22">
        <v>1</v>
      </c>
      <c r="L57" s="22">
        <v>16</v>
      </c>
      <c r="M57" s="34">
        <v>66</v>
      </c>
      <c r="N57" s="26"/>
      <c r="O57" s="3">
        <f>IFERROR(VLOOKUP(N57,'Puntos XCC Mayor'!$A$1:$B$15,2,FALSE),0)</f>
        <v>0</v>
      </c>
      <c r="P57" s="3"/>
      <c r="Q57" s="34">
        <f>IFERROR(VLOOKUP(P57,'Puntos XCO'!$A$1:$B$63,2,FALSE),0)</f>
        <v>0</v>
      </c>
      <c r="R57" s="16">
        <v>0</v>
      </c>
      <c r="S57" s="15">
        <f>IFERROR(VLOOKUP(R57,'Puntos XCC Mayor'!$A$1:$B$15,2,FALSE),0)</f>
        <v>0</v>
      </c>
      <c r="T57" s="15">
        <v>0</v>
      </c>
      <c r="U57" s="25">
        <f>IFERROR(VLOOKUP(T57,'Puntos XCO'!$A$1:$B$63,2,FALSE),0)</f>
        <v>0</v>
      </c>
      <c r="V57" s="16">
        <v>0</v>
      </c>
      <c r="W57" s="15">
        <f>IFERROR(VLOOKUP(V57,'Puntos XCC Mayor'!$A$1:$B$15,2,FALSE),0)</f>
        <v>0</v>
      </c>
      <c r="X57" s="15">
        <v>0</v>
      </c>
      <c r="Y57" s="25">
        <f>IFERROR(VLOOKUP(X57,'Puntos XCO'!$A$1:$B$63,2,FALSE),0)</f>
        <v>0</v>
      </c>
      <c r="Z57" s="16">
        <f t="shared" si="0"/>
        <v>0</v>
      </c>
      <c r="AA57" s="15">
        <f>IFERROR(VLOOKUP(Z57,'Puntos XCC Mayor'!$A$1:$B$15,2,FALSE),0)</f>
        <v>0</v>
      </c>
      <c r="AB57" s="15">
        <f t="shared" si="1"/>
        <v>0</v>
      </c>
      <c r="AC57" s="25">
        <f>IFERROR(VLOOKUP(AB57,'Puntos XCO'!$A$1:$B$63,2,FALSE),0)</f>
        <v>0</v>
      </c>
      <c r="AD57" s="16"/>
      <c r="AE57" s="15"/>
      <c r="AF57" s="15"/>
      <c r="AG57" s="25"/>
      <c r="AH57" s="27">
        <f t="shared" si="2"/>
        <v>67</v>
      </c>
      <c r="AJ57" s="3"/>
    </row>
    <row r="58" spans="1:36" ht="24.95" customHeight="1">
      <c r="A58" s="3">
        <v>44</v>
      </c>
      <c r="B58" s="3">
        <v>42</v>
      </c>
      <c r="C58" s="113"/>
      <c r="D58" s="23" t="s">
        <v>575</v>
      </c>
      <c r="E58" s="24" t="s">
        <v>70</v>
      </c>
      <c r="F58" s="26"/>
      <c r="G58" s="15"/>
      <c r="H58" s="3"/>
      <c r="I58" s="25"/>
      <c r="J58" s="33">
        <v>17</v>
      </c>
      <c r="K58" s="22" t="s">
        <v>861</v>
      </c>
      <c r="L58" s="22">
        <v>18</v>
      </c>
      <c r="M58" s="34">
        <v>62</v>
      </c>
      <c r="N58" s="26"/>
      <c r="O58" s="3">
        <f>IFERROR(VLOOKUP(N58,'Puntos XCC Mayor'!$A$1:$B$15,2,FALSE),0)</f>
        <v>0</v>
      </c>
      <c r="P58" s="3"/>
      <c r="Q58" s="34">
        <f>IFERROR(VLOOKUP(P58,'Puntos XCO'!$A$1:$B$63,2,FALSE),0)</f>
        <v>0</v>
      </c>
      <c r="R58" s="16">
        <v>0</v>
      </c>
      <c r="S58" s="15">
        <f>IFERROR(VLOOKUP(R58,'Puntos XCC Mayor'!$A$1:$B$15,2,FALSE),0)</f>
        <v>0</v>
      </c>
      <c r="T58" s="15">
        <v>0</v>
      </c>
      <c r="U58" s="25">
        <f>IFERROR(VLOOKUP(T58,'Puntos XCO'!$A$1:$B$63,2,FALSE),0)</f>
        <v>0</v>
      </c>
      <c r="V58" s="16">
        <v>0</v>
      </c>
      <c r="W58" s="15">
        <f>IFERROR(VLOOKUP(V58,'Puntos XCC Mayor'!$A$1:$B$15,2,FALSE),0)</f>
        <v>0</v>
      </c>
      <c r="X58" s="15">
        <v>0</v>
      </c>
      <c r="Y58" s="25">
        <f>IFERROR(VLOOKUP(X58,'Puntos XCO'!$A$1:$B$63,2,FALSE),0)</f>
        <v>0</v>
      </c>
      <c r="Z58" s="16">
        <f t="shared" si="0"/>
        <v>0</v>
      </c>
      <c r="AA58" s="15">
        <f>IFERROR(VLOOKUP(Z58,'Puntos XCC Mayor'!$A$1:$B$15,2,FALSE),0)</f>
        <v>0</v>
      </c>
      <c r="AB58" s="15">
        <f t="shared" si="1"/>
        <v>0</v>
      </c>
      <c r="AC58" s="25">
        <f>IFERROR(VLOOKUP(AB58,'Puntos XCO'!$A$1:$B$63,2,FALSE),0)</f>
        <v>0</v>
      </c>
      <c r="AD58" s="16"/>
      <c r="AE58" s="15"/>
      <c r="AF58" s="15"/>
      <c r="AG58" s="25"/>
      <c r="AH58" s="27">
        <f t="shared" si="2"/>
        <v>62</v>
      </c>
      <c r="AJ58" s="3"/>
    </row>
    <row r="59" spans="1:36" ht="24.95" customHeight="1">
      <c r="A59" s="3">
        <v>45</v>
      </c>
      <c r="B59" s="3">
        <v>43</v>
      </c>
      <c r="C59" s="113"/>
      <c r="D59" s="23" t="s">
        <v>576</v>
      </c>
      <c r="E59" s="24" t="s">
        <v>70</v>
      </c>
      <c r="F59" s="26"/>
      <c r="G59" s="15"/>
      <c r="H59" s="3"/>
      <c r="I59" s="25"/>
      <c r="J59" s="33">
        <v>19</v>
      </c>
      <c r="K59" s="22" t="s">
        <v>861</v>
      </c>
      <c r="L59" s="22">
        <v>20</v>
      </c>
      <c r="M59" s="34">
        <v>58</v>
      </c>
      <c r="N59" s="26"/>
      <c r="O59" s="3">
        <f>IFERROR(VLOOKUP(N59,'Puntos XCC Mayor'!$A$1:$B$15,2,FALSE),0)</f>
        <v>0</v>
      </c>
      <c r="P59" s="3"/>
      <c r="Q59" s="34">
        <f>IFERROR(VLOOKUP(P59,'Puntos XCO'!$A$1:$B$63,2,FALSE),0)</f>
        <v>0</v>
      </c>
      <c r="R59" s="16">
        <v>0</v>
      </c>
      <c r="S59" s="15">
        <f>IFERROR(VLOOKUP(R59,'Puntos XCC Mayor'!$A$1:$B$15,2,FALSE),0)</f>
        <v>0</v>
      </c>
      <c r="T59" s="15">
        <v>0</v>
      </c>
      <c r="U59" s="25">
        <f>IFERROR(VLOOKUP(T59,'Puntos XCO'!$A$1:$B$63,2,FALSE),0)</f>
        <v>0</v>
      </c>
      <c r="V59" s="16">
        <v>0</v>
      </c>
      <c r="W59" s="15">
        <f>IFERROR(VLOOKUP(V59,'Puntos XCC Mayor'!$A$1:$B$15,2,FALSE),0)</f>
        <v>0</v>
      </c>
      <c r="X59" s="15">
        <v>0</v>
      </c>
      <c r="Y59" s="25">
        <f>IFERROR(VLOOKUP(X59,'Puntos XCO'!$A$1:$B$63,2,FALSE),0)</f>
        <v>0</v>
      </c>
      <c r="Z59" s="16">
        <f t="shared" si="0"/>
        <v>0</v>
      </c>
      <c r="AA59" s="15">
        <f>IFERROR(VLOOKUP(Z59,'Puntos XCC Mayor'!$A$1:$B$15,2,FALSE),0)</f>
        <v>0</v>
      </c>
      <c r="AB59" s="15">
        <f t="shared" si="1"/>
        <v>0</v>
      </c>
      <c r="AC59" s="25">
        <f>IFERROR(VLOOKUP(AB59,'Puntos XCO'!$A$1:$B$63,2,FALSE),0)</f>
        <v>0</v>
      </c>
      <c r="AD59" s="16"/>
      <c r="AE59" s="15"/>
      <c r="AF59" s="15"/>
      <c r="AG59" s="25"/>
      <c r="AH59" s="27">
        <f t="shared" si="2"/>
        <v>58</v>
      </c>
      <c r="AJ59" s="3"/>
    </row>
    <row r="60" spans="1:36" ht="24.95" customHeight="1">
      <c r="A60" s="3">
        <v>46</v>
      </c>
      <c r="B60" s="3">
        <v>44</v>
      </c>
      <c r="C60" s="113"/>
      <c r="D60" s="23" t="s">
        <v>179</v>
      </c>
      <c r="E60" s="24" t="s">
        <v>180</v>
      </c>
      <c r="F60" s="26">
        <v>8</v>
      </c>
      <c r="G60" s="15">
        <v>8</v>
      </c>
      <c r="H60" s="3">
        <v>0</v>
      </c>
      <c r="I60" s="25">
        <v>0</v>
      </c>
      <c r="J60" s="33">
        <v>0</v>
      </c>
      <c r="K60" s="22" t="s">
        <v>861</v>
      </c>
      <c r="L60" s="22">
        <v>0</v>
      </c>
      <c r="M60" s="34">
        <v>0</v>
      </c>
      <c r="N60" s="26"/>
      <c r="O60" s="3">
        <f>IFERROR(VLOOKUP(N60,'Puntos XCC Mayor'!$A$1:$B$15,2,FALSE),0)</f>
        <v>0</v>
      </c>
      <c r="P60" s="3"/>
      <c r="Q60" s="34">
        <f>IFERROR(VLOOKUP(P60,'Puntos XCO'!$A$1:$B$63,2,FALSE),0)</f>
        <v>0</v>
      </c>
      <c r="R60" s="16">
        <v>0</v>
      </c>
      <c r="S60" s="15">
        <f>IFERROR(VLOOKUP(R60,'Puntos XCC Mayor'!$A$1:$B$15,2,FALSE),0)</f>
        <v>0</v>
      </c>
      <c r="T60" s="15">
        <v>0</v>
      </c>
      <c r="U60" s="25">
        <f>IFERROR(VLOOKUP(T60,'Puntos XCO'!$A$1:$B$63,2,FALSE),0)</f>
        <v>0</v>
      </c>
      <c r="V60" s="16">
        <v>0</v>
      </c>
      <c r="W60" s="15">
        <f>IFERROR(VLOOKUP(V60,'Puntos XCC Mayor'!$A$1:$B$15,2,FALSE),0)</f>
        <v>0</v>
      </c>
      <c r="X60" s="15">
        <v>0</v>
      </c>
      <c r="Y60" s="25">
        <f>IFERROR(VLOOKUP(X60,'Puntos XCO'!$A$1:$B$63,2,FALSE),0)</f>
        <v>0</v>
      </c>
      <c r="Z60" s="16">
        <f t="shared" si="0"/>
        <v>0</v>
      </c>
      <c r="AA60" s="15">
        <f>IFERROR(VLOOKUP(Z60,'Puntos XCC Mayor'!$A$1:$B$15,2,FALSE),0)</f>
        <v>0</v>
      </c>
      <c r="AB60" s="15">
        <f t="shared" si="1"/>
        <v>0</v>
      </c>
      <c r="AC60" s="25">
        <f>IFERROR(VLOOKUP(AB60,'Puntos XCO'!$A$1:$B$63,2,FALSE),0)</f>
        <v>0</v>
      </c>
      <c r="AD60" s="16"/>
      <c r="AE60" s="15"/>
      <c r="AF60" s="15"/>
      <c r="AG60" s="25"/>
      <c r="AH60" s="27">
        <f t="shared" si="2"/>
        <v>8</v>
      </c>
      <c r="AJ60" s="3"/>
    </row>
    <row r="61" spans="1:36" ht="24.95" customHeight="1">
      <c r="A61" s="3"/>
      <c r="B61" s="3"/>
      <c r="C61" s="113"/>
      <c r="D61" s="23" t="s">
        <v>178</v>
      </c>
      <c r="E61" s="24" t="s">
        <v>86</v>
      </c>
      <c r="F61" s="26">
        <v>0</v>
      </c>
      <c r="G61" s="15">
        <v>0</v>
      </c>
      <c r="H61" s="3">
        <v>0</v>
      </c>
      <c r="I61" s="25">
        <v>0</v>
      </c>
      <c r="J61" s="33">
        <v>0</v>
      </c>
      <c r="K61" s="22" t="s">
        <v>861</v>
      </c>
      <c r="L61" s="22">
        <v>0</v>
      </c>
      <c r="M61" s="34">
        <v>0</v>
      </c>
      <c r="N61" s="26"/>
      <c r="O61" s="3">
        <f>IFERROR(VLOOKUP(N61,'Puntos XCC Mayor'!$A$1:$B$15,2,FALSE),0)</f>
        <v>0</v>
      </c>
      <c r="P61" s="3"/>
      <c r="Q61" s="34">
        <f>IFERROR(VLOOKUP(P61,'Puntos XCO'!$A$1:$B$63,2,FALSE),0)</f>
        <v>0</v>
      </c>
      <c r="R61" s="16">
        <v>0</v>
      </c>
      <c r="S61" s="15">
        <f>IFERROR(VLOOKUP(R61,'Puntos XCC Mayor'!$A$1:$B$15,2,FALSE),0)</f>
        <v>0</v>
      </c>
      <c r="T61" s="15">
        <v>0</v>
      </c>
      <c r="U61" s="25">
        <f>IFERROR(VLOOKUP(T61,'Puntos XCO'!$A$1:$B$63,2,FALSE),0)</f>
        <v>0</v>
      </c>
      <c r="V61" s="16">
        <v>0</v>
      </c>
      <c r="W61" s="15">
        <f>IFERROR(VLOOKUP(V61,'Puntos XCC Mayor'!$A$1:$B$15,2,FALSE),0)</f>
        <v>0</v>
      </c>
      <c r="X61" s="15">
        <v>0</v>
      </c>
      <c r="Y61" s="25">
        <f>IFERROR(VLOOKUP(X61,'Puntos XCO'!$A$1:$B$63,2,FALSE),0)</f>
        <v>0</v>
      </c>
      <c r="Z61" s="16">
        <f t="shared" si="0"/>
        <v>0</v>
      </c>
      <c r="AA61" s="15">
        <f>IFERROR(VLOOKUP(Z61,'Puntos XCC Mayor'!$A$1:$B$15,2,FALSE),0)</f>
        <v>0</v>
      </c>
      <c r="AB61" s="15">
        <f t="shared" si="1"/>
        <v>0</v>
      </c>
      <c r="AC61" s="25">
        <f>IFERROR(VLOOKUP(AB61,'Puntos XCO'!$A$1:$B$63,2,FALSE),0)</f>
        <v>0</v>
      </c>
      <c r="AD61" s="16"/>
      <c r="AE61" s="15"/>
      <c r="AF61" s="15"/>
      <c r="AG61" s="25"/>
      <c r="AH61" s="27">
        <f t="shared" si="2"/>
        <v>0</v>
      </c>
      <c r="AJ61" s="3"/>
    </row>
    <row r="62" spans="1:36" ht="24.95" customHeight="1">
      <c r="A62" s="3"/>
      <c r="B62" s="3"/>
      <c r="C62" s="113"/>
      <c r="D62" s="23" t="s">
        <v>574</v>
      </c>
      <c r="E62" s="24" t="s">
        <v>70</v>
      </c>
      <c r="F62" s="26"/>
      <c r="G62" s="15"/>
      <c r="H62" s="3"/>
      <c r="I62" s="25"/>
      <c r="J62" s="33"/>
      <c r="K62" s="22"/>
      <c r="L62" s="22"/>
      <c r="M62" s="34"/>
      <c r="N62" s="26"/>
      <c r="O62" s="3"/>
      <c r="P62" s="3"/>
      <c r="Q62" s="34"/>
      <c r="R62" s="16"/>
      <c r="S62" s="15"/>
      <c r="T62" s="15"/>
      <c r="U62" s="25"/>
      <c r="V62" s="16"/>
      <c r="W62" s="15"/>
      <c r="X62" s="15"/>
      <c r="Y62" s="25"/>
      <c r="Z62" s="16">
        <f t="shared" si="0"/>
        <v>0</v>
      </c>
      <c r="AA62" s="15">
        <f>IFERROR(VLOOKUP(Z62,'Puntos XCC Mayor'!$A$1:$B$15,2,FALSE),0)</f>
        <v>0</v>
      </c>
      <c r="AB62" s="15">
        <f t="shared" si="1"/>
        <v>0</v>
      </c>
      <c r="AC62" s="25">
        <f>IFERROR(VLOOKUP(AB62,'Puntos XCO'!$A$1:$B$63,2,FALSE),0)</f>
        <v>0</v>
      </c>
      <c r="AD62" s="16"/>
      <c r="AE62" s="15"/>
      <c r="AF62" s="15"/>
      <c r="AG62" s="25"/>
      <c r="AH62" s="27">
        <f t="shared" si="2"/>
        <v>0</v>
      </c>
      <c r="AJ62" s="3"/>
    </row>
    <row r="63" spans="1:36" ht="24.95" customHeight="1">
      <c r="A63" s="3"/>
      <c r="B63" s="3"/>
      <c r="C63" s="113"/>
      <c r="D63" s="23"/>
      <c r="E63" s="53"/>
      <c r="F63" s="64"/>
      <c r="G63" s="15"/>
      <c r="H63" s="3"/>
      <c r="I63" s="63"/>
      <c r="J63" s="106"/>
      <c r="K63" s="22"/>
      <c r="L63" s="22"/>
      <c r="M63" s="106"/>
      <c r="N63" s="64"/>
      <c r="O63" s="3"/>
      <c r="P63" s="3"/>
      <c r="Q63" s="106"/>
      <c r="R63" s="63"/>
      <c r="S63" s="15"/>
      <c r="T63" s="15"/>
      <c r="U63" s="63"/>
      <c r="V63" s="63"/>
      <c r="W63" s="15"/>
      <c r="X63" s="15"/>
      <c r="Y63" s="63"/>
      <c r="Z63" s="63"/>
      <c r="AA63" s="15"/>
      <c r="AB63" s="15"/>
      <c r="AC63" s="63"/>
      <c r="AD63" s="63"/>
      <c r="AE63" s="15"/>
      <c r="AF63" s="15"/>
      <c r="AG63" s="63"/>
      <c r="AH63" s="27"/>
      <c r="AJ63" s="3"/>
    </row>
    <row r="64" spans="1:36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74"/>
      <c r="Q64" s="65"/>
      <c r="R64" s="65"/>
      <c r="S64" s="65"/>
      <c r="T64" s="65"/>
      <c r="U64" s="65"/>
      <c r="V64" s="65"/>
      <c r="W64" s="65"/>
      <c r="X64" s="65"/>
      <c r="Y64" s="65"/>
      <c r="Z64" s="116"/>
      <c r="AA64" s="116"/>
      <c r="AB64" s="116"/>
      <c r="AC64" s="116"/>
      <c r="AD64" s="116"/>
      <c r="AE64" s="116"/>
      <c r="AF64" s="116"/>
      <c r="AG64" s="116"/>
      <c r="AH64" s="116"/>
    </row>
    <row r="65" spans="1:34">
      <c r="M65" s="9"/>
      <c r="N65" s="9"/>
      <c r="O65" s="9"/>
      <c r="P65" s="10"/>
      <c r="Q65" s="9"/>
      <c r="R65" s="9"/>
      <c r="S65" s="9"/>
      <c r="T65" s="9"/>
      <c r="U65" s="9"/>
    </row>
    <row r="66" spans="1:34" ht="97.5" customHeight="1"/>
    <row r="67" spans="1:34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6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</row>
  </sheetData>
  <sortState ref="B15:AH62">
    <sortCondition descending="1" ref="AH15:AH62"/>
  </sortState>
  <mergeCells count="12">
    <mergeCell ref="AH13:AH14"/>
    <mergeCell ref="A8:AH8"/>
    <mergeCell ref="A10:AH10"/>
    <mergeCell ref="A11:AH11"/>
    <mergeCell ref="A13:B13"/>
    <mergeCell ref="F13:I13"/>
    <mergeCell ref="J13:M13"/>
    <mergeCell ref="V13:Y13"/>
    <mergeCell ref="N13:Q13"/>
    <mergeCell ref="R13:U13"/>
    <mergeCell ref="Z13:AC13"/>
    <mergeCell ref="AD13:AG13"/>
  </mergeCells>
  <phoneticPr fontId="7" type="noConversion"/>
  <conditionalFormatting sqref="C11">
    <cfRule type="duplicateValues" dxfId="587" priority="85" stopIfTrue="1"/>
  </conditionalFormatting>
  <conditionalFormatting sqref="C11">
    <cfRule type="duplicateValues" dxfId="586" priority="86" stopIfTrue="1"/>
  </conditionalFormatting>
  <conditionalFormatting sqref="D11">
    <cfRule type="duplicateValues" dxfId="585" priority="84" stopIfTrue="1"/>
  </conditionalFormatting>
  <conditionalFormatting sqref="C64:C65542 C1:C9 C12:C14">
    <cfRule type="duplicateValues" dxfId="584" priority="6395" stopIfTrue="1"/>
  </conditionalFormatting>
  <conditionalFormatting sqref="C10">
    <cfRule type="duplicateValues" dxfId="583" priority="26" stopIfTrue="1"/>
  </conditionalFormatting>
  <conditionalFormatting sqref="C10">
    <cfRule type="duplicateValues" dxfId="582" priority="27" stopIfTrue="1"/>
  </conditionalFormatting>
  <conditionalFormatting sqref="C24">
    <cfRule type="duplicateValues" dxfId="581" priority="5"/>
  </conditionalFormatting>
  <conditionalFormatting sqref="C32">
    <cfRule type="duplicateValues" dxfId="580" priority="6"/>
  </conditionalFormatting>
  <conditionalFormatting sqref="C50:C55">
    <cfRule type="duplicateValues" dxfId="579" priority="3"/>
  </conditionalFormatting>
  <conditionalFormatting sqref="C33:C49">
    <cfRule type="duplicateValues" dxfId="578" priority="7826"/>
  </conditionalFormatting>
  <conditionalFormatting sqref="AJ15:AJ63">
    <cfRule type="duplicateValues" dxfId="577" priority="7827"/>
  </conditionalFormatting>
  <conditionalFormatting sqref="C56 C63">
    <cfRule type="duplicateValues" dxfId="576" priority="7828"/>
  </conditionalFormatting>
  <conditionalFormatting sqref="C57:C60">
    <cfRule type="duplicateValues" dxfId="575" priority="1"/>
  </conditionalFormatting>
  <pageMargins left="0.70866141732283472" right="0.70866141732283472" top="0.74803149606299213" bottom="0.74803149606299213" header="0.31496062992125984" footer="0.31496062992125984"/>
  <pageSetup paperSize="9" scale="41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2:G21"/>
  <sheetViews>
    <sheetView topLeftCell="A19" workbookViewId="0">
      <selection activeCell="C21" sqref="C21"/>
    </sheetView>
  </sheetViews>
  <sheetFormatPr baseColWidth="10" defaultRowHeight="15"/>
  <cols>
    <col min="1" max="2" width="11.42578125" customWidth="1"/>
    <col min="3" max="3" width="26" bestFit="1" customWidth="1"/>
    <col min="4" max="4" width="12.42578125" bestFit="1" customWidth="1"/>
    <col min="5" max="5" width="33.28515625" bestFit="1" customWidth="1"/>
  </cols>
  <sheetData>
    <row r="2" spans="1:7">
      <c r="A2" s="2"/>
      <c r="B2" s="2"/>
      <c r="G2" s="3"/>
    </row>
    <row r="3" spans="1:7">
      <c r="A3" s="2"/>
      <c r="B3" s="2"/>
      <c r="G3" s="3"/>
    </row>
    <row r="4" spans="1:7">
      <c r="A4" s="2"/>
      <c r="B4" s="2"/>
      <c r="D4" s="5"/>
      <c r="F4" s="2"/>
      <c r="G4" s="3"/>
    </row>
    <row r="5" spans="1:7">
      <c r="A5" s="2"/>
      <c r="B5" s="2"/>
      <c r="D5" s="5"/>
      <c r="F5" s="2"/>
      <c r="G5" s="3"/>
    </row>
    <row r="6" spans="1:7">
      <c r="A6" s="2"/>
      <c r="B6" s="2"/>
      <c r="D6" s="5"/>
      <c r="F6" s="2"/>
      <c r="G6" s="3"/>
    </row>
    <row r="7" spans="1:7">
      <c r="A7" s="2"/>
      <c r="B7" s="2"/>
      <c r="D7" s="5"/>
      <c r="F7" s="2"/>
      <c r="G7" s="3"/>
    </row>
    <row r="8" spans="1:7">
      <c r="A8" s="2"/>
      <c r="B8" s="2"/>
      <c r="D8" s="5"/>
      <c r="F8" s="2"/>
      <c r="G8" s="3"/>
    </row>
    <row r="9" spans="1:7">
      <c r="A9" s="2"/>
      <c r="B9" s="2"/>
      <c r="D9" s="5"/>
      <c r="F9" s="2"/>
      <c r="G9" s="3"/>
    </row>
    <row r="10" spans="1:7">
      <c r="A10" s="2"/>
      <c r="B10" s="2"/>
      <c r="D10" s="5"/>
      <c r="F10" s="2"/>
      <c r="G10" s="3"/>
    </row>
    <row r="11" spans="1:7">
      <c r="A11" s="2"/>
      <c r="B11" s="2"/>
      <c r="D11" s="5"/>
      <c r="F11" s="2"/>
      <c r="G11" s="3"/>
    </row>
    <row r="12" spans="1:7">
      <c r="A12" s="2"/>
      <c r="B12" s="2"/>
      <c r="D12" s="5"/>
      <c r="F12" s="2"/>
      <c r="G12" s="3"/>
    </row>
    <row r="13" spans="1:7">
      <c r="A13" s="2"/>
      <c r="B13" s="2"/>
      <c r="D13" s="5"/>
      <c r="F13" s="2"/>
      <c r="G13" s="3"/>
    </row>
    <row r="14" spans="1:7">
      <c r="G14" s="2"/>
    </row>
    <row r="15" spans="1:7">
      <c r="G15" s="2"/>
    </row>
    <row r="16" spans="1:7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</sheetData>
  <phoneticPr fontId="7" type="noConversion"/>
  <conditionalFormatting sqref="G2">
    <cfRule type="duplicateValues" dxfId="574" priority="7" stopIfTrue="1"/>
  </conditionalFormatting>
  <conditionalFormatting sqref="B4:B13">
    <cfRule type="duplicateValues" dxfId="573" priority="13" stopIfTrue="1"/>
  </conditionalFormatting>
  <conditionalFormatting sqref="G4:G13">
    <cfRule type="duplicateValues" dxfId="572" priority="14" stopIfTrue="1"/>
  </conditionalFormatting>
  <conditionalFormatting sqref="G4:G6">
    <cfRule type="duplicateValues" dxfId="571" priority="3" stopIfTrue="1"/>
  </conditionalFormatting>
  <conditionalFormatting sqref="G2:G21 B2:B13">
    <cfRule type="duplicateValues" dxfId="570" priority="16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G376"/>
  <sheetViews>
    <sheetView workbookViewId="0">
      <selection activeCell="C18" sqref="C18"/>
    </sheetView>
  </sheetViews>
  <sheetFormatPr baseColWidth="10" defaultRowHeight="15"/>
  <cols>
    <col min="1" max="1" width="20.140625" bestFit="1" customWidth="1"/>
    <col min="2" max="2" width="23.28515625" bestFit="1" customWidth="1"/>
    <col min="3" max="3" width="26" bestFit="1" customWidth="1"/>
    <col min="4" max="4" width="44.7109375" bestFit="1" customWidth="1"/>
    <col min="5" max="5" width="33.28515625" bestFit="1" customWidth="1"/>
  </cols>
  <sheetData>
    <row r="1" spans="1:7">
      <c r="A1" t="s">
        <v>8</v>
      </c>
    </row>
    <row r="2" spans="1:7">
      <c r="A2" s="2"/>
      <c r="B2" s="2"/>
      <c r="G2" s="3"/>
    </row>
    <row r="3" spans="1:7">
      <c r="A3" s="2">
        <v>2</v>
      </c>
      <c r="B3" s="2"/>
      <c r="G3" s="3"/>
    </row>
    <row r="4" spans="1:7">
      <c r="A4" s="2">
        <v>1</v>
      </c>
      <c r="B4" s="2"/>
      <c r="E4" s="8"/>
      <c r="F4" s="2"/>
      <c r="G4" s="3"/>
    </row>
    <row r="5" spans="1:7">
      <c r="A5" s="2">
        <v>20</v>
      </c>
      <c r="B5" s="2"/>
      <c r="E5" s="8"/>
      <c r="F5" s="2"/>
      <c r="G5" s="3"/>
    </row>
    <row r="6" spans="1:7">
      <c r="A6" s="2">
        <v>3</v>
      </c>
      <c r="B6" s="2"/>
      <c r="E6" s="8"/>
      <c r="F6" s="2"/>
      <c r="G6" s="3"/>
    </row>
    <row r="7" spans="1:7">
      <c r="A7" s="2">
        <v>28</v>
      </c>
      <c r="B7" s="2"/>
      <c r="E7" s="8"/>
      <c r="F7" s="2"/>
      <c r="G7" s="3"/>
    </row>
    <row r="8" spans="1:7">
      <c r="A8" s="2">
        <v>34</v>
      </c>
      <c r="B8" s="2"/>
      <c r="E8" s="8"/>
      <c r="F8" s="2"/>
      <c r="G8" s="3"/>
    </row>
    <row r="9" spans="1:7">
      <c r="A9" s="2">
        <v>109</v>
      </c>
      <c r="B9" s="2" t="s">
        <v>42</v>
      </c>
      <c r="E9" s="8"/>
      <c r="F9" s="2"/>
      <c r="G9" s="3"/>
    </row>
    <row r="10" spans="1:7">
      <c r="A10" s="2">
        <v>10</v>
      </c>
      <c r="B10" s="2"/>
      <c r="E10" s="8"/>
      <c r="F10" s="2"/>
      <c r="G10" s="3"/>
    </row>
    <row r="11" spans="1:7">
      <c r="A11" s="2">
        <v>7</v>
      </c>
      <c r="B11" s="2"/>
      <c r="E11" s="8"/>
      <c r="F11" s="2"/>
      <c r="G11" s="3"/>
    </row>
    <row r="12" spans="1:7">
      <c r="A12" s="2">
        <v>31</v>
      </c>
      <c r="B12" s="2"/>
      <c r="E12" s="8"/>
      <c r="F12" s="2"/>
      <c r="G12" s="3"/>
    </row>
    <row r="13" spans="1:7">
      <c r="A13" s="2">
        <v>6</v>
      </c>
      <c r="B13" s="2"/>
      <c r="E13" s="8"/>
      <c r="F13" s="2"/>
      <c r="G13" s="3"/>
    </row>
    <row r="14" spans="1:7">
      <c r="A14" s="2">
        <v>15</v>
      </c>
      <c r="B14" s="2"/>
      <c r="E14" s="8"/>
      <c r="F14" s="2"/>
      <c r="G14" s="3"/>
    </row>
    <row r="15" spans="1:7">
      <c r="A15" s="2">
        <v>33</v>
      </c>
      <c r="B15" s="2"/>
      <c r="E15" s="8"/>
      <c r="F15" s="2"/>
      <c r="G15" s="3"/>
    </row>
    <row r="16" spans="1:7">
      <c r="A16" s="2">
        <v>32</v>
      </c>
      <c r="B16" s="2"/>
      <c r="E16" s="8"/>
      <c r="F16" s="2"/>
      <c r="G16" s="3"/>
    </row>
    <row r="17" spans="1:7">
      <c r="A17" s="2">
        <v>128</v>
      </c>
      <c r="B17" s="2" t="s">
        <v>42</v>
      </c>
      <c r="E17" s="8"/>
      <c r="F17" s="2"/>
      <c r="G17" s="3"/>
    </row>
    <row r="18" spans="1:7">
      <c r="A18" s="2">
        <v>9</v>
      </c>
      <c r="B18" s="2"/>
      <c r="E18" s="8"/>
      <c r="F18" s="2"/>
      <c r="G18" s="3"/>
    </row>
    <row r="19" spans="1:7">
      <c r="A19" s="2">
        <v>121</v>
      </c>
      <c r="B19" s="2" t="s">
        <v>42</v>
      </c>
      <c r="E19" s="8"/>
      <c r="F19" s="2"/>
      <c r="G19" s="3"/>
    </row>
    <row r="20" spans="1:7">
      <c r="A20" s="2">
        <v>12</v>
      </c>
      <c r="B20" s="2"/>
      <c r="E20" s="8"/>
      <c r="F20" s="2"/>
      <c r="G20" s="3"/>
    </row>
    <row r="21" spans="1:7">
      <c r="A21" s="2">
        <v>124</v>
      </c>
      <c r="B21" s="2" t="s">
        <v>42</v>
      </c>
      <c r="E21" s="8"/>
      <c r="F21" s="2"/>
      <c r="G21" s="3"/>
    </row>
    <row r="22" spans="1:7">
      <c r="A22" s="2">
        <v>11</v>
      </c>
      <c r="B22" s="2"/>
      <c r="E22" s="8"/>
      <c r="F22" s="2"/>
      <c r="G22" s="3"/>
    </row>
    <row r="23" spans="1:7">
      <c r="A23" s="2">
        <v>22</v>
      </c>
      <c r="B23" s="2"/>
      <c r="E23" s="8"/>
      <c r="F23" s="2"/>
      <c r="G23" s="3"/>
    </row>
    <row r="24" spans="1:7">
      <c r="A24" s="2">
        <v>4</v>
      </c>
      <c r="B24" s="2"/>
      <c r="E24" s="8"/>
      <c r="F24" s="2"/>
      <c r="G24" s="3"/>
    </row>
    <row r="25" spans="1:7">
      <c r="A25" s="2">
        <v>125</v>
      </c>
      <c r="B25" s="2" t="s">
        <v>42</v>
      </c>
      <c r="E25" s="8"/>
      <c r="F25" s="2"/>
      <c r="G25" s="3"/>
    </row>
    <row r="26" spans="1:7">
      <c r="A26" s="2">
        <v>115</v>
      </c>
      <c r="B26" s="2" t="s">
        <v>42</v>
      </c>
      <c r="E26" s="8"/>
      <c r="F26" s="2"/>
      <c r="G26" s="3"/>
    </row>
    <row r="27" spans="1:7">
      <c r="A27" s="2">
        <v>24</v>
      </c>
      <c r="B27" s="2"/>
      <c r="E27" s="8"/>
      <c r="F27" s="2"/>
      <c r="G27" s="3"/>
    </row>
    <row r="28" spans="1:7" ht="18">
      <c r="A28" s="2">
        <v>35</v>
      </c>
      <c r="B28" s="6"/>
      <c r="C28" s="4"/>
      <c r="D28" s="7"/>
      <c r="E28" s="8"/>
      <c r="F28" s="2"/>
      <c r="G28" s="3"/>
    </row>
    <row r="29" spans="1:7">
      <c r="A29" s="2">
        <v>117</v>
      </c>
      <c r="B29" s="2" t="s">
        <v>42</v>
      </c>
      <c r="C29" s="4"/>
      <c r="D29" s="7"/>
      <c r="E29" s="8"/>
      <c r="F29" s="2"/>
      <c r="G29" s="3"/>
    </row>
    <row r="30" spans="1:7">
      <c r="A30" s="2">
        <v>8</v>
      </c>
      <c r="B30" s="2"/>
      <c r="C30" s="4"/>
      <c r="D30" s="7"/>
      <c r="E30" s="8"/>
      <c r="F30" s="2"/>
      <c r="G30" s="3"/>
    </row>
    <row r="31" spans="1:7">
      <c r="A31" s="2">
        <v>127</v>
      </c>
      <c r="B31" s="2" t="s">
        <v>42</v>
      </c>
      <c r="C31" s="4"/>
      <c r="D31" s="7"/>
      <c r="E31" s="8"/>
      <c r="F31" s="2"/>
      <c r="G31" s="3"/>
    </row>
    <row r="32" spans="1:7">
      <c r="A32" s="2">
        <v>37</v>
      </c>
      <c r="B32" s="2"/>
      <c r="C32" s="4"/>
      <c r="D32" s="7"/>
      <c r="E32" s="8"/>
      <c r="F32" s="2"/>
      <c r="G32" s="3"/>
    </row>
    <row r="33" spans="1:7">
      <c r="A33" s="2">
        <v>110</v>
      </c>
      <c r="B33" s="2" t="s">
        <v>42</v>
      </c>
      <c r="C33" s="4"/>
      <c r="D33" s="7"/>
      <c r="E33" s="8"/>
      <c r="F33" s="2"/>
      <c r="G33" s="3"/>
    </row>
    <row r="34" spans="1:7">
      <c r="A34" s="2">
        <v>36</v>
      </c>
      <c r="B34" s="2"/>
      <c r="C34" s="4"/>
      <c r="D34" s="7"/>
      <c r="E34" s="8"/>
      <c r="F34" s="2"/>
      <c r="G34" s="3"/>
    </row>
    <row r="35" spans="1:7">
      <c r="A35" s="2">
        <v>23</v>
      </c>
      <c r="B35" s="2"/>
      <c r="C35" s="4"/>
      <c r="D35" s="7"/>
      <c r="E35" s="8"/>
      <c r="F35" s="2"/>
      <c r="G35" s="3"/>
    </row>
    <row r="36" spans="1:7">
      <c r="A36" s="2">
        <v>116</v>
      </c>
      <c r="B36" s="2" t="s">
        <v>42</v>
      </c>
      <c r="C36" s="4"/>
      <c r="D36" s="7"/>
      <c r="E36" s="8"/>
      <c r="F36" s="2"/>
      <c r="G36" s="3"/>
    </row>
    <row r="37" spans="1:7">
      <c r="A37" s="2">
        <v>123</v>
      </c>
      <c r="B37" s="2" t="s">
        <v>42</v>
      </c>
      <c r="C37" s="4"/>
      <c r="D37" s="7"/>
      <c r="E37" s="8"/>
      <c r="F37" s="2"/>
      <c r="G37" s="3"/>
    </row>
    <row r="38" spans="1:7">
      <c r="A38" s="2">
        <v>18</v>
      </c>
      <c r="B38" s="2"/>
      <c r="C38" s="4"/>
      <c r="D38" s="7"/>
      <c r="E38" s="8"/>
      <c r="F38" s="2"/>
      <c r="G38" s="3"/>
    </row>
    <row r="39" spans="1:7">
      <c r="A39" s="2">
        <v>27</v>
      </c>
      <c r="B39" s="2"/>
      <c r="C39" s="4"/>
      <c r="D39" s="7"/>
      <c r="E39" s="8"/>
      <c r="F39" s="2"/>
      <c r="G39" s="3"/>
    </row>
    <row r="40" spans="1:7">
      <c r="A40" s="2">
        <v>26</v>
      </c>
      <c r="B40" s="2"/>
      <c r="C40" s="4"/>
      <c r="D40" s="7"/>
      <c r="E40" s="8"/>
      <c r="F40" s="2"/>
      <c r="G40" s="3"/>
    </row>
    <row r="41" spans="1:7">
      <c r="A41" s="2">
        <v>16</v>
      </c>
      <c r="B41" s="2"/>
      <c r="C41" s="4"/>
      <c r="D41" s="7"/>
      <c r="E41" s="8"/>
      <c r="F41" s="2"/>
      <c r="G41" s="3"/>
    </row>
    <row r="42" spans="1:7">
      <c r="A42" s="2">
        <v>42</v>
      </c>
      <c r="B42" s="2"/>
      <c r="C42" s="4"/>
      <c r="D42" s="7"/>
      <c r="E42" s="8"/>
      <c r="F42" s="2"/>
      <c r="G42" s="3"/>
    </row>
    <row r="43" spans="1:7">
      <c r="A43" s="2">
        <v>41</v>
      </c>
      <c r="B43" s="2"/>
      <c r="C43" s="4"/>
      <c r="D43" s="7"/>
      <c r="E43" s="8"/>
      <c r="F43" s="2"/>
      <c r="G43" s="3"/>
    </row>
    <row r="44" spans="1:7">
      <c r="A44" s="2">
        <v>40</v>
      </c>
      <c r="B44" s="2"/>
      <c r="C44" s="4"/>
      <c r="D44" s="7"/>
      <c r="E44" s="8"/>
      <c r="F44" s="2"/>
      <c r="G44" s="3"/>
    </row>
    <row r="45" spans="1:7">
      <c r="A45" s="2">
        <v>43</v>
      </c>
      <c r="B45" s="2"/>
      <c r="C45" s="4"/>
      <c r="D45" s="7"/>
      <c r="E45" s="8"/>
      <c r="F45" s="2"/>
      <c r="G45" s="3"/>
    </row>
    <row r="46" spans="1:7">
      <c r="A46" s="2"/>
      <c r="B46" s="2"/>
      <c r="C46" s="4"/>
      <c r="D46" s="7"/>
      <c r="E46" s="8"/>
      <c r="F46" s="2"/>
      <c r="G46" s="3"/>
    </row>
    <row r="47" spans="1:7">
      <c r="A47" s="2">
        <v>1</v>
      </c>
      <c r="B47" s="2">
        <v>1</v>
      </c>
      <c r="C47" s="4"/>
      <c r="D47" s="7"/>
      <c r="E47" s="8"/>
      <c r="F47" s="2"/>
      <c r="G47" s="3"/>
    </row>
    <row r="48" spans="1:7">
      <c r="A48" s="2">
        <v>20</v>
      </c>
      <c r="B48" s="2">
        <v>2</v>
      </c>
      <c r="C48" s="4"/>
      <c r="D48" s="7"/>
      <c r="E48" s="8"/>
      <c r="F48" s="2"/>
      <c r="G48" s="3"/>
    </row>
    <row r="49" spans="1:7">
      <c r="A49" s="2">
        <v>109</v>
      </c>
      <c r="B49" s="2">
        <v>3</v>
      </c>
      <c r="C49" s="4"/>
      <c r="D49" s="7"/>
      <c r="E49" s="8"/>
      <c r="F49" s="2"/>
      <c r="G49" s="3"/>
    </row>
    <row r="50" spans="1:7">
      <c r="A50" s="2">
        <v>31</v>
      </c>
      <c r="B50" s="2">
        <v>4</v>
      </c>
      <c r="C50" s="4"/>
      <c r="D50" s="7"/>
      <c r="E50" s="8"/>
      <c r="F50" s="2"/>
      <c r="G50" s="3"/>
    </row>
    <row r="51" spans="1:7">
      <c r="A51" s="2">
        <v>34</v>
      </c>
      <c r="B51" s="2">
        <v>5</v>
      </c>
      <c r="C51" s="4"/>
      <c r="D51" s="7"/>
      <c r="E51" s="8"/>
      <c r="F51" s="2"/>
      <c r="G51" s="3"/>
    </row>
    <row r="52" spans="1:7">
      <c r="A52" s="2">
        <v>28</v>
      </c>
      <c r="B52" s="2">
        <v>6</v>
      </c>
      <c r="C52" s="4"/>
      <c r="D52" s="7"/>
      <c r="E52" s="8"/>
      <c r="F52" s="2"/>
      <c r="G52" s="3"/>
    </row>
    <row r="53" spans="1:7">
      <c r="A53" s="2">
        <v>121</v>
      </c>
      <c r="B53" s="2">
        <v>7</v>
      </c>
      <c r="C53" s="4"/>
      <c r="D53" s="7"/>
      <c r="E53" s="8"/>
      <c r="F53" s="2"/>
      <c r="G53" s="3"/>
    </row>
    <row r="54" spans="1:7">
      <c r="A54" s="2">
        <v>10</v>
      </c>
      <c r="B54" s="2">
        <v>8</v>
      </c>
      <c r="C54" s="4"/>
      <c r="D54" s="7"/>
      <c r="E54" s="8"/>
      <c r="F54" s="2"/>
      <c r="G54" s="3"/>
    </row>
    <row r="55" spans="1:7">
      <c r="A55" s="2">
        <v>6</v>
      </c>
      <c r="B55" s="2">
        <v>9</v>
      </c>
      <c r="C55" s="4"/>
      <c r="D55" s="7"/>
      <c r="E55" s="8"/>
      <c r="F55" s="2"/>
      <c r="G55" s="3"/>
    </row>
    <row r="56" spans="1:7">
      <c r="A56" s="2">
        <v>128</v>
      </c>
      <c r="B56" s="2">
        <v>10</v>
      </c>
      <c r="C56" s="4"/>
      <c r="D56" s="7"/>
      <c r="E56" s="8"/>
      <c r="F56" s="2"/>
      <c r="G56" s="3"/>
    </row>
    <row r="57" spans="1:7">
      <c r="A57" s="2">
        <v>44</v>
      </c>
      <c r="B57" s="2">
        <v>11</v>
      </c>
      <c r="C57" s="4"/>
      <c r="D57" s="7"/>
      <c r="E57" s="8"/>
      <c r="F57" s="2"/>
      <c r="G57" s="3"/>
    </row>
    <row r="58" spans="1:7">
      <c r="A58" s="2">
        <v>132</v>
      </c>
      <c r="B58" s="2">
        <v>12</v>
      </c>
      <c r="C58" s="4"/>
      <c r="D58" s="7"/>
      <c r="E58" s="8"/>
      <c r="F58" s="2"/>
      <c r="G58" s="3"/>
    </row>
    <row r="59" spans="1:7">
      <c r="A59" s="2">
        <v>124</v>
      </c>
      <c r="B59" s="2">
        <v>13</v>
      </c>
      <c r="C59" s="4"/>
      <c r="D59" s="7"/>
      <c r="E59" s="8"/>
      <c r="F59" s="2"/>
      <c r="G59" s="3"/>
    </row>
    <row r="60" spans="1:7">
      <c r="A60" s="2">
        <v>48</v>
      </c>
      <c r="B60" s="2">
        <v>14</v>
      </c>
      <c r="C60" s="4"/>
      <c r="D60" s="7"/>
      <c r="E60" s="8"/>
      <c r="F60" s="2"/>
      <c r="G60" s="3"/>
    </row>
    <row r="61" spans="1:7">
      <c r="A61" s="2">
        <v>47</v>
      </c>
      <c r="B61" s="2">
        <v>15</v>
      </c>
      <c r="C61" s="4"/>
      <c r="D61" s="7"/>
      <c r="E61" s="8"/>
      <c r="F61" s="2"/>
      <c r="G61" s="3"/>
    </row>
    <row r="62" spans="1:7">
      <c r="A62" s="2">
        <v>125</v>
      </c>
      <c r="B62" s="2">
        <v>16</v>
      </c>
      <c r="C62" s="4"/>
      <c r="D62" s="7"/>
      <c r="E62" s="8"/>
      <c r="F62" s="2"/>
      <c r="G62" s="3"/>
    </row>
    <row r="63" spans="1:7">
      <c r="A63" s="2">
        <v>129</v>
      </c>
      <c r="B63" s="2">
        <v>17</v>
      </c>
      <c r="C63" s="4"/>
      <c r="D63" s="7"/>
      <c r="E63" s="8"/>
      <c r="F63" s="2"/>
      <c r="G63" s="3"/>
    </row>
    <row r="64" spans="1:7">
      <c r="A64" s="2">
        <v>117</v>
      </c>
      <c r="B64" s="2">
        <v>18</v>
      </c>
      <c r="C64" s="4"/>
      <c r="D64" s="7"/>
      <c r="E64" s="8"/>
      <c r="F64" s="2"/>
      <c r="G64" s="3"/>
    </row>
    <row r="65" spans="1:7">
      <c r="A65" s="2">
        <v>130</v>
      </c>
      <c r="B65" s="2">
        <v>19</v>
      </c>
      <c r="C65" s="4"/>
      <c r="D65" s="7"/>
      <c r="E65" s="8"/>
      <c r="F65" s="2"/>
      <c r="G65" s="3"/>
    </row>
    <row r="66" spans="1:7">
      <c r="A66" s="2">
        <v>127</v>
      </c>
      <c r="B66" s="2">
        <v>20</v>
      </c>
      <c r="C66" s="4"/>
      <c r="D66" s="7"/>
      <c r="E66" s="8"/>
      <c r="F66" s="2"/>
      <c r="G66" s="3"/>
    </row>
    <row r="67" spans="1:7">
      <c r="A67" s="2">
        <v>45</v>
      </c>
      <c r="B67" s="2">
        <v>21</v>
      </c>
      <c r="C67" s="4"/>
      <c r="D67" s="7"/>
      <c r="E67" s="8"/>
      <c r="F67" s="2"/>
      <c r="G67" s="3"/>
    </row>
    <row r="68" spans="1:7">
      <c r="A68" s="2">
        <v>131</v>
      </c>
      <c r="B68" s="2">
        <v>22</v>
      </c>
      <c r="C68" s="4"/>
      <c r="D68" s="7"/>
      <c r="E68" s="8"/>
      <c r="F68" s="2"/>
      <c r="G68" s="3"/>
    </row>
    <row r="69" spans="1:7">
      <c r="A69" s="2">
        <v>116</v>
      </c>
      <c r="B69" s="2">
        <v>23</v>
      </c>
      <c r="C69" s="4"/>
      <c r="D69" s="7"/>
      <c r="E69" s="8"/>
      <c r="F69" s="2"/>
      <c r="G69" s="3"/>
    </row>
    <row r="70" spans="1:7">
      <c r="A70" s="2">
        <v>110</v>
      </c>
      <c r="B70" s="2">
        <v>24</v>
      </c>
      <c r="C70" s="4"/>
      <c r="D70" s="7"/>
      <c r="E70" s="8"/>
      <c r="F70" s="2"/>
      <c r="G70" s="3"/>
    </row>
    <row r="71" spans="1:7">
      <c r="A71" s="2">
        <v>134</v>
      </c>
      <c r="B71" s="2">
        <v>25</v>
      </c>
      <c r="C71" s="4"/>
      <c r="D71" s="7"/>
      <c r="E71" s="8"/>
      <c r="F71" s="2"/>
      <c r="G71" s="3"/>
    </row>
    <row r="72" spans="1:7">
      <c r="B72" s="2"/>
      <c r="C72" s="4"/>
      <c r="D72" s="7"/>
      <c r="E72" s="8"/>
      <c r="F72" s="2"/>
      <c r="G72" s="3"/>
    </row>
    <row r="73" spans="1:7">
      <c r="B73" s="2"/>
      <c r="C73" s="4"/>
      <c r="D73" s="7"/>
      <c r="E73" s="8"/>
      <c r="F73" s="2"/>
      <c r="G73" s="3"/>
    </row>
    <row r="74" spans="1:7">
      <c r="B74" s="2"/>
      <c r="C74" s="4"/>
      <c r="D74" s="7"/>
      <c r="E74" s="8"/>
      <c r="F74" s="2"/>
      <c r="G74" s="3"/>
    </row>
    <row r="75" spans="1:7">
      <c r="B75" s="2"/>
      <c r="C75" s="4"/>
      <c r="D75" s="7"/>
      <c r="E75" s="8"/>
      <c r="F75" s="2"/>
      <c r="G75" s="3"/>
    </row>
    <row r="76" spans="1:7">
      <c r="B76" s="2"/>
      <c r="C76" s="4"/>
      <c r="D76" s="7"/>
      <c r="E76" s="8"/>
      <c r="F76" s="2"/>
      <c r="G76" s="3"/>
    </row>
    <row r="77" spans="1:7">
      <c r="B77" s="2"/>
      <c r="C77" s="4"/>
      <c r="D77" s="7"/>
      <c r="E77" s="8"/>
      <c r="F77" s="2"/>
      <c r="G77" s="3"/>
    </row>
    <row r="78" spans="1:7">
      <c r="B78" s="2"/>
      <c r="C78" s="4"/>
      <c r="D78" s="7"/>
      <c r="E78" s="8"/>
      <c r="F78" s="2"/>
      <c r="G78" s="3"/>
    </row>
    <row r="79" spans="1:7">
      <c r="B79" s="2"/>
      <c r="C79" s="4"/>
      <c r="D79" s="7"/>
      <c r="E79" s="8"/>
      <c r="F79" s="2"/>
      <c r="G79" s="3"/>
    </row>
    <row r="80" spans="1:7">
      <c r="B80" s="2"/>
      <c r="C80" s="4"/>
      <c r="D80" s="7"/>
      <c r="E80" s="8"/>
      <c r="F80" s="2"/>
      <c r="G80" s="3"/>
    </row>
    <row r="81" spans="1:7">
      <c r="B81" s="2"/>
      <c r="C81" s="4"/>
      <c r="D81" s="7"/>
      <c r="E81" s="8"/>
      <c r="F81" s="2"/>
      <c r="G81" s="3"/>
    </row>
    <row r="82" spans="1:7">
      <c r="B82" s="2"/>
      <c r="C82" s="4"/>
      <c r="D82" s="7"/>
      <c r="E82" s="8"/>
      <c r="F82" s="2"/>
      <c r="G82" s="3"/>
    </row>
    <row r="83" spans="1:7">
      <c r="B83" s="2"/>
      <c r="C83" s="4"/>
      <c r="D83" s="7"/>
      <c r="E83" s="8"/>
      <c r="F83" s="2"/>
      <c r="G83" s="3"/>
    </row>
    <row r="84" spans="1:7">
      <c r="B84" s="2"/>
      <c r="C84" s="4"/>
      <c r="D84" s="7"/>
      <c r="E84" s="8"/>
      <c r="F84" s="2"/>
      <c r="G84" s="3"/>
    </row>
    <row r="85" spans="1:7">
      <c r="B85" s="2"/>
      <c r="C85" s="4"/>
      <c r="D85" s="7"/>
      <c r="E85" s="8"/>
      <c r="F85" s="2"/>
      <c r="G85" s="3"/>
    </row>
    <row r="86" spans="1:7" ht="18">
      <c r="B86" s="6"/>
      <c r="C86" s="4"/>
      <c r="D86" s="7"/>
      <c r="E86" s="8"/>
      <c r="F86" s="2"/>
      <c r="G86" s="3"/>
    </row>
    <row r="87" spans="1:7" ht="18">
      <c r="B87" s="6"/>
      <c r="C87" s="4"/>
      <c r="D87" s="7"/>
      <c r="E87" s="8"/>
      <c r="F87" s="2"/>
      <c r="G87" s="3"/>
    </row>
    <row r="88" spans="1:7" ht="18">
      <c r="A88" t="s">
        <v>36</v>
      </c>
      <c r="B88" s="6"/>
      <c r="C88" s="4"/>
      <c r="D88" s="7"/>
      <c r="E88" s="8"/>
      <c r="F88" s="2"/>
      <c r="G88" s="3"/>
    </row>
    <row r="89" spans="1:7" ht="18">
      <c r="B89" s="6"/>
      <c r="C89" s="4"/>
      <c r="D89" s="7"/>
      <c r="E89" s="8"/>
      <c r="F89" s="2"/>
      <c r="G89" s="3"/>
    </row>
    <row r="90" spans="1:7">
      <c r="A90" s="2">
        <v>716</v>
      </c>
      <c r="B90" t="s">
        <v>11</v>
      </c>
      <c r="C90" t="s">
        <v>10</v>
      </c>
      <c r="D90" s="2">
        <v>1</v>
      </c>
      <c r="E90" s="8"/>
      <c r="F90" s="2"/>
      <c r="G90" s="3"/>
    </row>
    <row r="91" spans="1:7">
      <c r="A91" s="2">
        <v>735</v>
      </c>
      <c r="B91" t="s">
        <v>12</v>
      </c>
      <c r="C91" t="s">
        <v>33</v>
      </c>
      <c r="D91" s="2">
        <v>2</v>
      </c>
      <c r="E91" s="8"/>
      <c r="F91" s="2"/>
      <c r="G91" s="3"/>
    </row>
    <row r="92" spans="1:7">
      <c r="A92" s="2">
        <v>741</v>
      </c>
      <c r="B92" t="s">
        <v>26</v>
      </c>
      <c r="C92" t="s">
        <v>7</v>
      </c>
      <c r="D92" s="2">
        <v>3</v>
      </c>
      <c r="E92" s="8"/>
      <c r="F92" s="2"/>
      <c r="G92" s="3"/>
    </row>
    <row r="93" spans="1:7">
      <c r="A93" s="2">
        <v>738</v>
      </c>
      <c r="B93" t="s">
        <v>27</v>
      </c>
      <c r="C93" t="s">
        <v>7</v>
      </c>
      <c r="D93" s="2">
        <v>4</v>
      </c>
      <c r="F93" s="2"/>
      <c r="G93" s="3"/>
    </row>
    <row r="94" spans="1:7">
      <c r="A94" s="2">
        <v>734</v>
      </c>
      <c r="B94" t="s">
        <v>28</v>
      </c>
      <c r="C94" t="s">
        <v>34</v>
      </c>
      <c r="D94" s="2">
        <v>5</v>
      </c>
      <c r="F94" s="2"/>
      <c r="G94" s="3"/>
    </row>
    <row r="95" spans="1:7">
      <c r="A95" s="2">
        <v>747</v>
      </c>
      <c r="B95" t="s">
        <v>14</v>
      </c>
      <c r="C95" t="s">
        <v>6</v>
      </c>
      <c r="D95" s="2">
        <v>6</v>
      </c>
      <c r="F95" s="2"/>
      <c r="G95" s="3"/>
    </row>
    <row r="96" spans="1:7">
      <c r="A96" s="2">
        <v>736</v>
      </c>
      <c r="B96" t="s">
        <v>13</v>
      </c>
      <c r="C96" t="s">
        <v>7</v>
      </c>
      <c r="D96" s="2">
        <v>7</v>
      </c>
      <c r="F96" s="2"/>
      <c r="G96" s="3"/>
    </row>
    <row r="97" spans="1:7">
      <c r="A97" s="2">
        <v>749</v>
      </c>
      <c r="B97" t="s">
        <v>16</v>
      </c>
      <c r="C97" t="s">
        <v>6</v>
      </c>
      <c r="D97" s="2">
        <v>8</v>
      </c>
      <c r="F97" s="2"/>
      <c r="G97" s="3"/>
    </row>
    <row r="98" spans="1:7">
      <c r="A98" s="2">
        <v>733</v>
      </c>
      <c r="B98" t="s">
        <v>15</v>
      </c>
      <c r="C98" t="s">
        <v>10</v>
      </c>
      <c r="D98" s="2">
        <v>9</v>
      </c>
      <c r="F98" s="2"/>
      <c r="G98" s="3"/>
    </row>
    <row r="99" spans="1:7">
      <c r="A99" s="2">
        <v>737</v>
      </c>
      <c r="B99" t="s">
        <v>17</v>
      </c>
      <c r="C99" t="s">
        <v>23</v>
      </c>
      <c r="D99" s="2">
        <v>10</v>
      </c>
      <c r="F99" s="2"/>
      <c r="G99" s="3"/>
    </row>
    <row r="100" spans="1:7">
      <c r="A100" s="2">
        <v>748</v>
      </c>
      <c r="B100" t="s">
        <v>18</v>
      </c>
      <c r="C100" t="s">
        <v>6</v>
      </c>
      <c r="D100" s="2">
        <v>11</v>
      </c>
      <c r="F100" s="2"/>
      <c r="G100" s="3"/>
    </row>
    <row r="101" spans="1:7">
      <c r="A101" s="2">
        <v>744</v>
      </c>
      <c r="B101" t="s">
        <v>29</v>
      </c>
      <c r="C101" t="s">
        <v>35</v>
      </c>
      <c r="D101" s="10">
        <v>12</v>
      </c>
      <c r="F101" s="2"/>
      <c r="G101" s="3"/>
    </row>
    <row r="102" spans="1:7">
      <c r="A102" s="2">
        <v>743</v>
      </c>
      <c r="B102" t="s">
        <v>20</v>
      </c>
      <c r="C102" t="s">
        <v>24</v>
      </c>
      <c r="D102" s="10">
        <v>13</v>
      </c>
      <c r="F102" s="2"/>
      <c r="G102" s="3"/>
    </row>
    <row r="103" spans="1:7">
      <c r="A103" s="2">
        <v>740</v>
      </c>
      <c r="B103" t="s">
        <v>19</v>
      </c>
      <c r="C103" t="s">
        <v>7</v>
      </c>
      <c r="D103" s="10">
        <v>14</v>
      </c>
      <c r="F103" s="2"/>
      <c r="G103" s="3"/>
    </row>
    <row r="104" spans="1:7">
      <c r="A104" s="2">
        <v>739</v>
      </c>
      <c r="B104" t="s">
        <v>21</v>
      </c>
      <c r="C104" t="s">
        <v>7</v>
      </c>
      <c r="D104" s="10">
        <v>15</v>
      </c>
      <c r="F104" s="2"/>
      <c r="G104" s="3"/>
    </row>
    <row r="105" spans="1:7">
      <c r="A105" s="2">
        <v>726</v>
      </c>
      <c r="B105" t="s">
        <v>30</v>
      </c>
      <c r="C105" t="s">
        <v>10</v>
      </c>
      <c r="D105" s="10">
        <v>16</v>
      </c>
      <c r="F105" s="2"/>
      <c r="G105" s="3"/>
    </row>
    <row r="106" spans="1:7">
      <c r="A106" s="2">
        <v>746</v>
      </c>
      <c r="B106" t="s">
        <v>22</v>
      </c>
      <c r="C106" t="s">
        <v>25</v>
      </c>
      <c r="D106" s="10">
        <v>17</v>
      </c>
      <c r="F106" s="2"/>
      <c r="G106" s="3"/>
    </row>
    <row r="107" spans="1:7">
      <c r="A107" s="2">
        <v>742</v>
      </c>
      <c r="B107" t="s">
        <v>31</v>
      </c>
      <c r="C107" t="s">
        <v>24</v>
      </c>
      <c r="D107" s="10">
        <v>18</v>
      </c>
      <c r="F107" s="2"/>
      <c r="G107" s="3"/>
    </row>
    <row r="108" spans="1:7">
      <c r="A108" s="2">
        <v>745</v>
      </c>
      <c r="B108" t="s">
        <v>32</v>
      </c>
      <c r="C108" t="s">
        <v>9</v>
      </c>
      <c r="D108" s="10">
        <v>19</v>
      </c>
      <c r="F108" s="2"/>
      <c r="G108" s="3"/>
    </row>
    <row r="109" spans="1:7">
      <c r="F109" s="2"/>
      <c r="G109" s="3"/>
    </row>
    <row r="110" spans="1:7">
      <c r="A110" s="2">
        <v>716</v>
      </c>
      <c r="D110" s="10">
        <v>1</v>
      </c>
      <c r="F110" s="2"/>
      <c r="G110" s="3"/>
    </row>
    <row r="111" spans="1:7">
      <c r="A111" s="2">
        <v>735</v>
      </c>
      <c r="D111" s="10">
        <v>2</v>
      </c>
      <c r="F111" s="2"/>
      <c r="G111" s="3"/>
    </row>
    <row r="112" spans="1:7">
      <c r="A112" s="2">
        <v>741</v>
      </c>
      <c r="D112" s="10">
        <v>3</v>
      </c>
      <c r="F112" s="2"/>
      <c r="G112" s="3"/>
    </row>
    <row r="113" spans="1:7">
      <c r="A113" s="2">
        <v>738</v>
      </c>
      <c r="D113" s="10">
        <v>4</v>
      </c>
      <c r="F113" s="2"/>
      <c r="G113" s="3"/>
    </row>
    <row r="114" spans="1:7">
      <c r="A114" s="2">
        <v>736</v>
      </c>
      <c r="D114" s="10">
        <v>5</v>
      </c>
      <c r="F114" s="2"/>
      <c r="G114" s="3"/>
    </row>
    <row r="115" spans="1:7">
      <c r="A115" s="2">
        <v>747</v>
      </c>
      <c r="D115" s="10">
        <v>6</v>
      </c>
      <c r="F115" s="2"/>
      <c r="G115" s="3"/>
    </row>
    <row r="116" spans="1:7">
      <c r="A116" s="2">
        <v>733</v>
      </c>
      <c r="D116" s="10">
        <v>7</v>
      </c>
      <c r="F116" s="2"/>
      <c r="G116" s="3"/>
    </row>
    <row r="117" spans="1:7">
      <c r="A117" s="2">
        <v>749</v>
      </c>
      <c r="D117" s="10">
        <v>8</v>
      </c>
      <c r="F117" s="2"/>
      <c r="G117" s="3"/>
    </row>
    <row r="118" spans="1:7">
      <c r="A118" s="2">
        <v>737</v>
      </c>
      <c r="D118" s="10">
        <v>9</v>
      </c>
    </row>
    <row r="119" spans="1:7">
      <c r="A119" s="2">
        <v>750</v>
      </c>
      <c r="D119" s="10">
        <v>10</v>
      </c>
    </row>
    <row r="120" spans="1:7">
      <c r="A120" s="2">
        <v>748</v>
      </c>
      <c r="D120" s="10">
        <v>11</v>
      </c>
    </row>
    <row r="121" spans="1:7">
      <c r="A121" s="2">
        <v>751</v>
      </c>
      <c r="D121" s="10">
        <v>12</v>
      </c>
    </row>
    <row r="122" spans="1:7">
      <c r="A122" s="2">
        <v>740</v>
      </c>
      <c r="D122" s="10">
        <v>13</v>
      </c>
    </row>
    <row r="123" spans="1:7">
      <c r="A123" s="2">
        <v>743</v>
      </c>
      <c r="D123" s="10">
        <v>14</v>
      </c>
    </row>
    <row r="124" spans="1:7">
      <c r="A124" s="2">
        <v>739</v>
      </c>
      <c r="D124" s="10">
        <v>15</v>
      </c>
    </row>
    <row r="125" spans="1:7">
      <c r="A125" s="2">
        <v>746</v>
      </c>
      <c r="D125" s="10">
        <v>16</v>
      </c>
    </row>
    <row r="128" spans="1:7">
      <c r="A128" t="s">
        <v>37</v>
      </c>
    </row>
    <row r="130" spans="1:7">
      <c r="A130" s="2">
        <v>982</v>
      </c>
      <c r="B130" s="2"/>
    </row>
    <row r="131" spans="1:7">
      <c r="A131" s="2">
        <v>981</v>
      </c>
      <c r="B131" s="2"/>
    </row>
    <row r="132" spans="1:7">
      <c r="A132" s="2">
        <v>926</v>
      </c>
      <c r="B132" s="2"/>
    </row>
    <row r="133" spans="1:7">
      <c r="A133" s="2">
        <v>931</v>
      </c>
      <c r="B133" s="2"/>
      <c r="C133" s="4"/>
      <c r="D133" s="7"/>
      <c r="E133" s="8"/>
      <c r="F133" s="2"/>
      <c r="G133" s="3"/>
    </row>
    <row r="134" spans="1:7">
      <c r="A134" s="2">
        <v>928</v>
      </c>
      <c r="B134" s="2"/>
      <c r="C134" s="4"/>
      <c r="D134" s="7"/>
      <c r="E134" s="8"/>
      <c r="F134" s="2"/>
      <c r="G134" s="3"/>
    </row>
    <row r="135" spans="1:7">
      <c r="A135" s="2">
        <v>907</v>
      </c>
      <c r="B135" s="2"/>
      <c r="C135" s="4"/>
      <c r="D135" s="7"/>
      <c r="E135" s="8"/>
      <c r="F135" s="2"/>
      <c r="G135" s="3"/>
    </row>
    <row r="136" spans="1:7">
      <c r="A136" s="2">
        <v>980</v>
      </c>
      <c r="B136" s="2"/>
      <c r="C136" s="4"/>
      <c r="D136" s="7"/>
      <c r="E136" s="8"/>
      <c r="F136" s="2"/>
      <c r="G136" s="3"/>
    </row>
    <row r="137" spans="1:7">
      <c r="A137" s="2">
        <v>979</v>
      </c>
      <c r="B137" s="2"/>
      <c r="C137" s="4"/>
      <c r="D137" s="7"/>
      <c r="E137" s="8"/>
      <c r="F137" s="2"/>
      <c r="G137" s="3"/>
    </row>
    <row r="138" spans="1:7">
      <c r="A138" s="2">
        <v>937</v>
      </c>
      <c r="B138" s="2"/>
      <c r="C138" s="4"/>
      <c r="D138" s="7"/>
      <c r="E138" s="8"/>
      <c r="F138" s="2"/>
      <c r="G138" s="3"/>
    </row>
    <row r="139" spans="1:7">
      <c r="A139" s="2">
        <v>935</v>
      </c>
      <c r="B139" s="2"/>
      <c r="C139" s="4"/>
      <c r="D139" s="7"/>
      <c r="E139" s="8"/>
      <c r="F139" s="2"/>
      <c r="G139" s="3"/>
    </row>
    <row r="140" spans="1:7">
      <c r="A140" s="2">
        <v>940</v>
      </c>
      <c r="B140" s="2"/>
      <c r="C140" s="4"/>
      <c r="D140" s="7"/>
      <c r="E140" s="8"/>
      <c r="F140" s="2"/>
      <c r="G140" s="3"/>
    </row>
    <row r="141" spans="1:7">
      <c r="A141" s="2">
        <v>992</v>
      </c>
      <c r="B141" s="2"/>
      <c r="C141" s="4"/>
      <c r="D141" s="7"/>
      <c r="E141" s="8"/>
      <c r="F141" s="2"/>
      <c r="G141" s="3"/>
    </row>
    <row r="142" spans="1:7">
      <c r="A142" s="2">
        <v>990</v>
      </c>
      <c r="B142" s="2"/>
      <c r="C142" s="4"/>
      <c r="D142" s="7"/>
      <c r="E142" s="8"/>
      <c r="F142" s="2"/>
      <c r="G142" s="3"/>
    </row>
    <row r="143" spans="1:7">
      <c r="A143" s="2">
        <v>991</v>
      </c>
      <c r="B143" s="2"/>
      <c r="C143" s="4"/>
      <c r="D143" s="7"/>
      <c r="E143" s="8"/>
      <c r="F143" s="2"/>
      <c r="G143" s="3"/>
    </row>
    <row r="144" spans="1:7">
      <c r="A144" s="2">
        <v>993</v>
      </c>
      <c r="B144" s="2"/>
      <c r="C144" s="4"/>
      <c r="D144" s="7"/>
      <c r="E144" s="8"/>
      <c r="F144" s="2"/>
      <c r="G144" s="3"/>
    </row>
    <row r="145" spans="1:7">
      <c r="A145" s="2">
        <v>945</v>
      </c>
      <c r="B145" s="2"/>
      <c r="C145" s="4"/>
      <c r="D145" s="7"/>
      <c r="E145" s="8"/>
      <c r="F145" s="2"/>
      <c r="G145" s="3"/>
    </row>
    <row r="146" spans="1:7">
      <c r="A146" s="2">
        <v>936</v>
      </c>
      <c r="B146" s="2"/>
      <c r="C146" s="4"/>
      <c r="D146" s="7"/>
      <c r="E146" s="8"/>
      <c r="F146" s="2"/>
      <c r="G146" s="3"/>
    </row>
    <row r="147" spans="1:7">
      <c r="A147" s="2">
        <v>948</v>
      </c>
      <c r="B147" s="2"/>
      <c r="C147" s="4"/>
      <c r="D147" s="7"/>
      <c r="E147" s="8"/>
      <c r="F147" s="2"/>
      <c r="G147" s="3"/>
    </row>
    <row r="148" spans="1:7">
      <c r="A148" s="2">
        <v>976</v>
      </c>
      <c r="B148" s="2"/>
      <c r="C148" s="4"/>
      <c r="D148" s="7"/>
      <c r="E148" s="8"/>
      <c r="F148" s="2"/>
      <c r="G148" s="3"/>
    </row>
    <row r="149" spans="1:7">
      <c r="A149" s="2">
        <v>934</v>
      </c>
      <c r="B149" s="2"/>
      <c r="C149" s="4"/>
      <c r="D149" s="7"/>
      <c r="E149" s="8"/>
      <c r="F149" s="2"/>
      <c r="G149" s="3"/>
    </row>
    <row r="150" spans="1:7">
      <c r="A150" s="2">
        <v>939</v>
      </c>
      <c r="B150" s="2"/>
      <c r="C150" s="4"/>
      <c r="D150" s="7"/>
      <c r="E150" s="8"/>
      <c r="F150" s="2"/>
      <c r="G150" s="3"/>
    </row>
    <row r="151" spans="1:7">
      <c r="A151" s="2">
        <v>949</v>
      </c>
      <c r="B151" s="2"/>
      <c r="C151" s="4"/>
      <c r="D151" s="7"/>
      <c r="E151" s="8"/>
      <c r="F151" s="2"/>
      <c r="G151" s="3"/>
    </row>
    <row r="152" spans="1:7">
      <c r="A152" s="2">
        <v>988</v>
      </c>
      <c r="B152" s="2"/>
      <c r="C152" s="4"/>
      <c r="D152" s="7"/>
      <c r="E152" s="8"/>
      <c r="F152" s="2"/>
      <c r="G152" s="3"/>
    </row>
    <row r="153" spans="1:7">
      <c r="A153" s="2">
        <v>951</v>
      </c>
      <c r="B153" s="2"/>
      <c r="C153" s="4"/>
      <c r="D153" s="7"/>
      <c r="E153" s="8"/>
      <c r="F153" s="2"/>
      <c r="G153" s="3"/>
    </row>
    <row r="154" spans="1:7">
      <c r="A154" s="2">
        <v>938</v>
      </c>
      <c r="B154" s="2"/>
      <c r="C154" s="4"/>
      <c r="D154" s="7"/>
      <c r="E154" s="8"/>
      <c r="F154" s="2"/>
      <c r="G154" s="3"/>
    </row>
    <row r="155" spans="1:7">
      <c r="A155" s="2">
        <v>987</v>
      </c>
      <c r="B155" s="2"/>
      <c r="C155" s="4"/>
      <c r="D155" s="7"/>
      <c r="E155" s="8"/>
      <c r="F155" s="2"/>
      <c r="G155" s="3"/>
    </row>
    <row r="156" spans="1:7">
      <c r="A156" s="2">
        <v>983</v>
      </c>
      <c r="B156" s="2"/>
      <c r="C156" s="4"/>
      <c r="D156" s="7"/>
      <c r="E156" s="8"/>
      <c r="F156" s="2"/>
      <c r="G156" s="3"/>
    </row>
    <row r="157" spans="1:7">
      <c r="A157" s="2">
        <v>946</v>
      </c>
      <c r="B157" s="2"/>
      <c r="C157" s="4"/>
      <c r="D157" s="7"/>
      <c r="E157" s="8"/>
      <c r="F157" s="2"/>
      <c r="G157" s="3"/>
    </row>
    <row r="158" spans="1:7">
      <c r="A158" s="2">
        <v>958</v>
      </c>
      <c r="B158" s="2"/>
      <c r="C158" s="4"/>
      <c r="D158" s="7"/>
      <c r="E158" s="8"/>
      <c r="F158" s="2"/>
      <c r="G158" s="3"/>
    </row>
    <row r="159" spans="1:7">
      <c r="A159" s="2">
        <v>953</v>
      </c>
      <c r="B159" s="2"/>
      <c r="C159" s="4"/>
      <c r="D159" s="7"/>
      <c r="E159" s="8"/>
      <c r="F159" s="2"/>
      <c r="G159" s="3"/>
    </row>
    <row r="160" spans="1:7">
      <c r="A160" s="2">
        <v>977</v>
      </c>
      <c r="B160" s="2"/>
      <c r="C160" s="4"/>
      <c r="D160" s="7"/>
      <c r="E160" s="8"/>
      <c r="F160" s="2"/>
      <c r="G160" s="3"/>
    </row>
    <row r="161" spans="1:7">
      <c r="A161" s="2">
        <v>975</v>
      </c>
      <c r="B161" s="2"/>
      <c r="C161" s="4"/>
      <c r="D161" s="7"/>
      <c r="E161" s="8"/>
      <c r="F161" s="2"/>
      <c r="G161" s="3"/>
    </row>
    <row r="162" spans="1:7">
      <c r="A162" s="2">
        <v>947</v>
      </c>
      <c r="B162" s="2"/>
      <c r="C162" s="4"/>
      <c r="D162" s="7"/>
      <c r="E162" s="8"/>
      <c r="F162" s="2"/>
      <c r="G162" s="3"/>
    </row>
    <row r="163" spans="1:7">
      <c r="A163" s="2">
        <v>989</v>
      </c>
      <c r="B163" s="2"/>
      <c r="C163" s="4"/>
      <c r="D163" s="7"/>
      <c r="E163" s="8"/>
      <c r="F163" s="2"/>
      <c r="G163" s="3"/>
    </row>
    <row r="164" spans="1:7">
      <c r="A164" s="2">
        <v>952</v>
      </c>
      <c r="B164" s="2"/>
      <c r="C164" s="4"/>
      <c r="D164" s="7"/>
      <c r="E164" s="8"/>
      <c r="F164" s="2"/>
      <c r="G164" s="3"/>
    </row>
    <row r="165" spans="1:7">
      <c r="A165" s="2">
        <v>943</v>
      </c>
      <c r="B165" s="2"/>
      <c r="C165" s="4"/>
      <c r="D165" s="7"/>
      <c r="E165" s="8"/>
      <c r="F165" s="2"/>
      <c r="G165" s="3"/>
    </row>
    <row r="166" spans="1:7">
      <c r="A166" s="2">
        <v>941</v>
      </c>
      <c r="B166" s="2"/>
      <c r="C166" s="4"/>
      <c r="D166" s="7"/>
      <c r="E166" s="8"/>
      <c r="F166" s="2"/>
      <c r="G166" s="3"/>
    </row>
    <row r="167" spans="1:7">
      <c r="A167" s="2">
        <v>944</v>
      </c>
      <c r="B167" s="2"/>
      <c r="C167" s="4"/>
      <c r="D167" s="7"/>
      <c r="E167" s="8"/>
      <c r="F167" s="2"/>
      <c r="G167" s="3"/>
    </row>
    <row r="168" spans="1:7" ht="18">
      <c r="A168" s="2">
        <v>942</v>
      </c>
      <c r="B168" s="6"/>
      <c r="C168" s="4"/>
      <c r="D168" s="7"/>
      <c r="E168" s="8"/>
      <c r="F168" s="2"/>
      <c r="G168" s="3"/>
    </row>
    <row r="169" spans="1:7" ht="18">
      <c r="A169" s="2">
        <v>986</v>
      </c>
      <c r="B169" s="6"/>
      <c r="C169" s="4"/>
      <c r="D169" s="7"/>
      <c r="E169" s="8"/>
      <c r="F169" s="2"/>
      <c r="G169" s="3"/>
    </row>
    <row r="170" spans="1:7" ht="18">
      <c r="A170" s="2">
        <v>984</v>
      </c>
      <c r="B170" s="6"/>
      <c r="C170" s="4"/>
      <c r="D170" s="7"/>
      <c r="E170" s="8"/>
      <c r="F170" s="2"/>
      <c r="G170" s="3"/>
    </row>
    <row r="171" spans="1:7" ht="18">
      <c r="A171" s="2">
        <v>978</v>
      </c>
      <c r="B171" s="6"/>
      <c r="C171" s="4"/>
      <c r="D171" s="7"/>
      <c r="E171" s="8"/>
      <c r="F171" s="2"/>
      <c r="G171" s="3"/>
    </row>
    <row r="172" spans="1:7" ht="18">
      <c r="A172" s="2" t="s">
        <v>38</v>
      </c>
      <c r="B172" s="6"/>
      <c r="C172" s="4"/>
      <c r="D172" s="7"/>
      <c r="E172" s="8"/>
      <c r="F172" s="2"/>
      <c r="G172" s="3"/>
    </row>
    <row r="173" spans="1:7">
      <c r="A173" s="2">
        <v>982</v>
      </c>
      <c r="B173" s="2">
        <v>1</v>
      </c>
      <c r="C173" s="4"/>
      <c r="D173" s="7"/>
      <c r="E173" s="8"/>
      <c r="F173" s="2"/>
      <c r="G173" s="3"/>
    </row>
    <row r="174" spans="1:7">
      <c r="A174" s="2">
        <v>907</v>
      </c>
      <c r="B174" s="2">
        <v>2</v>
      </c>
      <c r="C174" s="4"/>
      <c r="D174" s="7"/>
      <c r="E174" s="8"/>
      <c r="F174" s="2"/>
      <c r="G174" s="3"/>
    </row>
    <row r="175" spans="1:7">
      <c r="A175" s="2">
        <v>981</v>
      </c>
      <c r="B175" s="2">
        <v>3</v>
      </c>
      <c r="G175" s="3"/>
    </row>
    <row r="176" spans="1:7">
      <c r="A176" s="2">
        <v>926</v>
      </c>
      <c r="B176" s="2">
        <v>4</v>
      </c>
      <c r="G176" s="3"/>
    </row>
    <row r="177" spans="1:7">
      <c r="A177" s="2">
        <v>931</v>
      </c>
      <c r="B177" s="2">
        <v>5</v>
      </c>
      <c r="G177" s="3"/>
    </row>
    <row r="178" spans="1:7">
      <c r="A178" s="2">
        <v>951</v>
      </c>
      <c r="B178" s="2">
        <v>6</v>
      </c>
      <c r="G178" s="3"/>
    </row>
    <row r="179" spans="1:7">
      <c r="A179" s="2">
        <v>980</v>
      </c>
      <c r="B179" s="2">
        <v>7</v>
      </c>
      <c r="G179" s="3"/>
    </row>
    <row r="180" spans="1:7">
      <c r="A180" s="2">
        <v>990</v>
      </c>
      <c r="B180" s="2">
        <v>8</v>
      </c>
      <c r="G180" s="3"/>
    </row>
    <row r="181" spans="1:7">
      <c r="A181" s="2">
        <v>935</v>
      </c>
      <c r="B181" s="2">
        <v>9</v>
      </c>
      <c r="G181" s="3"/>
    </row>
    <row r="182" spans="1:7">
      <c r="A182" s="2">
        <v>992</v>
      </c>
      <c r="B182" s="2">
        <v>10</v>
      </c>
      <c r="G182" s="3"/>
    </row>
    <row r="183" spans="1:7">
      <c r="A183" s="2">
        <v>985</v>
      </c>
      <c r="B183" s="2">
        <v>11</v>
      </c>
      <c r="G183" s="3"/>
    </row>
    <row r="184" spans="1:7">
      <c r="A184" s="2">
        <v>934</v>
      </c>
      <c r="B184" s="2">
        <v>12</v>
      </c>
      <c r="G184" s="3"/>
    </row>
    <row r="185" spans="1:7">
      <c r="A185" s="2">
        <v>979</v>
      </c>
      <c r="B185" s="2">
        <v>13</v>
      </c>
      <c r="G185" s="3"/>
    </row>
    <row r="186" spans="1:7">
      <c r="A186" s="2">
        <v>937</v>
      </c>
      <c r="B186" s="2">
        <v>14</v>
      </c>
      <c r="G186" s="3"/>
    </row>
    <row r="187" spans="1:7">
      <c r="A187" s="2">
        <v>991</v>
      </c>
      <c r="B187" s="2">
        <v>15</v>
      </c>
      <c r="G187" s="3"/>
    </row>
    <row r="188" spans="1:7">
      <c r="A188" s="2">
        <v>988</v>
      </c>
      <c r="B188" s="2">
        <v>16</v>
      </c>
    </row>
    <row r="189" spans="1:7">
      <c r="A189" s="2">
        <v>948</v>
      </c>
      <c r="B189" s="2">
        <v>17</v>
      </c>
    </row>
    <row r="190" spans="1:7">
      <c r="A190" s="2">
        <v>936</v>
      </c>
      <c r="B190" s="2">
        <v>18</v>
      </c>
    </row>
    <row r="191" spans="1:7">
      <c r="A191" s="2">
        <v>939</v>
      </c>
      <c r="B191" s="2">
        <v>19</v>
      </c>
    </row>
    <row r="192" spans="1:7">
      <c r="A192" s="2">
        <v>945</v>
      </c>
      <c r="B192" s="2">
        <v>20</v>
      </c>
    </row>
    <row r="193" spans="1:2">
      <c r="A193" s="2">
        <v>953</v>
      </c>
      <c r="B193" s="2">
        <v>21</v>
      </c>
    </row>
    <row r="194" spans="1:2">
      <c r="A194" s="2">
        <v>977</v>
      </c>
      <c r="B194" s="2">
        <v>22</v>
      </c>
    </row>
    <row r="195" spans="1:2">
      <c r="A195" s="2">
        <v>911</v>
      </c>
      <c r="B195" s="2">
        <v>23</v>
      </c>
    </row>
    <row r="196" spans="1:2">
      <c r="A196" s="2">
        <v>910</v>
      </c>
      <c r="B196" s="2">
        <v>24</v>
      </c>
    </row>
    <row r="197" spans="1:2">
      <c r="A197" s="2">
        <v>938</v>
      </c>
      <c r="B197" s="2">
        <v>25</v>
      </c>
    </row>
    <row r="198" spans="1:2">
      <c r="A198" s="2">
        <v>946</v>
      </c>
      <c r="B198" s="2">
        <v>26</v>
      </c>
    </row>
    <row r="199" spans="1:2">
      <c r="A199" s="2">
        <v>947</v>
      </c>
      <c r="B199" s="2">
        <v>27</v>
      </c>
    </row>
    <row r="200" spans="1:2">
      <c r="A200" s="2">
        <v>998</v>
      </c>
      <c r="B200" s="2">
        <v>28</v>
      </c>
    </row>
    <row r="201" spans="1:2">
      <c r="A201" s="2">
        <v>909</v>
      </c>
      <c r="B201" s="2">
        <v>29</v>
      </c>
    </row>
    <row r="202" spans="1:2">
      <c r="A202" s="2">
        <v>975</v>
      </c>
      <c r="B202" s="2">
        <v>30</v>
      </c>
    </row>
    <row r="203" spans="1:2">
      <c r="A203" s="2">
        <v>912</v>
      </c>
      <c r="B203" s="2">
        <v>31</v>
      </c>
    </row>
    <row r="204" spans="1:2">
      <c r="A204" s="2">
        <v>989</v>
      </c>
      <c r="B204" s="2">
        <v>32</v>
      </c>
    </row>
    <row r="205" spans="1:2">
      <c r="A205" s="2">
        <v>944</v>
      </c>
      <c r="B205" s="2">
        <v>33</v>
      </c>
    </row>
    <row r="206" spans="1:2">
      <c r="A206" s="2">
        <v>994</v>
      </c>
      <c r="B206" s="2">
        <v>34</v>
      </c>
    </row>
    <row r="207" spans="1:2">
      <c r="A207" s="2">
        <v>941</v>
      </c>
      <c r="B207" s="2">
        <v>35</v>
      </c>
    </row>
    <row r="208" spans="1:2">
      <c r="A208" s="2">
        <v>943</v>
      </c>
      <c r="B208" s="2">
        <v>36</v>
      </c>
    </row>
    <row r="209" spans="1:2">
      <c r="A209" s="2">
        <v>978</v>
      </c>
      <c r="B209" s="2">
        <v>37</v>
      </c>
    </row>
    <row r="210" spans="1:2">
      <c r="A210" s="11">
        <v>942</v>
      </c>
      <c r="B210" s="2">
        <v>38</v>
      </c>
    </row>
    <row r="211" spans="1:2">
      <c r="A211" s="2"/>
    </row>
    <row r="212" spans="1:2">
      <c r="A212" s="2">
        <v>987</v>
      </c>
    </row>
    <row r="213" spans="1:2">
      <c r="A213" s="2">
        <v>983</v>
      </c>
    </row>
    <row r="214" spans="1:2">
      <c r="A214" s="2">
        <v>908</v>
      </c>
    </row>
    <row r="215" spans="1:2">
      <c r="A215" s="2">
        <v>928</v>
      </c>
    </row>
    <row r="216" spans="1:2">
      <c r="A216" s="2">
        <v>940</v>
      </c>
    </row>
    <row r="217" spans="1:2">
      <c r="A217" s="2">
        <v>976</v>
      </c>
    </row>
    <row r="218" spans="1:2">
      <c r="A218" s="2">
        <v>958</v>
      </c>
    </row>
    <row r="219" spans="1:2">
      <c r="A219" s="2">
        <v>993</v>
      </c>
    </row>
    <row r="220" spans="1:2">
      <c r="A220" s="2">
        <v>995</v>
      </c>
    </row>
    <row r="221" spans="1:2">
      <c r="A221" s="2">
        <v>996</v>
      </c>
    </row>
    <row r="222" spans="1:2">
      <c r="A222" s="2"/>
    </row>
    <row r="224" spans="1:2">
      <c r="A224" t="s">
        <v>39</v>
      </c>
    </row>
    <row r="226" spans="1:1">
      <c r="A226" s="2">
        <v>836</v>
      </c>
    </row>
    <row r="227" spans="1:1">
      <c r="A227" s="2">
        <v>813</v>
      </c>
    </row>
    <row r="228" spans="1:1">
      <c r="A228" s="2">
        <v>807</v>
      </c>
    </row>
    <row r="229" spans="1:1">
      <c r="A229" s="2">
        <v>835</v>
      </c>
    </row>
    <row r="230" spans="1:1">
      <c r="A230" s="2">
        <v>838</v>
      </c>
    </row>
    <row r="231" spans="1:1">
      <c r="A231" s="2">
        <v>827</v>
      </c>
    </row>
    <row r="232" spans="1:1">
      <c r="A232" s="2">
        <v>811</v>
      </c>
    </row>
    <row r="233" spans="1:1">
      <c r="A233" s="2">
        <v>833</v>
      </c>
    </row>
    <row r="234" spans="1:1">
      <c r="A234" s="2">
        <v>837</v>
      </c>
    </row>
    <row r="235" spans="1:1">
      <c r="A235" s="2">
        <v>839</v>
      </c>
    </row>
    <row r="236" spans="1:1">
      <c r="A236" s="2">
        <v>810</v>
      </c>
    </row>
    <row r="237" spans="1:1">
      <c r="A237" s="2">
        <v>817</v>
      </c>
    </row>
    <row r="238" spans="1:1">
      <c r="A238" s="2">
        <v>826</v>
      </c>
    </row>
    <row r="239" spans="1:1">
      <c r="A239" s="2">
        <v>803</v>
      </c>
    </row>
    <row r="240" spans="1:1">
      <c r="A240" s="2">
        <v>809</v>
      </c>
    </row>
    <row r="241" spans="1:1">
      <c r="A241" s="2">
        <v>828</v>
      </c>
    </row>
    <row r="242" spans="1:1">
      <c r="A242" s="2">
        <v>834</v>
      </c>
    </row>
    <row r="243" spans="1:1">
      <c r="A243" s="2">
        <v>830</v>
      </c>
    </row>
    <row r="244" spans="1:1">
      <c r="A244" s="2">
        <v>819</v>
      </c>
    </row>
    <row r="245" spans="1:1">
      <c r="A245" s="2">
        <v>804</v>
      </c>
    </row>
    <row r="246" spans="1:1">
      <c r="A246" s="2">
        <v>814</v>
      </c>
    </row>
    <row r="247" spans="1:1">
      <c r="A247" s="2">
        <v>808</v>
      </c>
    </row>
    <row r="248" spans="1:1">
      <c r="A248" s="2">
        <v>840</v>
      </c>
    </row>
    <row r="249" spans="1:1">
      <c r="A249" s="2">
        <v>802</v>
      </c>
    </row>
    <row r="250" spans="1:1">
      <c r="A250" s="2">
        <v>822</v>
      </c>
    </row>
    <row r="251" spans="1:1">
      <c r="A251" s="2">
        <v>801</v>
      </c>
    </row>
    <row r="252" spans="1:1">
      <c r="A252" s="2">
        <v>831</v>
      </c>
    </row>
    <row r="253" spans="1:1">
      <c r="A253" s="2">
        <v>824</v>
      </c>
    </row>
    <row r="254" spans="1:1">
      <c r="A254" s="2">
        <v>821</v>
      </c>
    </row>
    <row r="255" spans="1:1">
      <c r="A255" s="2">
        <v>816</v>
      </c>
    </row>
    <row r="256" spans="1:1">
      <c r="A256" s="2">
        <v>815</v>
      </c>
    </row>
    <row r="257" spans="1:2">
      <c r="A257" s="2">
        <v>823</v>
      </c>
    </row>
    <row r="258" spans="1:2">
      <c r="A258" s="2">
        <v>832</v>
      </c>
    </row>
    <row r="259" spans="1:2">
      <c r="A259" s="2">
        <v>829</v>
      </c>
    </row>
    <row r="260" spans="1:2">
      <c r="A260" s="2">
        <v>820</v>
      </c>
    </row>
    <row r="261" spans="1:2">
      <c r="A261" s="2"/>
    </row>
    <row r="262" spans="1:2">
      <c r="A262" s="2"/>
    </row>
    <row r="263" spans="1:2">
      <c r="A263" s="2"/>
    </row>
    <row r="268" spans="1:2">
      <c r="A268" s="2">
        <v>836</v>
      </c>
      <c r="B268" s="2">
        <v>1</v>
      </c>
    </row>
    <row r="269" spans="1:2">
      <c r="A269" s="2">
        <v>827</v>
      </c>
      <c r="B269" s="2">
        <v>2</v>
      </c>
    </row>
    <row r="270" spans="1:2">
      <c r="A270" s="2">
        <v>807</v>
      </c>
      <c r="B270" s="2">
        <v>3</v>
      </c>
    </row>
    <row r="271" spans="1:2">
      <c r="A271" s="2">
        <v>835</v>
      </c>
      <c r="B271" s="2">
        <v>4</v>
      </c>
    </row>
    <row r="272" spans="1:2">
      <c r="A272" s="2">
        <v>841</v>
      </c>
      <c r="B272" s="2">
        <v>5</v>
      </c>
    </row>
    <row r="273" spans="1:2">
      <c r="A273" s="2">
        <v>845</v>
      </c>
      <c r="B273" s="2">
        <v>6</v>
      </c>
    </row>
    <row r="274" spans="1:2">
      <c r="A274" s="2">
        <v>838</v>
      </c>
      <c r="B274" s="2">
        <v>7</v>
      </c>
    </row>
    <row r="275" spans="1:2">
      <c r="A275" s="2">
        <v>851</v>
      </c>
      <c r="B275" s="2">
        <v>8</v>
      </c>
    </row>
    <row r="276" spans="1:2">
      <c r="A276" s="2">
        <v>859</v>
      </c>
      <c r="B276" s="2">
        <v>9</v>
      </c>
    </row>
    <row r="277" spans="1:2">
      <c r="A277" s="2">
        <v>803</v>
      </c>
      <c r="B277" s="2">
        <v>10</v>
      </c>
    </row>
    <row r="278" spans="1:2">
      <c r="A278" s="2">
        <v>811</v>
      </c>
      <c r="B278" s="2">
        <v>11</v>
      </c>
    </row>
    <row r="279" spans="1:2">
      <c r="A279" s="2">
        <v>837</v>
      </c>
      <c r="B279" s="2">
        <v>12</v>
      </c>
    </row>
    <row r="280" spans="1:2">
      <c r="A280" s="2">
        <v>833</v>
      </c>
      <c r="B280" s="2">
        <v>13</v>
      </c>
    </row>
    <row r="281" spans="1:2">
      <c r="A281" s="2">
        <v>854</v>
      </c>
      <c r="B281" s="2">
        <v>14</v>
      </c>
    </row>
    <row r="282" spans="1:2">
      <c r="A282" s="2">
        <v>810</v>
      </c>
      <c r="B282" s="2">
        <v>15</v>
      </c>
    </row>
    <row r="283" spans="1:2">
      <c r="A283" s="2">
        <v>817</v>
      </c>
      <c r="B283" s="2">
        <v>16</v>
      </c>
    </row>
    <row r="284" spans="1:2">
      <c r="A284" s="2">
        <v>808</v>
      </c>
      <c r="B284" s="2">
        <v>17</v>
      </c>
    </row>
    <row r="285" spans="1:2">
      <c r="A285" s="2">
        <v>850</v>
      </c>
      <c r="B285" s="2">
        <v>18</v>
      </c>
    </row>
    <row r="286" spans="1:2">
      <c r="A286" s="2">
        <v>804</v>
      </c>
      <c r="B286" s="2">
        <v>19</v>
      </c>
    </row>
    <row r="287" spans="1:2">
      <c r="A287" s="2">
        <v>819</v>
      </c>
      <c r="B287" s="2">
        <v>20</v>
      </c>
    </row>
    <row r="288" spans="1:2">
      <c r="A288" s="2">
        <v>822</v>
      </c>
      <c r="B288" s="2">
        <v>21</v>
      </c>
    </row>
    <row r="289" spans="1:2">
      <c r="A289" s="2">
        <v>839</v>
      </c>
      <c r="B289" s="2">
        <v>22</v>
      </c>
    </row>
    <row r="290" spans="1:2">
      <c r="A290" s="2">
        <v>821</v>
      </c>
      <c r="B290" s="2">
        <v>23</v>
      </c>
    </row>
    <row r="291" spans="1:2">
      <c r="A291" s="2">
        <v>801</v>
      </c>
      <c r="B291" s="2">
        <v>24</v>
      </c>
    </row>
    <row r="292" spans="1:2">
      <c r="A292" s="2">
        <v>802</v>
      </c>
      <c r="B292" s="2">
        <v>25</v>
      </c>
    </row>
    <row r="293" spans="1:2">
      <c r="A293" s="2">
        <v>858</v>
      </c>
      <c r="B293" s="2">
        <v>26</v>
      </c>
    </row>
    <row r="294" spans="1:2">
      <c r="A294" s="2">
        <v>846</v>
      </c>
      <c r="B294" s="2">
        <v>27</v>
      </c>
    </row>
    <row r="295" spans="1:2">
      <c r="A295" s="2">
        <v>844</v>
      </c>
      <c r="B295" s="2">
        <v>28</v>
      </c>
    </row>
    <row r="296" spans="1:2">
      <c r="A296" s="2">
        <v>848</v>
      </c>
      <c r="B296" s="2">
        <v>29</v>
      </c>
    </row>
    <row r="297" spans="1:2">
      <c r="A297" s="2">
        <v>816</v>
      </c>
      <c r="B297" s="2">
        <v>30</v>
      </c>
    </row>
    <row r="298" spans="1:2">
      <c r="A298" s="2">
        <v>832</v>
      </c>
      <c r="B298" s="2">
        <v>31</v>
      </c>
    </row>
    <row r="299" spans="1:2">
      <c r="A299" s="2">
        <v>815</v>
      </c>
      <c r="B299" s="2">
        <v>32</v>
      </c>
    </row>
    <row r="300" spans="1:2">
      <c r="A300" s="2">
        <v>818</v>
      </c>
      <c r="B300" s="2">
        <v>33</v>
      </c>
    </row>
    <row r="301" spans="1:2">
      <c r="A301" s="2">
        <v>840</v>
      </c>
      <c r="B301" s="2">
        <v>34</v>
      </c>
    </row>
    <row r="302" spans="1:2">
      <c r="A302" s="2">
        <v>855</v>
      </c>
      <c r="B302" s="2">
        <v>35</v>
      </c>
    </row>
    <row r="303" spans="1:2">
      <c r="A303" s="2">
        <v>853</v>
      </c>
      <c r="B303" s="2">
        <v>36</v>
      </c>
    </row>
    <row r="304" spans="1:2">
      <c r="A304" s="2">
        <v>805</v>
      </c>
      <c r="B304" s="2">
        <v>37</v>
      </c>
    </row>
    <row r="305" spans="1:2">
      <c r="A305" s="2">
        <v>820</v>
      </c>
      <c r="B305" s="2">
        <v>38</v>
      </c>
    </row>
    <row r="306" spans="1:2">
      <c r="A306" s="2">
        <v>856</v>
      </c>
      <c r="B306" s="2">
        <v>39</v>
      </c>
    </row>
    <row r="309" spans="1:2">
      <c r="A309" t="s">
        <v>40</v>
      </c>
    </row>
    <row r="311" spans="1:2">
      <c r="A311" s="2">
        <v>432</v>
      </c>
    </row>
    <row r="312" spans="1:2">
      <c r="A312" s="2">
        <v>433</v>
      </c>
    </row>
    <row r="313" spans="1:2">
      <c r="A313" s="2">
        <v>410</v>
      </c>
    </row>
    <row r="314" spans="1:2">
      <c r="A314" s="2">
        <v>427</v>
      </c>
    </row>
    <row r="315" spans="1:2">
      <c r="A315" s="2">
        <v>402</v>
      </c>
    </row>
    <row r="316" spans="1:2">
      <c r="A316" s="2">
        <v>438</v>
      </c>
    </row>
    <row r="317" spans="1:2">
      <c r="A317" s="2">
        <v>401</v>
      </c>
    </row>
    <row r="318" spans="1:2">
      <c r="A318" s="2">
        <v>446</v>
      </c>
    </row>
    <row r="319" spans="1:2">
      <c r="A319" s="2">
        <v>450</v>
      </c>
    </row>
    <row r="320" spans="1:2">
      <c r="A320" s="2">
        <v>447</v>
      </c>
    </row>
    <row r="321" spans="1:2">
      <c r="A321" s="2">
        <v>403</v>
      </c>
    </row>
    <row r="322" spans="1:2">
      <c r="A322" s="2">
        <v>437</v>
      </c>
    </row>
    <row r="323" spans="1:2">
      <c r="A323" s="2">
        <v>435</v>
      </c>
    </row>
    <row r="324" spans="1:2">
      <c r="A324" s="2">
        <v>441</v>
      </c>
    </row>
    <row r="325" spans="1:2">
      <c r="A325" s="2">
        <v>452</v>
      </c>
    </row>
    <row r="326" spans="1:2">
      <c r="A326" s="2">
        <v>451</v>
      </c>
    </row>
    <row r="327" spans="1:2">
      <c r="A327" s="2">
        <v>436</v>
      </c>
    </row>
    <row r="328" spans="1:2">
      <c r="A328" s="2">
        <v>448</v>
      </c>
    </row>
    <row r="329" spans="1:2">
      <c r="A329" s="2">
        <v>429</v>
      </c>
    </row>
    <row r="330" spans="1:2">
      <c r="A330" s="2">
        <v>439</v>
      </c>
    </row>
    <row r="331" spans="1:2">
      <c r="A331" s="2">
        <v>404</v>
      </c>
    </row>
    <row r="332" spans="1:2">
      <c r="A332" s="2">
        <v>449</v>
      </c>
    </row>
    <row r="334" spans="1:2">
      <c r="A334" s="2">
        <v>401</v>
      </c>
      <c r="B334" s="2">
        <v>1</v>
      </c>
    </row>
    <row r="335" spans="1:2">
      <c r="A335" s="2">
        <v>410</v>
      </c>
      <c r="B335" s="2">
        <v>2</v>
      </c>
    </row>
    <row r="336" spans="1:2">
      <c r="A336" s="2">
        <v>427</v>
      </c>
      <c r="B336" s="2">
        <v>3</v>
      </c>
    </row>
    <row r="337" spans="1:2">
      <c r="A337" s="2">
        <v>438</v>
      </c>
      <c r="B337" s="2">
        <v>4</v>
      </c>
    </row>
    <row r="338" spans="1:2">
      <c r="A338" s="2">
        <v>446</v>
      </c>
      <c r="B338" s="2">
        <v>5</v>
      </c>
    </row>
    <row r="339" spans="1:2">
      <c r="A339" s="2">
        <v>402</v>
      </c>
      <c r="B339" s="2">
        <v>6</v>
      </c>
    </row>
    <row r="340" spans="1:2">
      <c r="A340" s="2">
        <v>433</v>
      </c>
      <c r="B340" s="2">
        <v>7</v>
      </c>
    </row>
    <row r="341" spans="1:2">
      <c r="A341" s="2">
        <v>447</v>
      </c>
      <c r="B341" s="2">
        <v>8</v>
      </c>
    </row>
    <row r="342" spans="1:2">
      <c r="A342" s="2">
        <v>403</v>
      </c>
      <c r="B342" s="2">
        <v>9</v>
      </c>
    </row>
    <row r="343" spans="1:2">
      <c r="A343" s="2">
        <v>437</v>
      </c>
      <c r="B343" s="2">
        <v>10</v>
      </c>
    </row>
    <row r="344" spans="1:2">
      <c r="A344" s="2">
        <v>435</v>
      </c>
      <c r="B344" s="2">
        <v>11</v>
      </c>
    </row>
    <row r="345" spans="1:2">
      <c r="A345" s="2">
        <v>452</v>
      </c>
      <c r="B345" s="2">
        <v>12</v>
      </c>
    </row>
    <row r="346" spans="1:2">
      <c r="A346" s="2">
        <v>404</v>
      </c>
      <c r="B346" s="2">
        <v>13</v>
      </c>
    </row>
    <row r="348" spans="1:2">
      <c r="A348" t="s">
        <v>41</v>
      </c>
    </row>
    <row r="350" spans="1:2">
      <c r="A350" s="2">
        <v>501</v>
      </c>
      <c r="B350" s="2"/>
    </row>
    <row r="351" spans="1:2">
      <c r="A351" s="2">
        <v>537</v>
      </c>
      <c r="B351" s="2"/>
    </row>
    <row r="352" spans="1:2">
      <c r="A352" s="2">
        <v>579</v>
      </c>
      <c r="B352" s="2"/>
    </row>
    <row r="353" spans="1:2">
      <c r="A353" s="2">
        <v>570</v>
      </c>
      <c r="B353" s="2"/>
    </row>
    <row r="354" spans="1:2">
      <c r="A354" s="2">
        <v>571</v>
      </c>
      <c r="B354" s="2"/>
    </row>
    <row r="355" spans="1:2">
      <c r="A355" s="2">
        <v>545</v>
      </c>
      <c r="B355" s="2"/>
    </row>
    <row r="356" spans="1:2">
      <c r="A356" s="2">
        <v>543</v>
      </c>
      <c r="B356" s="2"/>
    </row>
    <row r="357" spans="1:2">
      <c r="A357" s="2">
        <v>574</v>
      </c>
      <c r="B357" s="2"/>
    </row>
    <row r="358" spans="1:2">
      <c r="A358" s="2">
        <v>573</v>
      </c>
      <c r="B358" s="2"/>
    </row>
    <row r="359" spans="1:2">
      <c r="A359" s="2">
        <v>576</v>
      </c>
      <c r="B359" s="2"/>
    </row>
    <row r="360" spans="1:2">
      <c r="A360" s="2">
        <v>577</v>
      </c>
      <c r="B360" s="2"/>
    </row>
    <row r="361" spans="1:2">
      <c r="A361" s="2">
        <v>544</v>
      </c>
      <c r="B361" s="2"/>
    </row>
    <row r="362" spans="1:2">
      <c r="A362" s="2">
        <v>569</v>
      </c>
      <c r="B362" s="2"/>
    </row>
    <row r="363" spans="1:2">
      <c r="A363" s="2">
        <v>578</v>
      </c>
      <c r="B363" s="2"/>
    </row>
    <row r="364" spans="1:2">
      <c r="A364" s="2">
        <v>575</v>
      </c>
      <c r="B364" s="2"/>
    </row>
    <row r="365" spans="1:2">
      <c r="A365" s="2">
        <v>572</v>
      </c>
      <c r="B365" s="2"/>
    </row>
    <row r="367" spans="1:2">
      <c r="A367" s="2">
        <v>501</v>
      </c>
      <c r="B367" s="2">
        <v>1</v>
      </c>
    </row>
    <row r="368" spans="1:2">
      <c r="A368" s="2">
        <v>545</v>
      </c>
      <c r="B368" s="2">
        <v>2</v>
      </c>
    </row>
    <row r="369" spans="1:2">
      <c r="A369" s="2">
        <v>570</v>
      </c>
      <c r="B369" s="2">
        <v>3</v>
      </c>
    </row>
    <row r="370" spans="1:2">
      <c r="A370" s="2">
        <v>579</v>
      </c>
      <c r="B370" s="2">
        <v>4</v>
      </c>
    </row>
    <row r="371" spans="1:2">
      <c r="A371" s="2">
        <v>582</v>
      </c>
      <c r="B371" s="2">
        <v>5</v>
      </c>
    </row>
    <row r="372" spans="1:2">
      <c r="A372" s="2">
        <v>571</v>
      </c>
      <c r="B372" s="2">
        <v>6</v>
      </c>
    </row>
    <row r="373" spans="1:2">
      <c r="A373" s="2">
        <v>543</v>
      </c>
      <c r="B373" s="2">
        <v>7</v>
      </c>
    </row>
    <row r="374" spans="1:2">
      <c r="A374" s="2">
        <v>578</v>
      </c>
      <c r="B374" s="2">
        <v>8</v>
      </c>
    </row>
    <row r="375" spans="1:2">
      <c r="A375" s="2">
        <v>577</v>
      </c>
      <c r="B375" s="2">
        <v>9</v>
      </c>
    </row>
    <row r="376" spans="1:2">
      <c r="A376" s="2">
        <v>544</v>
      </c>
      <c r="B376" s="2">
        <v>10</v>
      </c>
    </row>
  </sheetData>
  <phoneticPr fontId="7" type="noConversion"/>
  <conditionalFormatting sqref="G2">
    <cfRule type="duplicateValues" dxfId="569" priority="11" stopIfTrue="1"/>
  </conditionalFormatting>
  <conditionalFormatting sqref="B4:B13">
    <cfRule type="duplicateValues" dxfId="568" priority="10" stopIfTrue="1"/>
  </conditionalFormatting>
  <conditionalFormatting sqref="G4:G11">
    <cfRule type="duplicateValues" dxfId="567" priority="9" stopIfTrue="1"/>
  </conditionalFormatting>
  <conditionalFormatting sqref="G4:G5">
    <cfRule type="duplicateValues" dxfId="566" priority="8" stopIfTrue="1"/>
  </conditionalFormatting>
  <conditionalFormatting sqref="B2:B13 G20:G21 G2:G16">
    <cfRule type="duplicateValues" dxfId="565" priority="16" stopIfTrue="1"/>
  </conditionalFormatting>
  <conditionalFormatting sqref="B4:B37 G4:G41">
    <cfRule type="duplicateValues" dxfId="564" priority="5" stopIfTrue="1"/>
  </conditionalFormatting>
  <conditionalFormatting sqref="G44:G117">
    <cfRule type="duplicateValues" dxfId="563" priority="4" stopIfTrue="1"/>
  </conditionalFormatting>
  <conditionalFormatting sqref="G98:G103">
    <cfRule type="duplicateValues" dxfId="562" priority="3" stopIfTrue="1"/>
  </conditionalFormatting>
  <conditionalFormatting sqref="B1:B1021 G1:G1021">
    <cfRule type="duplicateValues" dxfId="561" priority="2" stopIfTrue="1"/>
  </conditionalFormatting>
  <conditionalFormatting sqref="A1:A1048576">
    <cfRule type="duplicateValues" dxfId="560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8:AM49"/>
  <sheetViews>
    <sheetView showGridLines="0" zoomScale="70" zoomScaleNormal="7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style="22" customWidth="1"/>
    <col min="4" max="4" width="29.28515625" bestFit="1" customWidth="1"/>
    <col min="5" max="5" width="42.5703125" bestFit="1" customWidth="1"/>
    <col min="6" max="6" width="7.7109375" style="2" customWidth="1"/>
    <col min="7" max="7" width="7.85546875" bestFit="1" customWidth="1"/>
    <col min="8" max="8" width="7.85546875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2.285156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68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8">
        <v>1</v>
      </c>
      <c r="G13" s="136"/>
      <c r="H13" s="136"/>
      <c r="I13" s="137"/>
      <c r="J13" s="138">
        <v>2</v>
      </c>
      <c r="K13" s="139"/>
      <c r="L13" s="139"/>
      <c r="M13" s="137"/>
      <c r="N13" s="138">
        <v>3</v>
      </c>
      <c r="O13" s="139"/>
      <c r="P13" s="139"/>
      <c r="Q13" s="137"/>
      <c r="R13" s="138">
        <v>4</v>
      </c>
      <c r="S13" s="139"/>
      <c r="T13" s="139"/>
      <c r="U13" s="137"/>
      <c r="V13" s="138">
        <v>5</v>
      </c>
      <c r="W13" s="139"/>
      <c r="X13" s="139"/>
      <c r="Y13" s="137"/>
      <c r="Z13" s="138">
        <v>6</v>
      </c>
      <c r="AA13" s="139"/>
      <c r="AB13" s="139"/>
      <c r="AC13" s="137"/>
      <c r="AD13" s="138">
        <v>7</v>
      </c>
      <c r="AE13" s="139"/>
      <c r="AF13" s="139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113">
        <v>25</v>
      </c>
      <c r="D15" s="23" t="s">
        <v>168</v>
      </c>
      <c r="E15" s="24" t="s">
        <v>109</v>
      </c>
      <c r="F15" s="3">
        <v>3</v>
      </c>
      <c r="G15" s="15">
        <f>IFERROR(VLOOKUP(F15,'Puntos XCC Mayor'!$A$1:$B$15,2,FALSE),0)</f>
        <v>16</v>
      </c>
      <c r="H15" s="3">
        <v>1</v>
      </c>
      <c r="I15" s="25">
        <f>IFERROR(VLOOKUP(H15,'Puntos XCO'!$A$1:$B$63,2,FALSE),0)</f>
        <v>200</v>
      </c>
      <c r="J15" s="33">
        <v>2</v>
      </c>
      <c r="K15" s="22">
        <f>IFERROR(VLOOKUP(J15,'Puntos XCC Mayor'!$A$1:$B$15,2,FALSE),"0")</f>
        <v>20</v>
      </c>
      <c r="L15" s="22">
        <v>1</v>
      </c>
      <c r="M15" s="34">
        <f>IFERROR(VLOOKUP(L15,'Puntos XCO'!$A$1:$B$63,2,FALSE),0)</f>
        <v>200</v>
      </c>
      <c r="N15" s="26">
        <v>5</v>
      </c>
      <c r="O15" s="3">
        <f>IFERROR(VLOOKUP(N15,'Puntos XCC Mayor'!$A$1:$B$15,2,FALSE),0)</f>
        <v>12</v>
      </c>
      <c r="P15" s="3">
        <v>4</v>
      </c>
      <c r="Q15" s="39">
        <f>IFERROR(VLOOKUP(P15,'Puntos XCO'!$A$1:$B$63,2,FALSE),0)</f>
        <v>110</v>
      </c>
      <c r="R15" s="26">
        <v>2</v>
      </c>
      <c r="S15" s="3">
        <f>IFERROR(VLOOKUP(R15,'Puntos XCC Mayor'!$A$1:$B$15,2,FALSE),0)</f>
        <v>20</v>
      </c>
      <c r="T15" s="3"/>
      <c r="U15" s="39">
        <f>IFERROR(VLOOKUP(T15,'Puntos XCO'!$A$1:$B$63,2,FALSE),0)</f>
        <v>0</v>
      </c>
      <c r="V15" s="16">
        <v>2</v>
      </c>
      <c r="W15" s="15">
        <f>IFERROR(VLOOKUP(V15,'Puntos XCC Mayor'!$A$1:$B$15,2,FALSE),0)</f>
        <v>20</v>
      </c>
      <c r="X15" s="15">
        <v>2</v>
      </c>
      <c r="Y15" s="25">
        <f>IFERROR(VLOOKUP(X15,'Puntos XCO'!$A$1:$B$63,2,FALSE),0)</f>
        <v>150</v>
      </c>
      <c r="Z15" s="16">
        <v>2</v>
      </c>
      <c r="AA15" s="15">
        <f>IFERROR(VLOOKUP(Z15,'Puntos XCC Mayor'!$A$1:$B$15,2,FALSE),0)</f>
        <v>20</v>
      </c>
      <c r="AB15" s="15">
        <v>2</v>
      </c>
      <c r="AC15" s="25">
        <f>IFERROR(VLOOKUP(AB15,'Puntos XCO'!$A$1:$B$63,2,FALSE),0)</f>
        <v>150</v>
      </c>
      <c r="AD15" s="16"/>
      <c r="AE15" s="15"/>
      <c r="AF15" s="15"/>
      <c r="AG15" s="25"/>
      <c r="AH15" s="27">
        <f t="shared" ref="AH15:AH45" si="0">G15+I15+K15+M15+O15+Q15+S15+U15+W15+Y15+AA15+AC15+AE15+AG15</f>
        <v>918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113">
        <v>27</v>
      </c>
      <c r="D16" s="23" t="s">
        <v>175</v>
      </c>
      <c r="E16" s="24" t="s">
        <v>109</v>
      </c>
      <c r="F16" s="3">
        <v>7</v>
      </c>
      <c r="G16" s="15">
        <f>IFERROR(VLOOKUP(F16,'Puntos XCC Mayor'!$A$1:$B$15,2,FALSE),0)</f>
        <v>9</v>
      </c>
      <c r="H16" s="3">
        <v>2</v>
      </c>
      <c r="I16" s="25">
        <f>IFERROR(VLOOKUP(H16,'Puntos XCO'!$A$1:$B$63,2,FALSE),0)</f>
        <v>150</v>
      </c>
      <c r="J16" s="33">
        <v>6</v>
      </c>
      <c r="K16" s="22">
        <f>IFERROR(VLOOKUP(J16,'Puntos XCC Mayor'!$A$1:$B$15,2,FALSE),"0")</f>
        <v>10</v>
      </c>
      <c r="L16" s="22">
        <v>2</v>
      </c>
      <c r="M16" s="34">
        <f>IFERROR(VLOOKUP(L16,'Puntos XCO'!$A$1:$B$63,2,FALSE),0)</f>
        <v>150</v>
      </c>
      <c r="N16" s="26">
        <v>6</v>
      </c>
      <c r="O16" s="3">
        <f>IFERROR(VLOOKUP(N16,'Puntos XCC Mayor'!$A$1:$B$15,2,FALSE),0)</f>
        <v>10</v>
      </c>
      <c r="P16" s="3">
        <v>3</v>
      </c>
      <c r="Q16" s="39">
        <f>IFERROR(VLOOKUP(P16,'Puntos XCO'!$A$1:$B$63,2,FALSE),0)</f>
        <v>120</v>
      </c>
      <c r="R16" s="26">
        <v>3</v>
      </c>
      <c r="S16" s="3">
        <f>IFERROR(VLOOKUP(R16,'Puntos XCC Mayor'!$A$1:$B$15,2,FALSE),0)</f>
        <v>16</v>
      </c>
      <c r="T16" s="3">
        <v>2</v>
      </c>
      <c r="U16" s="39">
        <f>IFERROR(VLOOKUP(T16,'Puntos XCO'!$A$1:$B$63,2,FALSE),0)</f>
        <v>150</v>
      </c>
      <c r="V16" s="16">
        <v>7</v>
      </c>
      <c r="W16" s="15">
        <f>IFERROR(VLOOKUP(V16,'Puntos XCC Mayor'!$A$1:$B$15,2,FALSE),0)</f>
        <v>9</v>
      </c>
      <c r="X16" s="15">
        <v>4</v>
      </c>
      <c r="Y16" s="25">
        <f>IFERROR(VLOOKUP(X16,'Puntos XCO'!$A$1:$B$63,2,FALSE),0)</f>
        <v>110</v>
      </c>
      <c r="Z16" s="16">
        <v>3</v>
      </c>
      <c r="AA16" s="15">
        <f>IFERROR(VLOOKUP(Z16,'Puntos XCC Mayor'!$A$1:$B$15,2,FALSE),0)</f>
        <v>16</v>
      </c>
      <c r="AB16" s="15"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0"/>
        <v>870</v>
      </c>
      <c r="AJ16" s="3"/>
    </row>
    <row r="17" spans="1:36" ht="24.95" customHeight="1">
      <c r="A17" s="22">
        <v>3</v>
      </c>
      <c r="B17" s="22">
        <v>4</v>
      </c>
      <c r="C17" s="113">
        <v>26</v>
      </c>
      <c r="D17" s="23" t="s">
        <v>1000</v>
      </c>
      <c r="E17" s="24" t="s">
        <v>109</v>
      </c>
      <c r="F17" s="3"/>
      <c r="G17" s="15"/>
      <c r="H17" s="3"/>
      <c r="I17" s="25"/>
      <c r="J17" s="33">
        <v>5</v>
      </c>
      <c r="K17" s="22">
        <f>IFERROR(VLOOKUP(J17,'Puntos XCC Mayor'!$A$1:$B$15,2,FALSE),"0")</f>
        <v>12</v>
      </c>
      <c r="L17" s="22">
        <v>3</v>
      </c>
      <c r="M17" s="34">
        <f>IFERROR(VLOOKUP(L17,'Puntos XCO'!$A$1:$B$63,2,FALSE),0)</f>
        <v>120</v>
      </c>
      <c r="N17" s="26">
        <v>11</v>
      </c>
      <c r="O17" s="3">
        <f>IFERROR(VLOOKUP(N17,'Puntos XCC Mayor'!$A$1:$B$15,2,FALSE),0)</f>
        <v>5</v>
      </c>
      <c r="P17" s="3">
        <v>10</v>
      </c>
      <c r="Q17" s="39">
        <f>IFERROR(VLOOKUP(P17,'Puntos XCO'!$A$1:$B$63,2,FALSE),0)</f>
        <v>78</v>
      </c>
      <c r="R17" s="26">
        <v>5</v>
      </c>
      <c r="S17" s="3">
        <f>IFERROR(VLOOKUP(R17,'Puntos XCC Mayor'!$A$1:$B$15,2,FALSE),0)</f>
        <v>12</v>
      </c>
      <c r="T17" s="3">
        <v>3</v>
      </c>
      <c r="U17" s="39">
        <f>IFERROR(VLOOKUP(T17,'Puntos XCO'!$A$1:$B$63,2,FALSE),0)</f>
        <v>120</v>
      </c>
      <c r="V17" s="16">
        <v>9</v>
      </c>
      <c r="W17" s="15">
        <f>IFERROR(VLOOKUP(V17,'Puntos XCC Mayor'!$A$1:$B$15,2,FALSE),0)</f>
        <v>7</v>
      </c>
      <c r="X17" s="15">
        <v>3</v>
      </c>
      <c r="Y17" s="25">
        <f>IFERROR(VLOOKUP(X17,'Puntos XCO'!$A$1:$B$63,2,FALSE),0)</f>
        <v>120</v>
      </c>
      <c r="Z17" s="16">
        <v>1</v>
      </c>
      <c r="AA17" s="15">
        <f>IFERROR(VLOOKUP(Z17,'Puntos XCC Mayor'!$A$1:$B$15,2,FALSE),0)</f>
        <v>25</v>
      </c>
      <c r="AB17" s="15">
        <v>1</v>
      </c>
      <c r="AC17" s="25">
        <f>IFERROR(VLOOKUP(AB17,'Puntos XCO'!$A$1:$B$63,2,FALSE),0)</f>
        <v>200</v>
      </c>
      <c r="AD17" s="16"/>
      <c r="AE17" s="15"/>
      <c r="AF17" s="15"/>
      <c r="AG17" s="25"/>
      <c r="AH17" s="27">
        <f t="shared" si="0"/>
        <v>699</v>
      </c>
      <c r="AJ17" s="3"/>
    </row>
    <row r="18" spans="1:36" ht="24.95" customHeight="1">
      <c r="A18" s="22">
        <v>4</v>
      </c>
      <c r="B18" s="22">
        <v>3</v>
      </c>
      <c r="C18" s="113">
        <v>28</v>
      </c>
      <c r="D18" s="23" t="s">
        <v>181</v>
      </c>
      <c r="E18" s="24" t="s">
        <v>100</v>
      </c>
      <c r="F18" s="3">
        <v>9</v>
      </c>
      <c r="G18" s="15">
        <f>IFERROR(VLOOKUP(F18,'Puntos XCC Mayor'!$A$1:$B$15,2,FALSE),0)</f>
        <v>7</v>
      </c>
      <c r="H18" s="3">
        <v>4</v>
      </c>
      <c r="I18" s="25">
        <f>IFERROR(VLOOKUP(H18,'Puntos XCO'!$A$1:$B$63,2,FALSE),0)</f>
        <v>110</v>
      </c>
      <c r="J18" s="33">
        <v>3</v>
      </c>
      <c r="K18" s="22">
        <f>IFERROR(VLOOKUP(J18,'Puntos XCC Mayor'!$A$1:$B$15,2,FALSE),"0")</f>
        <v>16</v>
      </c>
      <c r="L18" s="22">
        <v>4</v>
      </c>
      <c r="M18" s="34">
        <f>IFERROR(VLOOKUP(L18,'Puntos XCO'!$A$1:$B$63,2,FALSE),0)</f>
        <v>110</v>
      </c>
      <c r="N18" s="26">
        <v>7</v>
      </c>
      <c r="O18" s="3">
        <f>IFERROR(VLOOKUP(N18,'Puntos XCC Mayor'!$A$1:$B$15,2,FALSE),0)</f>
        <v>9</v>
      </c>
      <c r="P18" s="3">
        <v>6</v>
      </c>
      <c r="Q18" s="39">
        <f>IFERROR(VLOOKUP(P18,'Puntos XCO'!$A$1:$B$63,2,FALSE),0)</f>
        <v>95</v>
      </c>
      <c r="R18" s="26">
        <v>1</v>
      </c>
      <c r="S18" s="3">
        <f>IFERROR(VLOOKUP(R18,'Puntos XCC Mayor'!$A$1:$B$15,2,FALSE),0)</f>
        <v>25</v>
      </c>
      <c r="T18" s="3">
        <v>1</v>
      </c>
      <c r="U18" s="39">
        <f>IFERROR(VLOOKUP(T18,'Puntos XCO'!$A$1:$B$63,2,FALSE),0)</f>
        <v>200</v>
      </c>
      <c r="V18" s="16">
        <v>3</v>
      </c>
      <c r="W18" s="15">
        <f>IFERROR(VLOOKUP(V18,'Puntos XCC Mayor'!$A$1:$B$15,2,FALSE),0)</f>
        <v>16</v>
      </c>
      <c r="X18" s="15">
        <v>8</v>
      </c>
      <c r="Y18" s="25">
        <f>IFERROR(VLOOKUP(X18,'Puntos XCO'!$A$1:$B$63,2,FALSE),0)</f>
        <v>85</v>
      </c>
      <c r="Z18" s="16"/>
      <c r="AA18" s="15">
        <f>IFERROR(VLOOKUP(Z18,'Puntos XCC Mayor'!$A$1:$B$15,2,FALSE),0)</f>
        <v>0</v>
      </c>
      <c r="AB18" s="15"/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0"/>
        <v>673</v>
      </c>
      <c r="AJ18" s="3"/>
    </row>
    <row r="19" spans="1:36" ht="24.95" customHeight="1">
      <c r="A19" s="22">
        <v>5</v>
      </c>
      <c r="B19" s="22">
        <v>7</v>
      </c>
      <c r="C19" s="113">
        <v>37</v>
      </c>
      <c r="D19" s="23" t="s">
        <v>187</v>
      </c>
      <c r="E19" s="24" t="s">
        <v>572</v>
      </c>
      <c r="F19" s="3">
        <v>10</v>
      </c>
      <c r="G19" s="15">
        <f>IFERROR(VLOOKUP(F19,'Puntos XCC Mayor'!$A$1:$B$15,2,FALSE),0)</f>
        <v>6</v>
      </c>
      <c r="H19" s="3">
        <v>9</v>
      </c>
      <c r="I19" s="25">
        <f>IFERROR(VLOOKUP(H19,'Puntos XCO'!$A$1:$B$63,2,FALSE),0)</f>
        <v>80</v>
      </c>
      <c r="J19" s="33">
        <v>7</v>
      </c>
      <c r="K19" s="22">
        <f>IFERROR(VLOOKUP(J19,'Puntos XCC Mayor'!$A$1:$B$15,2,FALSE),"0")</f>
        <v>9</v>
      </c>
      <c r="L19" s="22">
        <v>8</v>
      </c>
      <c r="M19" s="34">
        <f>IFERROR(VLOOKUP(L19,'Puntos XCO'!$A$1:$B$63,2,FALSE),0)</f>
        <v>85</v>
      </c>
      <c r="N19" s="26"/>
      <c r="O19" s="3">
        <f>IFERROR(VLOOKUP(N19,'Puntos XCC Mayor'!$A$1:$B$15,2,FALSE),0)</f>
        <v>0</v>
      </c>
      <c r="P19" s="3"/>
      <c r="Q19" s="39">
        <f>IFERROR(VLOOKUP(P19,'Puntos XCO'!$A$1:$B$63,2,FALSE),0)</f>
        <v>0</v>
      </c>
      <c r="R19" s="26">
        <v>6</v>
      </c>
      <c r="S19" s="3">
        <f>IFERROR(VLOOKUP(R19,'Puntos XCC Mayor'!$A$1:$B$15,2,FALSE),0)</f>
        <v>10</v>
      </c>
      <c r="T19" s="3">
        <v>4</v>
      </c>
      <c r="U19" s="39">
        <f>IFERROR(VLOOKUP(T19,'Puntos XCO'!$A$1:$B$63,2,FALSE),0)</f>
        <v>110</v>
      </c>
      <c r="V19" s="16">
        <v>5</v>
      </c>
      <c r="W19" s="15">
        <f>IFERROR(VLOOKUP(V19,'Puntos XCC Mayor'!$A$1:$B$15,2,FALSE),0)</f>
        <v>12</v>
      </c>
      <c r="X19" s="15">
        <v>10</v>
      </c>
      <c r="Y19" s="25">
        <f>IFERROR(VLOOKUP(X19,'Puntos XCO'!$A$1:$B$63,2,FALSE),0)</f>
        <v>78</v>
      </c>
      <c r="Z19" s="16">
        <v>5</v>
      </c>
      <c r="AA19" s="15">
        <f>IFERROR(VLOOKUP(Z19,'Puntos XCC Mayor'!$A$1:$B$15,2,FALSE),0)</f>
        <v>12</v>
      </c>
      <c r="AB19" s="15">
        <v>5</v>
      </c>
      <c r="AC19" s="25">
        <f>IFERROR(VLOOKUP(AB19,'Puntos XCO'!$A$1:$B$63,2,FALSE),0)</f>
        <v>100</v>
      </c>
      <c r="AD19" s="16"/>
      <c r="AE19" s="15"/>
      <c r="AF19" s="15"/>
      <c r="AG19" s="25"/>
      <c r="AH19" s="27">
        <f t="shared" si="0"/>
        <v>502</v>
      </c>
      <c r="AJ19" s="3"/>
    </row>
    <row r="20" spans="1:36" ht="24.95" customHeight="1">
      <c r="A20" s="22">
        <v>6</v>
      </c>
      <c r="B20" s="22">
        <v>8</v>
      </c>
      <c r="C20" s="113">
        <v>30</v>
      </c>
      <c r="D20" s="23" t="s">
        <v>171</v>
      </c>
      <c r="E20" s="24" t="s">
        <v>85</v>
      </c>
      <c r="F20" s="3">
        <v>6</v>
      </c>
      <c r="G20" s="15">
        <f>IFERROR(VLOOKUP(F20,'Puntos XCC Mayor'!$A$1:$B$15,2,FALSE),0)</f>
        <v>10</v>
      </c>
      <c r="H20" s="3">
        <v>6</v>
      </c>
      <c r="I20" s="25">
        <f>IFERROR(VLOOKUP(H20,'Puntos XCO'!$A$1:$B$63,2,FALSE),0)</f>
        <v>95</v>
      </c>
      <c r="J20" s="33">
        <v>12</v>
      </c>
      <c r="K20" s="22">
        <f>IFERROR(VLOOKUP(J20,'Puntos XCC Mayor'!$A$1:$B$15,2,FALSE),"0")</f>
        <v>4</v>
      </c>
      <c r="L20" s="22">
        <v>6</v>
      </c>
      <c r="M20" s="34">
        <f>IFERROR(VLOOKUP(L20,'Puntos XCO'!$A$1:$B$63,2,FALSE),0)</f>
        <v>95</v>
      </c>
      <c r="N20" s="26">
        <v>9</v>
      </c>
      <c r="O20" s="3">
        <f>IFERROR(VLOOKUP(N20,'Puntos XCC Mayor'!$A$1:$B$15,2,FALSE),0)</f>
        <v>7</v>
      </c>
      <c r="P20" s="3"/>
      <c r="Q20" s="39">
        <f>IFERROR(VLOOKUP(P20,'Puntos XCO'!$A$1:$B$63,2,FALSE),0)</f>
        <v>0</v>
      </c>
      <c r="R20" s="26">
        <v>7</v>
      </c>
      <c r="S20" s="3">
        <f>IFERROR(VLOOKUP(R20,'Puntos XCC Mayor'!$A$1:$B$15,2,FALSE),0)</f>
        <v>9</v>
      </c>
      <c r="T20" s="3"/>
      <c r="U20" s="39">
        <f>IFERROR(VLOOKUP(T20,'Puntos XCO'!$A$1:$B$63,2,FALSE),0)</f>
        <v>0</v>
      </c>
      <c r="V20" s="16">
        <v>10</v>
      </c>
      <c r="W20" s="15">
        <f>IFERROR(VLOOKUP(V20,'Puntos XCC Mayor'!$A$1:$B$15,2,FALSE),0)</f>
        <v>6</v>
      </c>
      <c r="X20" s="15">
        <v>5</v>
      </c>
      <c r="Y20" s="25">
        <f>IFERROR(VLOOKUP(X20,'Puntos XCO'!$A$1:$B$63,2,FALSE),0)</f>
        <v>100</v>
      </c>
      <c r="Z20" s="16">
        <v>4</v>
      </c>
      <c r="AA20" s="15">
        <f>IFERROR(VLOOKUP(Z20,'Puntos XCC Mayor'!$A$1:$B$15,2,FALSE),0)</f>
        <v>14</v>
      </c>
      <c r="AB20" s="15">
        <v>8</v>
      </c>
      <c r="AC20" s="25">
        <f>IFERROR(VLOOKUP(AB20,'Puntos XCO'!$A$1:$B$63,2,FALSE),0)</f>
        <v>85</v>
      </c>
      <c r="AD20" s="16"/>
      <c r="AE20" s="15"/>
      <c r="AF20" s="15"/>
      <c r="AG20" s="25"/>
      <c r="AH20" s="27">
        <f t="shared" si="0"/>
        <v>425</v>
      </c>
      <c r="AJ20" s="3"/>
    </row>
    <row r="21" spans="1:36" ht="24.95" customHeight="1">
      <c r="A21" s="22">
        <v>7</v>
      </c>
      <c r="B21" s="22">
        <v>5</v>
      </c>
      <c r="C21" s="113">
        <v>23</v>
      </c>
      <c r="D21" s="23" t="s">
        <v>166</v>
      </c>
      <c r="E21" s="24" t="s">
        <v>100</v>
      </c>
      <c r="F21" s="3">
        <v>1</v>
      </c>
      <c r="G21" s="15">
        <f>IFERROR(VLOOKUP(F21,'Puntos XCC Mayor'!$A$1:$B$15,2,FALSE),0)</f>
        <v>25</v>
      </c>
      <c r="H21" s="3">
        <v>3</v>
      </c>
      <c r="I21" s="25">
        <f>IFERROR(VLOOKUP(H21,'Puntos XCO'!$A$1:$B$63,2,FALSE),0)</f>
        <v>120</v>
      </c>
      <c r="J21" s="33">
        <v>1</v>
      </c>
      <c r="K21" s="22">
        <f>IFERROR(VLOOKUP(J21,'Puntos XCC Mayor'!$A$1:$B$15,2,FALSE),"0")</f>
        <v>25</v>
      </c>
      <c r="L21" s="22">
        <v>0</v>
      </c>
      <c r="M21" s="34">
        <f>IFERROR(VLOOKUP(L21,'Puntos XCO'!$A$1:$B$63,2,FALSE),0)</f>
        <v>0</v>
      </c>
      <c r="N21" s="26">
        <v>4</v>
      </c>
      <c r="O21" s="3">
        <f>IFERROR(VLOOKUP(N21,'Puntos XCC Mayor'!$A$1:$B$15,2,FALSE),0)</f>
        <v>14</v>
      </c>
      <c r="P21" s="3"/>
      <c r="Q21" s="39">
        <f>IFERROR(VLOOKUP(P21,'Puntos XCO'!$A$1:$B$63,2,FALSE),0)</f>
        <v>0</v>
      </c>
      <c r="R21" s="26"/>
      <c r="S21" s="3">
        <f>IFERROR(VLOOKUP(R21,'Puntos XCC Mayor'!$A$1:$B$15,2,FALSE),0)</f>
        <v>0</v>
      </c>
      <c r="T21" s="3"/>
      <c r="U21" s="39">
        <f>IFERROR(VLOOKUP(T21,'Puntos XCO'!$A$1:$B$63,2,FALSE),0)</f>
        <v>0</v>
      </c>
      <c r="V21" s="16">
        <v>1</v>
      </c>
      <c r="W21" s="15">
        <f>IFERROR(VLOOKUP(V21,'Puntos XCC Mayor'!$A$1:$B$15,2,FALSE),0)</f>
        <v>25</v>
      </c>
      <c r="X21" s="15">
        <v>1</v>
      </c>
      <c r="Y21" s="25">
        <f>IFERROR(VLOOKUP(X21,'Puntos XCO'!$A$1:$B$63,2,FALSE),0)</f>
        <v>200</v>
      </c>
      <c r="Z21" s="16"/>
      <c r="AA21" s="15">
        <f>IFERROR(VLOOKUP(Z21,'Puntos XCC Mayor'!$A$1:$B$15,2,FALSE),0)</f>
        <v>0</v>
      </c>
      <c r="AB21" s="15"/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0"/>
        <v>409</v>
      </c>
      <c r="AJ21" s="3"/>
    </row>
    <row r="22" spans="1:36" ht="24.95" customHeight="1">
      <c r="A22" s="22">
        <v>8</v>
      </c>
      <c r="B22" s="22">
        <v>6</v>
      </c>
      <c r="C22" s="113">
        <v>29</v>
      </c>
      <c r="D22" s="23" t="s">
        <v>1001</v>
      </c>
      <c r="E22" s="24" t="s">
        <v>100</v>
      </c>
      <c r="F22" s="3">
        <v>4</v>
      </c>
      <c r="G22" s="15">
        <f>IFERROR(VLOOKUP(F22,'Puntos XCC Mayor'!$A$1:$B$15,2,FALSE),0)</f>
        <v>14</v>
      </c>
      <c r="H22" s="3">
        <v>7</v>
      </c>
      <c r="I22" s="25">
        <f>IFERROR(VLOOKUP(H22,'Puntos XCO'!$A$1:$B$63,2,FALSE),0)</f>
        <v>90</v>
      </c>
      <c r="J22" s="33">
        <v>4</v>
      </c>
      <c r="K22" s="22">
        <f>IFERROR(VLOOKUP(J22,'Puntos XCC Mayor'!$A$1:$B$15,2,FALSE),"0")</f>
        <v>14</v>
      </c>
      <c r="L22" s="22">
        <v>5</v>
      </c>
      <c r="M22" s="34">
        <f>IFERROR(VLOOKUP(L22,'Puntos XCO'!$A$1:$B$63,2,FALSE),0)</f>
        <v>100</v>
      </c>
      <c r="N22" s="26">
        <v>12</v>
      </c>
      <c r="O22" s="3">
        <f>IFERROR(VLOOKUP(N22,'Puntos XCC Mayor'!$A$1:$B$15,2,FALSE),0)</f>
        <v>4</v>
      </c>
      <c r="P22" s="3">
        <v>11</v>
      </c>
      <c r="Q22" s="39">
        <f>IFERROR(VLOOKUP(P22,'Puntos XCO'!$A$1:$B$63,2,FALSE),0)</f>
        <v>76</v>
      </c>
      <c r="R22" s="26">
        <v>4</v>
      </c>
      <c r="S22" s="3">
        <f>IFERROR(VLOOKUP(R22,'Puntos XCC Mayor'!$A$1:$B$15,2,FALSE),0)</f>
        <v>14</v>
      </c>
      <c r="T22" s="3"/>
      <c r="U22" s="39">
        <f>IFERROR(VLOOKUP(T22,'Puntos XCO'!$A$1:$B$63,2,FALSE),0)</f>
        <v>0</v>
      </c>
      <c r="V22" s="16">
        <v>4</v>
      </c>
      <c r="W22" s="15">
        <f>IFERROR(VLOOKUP(V22,'Puntos XCC Mayor'!$A$1:$B$15,2,FALSE),0)</f>
        <v>14</v>
      </c>
      <c r="X22" s="15">
        <v>9</v>
      </c>
      <c r="Y22" s="25">
        <f>IFERROR(VLOOKUP(X22,'Puntos XCO'!$A$1:$B$63,2,FALSE),0)</f>
        <v>80</v>
      </c>
      <c r="Z22" s="16"/>
      <c r="AA22" s="15">
        <f>IFERROR(VLOOKUP(Z22,'Puntos XCC Mayor'!$A$1:$B$15,2,FALSE),0)</f>
        <v>0</v>
      </c>
      <c r="AB22" s="15"/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0"/>
        <v>406</v>
      </c>
      <c r="AJ22" s="3"/>
    </row>
    <row r="23" spans="1:36" ht="24.95" customHeight="1">
      <c r="A23" s="22">
        <v>9</v>
      </c>
      <c r="B23" s="22">
        <v>13</v>
      </c>
      <c r="C23" s="113">
        <v>32</v>
      </c>
      <c r="D23" s="23" t="s">
        <v>177</v>
      </c>
      <c r="E23" s="24" t="s">
        <v>1003</v>
      </c>
      <c r="F23" s="3">
        <v>11</v>
      </c>
      <c r="G23" s="15">
        <f>IFERROR(VLOOKUP(F23,'Puntos XCC Mayor'!$A$1:$B$15,2,FALSE),0)</f>
        <v>5</v>
      </c>
      <c r="H23" s="3">
        <v>11</v>
      </c>
      <c r="I23" s="25">
        <f>IFERROR(VLOOKUP(H23,'Puntos XCO'!$A$1:$B$63,2,FALSE),0)</f>
        <v>76</v>
      </c>
      <c r="J23" s="33">
        <v>0</v>
      </c>
      <c r="K23" s="22" t="str">
        <f>IFERROR(VLOOKUP(J23,'Puntos XCC Mayor'!$A$1:$B$15,2,FALSE),"0")</f>
        <v>0</v>
      </c>
      <c r="L23" s="22">
        <v>0</v>
      </c>
      <c r="M23" s="34">
        <f>IFERROR(VLOOKUP(L23,'Puntos XCO'!$A$1:$B$63,2,FALSE),0)</f>
        <v>0</v>
      </c>
      <c r="N23" s="26">
        <v>14</v>
      </c>
      <c r="O23" s="3">
        <f>IFERROR(VLOOKUP(N23,'Puntos XCC Mayor'!$A$1:$B$15,2,FALSE),0)</f>
        <v>2</v>
      </c>
      <c r="P23" s="3">
        <v>12</v>
      </c>
      <c r="Q23" s="39">
        <f>IFERROR(VLOOKUP(P23,'Puntos XCO'!$A$1:$B$63,2,FALSE),0)</f>
        <v>74</v>
      </c>
      <c r="R23" s="26"/>
      <c r="S23" s="3">
        <f>IFERROR(VLOOKUP(R23,'Puntos XCC Mayor'!$A$1:$B$15,2,FALSE),0)</f>
        <v>0</v>
      </c>
      <c r="T23" s="3"/>
      <c r="U23" s="39">
        <f>IFERROR(VLOOKUP(T23,'Puntos XCO'!$A$1:$B$63,2,FALSE),0)</f>
        <v>0</v>
      </c>
      <c r="V23" s="16"/>
      <c r="W23" s="15">
        <f>IFERROR(VLOOKUP(V23,'Puntos XCC Mayor'!$A$1:$B$15,2,FALSE),0)</f>
        <v>0</v>
      </c>
      <c r="X23" s="15"/>
      <c r="Y23" s="25">
        <f>IFERROR(VLOOKUP(X23,'Puntos XCO'!$A$1:$B$63,2,FALSE),0)</f>
        <v>0</v>
      </c>
      <c r="Z23" s="16">
        <v>8</v>
      </c>
      <c r="AA23" s="15">
        <f>IFERROR(VLOOKUP(Z23,'Puntos XCC Mayor'!$A$1:$B$15,2,FALSE),0)</f>
        <v>8</v>
      </c>
      <c r="AB23" s="15">
        <v>7</v>
      </c>
      <c r="AC23" s="25">
        <f>IFERROR(VLOOKUP(AB23,'Puntos XCO'!$A$1:$B$63,2,FALSE),0)</f>
        <v>90</v>
      </c>
      <c r="AD23" s="16"/>
      <c r="AE23" s="15"/>
      <c r="AF23" s="15"/>
      <c r="AG23" s="25"/>
      <c r="AH23" s="27">
        <f t="shared" si="0"/>
        <v>255</v>
      </c>
      <c r="AJ23" s="3"/>
    </row>
    <row r="24" spans="1:36" ht="24.95" customHeight="1">
      <c r="A24" s="22">
        <v>10</v>
      </c>
      <c r="B24" s="22">
        <v>12</v>
      </c>
      <c r="C24" s="113">
        <v>31</v>
      </c>
      <c r="D24" s="23" t="s">
        <v>1002</v>
      </c>
      <c r="E24" s="24" t="s">
        <v>71</v>
      </c>
      <c r="F24" s="3">
        <v>12</v>
      </c>
      <c r="G24" s="15">
        <f>IFERROR(VLOOKUP(F24,'Puntos XCC Mayor'!$A$1:$B$15,2,FALSE),0)</f>
        <v>4</v>
      </c>
      <c r="H24" s="3">
        <v>12</v>
      </c>
      <c r="I24" s="25">
        <f>IFERROR(VLOOKUP(H24,'Puntos XCO'!$A$1:$B$63,2,FALSE),0)</f>
        <v>74</v>
      </c>
      <c r="J24" s="33">
        <v>9</v>
      </c>
      <c r="K24" s="22">
        <f>IFERROR(VLOOKUP(J24,'Puntos XCC Mayor'!$A$1:$B$15,2,FALSE),"0")</f>
        <v>7</v>
      </c>
      <c r="L24" s="22">
        <v>10</v>
      </c>
      <c r="M24" s="34">
        <f>IFERROR(VLOOKUP(L24,'Puntos XCO'!$A$1:$B$63,2,FALSE),0)</f>
        <v>78</v>
      </c>
      <c r="N24" s="26"/>
      <c r="O24" s="3">
        <f>IFERROR(VLOOKUP(N24,'Puntos XCC Mayor'!$A$1:$B$15,2,FALSE),0)</f>
        <v>0</v>
      </c>
      <c r="P24" s="3"/>
      <c r="Q24" s="39">
        <f>IFERROR(VLOOKUP(P24,'Puntos XCO'!$A$1:$B$63,2,FALSE),0)</f>
        <v>0</v>
      </c>
      <c r="R24" s="26"/>
      <c r="S24" s="3">
        <f>IFERROR(VLOOKUP(R24,'Puntos XCC Mayor'!$A$1:$B$15,2,FALSE),0)</f>
        <v>0</v>
      </c>
      <c r="T24" s="3"/>
      <c r="U24" s="39">
        <f>IFERROR(VLOOKUP(T24,'Puntos XCO'!$A$1:$B$63,2,FALSE),0)</f>
        <v>0</v>
      </c>
      <c r="V24" s="16"/>
      <c r="W24" s="15">
        <f>IFERROR(VLOOKUP(V24,'Puntos XCC Mayor'!$A$1:$B$15,2,FALSE),0)</f>
        <v>0</v>
      </c>
      <c r="X24" s="15"/>
      <c r="Y24" s="25">
        <f>IFERROR(VLOOKUP(X24,'Puntos XCO'!$A$1:$B$63,2,FALSE),0)</f>
        <v>0</v>
      </c>
      <c r="Z24" s="16"/>
      <c r="AA24" s="15">
        <f>IFERROR(VLOOKUP(Z24,'Puntos XCC Mayor'!$A$1:$B$15,2,FALSE),0)</f>
        <v>0</v>
      </c>
      <c r="AB24" s="15">
        <v>10</v>
      </c>
      <c r="AC24" s="25">
        <f>IFERROR(VLOOKUP(AB24,'Puntos XCO'!$A$1:$B$63,2,FALSE),0)</f>
        <v>78</v>
      </c>
      <c r="AD24" s="16"/>
      <c r="AE24" s="15"/>
      <c r="AF24" s="15"/>
      <c r="AG24" s="25"/>
      <c r="AH24" s="27">
        <f t="shared" si="0"/>
        <v>241</v>
      </c>
      <c r="AJ24" s="3"/>
    </row>
    <row r="25" spans="1:36" ht="24.95" customHeight="1">
      <c r="A25" s="22">
        <v>11</v>
      </c>
      <c r="B25" s="22">
        <v>9</v>
      </c>
      <c r="C25" s="113">
        <v>22</v>
      </c>
      <c r="D25" s="23" t="s">
        <v>996</v>
      </c>
      <c r="E25" s="24" t="s">
        <v>997</v>
      </c>
      <c r="F25" s="3"/>
      <c r="G25" s="15"/>
      <c r="H25" s="3"/>
      <c r="I25" s="25"/>
      <c r="J25" s="33"/>
      <c r="K25" s="22"/>
      <c r="L25" s="22"/>
      <c r="M25" s="34"/>
      <c r="N25" s="26">
        <v>2</v>
      </c>
      <c r="O25" s="3">
        <f>IFERROR(VLOOKUP(N25,'Puntos XCC Mayor'!$A$1:$B$15,2,FALSE),0)</f>
        <v>20</v>
      </c>
      <c r="P25" s="3">
        <v>1</v>
      </c>
      <c r="Q25" s="39">
        <f>IFERROR(VLOOKUP(P25,'Puntos XCO'!$A$1:$B$63,2,FALSE),0)</f>
        <v>200</v>
      </c>
      <c r="R25" s="26"/>
      <c r="S25" s="3">
        <f>IFERROR(VLOOKUP(R25,'Puntos XCC Mayor'!$A$1:$B$15,2,FALSE),0)</f>
        <v>0</v>
      </c>
      <c r="T25" s="3"/>
      <c r="U25" s="39">
        <f>IFERROR(VLOOKUP(T25,'Puntos XCO'!$A$1:$B$63,2,FALSE),0)</f>
        <v>0</v>
      </c>
      <c r="V25" s="16"/>
      <c r="W25" s="15">
        <f>IFERROR(VLOOKUP(V25,'Puntos XCC Mayor'!$A$1:$B$15,2,FALSE),0)</f>
        <v>0</v>
      </c>
      <c r="X25" s="15"/>
      <c r="Y25" s="25">
        <f>IFERROR(VLOOKUP(X25,'Puntos XCO'!$A$1:$B$63,2,FALSE),0)</f>
        <v>0</v>
      </c>
      <c r="Z25" s="16"/>
      <c r="AA25" s="15">
        <f>IFERROR(VLOOKUP(Z25,'Puntos XCC Mayor'!$A$1:$B$15,2,FALSE),0)</f>
        <v>0</v>
      </c>
      <c r="AB25" s="15"/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0"/>
        <v>220</v>
      </c>
      <c r="AJ25" s="3"/>
    </row>
    <row r="26" spans="1:36" ht="24.95" customHeight="1">
      <c r="A26" s="22">
        <v>12</v>
      </c>
      <c r="B26" s="22">
        <v>10</v>
      </c>
      <c r="C26" s="113">
        <v>35</v>
      </c>
      <c r="D26" s="23" t="s">
        <v>1006</v>
      </c>
      <c r="E26" s="24" t="s">
        <v>109</v>
      </c>
      <c r="F26" s="3"/>
      <c r="G26" s="15"/>
      <c r="H26" s="3"/>
      <c r="I26" s="25"/>
      <c r="J26" s="33"/>
      <c r="K26" s="22"/>
      <c r="L26" s="22"/>
      <c r="M26" s="34"/>
      <c r="N26" s="26">
        <v>13</v>
      </c>
      <c r="O26" s="3">
        <f>IFERROR(VLOOKUP(N26,'Puntos XCC Mayor'!$A$1:$B$15,2,FALSE),0)</f>
        <v>3</v>
      </c>
      <c r="P26" s="3"/>
      <c r="Q26" s="39">
        <f>IFERROR(VLOOKUP(P26,'Puntos XCO'!$A$1:$B$63,2,FALSE),0)</f>
        <v>0</v>
      </c>
      <c r="R26" s="26"/>
      <c r="S26" s="3">
        <f>IFERROR(VLOOKUP(R26,'Puntos XCC Mayor'!$A$1:$B$15,2,FALSE),0)</f>
        <v>0</v>
      </c>
      <c r="T26" s="3">
        <v>5</v>
      </c>
      <c r="U26" s="39">
        <f>IFERROR(VLOOKUP(T26,'Puntos XCO'!$A$1:$B$63,2,FALSE),0)</f>
        <v>100</v>
      </c>
      <c r="V26" s="16">
        <v>6</v>
      </c>
      <c r="W26" s="15">
        <f>IFERROR(VLOOKUP(V26,'Puntos XCC Mayor'!$A$1:$B$15,2,FALSE),0)</f>
        <v>10</v>
      </c>
      <c r="X26" s="15">
        <v>6</v>
      </c>
      <c r="Y26" s="25">
        <f>IFERROR(VLOOKUP(X26,'Puntos XCO'!$A$1:$B$63,2,FALSE),0)</f>
        <v>95</v>
      </c>
      <c r="Z26" s="16"/>
      <c r="AA26" s="15">
        <f>IFERROR(VLOOKUP(Z26,'Puntos XCC Mayor'!$A$1:$B$15,2,FALSE),0)</f>
        <v>0</v>
      </c>
      <c r="AB26" s="15"/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0"/>
        <v>208</v>
      </c>
      <c r="AJ26" s="3"/>
    </row>
    <row r="27" spans="1:36" ht="24.95" customHeight="1">
      <c r="A27" s="22">
        <v>13</v>
      </c>
      <c r="B27" s="22">
        <v>27</v>
      </c>
      <c r="C27" s="117">
        <v>41</v>
      </c>
      <c r="D27" s="23" t="str">
        <f>VLOOKUP(C27,PLANILLA,2,FALSE)</f>
        <v>FERNADEZ Fabricio Alberto*</v>
      </c>
      <c r="E27" s="24" t="str">
        <f>VLOOKUP(C27,PLANILLA,4,FALSE)</f>
        <v xml:space="preserve">Sin equipo </v>
      </c>
      <c r="F27" s="3"/>
      <c r="G27" s="15"/>
      <c r="H27" s="3"/>
      <c r="I27" s="25"/>
      <c r="J27" s="33"/>
      <c r="K27" s="22"/>
      <c r="L27" s="22"/>
      <c r="M27" s="34"/>
      <c r="N27" s="26"/>
      <c r="O27" s="3"/>
      <c r="P27" s="3"/>
      <c r="Q27" s="39"/>
      <c r="R27" s="26"/>
      <c r="S27" s="3"/>
      <c r="T27" s="3"/>
      <c r="U27" s="39"/>
      <c r="V27" s="16"/>
      <c r="W27" s="15">
        <f>IFERROR(VLOOKUP(V27,'Puntos XCC Mayor'!$A$1:$B$15,2,FALSE),0)</f>
        <v>0</v>
      </c>
      <c r="X27" s="15">
        <v>11</v>
      </c>
      <c r="Y27" s="25">
        <f>IFERROR(VLOOKUP(X27,'Puntos XCO'!$A$1:$B$63,2,FALSE),0)</f>
        <v>76</v>
      </c>
      <c r="Z27" s="16">
        <v>6</v>
      </c>
      <c r="AA27" s="15">
        <f>IFERROR(VLOOKUP(Z27,'Puntos XCC Mayor'!$A$1:$B$15,2,FALSE),0)</f>
        <v>10</v>
      </c>
      <c r="AB27" s="15">
        <v>4</v>
      </c>
      <c r="AC27" s="25">
        <f>IFERROR(VLOOKUP(AB27,'Puntos XCO'!$A$1:$B$63,2,FALSE),0)</f>
        <v>110</v>
      </c>
      <c r="AD27" s="16"/>
      <c r="AE27" s="15"/>
      <c r="AF27" s="15"/>
      <c r="AG27" s="25"/>
      <c r="AH27" s="27">
        <f t="shared" si="0"/>
        <v>196</v>
      </c>
      <c r="AJ27" s="3"/>
    </row>
    <row r="28" spans="1:36" ht="24.95" customHeight="1">
      <c r="A28" s="22">
        <v>14</v>
      </c>
      <c r="B28" s="22">
        <v>11</v>
      </c>
      <c r="C28" s="113">
        <v>21</v>
      </c>
      <c r="D28" s="23" t="s">
        <v>994</v>
      </c>
      <c r="E28" s="24" t="s">
        <v>995</v>
      </c>
      <c r="F28" s="3"/>
      <c r="G28" s="15"/>
      <c r="H28" s="3"/>
      <c r="I28" s="25"/>
      <c r="J28" s="33"/>
      <c r="K28" s="22"/>
      <c r="L28" s="22"/>
      <c r="M28" s="34"/>
      <c r="N28" s="26">
        <v>3</v>
      </c>
      <c r="O28" s="3">
        <f>IFERROR(VLOOKUP(N28,'Puntos XCC Mayor'!$A$1:$B$15,2,FALSE),0)</f>
        <v>16</v>
      </c>
      <c r="P28" s="3">
        <v>2</v>
      </c>
      <c r="Q28" s="39">
        <f>IFERROR(VLOOKUP(P28,'Puntos XCO'!$A$1:$B$63,2,FALSE),0)</f>
        <v>150</v>
      </c>
      <c r="R28" s="26"/>
      <c r="S28" s="3">
        <f>IFERROR(VLOOKUP(R28,'Puntos XCC Mayor'!$A$1:$B$15,2,FALSE),0)</f>
        <v>0</v>
      </c>
      <c r="T28" s="3"/>
      <c r="U28" s="39">
        <f>IFERROR(VLOOKUP(T28,'Puntos XCO'!$A$1:$B$63,2,FALSE),0)</f>
        <v>0</v>
      </c>
      <c r="V28" s="16"/>
      <c r="W28" s="15">
        <f>IFERROR(VLOOKUP(V28,'Puntos XCC Mayor'!$A$1:$B$15,2,FALSE),0)</f>
        <v>0</v>
      </c>
      <c r="X28" s="15"/>
      <c r="Y28" s="25">
        <f>IFERROR(VLOOKUP(X28,'Puntos XCO'!$A$1:$B$63,2,FALSE),0)</f>
        <v>0</v>
      </c>
      <c r="Z28" s="16"/>
      <c r="AA28" s="15">
        <f>IFERROR(VLOOKUP(Z28,'Puntos XCC Mayor'!$A$1:$B$15,2,FALSE),0)</f>
        <v>0</v>
      </c>
      <c r="AB28" s="15"/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0"/>
        <v>166</v>
      </c>
      <c r="AJ28" s="3"/>
    </row>
    <row r="29" spans="1:36" ht="24.95" customHeight="1">
      <c r="A29" s="22">
        <v>15</v>
      </c>
      <c r="B29" s="22">
        <v>14</v>
      </c>
      <c r="C29" s="113"/>
      <c r="D29" s="23" t="s">
        <v>174</v>
      </c>
      <c r="E29" s="24" t="s">
        <v>108</v>
      </c>
      <c r="F29" s="3">
        <v>8</v>
      </c>
      <c r="G29" s="15">
        <f>IFERROR(VLOOKUP(F29,'Puntos XCC Mayor'!$A$1:$B$15,2,FALSE),0)</f>
        <v>8</v>
      </c>
      <c r="H29" s="3">
        <v>5</v>
      </c>
      <c r="I29" s="25">
        <f>IFERROR(VLOOKUP(H29,'Puntos XCO'!$A$1:$B$63,2,FALSE),0)</f>
        <v>100</v>
      </c>
      <c r="J29" s="33">
        <v>0</v>
      </c>
      <c r="K29" s="22" t="str">
        <f>IFERROR(VLOOKUP(J29,'Puntos XCC Mayor'!$A$1:$B$15,2,FALSE),"0")</f>
        <v>0</v>
      </c>
      <c r="L29" s="22">
        <v>0</v>
      </c>
      <c r="M29" s="34">
        <f>IFERROR(VLOOKUP(L29,'Puntos XCO'!$A$1:$B$63,2,FALSE),0)</f>
        <v>0</v>
      </c>
      <c r="N29" s="26"/>
      <c r="O29" s="3">
        <f>IFERROR(VLOOKUP(N29,'Puntos XCC Mayor'!$A$1:$B$15,2,FALSE),0)</f>
        <v>0</v>
      </c>
      <c r="P29" s="3"/>
      <c r="Q29" s="39">
        <f>IFERROR(VLOOKUP(P29,'Puntos XCO'!$A$1:$B$63,2,FALSE),0)</f>
        <v>0</v>
      </c>
      <c r="R29" s="26"/>
      <c r="S29" s="3">
        <f>IFERROR(VLOOKUP(R29,'Puntos XCC Mayor'!$A$1:$B$15,2,FALSE),0)</f>
        <v>0</v>
      </c>
      <c r="T29" s="3"/>
      <c r="U29" s="39">
        <f>IFERROR(VLOOKUP(T29,'Puntos XCO'!$A$1:$B$63,2,FALSE),0)</f>
        <v>0</v>
      </c>
      <c r="V29" s="16"/>
      <c r="W29" s="15">
        <f>IFERROR(VLOOKUP(V29,'Puntos XCC Mayor'!$A$1:$B$15,2,FALSE),0)</f>
        <v>0</v>
      </c>
      <c r="X29" s="15"/>
      <c r="Y29" s="25">
        <f>IFERROR(VLOOKUP(X29,'Puntos XCO'!$A$1:$B$63,2,FALSE),0)</f>
        <v>0</v>
      </c>
      <c r="Z29" s="16"/>
      <c r="AA29" s="15">
        <f>IFERROR(VLOOKUP(Z29,'Puntos XCC Mayor'!$A$1:$B$15,2,FALSE),0)</f>
        <v>0</v>
      </c>
      <c r="AB29" s="15"/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0"/>
        <v>108</v>
      </c>
      <c r="AJ29" s="3"/>
    </row>
    <row r="30" spans="1:36" ht="24.95" customHeight="1">
      <c r="A30" s="22">
        <v>16</v>
      </c>
      <c r="B30" s="22">
        <v>15</v>
      </c>
      <c r="C30" s="113"/>
      <c r="D30" s="23" t="s">
        <v>149</v>
      </c>
      <c r="E30" s="24" t="s">
        <v>173</v>
      </c>
      <c r="F30" s="3">
        <v>2</v>
      </c>
      <c r="G30" s="15">
        <f>IFERROR(VLOOKUP(F30,'Puntos XCC Mayor'!$A$1:$B$15,2,FALSE),0)</f>
        <v>20</v>
      </c>
      <c r="H30" s="3">
        <v>8</v>
      </c>
      <c r="I30" s="25">
        <f>IFERROR(VLOOKUP(H30,'Puntos XCO'!$A$1:$B$63,2,FALSE),0)</f>
        <v>85</v>
      </c>
      <c r="J30" s="33">
        <v>0</v>
      </c>
      <c r="K30" s="22" t="str">
        <f>IFERROR(VLOOKUP(J30,'Puntos XCC Mayor'!$A$1:$B$15,2,FALSE),"0")</f>
        <v>0</v>
      </c>
      <c r="L30" s="22">
        <v>0</v>
      </c>
      <c r="M30" s="34">
        <f>IFERROR(VLOOKUP(L30,'Puntos XCO'!$A$1:$B$63,2,FALSE),0)</f>
        <v>0</v>
      </c>
      <c r="N30" s="26"/>
      <c r="O30" s="3">
        <f>IFERROR(VLOOKUP(N30,'Puntos XCC Mayor'!$A$1:$B$15,2,FALSE),0)</f>
        <v>0</v>
      </c>
      <c r="P30" s="3"/>
      <c r="Q30" s="39">
        <f>IFERROR(VLOOKUP(P30,'Puntos XCO'!$A$1:$B$63,2,FALSE),0)</f>
        <v>0</v>
      </c>
      <c r="R30" s="26"/>
      <c r="S30" s="3">
        <f>IFERROR(VLOOKUP(R30,'Puntos XCC Mayor'!$A$1:$B$15,2,FALSE),0)</f>
        <v>0</v>
      </c>
      <c r="T30" s="3"/>
      <c r="U30" s="39">
        <f>IFERROR(VLOOKUP(T30,'Puntos XCO'!$A$1:$B$63,2,FALSE),0)</f>
        <v>0</v>
      </c>
      <c r="V30" s="16"/>
      <c r="W30" s="15">
        <f>IFERROR(VLOOKUP(V30,'Puntos XCC Mayor'!$A$1:$B$15,2,FALSE),0)</f>
        <v>0</v>
      </c>
      <c r="X30" s="15"/>
      <c r="Y30" s="25">
        <f>IFERROR(VLOOKUP(X30,'Puntos XCO'!$A$1:$B$63,2,FALSE),0)</f>
        <v>0</v>
      </c>
      <c r="Z30" s="16"/>
      <c r="AA30" s="15">
        <f>IFERROR(VLOOKUP(Z30,'Puntos XCC Mayor'!$A$1:$B$15,2,FALSE),0)</f>
        <v>0</v>
      </c>
      <c r="AB30" s="15"/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0"/>
        <v>105</v>
      </c>
      <c r="AJ30" s="3"/>
    </row>
    <row r="31" spans="1:36" ht="24.95" customHeight="1">
      <c r="A31" s="22">
        <v>17</v>
      </c>
      <c r="B31" s="22">
        <v>16</v>
      </c>
      <c r="C31" s="113">
        <v>24</v>
      </c>
      <c r="D31" s="23" t="s">
        <v>998</v>
      </c>
      <c r="E31" s="24" t="s">
        <v>999</v>
      </c>
      <c r="F31" s="3"/>
      <c r="G31" s="15"/>
      <c r="H31" s="3"/>
      <c r="I31" s="25"/>
      <c r="J31" s="33"/>
      <c r="K31" s="22"/>
      <c r="L31" s="22"/>
      <c r="M31" s="34"/>
      <c r="N31" s="26">
        <v>1</v>
      </c>
      <c r="O31" s="3">
        <f>IFERROR(VLOOKUP(N31,'Puntos XCC Mayor'!$A$1:$B$15,2,FALSE),0)</f>
        <v>25</v>
      </c>
      <c r="P31" s="3">
        <v>9</v>
      </c>
      <c r="Q31" s="39">
        <f>IFERROR(VLOOKUP(P31,'Puntos XCO'!$A$1:$B$63,2,FALSE),0)</f>
        <v>80</v>
      </c>
      <c r="R31" s="26"/>
      <c r="S31" s="3">
        <f>IFERROR(VLOOKUP(R31,'Puntos XCC Mayor'!$A$1:$B$15,2,FALSE),0)</f>
        <v>0</v>
      </c>
      <c r="T31" s="3"/>
      <c r="U31" s="39">
        <f>IFERROR(VLOOKUP(T31,'Puntos XCO'!$A$1:$B$63,2,FALSE),0)</f>
        <v>0</v>
      </c>
      <c r="V31" s="16"/>
      <c r="W31" s="15">
        <f>IFERROR(VLOOKUP(V31,'Puntos XCC Mayor'!$A$1:$B$15,2,FALSE),0)</f>
        <v>0</v>
      </c>
      <c r="X31" s="15"/>
      <c r="Y31" s="25">
        <f>IFERROR(VLOOKUP(X31,'Puntos XCO'!$A$1:$B$63,2,FALSE),0)</f>
        <v>0</v>
      </c>
      <c r="Z31" s="16"/>
      <c r="AA31" s="15">
        <f>IFERROR(VLOOKUP(Z31,'Puntos XCC Mayor'!$A$1:$B$15,2,FALSE),0)</f>
        <v>0</v>
      </c>
      <c r="AB31" s="15"/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0"/>
        <v>105</v>
      </c>
      <c r="AJ31" s="3"/>
    </row>
    <row r="32" spans="1:36" ht="24.95" customHeight="1">
      <c r="A32" s="22">
        <v>18</v>
      </c>
      <c r="B32" s="22"/>
      <c r="C32" s="105">
        <v>43</v>
      </c>
      <c r="D32" s="23" t="str">
        <f>VLOOKUP(C32,PLANILLA,2,FALSE)</f>
        <v>SUNSIN Ean*</v>
      </c>
      <c r="E32" s="24" t="str">
        <f>VLOOKUP(C32,PLANILLA,4,FALSE)</f>
        <v xml:space="preserve">ACISA - SARAPIQUÍ </v>
      </c>
      <c r="F32" s="3"/>
      <c r="G32" s="15"/>
      <c r="H32" s="3"/>
      <c r="I32" s="25"/>
      <c r="J32" s="33"/>
      <c r="K32" s="22"/>
      <c r="L32" s="22"/>
      <c r="M32" s="34"/>
      <c r="N32" s="26"/>
      <c r="O32" s="3"/>
      <c r="P32" s="3"/>
      <c r="Q32" s="39"/>
      <c r="R32" s="32"/>
      <c r="S32" s="30"/>
      <c r="T32" s="3"/>
      <c r="U32" s="25"/>
      <c r="V32" s="16"/>
      <c r="W32" s="15"/>
      <c r="X32" s="15"/>
      <c r="Y32" s="25"/>
      <c r="Z32" s="16">
        <v>7</v>
      </c>
      <c r="AA32" s="15">
        <f>IFERROR(VLOOKUP(Z32,'Puntos XCC Mayor'!$A$1:$B$15,2,FALSE),0)</f>
        <v>9</v>
      </c>
      <c r="AB32" s="15">
        <v>6</v>
      </c>
      <c r="AC32" s="25">
        <f>IFERROR(VLOOKUP(AB32,'Puntos XCO'!$A$1:$B$63,2,FALSE),0)</f>
        <v>95</v>
      </c>
      <c r="AD32" s="16"/>
      <c r="AE32" s="15"/>
      <c r="AF32" s="15"/>
      <c r="AG32" s="25"/>
      <c r="AH32" s="27">
        <f t="shared" si="0"/>
        <v>104</v>
      </c>
      <c r="AJ32" s="3"/>
    </row>
    <row r="33" spans="1:36" ht="24.95" customHeight="1">
      <c r="A33" s="22">
        <v>19</v>
      </c>
      <c r="B33" s="22">
        <v>17</v>
      </c>
      <c r="C33" s="113">
        <v>33</v>
      </c>
      <c r="D33" s="23" t="s">
        <v>1004</v>
      </c>
      <c r="E33" s="24" t="s">
        <v>999</v>
      </c>
      <c r="F33" s="3"/>
      <c r="G33" s="15"/>
      <c r="H33" s="3"/>
      <c r="I33" s="25"/>
      <c r="J33" s="33"/>
      <c r="K33" s="22"/>
      <c r="L33" s="22"/>
      <c r="M33" s="34"/>
      <c r="N33" s="26"/>
      <c r="O33" s="3">
        <f>IFERROR(VLOOKUP(N33,'Puntos XCC Mayor'!$A$1:$B$15,2,FALSE),0)</f>
        <v>0</v>
      </c>
      <c r="P33" s="3">
        <v>5</v>
      </c>
      <c r="Q33" s="39">
        <f>IFERROR(VLOOKUP(P33,'Puntos XCO'!$A$1:$B$63,2,FALSE),0)</f>
        <v>100</v>
      </c>
      <c r="R33" s="26"/>
      <c r="S33" s="3">
        <f>IFERROR(VLOOKUP(R33,'Puntos XCC Mayor'!$A$1:$B$15,2,FALSE),0)</f>
        <v>0</v>
      </c>
      <c r="T33" s="3"/>
      <c r="U33" s="39">
        <f>IFERROR(VLOOKUP(T33,'Puntos XCO'!$A$1:$B$63,2,FALSE),0)</f>
        <v>0</v>
      </c>
      <c r="V33" s="16"/>
      <c r="W33" s="15">
        <f>IFERROR(VLOOKUP(V33,'Puntos XCC Mayor'!$A$1:$B$15,2,FALSE),0)</f>
        <v>0</v>
      </c>
      <c r="X33" s="15"/>
      <c r="Y33" s="25">
        <f>IFERROR(VLOOKUP(X33,'Puntos XCO'!$A$1:$B$63,2,FALSE),0)</f>
        <v>0</v>
      </c>
      <c r="Z33" s="16"/>
      <c r="AA33" s="15">
        <f>IFERROR(VLOOKUP(Z33,'Puntos XCC Mayor'!$A$1:$B$15,2,FALSE),0)</f>
        <v>0</v>
      </c>
      <c r="AB33" s="15"/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0"/>
        <v>100</v>
      </c>
      <c r="AJ33" s="3"/>
    </row>
    <row r="34" spans="1:36" ht="24.95" customHeight="1">
      <c r="A34" s="22">
        <v>20</v>
      </c>
      <c r="B34" s="22">
        <v>18</v>
      </c>
      <c r="C34" s="113"/>
      <c r="D34" s="23" t="s">
        <v>579</v>
      </c>
      <c r="E34" s="24" t="s">
        <v>580</v>
      </c>
      <c r="F34" s="3"/>
      <c r="G34" s="15"/>
      <c r="H34" s="3"/>
      <c r="I34" s="25"/>
      <c r="J34" s="33">
        <v>8</v>
      </c>
      <c r="K34" s="22">
        <f>IFERROR(VLOOKUP(J34,'Puntos XCC Mayor'!$A$1:$B$15,2,FALSE),"0")</f>
        <v>8</v>
      </c>
      <c r="L34" s="22">
        <v>7</v>
      </c>
      <c r="M34" s="34">
        <f>IFERROR(VLOOKUP(L34,'Puntos XCO'!$A$1:$B$63,2,FALSE),0)</f>
        <v>90</v>
      </c>
      <c r="N34" s="26"/>
      <c r="O34" s="3">
        <f>IFERROR(VLOOKUP(N34,'Puntos XCC Mayor'!$A$1:$B$15,2,FALSE),0)</f>
        <v>0</v>
      </c>
      <c r="P34" s="3"/>
      <c r="Q34" s="39">
        <f>IFERROR(VLOOKUP(P34,'Puntos XCO'!$A$1:$B$63,2,FALSE),0)</f>
        <v>0</v>
      </c>
      <c r="R34" s="26"/>
      <c r="S34" s="3">
        <f>IFERROR(VLOOKUP(R34,'Puntos XCC Mayor'!$A$1:$B$15,2,FALSE),0)</f>
        <v>0</v>
      </c>
      <c r="T34" s="3"/>
      <c r="U34" s="39">
        <f>IFERROR(VLOOKUP(T34,'Puntos XCO'!$A$1:$B$63,2,FALSE),0)</f>
        <v>0</v>
      </c>
      <c r="V34" s="16"/>
      <c r="W34" s="15">
        <f>IFERROR(VLOOKUP(V34,'Puntos XCC Mayor'!$A$1:$B$15,2,FALSE),0)</f>
        <v>0</v>
      </c>
      <c r="X34" s="15"/>
      <c r="Y34" s="25">
        <f>IFERROR(VLOOKUP(X34,'Puntos XCO'!$A$1:$B$63,2,FALSE),0)</f>
        <v>0</v>
      </c>
      <c r="Z34" s="16"/>
      <c r="AA34" s="15">
        <f>IFERROR(VLOOKUP(Z34,'Puntos XCC Mayor'!$A$1:$B$15,2,FALSE),0)</f>
        <v>0</v>
      </c>
      <c r="AB34" s="15"/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0"/>
        <v>98</v>
      </c>
      <c r="AJ34" s="3"/>
    </row>
    <row r="35" spans="1:36" ht="24.95" customHeight="1">
      <c r="A35" s="22">
        <v>21</v>
      </c>
      <c r="B35" s="22">
        <v>19</v>
      </c>
      <c r="C35" s="117">
        <v>39</v>
      </c>
      <c r="D35" s="23" t="str">
        <f>VLOOKUP(C35,PLANILLA,2,FALSE)</f>
        <v>ROJAS Juan Diego*</v>
      </c>
      <c r="E35" s="24" t="str">
        <f>VLOOKUP(C35,PLANILLA,4,FALSE)</f>
        <v>MEGAMO MANZATÉ LA SELVA</v>
      </c>
      <c r="F35" s="3"/>
      <c r="G35" s="15"/>
      <c r="H35" s="3"/>
      <c r="I35" s="25"/>
      <c r="J35" s="33"/>
      <c r="K35" s="22"/>
      <c r="L35" s="22"/>
      <c r="M35" s="34"/>
      <c r="N35" s="26"/>
      <c r="O35" s="3"/>
      <c r="P35" s="3"/>
      <c r="Q35" s="39"/>
      <c r="R35" s="26"/>
      <c r="S35" s="3"/>
      <c r="T35" s="3"/>
      <c r="U35" s="39"/>
      <c r="V35" s="16">
        <v>8</v>
      </c>
      <c r="W35" s="15">
        <f>IFERROR(VLOOKUP(V35,'Puntos XCC Mayor'!$A$1:$B$15,2,FALSE),0)</f>
        <v>8</v>
      </c>
      <c r="X35" s="15">
        <v>7</v>
      </c>
      <c r="Y35" s="25">
        <f>IFERROR(VLOOKUP(X35,'Puntos XCO'!$A$1:$B$63,2,FALSE),0)</f>
        <v>90</v>
      </c>
      <c r="Z35" s="16"/>
      <c r="AA35" s="15">
        <f>IFERROR(VLOOKUP(Z35,'Puntos XCC Mayor'!$A$1:$B$15,2,FALSE),0)</f>
        <v>0</v>
      </c>
      <c r="AB35" s="15"/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0"/>
        <v>98</v>
      </c>
      <c r="AJ35" s="3"/>
    </row>
    <row r="36" spans="1:36" ht="24.95" customHeight="1">
      <c r="A36" s="22">
        <v>22</v>
      </c>
      <c r="B36" s="22">
        <v>20</v>
      </c>
      <c r="C36" s="113">
        <v>34</v>
      </c>
      <c r="D36" s="23" t="s">
        <v>1005</v>
      </c>
      <c r="E36" s="24" t="s">
        <v>927</v>
      </c>
      <c r="F36" s="3"/>
      <c r="G36" s="15"/>
      <c r="H36" s="3"/>
      <c r="I36" s="25"/>
      <c r="J36" s="33"/>
      <c r="K36" s="22"/>
      <c r="L36" s="22"/>
      <c r="M36" s="34"/>
      <c r="N36" s="26">
        <v>10</v>
      </c>
      <c r="O36" s="3">
        <f>IFERROR(VLOOKUP(N36,'Puntos XCC Mayor'!$A$1:$B$15,2,FALSE),0)</f>
        <v>6</v>
      </c>
      <c r="P36" s="3">
        <v>7</v>
      </c>
      <c r="Q36" s="39">
        <f>IFERROR(VLOOKUP(P36,'Puntos XCO'!$A$1:$B$63,2,FALSE),0)</f>
        <v>90</v>
      </c>
      <c r="R36" s="26"/>
      <c r="S36" s="3">
        <f>IFERROR(VLOOKUP(R36,'Puntos XCC Mayor'!$A$1:$B$15,2,FALSE),0)</f>
        <v>0</v>
      </c>
      <c r="T36" s="3"/>
      <c r="U36" s="39">
        <f>IFERROR(VLOOKUP(T36,'Puntos XCO'!$A$1:$B$63,2,FALSE),0)</f>
        <v>0</v>
      </c>
      <c r="V36" s="16"/>
      <c r="W36" s="15">
        <f>IFERROR(VLOOKUP(V36,'Puntos XCC Mayor'!$A$1:$B$15,2,FALSE),0)</f>
        <v>0</v>
      </c>
      <c r="X36" s="15"/>
      <c r="Y36" s="25">
        <f>IFERROR(VLOOKUP(X36,'Puntos XCO'!$A$1:$B$63,2,FALSE),0)</f>
        <v>0</v>
      </c>
      <c r="Z36" s="16"/>
      <c r="AA36" s="15">
        <f>IFERROR(VLOOKUP(Z36,'Puntos XCC Mayor'!$A$1:$B$15,2,FALSE),0)</f>
        <v>0</v>
      </c>
      <c r="AB36" s="15"/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0"/>
        <v>96</v>
      </c>
      <c r="AJ36" s="3"/>
    </row>
    <row r="37" spans="1:36" ht="24.95" customHeight="1">
      <c r="A37" s="22">
        <v>23</v>
      </c>
      <c r="B37" s="22">
        <v>21</v>
      </c>
      <c r="C37" s="113">
        <v>38</v>
      </c>
      <c r="D37" s="23" t="str">
        <f>VLOOKUP(C37,PLANILLA,2,FALSE)</f>
        <v>ARAYA  Roberto*</v>
      </c>
      <c r="E37" s="24" t="str">
        <f>VLOOKUP(C37,PLANILLA,4,FALSE)</f>
        <v xml:space="preserve">CCDR PARAÍSO </v>
      </c>
      <c r="F37" s="3"/>
      <c r="G37" s="15"/>
      <c r="H37" s="3"/>
      <c r="I37" s="25"/>
      <c r="J37" s="33"/>
      <c r="K37" s="22"/>
      <c r="L37" s="22"/>
      <c r="M37" s="34"/>
      <c r="N37" s="26"/>
      <c r="O37" s="3"/>
      <c r="P37" s="3"/>
      <c r="Q37" s="39"/>
      <c r="R37" s="26"/>
      <c r="S37" s="3">
        <f>IFERROR(VLOOKUP(R37,'Puntos XCC Mayor'!$A$1:$B$15,2,FALSE),0)</f>
        <v>0</v>
      </c>
      <c r="T37" s="3">
        <v>6</v>
      </c>
      <c r="U37" s="39">
        <f>IFERROR(VLOOKUP(T37,'Puntos XCO'!$A$1:$B$63,2,FALSE),0)</f>
        <v>95</v>
      </c>
      <c r="V37" s="16"/>
      <c r="W37" s="15">
        <f>IFERROR(VLOOKUP(V37,'Puntos XCC Mayor'!$A$1:$B$15,2,FALSE),0)</f>
        <v>0</v>
      </c>
      <c r="X37" s="15"/>
      <c r="Y37" s="25">
        <f>IFERROR(VLOOKUP(X37,'Puntos XCO'!$A$1:$B$63,2,FALSE),0)</f>
        <v>0</v>
      </c>
      <c r="Z37" s="16"/>
      <c r="AA37" s="15">
        <f>IFERROR(VLOOKUP(Z37,'Puntos XCC Mayor'!$A$1:$B$15,2,FALSE),0)</f>
        <v>0</v>
      </c>
      <c r="AB37" s="15"/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0"/>
        <v>95</v>
      </c>
      <c r="AJ37" s="3"/>
    </row>
    <row r="38" spans="1:36" ht="24.95" customHeight="1">
      <c r="A38" s="22">
        <v>24</v>
      </c>
      <c r="B38" s="22">
        <v>22</v>
      </c>
      <c r="C38" s="113">
        <v>36</v>
      </c>
      <c r="D38" s="23" t="s">
        <v>1007</v>
      </c>
      <c r="E38" s="24" t="s">
        <v>1008</v>
      </c>
      <c r="F38" s="3"/>
      <c r="G38" s="15"/>
      <c r="H38" s="3"/>
      <c r="I38" s="25"/>
      <c r="J38" s="33"/>
      <c r="K38" s="22"/>
      <c r="L38" s="22"/>
      <c r="M38" s="34"/>
      <c r="N38" s="26">
        <v>8</v>
      </c>
      <c r="O38" s="3">
        <f>IFERROR(VLOOKUP(N38,'Puntos XCC Mayor'!$A$1:$B$15,2,FALSE),0)</f>
        <v>8</v>
      </c>
      <c r="P38" s="3">
        <v>8</v>
      </c>
      <c r="Q38" s="39">
        <f>IFERROR(VLOOKUP(P38,'Puntos XCO'!$A$1:$B$63,2,FALSE),0)</f>
        <v>85</v>
      </c>
      <c r="R38" s="26"/>
      <c r="S38" s="3">
        <f>IFERROR(VLOOKUP(R38,'Puntos XCC Mayor'!$A$1:$B$15,2,FALSE),0)</f>
        <v>0</v>
      </c>
      <c r="T38" s="3"/>
      <c r="U38" s="39">
        <f>IFERROR(VLOOKUP(T38,'Puntos XCO'!$A$1:$B$63,2,FALSE),0)</f>
        <v>0</v>
      </c>
      <c r="V38" s="16"/>
      <c r="W38" s="15">
        <f>IFERROR(VLOOKUP(V38,'Puntos XCC Mayor'!$A$1:$B$15,2,FALSE),0)</f>
        <v>0</v>
      </c>
      <c r="X38" s="15"/>
      <c r="Y38" s="25">
        <f>IFERROR(VLOOKUP(X38,'Puntos XCO'!$A$1:$B$63,2,FALSE),0)</f>
        <v>0</v>
      </c>
      <c r="Z38" s="16"/>
      <c r="AA38" s="15">
        <f>IFERROR(VLOOKUP(Z38,'Puntos XCC Mayor'!$A$1:$B$15,2,FALSE),0)</f>
        <v>0</v>
      </c>
      <c r="AB38" s="15"/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0"/>
        <v>93</v>
      </c>
      <c r="AJ38" s="3"/>
    </row>
    <row r="39" spans="1:36" ht="24.95" customHeight="1">
      <c r="A39" s="22">
        <v>25</v>
      </c>
      <c r="B39" s="22"/>
      <c r="C39" s="105">
        <v>42</v>
      </c>
      <c r="D39" s="23" t="str">
        <f>VLOOKUP(C39,PLANILLA,2,FALSE)</f>
        <v>ORTEGA Kelvin José*</v>
      </c>
      <c r="E39" s="24" t="str">
        <f>VLOOKUP(C39,PLANILLA,4,FALSE)</f>
        <v xml:space="preserve">CCDR Santa Cruz </v>
      </c>
      <c r="F39" s="3"/>
      <c r="G39" s="15"/>
      <c r="H39" s="3"/>
      <c r="I39" s="25"/>
      <c r="J39" s="33"/>
      <c r="K39" s="22"/>
      <c r="L39" s="22"/>
      <c r="M39" s="34"/>
      <c r="N39" s="26"/>
      <c r="O39" s="3"/>
      <c r="P39" s="3"/>
      <c r="Q39" s="39"/>
      <c r="R39" s="32"/>
      <c r="S39" s="30"/>
      <c r="T39" s="3"/>
      <c r="U39" s="25"/>
      <c r="V39" s="16"/>
      <c r="W39" s="15"/>
      <c r="X39" s="15"/>
      <c r="Y39" s="25"/>
      <c r="Z39" s="16">
        <v>9</v>
      </c>
      <c r="AA39" s="15">
        <f>IFERROR(VLOOKUP(Z39,'Puntos XCC Mayor'!$A$1:$B$15,2,FALSE),0)</f>
        <v>7</v>
      </c>
      <c r="AB39" s="15">
        <v>9</v>
      </c>
      <c r="AC39" s="25">
        <f>IFERROR(VLOOKUP(AB39,'Puntos XCO'!$A$1:$B$63,2,FALSE),0)</f>
        <v>80</v>
      </c>
      <c r="AD39" s="16"/>
      <c r="AE39" s="15"/>
      <c r="AF39" s="15"/>
      <c r="AG39" s="25"/>
      <c r="AH39" s="27">
        <f t="shared" si="0"/>
        <v>87</v>
      </c>
      <c r="AJ39" s="3"/>
    </row>
    <row r="40" spans="1:36" ht="24.95" customHeight="1">
      <c r="A40" s="22">
        <v>26</v>
      </c>
      <c r="B40" s="22">
        <v>23</v>
      </c>
      <c r="C40" s="113"/>
      <c r="D40" s="23" t="s">
        <v>575</v>
      </c>
      <c r="E40" s="24" t="s">
        <v>70</v>
      </c>
      <c r="F40" s="3"/>
      <c r="G40" s="15"/>
      <c r="H40" s="3"/>
      <c r="I40" s="25"/>
      <c r="J40" s="33">
        <v>10</v>
      </c>
      <c r="K40" s="22">
        <f>IFERROR(VLOOKUP(J40,'Puntos XCC Mayor'!$A$1:$B$15,2,FALSE),"0")</f>
        <v>6</v>
      </c>
      <c r="L40" s="22">
        <v>9</v>
      </c>
      <c r="M40" s="34">
        <f>IFERROR(VLOOKUP(L40,'Puntos XCO'!$A$1:$B$63,2,FALSE),0)</f>
        <v>80</v>
      </c>
      <c r="N40" s="26"/>
      <c r="O40" s="3">
        <f>IFERROR(VLOOKUP(N40,'Puntos XCC Mayor'!$A$1:$B$15,2,FALSE),0)</f>
        <v>0</v>
      </c>
      <c r="P40" s="3"/>
      <c r="Q40" s="39">
        <f>IFERROR(VLOOKUP(P40,'Puntos XCO'!$A$1:$B$63,2,FALSE),0)</f>
        <v>0</v>
      </c>
      <c r="R40" s="26"/>
      <c r="S40" s="3">
        <f>IFERROR(VLOOKUP(R40,'Puntos XCC Mayor'!$A$1:$B$15,2,FALSE),0)</f>
        <v>0</v>
      </c>
      <c r="T40" s="3"/>
      <c r="U40" s="39">
        <f>IFERROR(VLOOKUP(T40,'Puntos XCO'!$A$1:$B$63,2,FALSE),0)</f>
        <v>0</v>
      </c>
      <c r="V40" s="16"/>
      <c r="W40" s="15">
        <f>IFERROR(VLOOKUP(V40,'Puntos XCC Mayor'!$A$1:$B$15,2,FALSE),0)</f>
        <v>0</v>
      </c>
      <c r="X40" s="15"/>
      <c r="Y40" s="25">
        <f>IFERROR(VLOOKUP(X40,'Puntos XCO'!$A$1:$B$63,2,FALSE),0)</f>
        <v>0</v>
      </c>
      <c r="Z40" s="16"/>
      <c r="AA40" s="15">
        <f>IFERROR(VLOOKUP(Z40,'Puntos XCC Mayor'!$A$1:$B$15,2,FALSE),0)</f>
        <v>0</v>
      </c>
      <c r="AB40" s="15"/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0"/>
        <v>86</v>
      </c>
      <c r="AJ40" s="3"/>
    </row>
    <row r="41" spans="1:36" ht="24.95" customHeight="1">
      <c r="A41" s="22">
        <v>27</v>
      </c>
      <c r="B41" s="22">
        <v>24</v>
      </c>
      <c r="C41" s="113"/>
      <c r="D41" s="23" t="s">
        <v>576</v>
      </c>
      <c r="E41" s="24" t="s">
        <v>70</v>
      </c>
      <c r="F41" s="3"/>
      <c r="G41" s="15"/>
      <c r="H41" s="3"/>
      <c r="I41" s="25"/>
      <c r="J41" s="33">
        <v>11</v>
      </c>
      <c r="K41" s="22">
        <f>IFERROR(VLOOKUP(J41,'Puntos XCC Mayor'!$A$1:$B$15,2,FALSE),"0")</f>
        <v>5</v>
      </c>
      <c r="L41" s="22">
        <v>11</v>
      </c>
      <c r="M41" s="34">
        <f>IFERROR(VLOOKUP(L41,'Puntos XCO'!$A$1:$B$63,2,FALSE),0)</f>
        <v>76</v>
      </c>
      <c r="N41" s="26"/>
      <c r="O41" s="3">
        <f>IFERROR(VLOOKUP(N41,'Puntos XCC Mayor'!$A$1:$B$15,2,FALSE),0)</f>
        <v>0</v>
      </c>
      <c r="P41" s="3"/>
      <c r="Q41" s="39">
        <f>IFERROR(VLOOKUP(P41,'Puntos XCO'!$A$1:$B$63,2,FALSE),0)</f>
        <v>0</v>
      </c>
      <c r="R41" s="26"/>
      <c r="S41" s="3">
        <f>IFERROR(VLOOKUP(R41,'Puntos XCC Mayor'!$A$1:$B$15,2,FALSE),0)</f>
        <v>0</v>
      </c>
      <c r="T41" s="3"/>
      <c r="U41" s="39">
        <f>IFERROR(VLOOKUP(T41,'Puntos XCO'!$A$1:$B$63,2,FALSE),0)</f>
        <v>0</v>
      </c>
      <c r="V41" s="16"/>
      <c r="W41" s="15">
        <f>IFERROR(VLOOKUP(V41,'Puntos XCC Mayor'!$A$1:$B$15,2,FALSE),0)</f>
        <v>0</v>
      </c>
      <c r="X41" s="15"/>
      <c r="Y41" s="25">
        <f>IFERROR(VLOOKUP(X41,'Puntos XCO'!$A$1:$B$63,2,FALSE),0)</f>
        <v>0</v>
      </c>
      <c r="Z41" s="16"/>
      <c r="AA41" s="15">
        <f>IFERROR(VLOOKUP(Z41,'Puntos XCC Mayor'!$A$1:$B$15,2,FALSE),0)</f>
        <v>0</v>
      </c>
      <c r="AB41" s="15"/>
      <c r="AC41" s="25">
        <f>IFERROR(VLOOKUP(AB41,'Puntos XCO'!$A$1:$B$63,2,FALSE),0)</f>
        <v>0</v>
      </c>
      <c r="AD41" s="16"/>
      <c r="AE41" s="15"/>
      <c r="AF41" s="15"/>
      <c r="AG41" s="25"/>
      <c r="AH41" s="27">
        <f t="shared" si="0"/>
        <v>81</v>
      </c>
      <c r="AJ41" s="3"/>
    </row>
    <row r="42" spans="1:36" ht="24.95" customHeight="1">
      <c r="A42" s="22">
        <v>28</v>
      </c>
      <c r="B42" s="22">
        <v>25</v>
      </c>
      <c r="C42" s="117">
        <v>40</v>
      </c>
      <c r="D42" s="23" t="str">
        <f>VLOOKUP(C42,PLANILLA,2,FALSE)</f>
        <v xml:space="preserve">GUTIERREZ Carlos Daniel </v>
      </c>
      <c r="E42" s="24" t="str">
        <f>VLOOKUP(C42,PLANILLA,4,FALSE)</f>
        <v>turrialba</v>
      </c>
      <c r="F42" s="3"/>
      <c r="G42" s="15"/>
      <c r="H42" s="3"/>
      <c r="I42" s="25"/>
      <c r="J42" s="33"/>
      <c r="K42" s="22"/>
      <c r="L42" s="22"/>
      <c r="M42" s="34"/>
      <c r="N42" s="26"/>
      <c r="O42" s="3"/>
      <c r="P42" s="3"/>
      <c r="Q42" s="39"/>
      <c r="R42" s="26"/>
      <c r="S42" s="3"/>
      <c r="T42" s="3"/>
      <c r="U42" s="39"/>
      <c r="V42" s="16">
        <v>11</v>
      </c>
      <c r="W42" s="15">
        <f>IFERROR(VLOOKUP(V42,'Puntos XCC Mayor'!$A$1:$B$15,2,FALSE),0)</f>
        <v>5</v>
      </c>
      <c r="X42" s="15">
        <v>12</v>
      </c>
      <c r="Y42" s="25">
        <f>IFERROR(VLOOKUP(X42,'Puntos XCO'!$A$1:$B$63,2,FALSE),0)</f>
        <v>74</v>
      </c>
      <c r="Z42" s="16"/>
      <c r="AA42" s="15">
        <f>IFERROR(VLOOKUP(Z42,'Puntos XCC Mayor'!$A$1:$B$15,2,FALSE),0)</f>
        <v>0</v>
      </c>
      <c r="AB42" s="15"/>
      <c r="AC42" s="25">
        <f>IFERROR(VLOOKUP(AB42,'Puntos XCO'!$A$1:$B$63,2,FALSE),0)</f>
        <v>0</v>
      </c>
      <c r="AD42" s="16"/>
      <c r="AE42" s="15"/>
      <c r="AF42" s="15"/>
      <c r="AG42" s="25"/>
      <c r="AH42" s="27">
        <f t="shared" si="0"/>
        <v>79</v>
      </c>
      <c r="AJ42" s="3"/>
    </row>
    <row r="43" spans="1:36" ht="24.95" customHeight="1">
      <c r="A43" s="22">
        <v>29</v>
      </c>
      <c r="B43" s="22">
        <v>26</v>
      </c>
      <c r="C43" s="115"/>
      <c r="D43" s="23" t="s">
        <v>188</v>
      </c>
      <c r="E43" s="24" t="s">
        <v>189</v>
      </c>
      <c r="F43" s="3">
        <v>0</v>
      </c>
      <c r="G43" s="15">
        <f>IFERROR(VLOOKUP(F43,'Puntos XCC Mayor'!$A$1:$B$15,2,FALSE),0)</f>
        <v>0</v>
      </c>
      <c r="H43" s="3">
        <v>10</v>
      </c>
      <c r="I43" s="25">
        <f>IFERROR(VLOOKUP(H43,'Puntos XCO'!$A$1:$B$63,2,FALSE),0)</f>
        <v>78</v>
      </c>
      <c r="J43" s="33">
        <v>0</v>
      </c>
      <c r="K43" s="22" t="str">
        <f>IFERROR(VLOOKUP(J43,'Puntos XCC Mayor'!$A$1:$B$15,2,FALSE),"0")</f>
        <v>0</v>
      </c>
      <c r="L43" s="22">
        <v>0</v>
      </c>
      <c r="M43" s="34">
        <f>IFERROR(VLOOKUP(L43,'Puntos XCO'!$A$1:$B$63,2,FALSE),0)</f>
        <v>0</v>
      </c>
      <c r="N43" s="26"/>
      <c r="O43" s="3">
        <f>IFERROR(VLOOKUP(N43,'Puntos XCC Mayor'!$A$1:$B$15,2,FALSE),0)</f>
        <v>0</v>
      </c>
      <c r="P43" s="3"/>
      <c r="Q43" s="39">
        <f>IFERROR(VLOOKUP(P43,'Puntos XCO'!$A$1:$B$63,2,FALSE),0)</f>
        <v>0</v>
      </c>
      <c r="R43" s="26"/>
      <c r="S43" s="3">
        <f>IFERROR(VLOOKUP(R43,'Puntos XCC Mayor'!$A$1:$B$15,2,FALSE),0)</f>
        <v>0</v>
      </c>
      <c r="T43" s="3"/>
      <c r="U43" s="39">
        <f>IFERROR(VLOOKUP(T43,'Puntos XCO'!$A$1:$B$63,2,FALSE),0)</f>
        <v>0</v>
      </c>
      <c r="V43" s="16"/>
      <c r="W43" s="15">
        <f>IFERROR(VLOOKUP(V43,'Puntos XCC Mayor'!$A$1:$B$15,2,FALSE),0)</f>
        <v>0</v>
      </c>
      <c r="X43" s="15"/>
      <c r="Y43" s="25">
        <f>IFERROR(VLOOKUP(X43,'Puntos XCO'!$A$1:$B$63,2,FALSE),0)</f>
        <v>0</v>
      </c>
      <c r="Z43" s="16"/>
      <c r="AA43" s="15">
        <f>IFERROR(VLOOKUP(Z43,'Puntos XCC Mayor'!$A$1:$B$15,2,FALSE),0)</f>
        <v>0</v>
      </c>
      <c r="AB43" s="15"/>
      <c r="AC43" s="25">
        <f>IFERROR(VLOOKUP(AB43,'Puntos XCO'!$A$1:$B$63,2,FALSE),0)</f>
        <v>0</v>
      </c>
      <c r="AD43" s="16"/>
      <c r="AE43" s="15"/>
      <c r="AF43" s="15"/>
      <c r="AG43" s="25"/>
      <c r="AH43" s="27">
        <f t="shared" si="0"/>
        <v>78</v>
      </c>
      <c r="AJ43" s="3"/>
    </row>
    <row r="44" spans="1:36" ht="24.95" customHeight="1">
      <c r="A44" s="22">
        <v>30</v>
      </c>
      <c r="B44" s="22">
        <v>28</v>
      </c>
      <c r="C44" s="113"/>
      <c r="D44" s="23" t="s">
        <v>179</v>
      </c>
      <c r="E44" s="24" t="s">
        <v>180</v>
      </c>
      <c r="F44" s="3">
        <v>5</v>
      </c>
      <c r="G44" s="15">
        <f>IFERROR(VLOOKUP(F44,'Puntos XCC Mayor'!$A$1:$B$15,2,FALSE),0)</f>
        <v>12</v>
      </c>
      <c r="H44" s="3">
        <v>0</v>
      </c>
      <c r="I44" s="25">
        <f>IFERROR(VLOOKUP(H44,'Puntos XCO'!$A$1:$B$63,2,FALSE),0)</f>
        <v>0</v>
      </c>
      <c r="J44" s="33">
        <v>0</v>
      </c>
      <c r="K44" s="22" t="str">
        <f>IFERROR(VLOOKUP(J44,'Puntos XCC Mayor'!$A$1:$B$15,2,FALSE),"0")</f>
        <v>0</v>
      </c>
      <c r="L44" s="22">
        <v>0</v>
      </c>
      <c r="M44" s="34">
        <f>IFERROR(VLOOKUP(L44,'Puntos XCO'!$A$1:$B$63,2,FALSE),0)</f>
        <v>0</v>
      </c>
      <c r="N44" s="26"/>
      <c r="O44" s="3">
        <f>IFERROR(VLOOKUP(N44,'Puntos XCC Mayor'!$A$1:$B$15,2,FALSE),0)</f>
        <v>0</v>
      </c>
      <c r="P44" s="3"/>
      <c r="Q44" s="39">
        <f>IFERROR(VLOOKUP(P44,'Puntos XCO'!$A$1:$B$63,2,FALSE),0)</f>
        <v>0</v>
      </c>
      <c r="R44" s="26"/>
      <c r="S44" s="3">
        <f>IFERROR(VLOOKUP(R44,'Puntos XCC Mayor'!$A$1:$B$15,2,FALSE),0)</f>
        <v>0</v>
      </c>
      <c r="T44" s="3"/>
      <c r="U44" s="39">
        <f>IFERROR(VLOOKUP(T44,'Puntos XCO'!$A$1:$B$63,2,FALSE),0)</f>
        <v>0</v>
      </c>
      <c r="V44" s="16"/>
      <c r="W44" s="15">
        <f>IFERROR(VLOOKUP(V44,'Puntos XCC Mayor'!$A$1:$B$15,2,FALSE),0)</f>
        <v>0</v>
      </c>
      <c r="X44" s="15"/>
      <c r="Y44" s="25">
        <f>IFERROR(VLOOKUP(X44,'Puntos XCO'!$A$1:$B$63,2,FALSE),0)</f>
        <v>0</v>
      </c>
      <c r="Z44" s="16"/>
      <c r="AA44" s="15">
        <f>IFERROR(VLOOKUP(Z44,'Puntos XCC Mayor'!$A$1:$B$15,2,FALSE),0)</f>
        <v>0</v>
      </c>
      <c r="AB44" s="15"/>
      <c r="AC44" s="25">
        <f>IFERROR(VLOOKUP(AB44,'Puntos XCO'!$A$1:$B$63,2,FALSE),0)</f>
        <v>0</v>
      </c>
      <c r="AD44" s="16"/>
      <c r="AE44" s="15"/>
      <c r="AF44" s="15"/>
      <c r="AG44" s="25"/>
      <c r="AH44" s="27">
        <f t="shared" si="0"/>
        <v>12</v>
      </c>
      <c r="AJ44" s="3"/>
    </row>
    <row r="45" spans="1:36" ht="24.95" customHeight="1">
      <c r="A45" s="22"/>
      <c r="B45" s="22"/>
      <c r="C45" s="113"/>
      <c r="D45" s="23" t="s">
        <v>178</v>
      </c>
      <c r="E45" s="24" t="s">
        <v>86</v>
      </c>
      <c r="F45" s="3">
        <v>0</v>
      </c>
      <c r="G45" s="15">
        <f>IFERROR(VLOOKUP(F45,'Puntos XCC Mayor'!$A$1:$B$15,2,FALSE),0)</f>
        <v>0</v>
      </c>
      <c r="H45" s="3">
        <v>0</v>
      </c>
      <c r="I45" s="25">
        <f>IFERROR(VLOOKUP(H45,'Puntos XCO'!$A$1:$B$63,2,FALSE),0)</f>
        <v>0</v>
      </c>
      <c r="J45" s="33">
        <v>0</v>
      </c>
      <c r="K45" s="22" t="str">
        <f>IFERROR(VLOOKUP(J45,'Puntos XCC Mayor'!$A$1:$B$15,2,FALSE),"0")</f>
        <v>0</v>
      </c>
      <c r="L45" s="22">
        <v>0</v>
      </c>
      <c r="M45" s="34">
        <f>IFERROR(VLOOKUP(L45,'Puntos XCO'!$A$1:$B$63,2,FALSE),0)</f>
        <v>0</v>
      </c>
      <c r="N45" s="26"/>
      <c r="O45" s="3">
        <f>IFERROR(VLOOKUP(N45,'Puntos XCC Mayor'!$A$1:$B$15,2,FALSE),0)</f>
        <v>0</v>
      </c>
      <c r="P45" s="3"/>
      <c r="Q45" s="39">
        <f>IFERROR(VLOOKUP(P45,'Puntos XCO'!$A$1:$B$63,2,FALSE),0)</f>
        <v>0</v>
      </c>
      <c r="R45" s="26"/>
      <c r="S45" s="3">
        <f>IFERROR(VLOOKUP(R45,'Puntos XCC Mayor'!$A$1:$B$15,2,FALSE),0)</f>
        <v>0</v>
      </c>
      <c r="T45" s="3"/>
      <c r="U45" s="39">
        <f>IFERROR(VLOOKUP(T45,'Puntos XCO'!$A$1:$B$63,2,FALSE),0)</f>
        <v>0</v>
      </c>
      <c r="V45" s="16"/>
      <c r="W45" s="15">
        <f>IFERROR(VLOOKUP(V45,'Puntos XCC Mayor'!$A$1:$B$15,2,FALSE),0)</f>
        <v>0</v>
      </c>
      <c r="X45" s="15"/>
      <c r="Y45" s="25">
        <f>IFERROR(VLOOKUP(X45,'Puntos XCO'!$A$1:$B$63,2,FALSE),0)</f>
        <v>0</v>
      </c>
      <c r="Z45" s="16"/>
      <c r="AA45" s="15">
        <f>IFERROR(VLOOKUP(Z45,'Puntos XCC Mayor'!$A$1:$B$15,2,FALSE),0)</f>
        <v>0</v>
      </c>
      <c r="AB45" s="15"/>
      <c r="AC45" s="25">
        <f>IFERROR(VLOOKUP(AB45,'Puntos XCO'!$A$1:$B$63,2,FALSE),0)</f>
        <v>0</v>
      </c>
      <c r="AD45" s="16"/>
      <c r="AE45" s="15"/>
      <c r="AF45" s="15"/>
      <c r="AG45" s="25"/>
      <c r="AH45" s="27">
        <f t="shared" si="0"/>
        <v>0</v>
      </c>
      <c r="AJ45" s="3"/>
    </row>
    <row r="46" spans="1:3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74"/>
      <c r="Q46" s="65"/>
      <c r="R46" s="65"/>
      <c r="S46" s="65"/>
      <c r="T46" s="65"/>
      <c r="U46" s="65"/>
      <c r="V46" s="65"/>
      <c r="W46" s="65"/>
      <c r="X46" s="65"/>
      <c r="Y46" s="65"/>
      <c r="Z46" s="116"/>
      <c r="AA46" s="116"/>
      <c r="AB46" s="116"/>
      <c r="AC46" s="116"/>
      <c r="AD46" s="116"/>
      <c r="AE46" s="116"/>
      <c r="AF46" s="116"/>
      <c r="AG46" s="116"/>
      <c r="AH46" s="65"/>
    </row>
    <row r="47" spans="1:36">
      <c r="M47" s="9"/>
      <c r="N47" s="9"/>
      <c r="O47" s="9"/>
      <c r="P47" s="10"/>
      <c r="Q47" s="9"/>
      <c r="R47" s="9"/>
      <c r="S47" s="9"/>
      <c r="T47" s="9"/>
      <c r="U47" s="9"/>
    </row>
    <row r="48" spans="1:36" ht="78" customHeight="1"/>
    <row r="49" spans="1:34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74"/>
      <c r="Q49" s="65"/>
      <c r="R49" s="65"/>
      <c r="S49" s="65"/>
      <c r="T49" s="65"/>
      <c r="U49" s="65"/>
      <c r="V49" s="65"/>
      <c r="W49" s="65"/>
      <c r="X49" s="65"/>
      <c r="Y49" s="65"/>
      <c r="Z49" s="116"/>
      <c r="AA49" s="116"/>
      <c r="AB49" s="116"/>
      <c r="AC49" s="116"/>
      <c r="AD49" s="116"/>
      <c r="AE49" s="116"/>
      <c r="AF49" s="116"/>
      <c r="AG49" s="116"/>
      <c r="AH49" s="65"/>
    </row>
  </sheetData>
  <sortState ref="B15:AH45">
    <sortCondition descending="1" ref="AH15:AH45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46:C65524 C1:C9 C12:C14">
    <cfRule type="duplicateValues" dxfId="559" priority="70" stopIfTrue="1"/>
  </conditionalFormatting>
  <conditionalFormatting sqref="C27">
    <cfRule type="duplicateValues" dxfId="558" priority="18"/>
  </conditionalFormatting>
  <conditionalFormatting sqref="C20">
    <cfRule type="duplicateValues" dxfId="557" priority="17"/>
  </conditionalFormatting>
  <conditionalFormatting sqref="C28:C43">
    <cfRule type="duplicateValues" dxfId="556" priority="7835"/>
  </conditionalFormatting>
  <conditionalFormatting sqref="AJ15:AJ45">
    <cfRule type="duplicateValues" dxfId="555" priority="7836"/>
  </conditionalFormatting>
  <conditionalFormatting sqref="C11">
    <cfRule type="duplicateValues" dxfId="554" priority="4" stopIfTrue="1"/>
  </conditionalFormatting>
  <conditionalFormatting sqref="C11">
    <cfRule type="duplicateValues" dxfId="553" priority="5" stopIfTrue="1"/>
  </conditionalFormatting>
  <conditionalFormatting sqref="D11">
    <cfRule type="duplicateValues" dxfId="552" priority="3" stopIfTrue="1"/>
  </conditionalFormatting>
  <conditionalFormatting sqref="C10">
    <cfRule type="duplicateValues" dxfId="551" priority="1" stopIfTrue="1"/>
  </conditionalFormatting>
  <conditionalFormatting sqref="C10">
    <cfRule type="duplicateValues" dxfId="550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8:AM38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7109375" customWidth="1"/>
    <col min="3" max="3" width="8.85546875" customWidth="1"/>
    <col min="4" max="4" width="32.28515625" customWidth="1"/>
    <col min="5" max="5" width="43.140625" customWidth="1"/>
    <col min="6" max="6" width="7.85546875" style="2" customWidth="1"/>
    <col min="7" max="15" width="7.85546875" customWidth="1"/>
    <col min="16" max="16" width="7.85546875" style="38" customWidth="1"/>
    <col min="17" max="33" width="7.85546875" customWidth="1"/>
    <col min="34" max="34" width="10.710937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81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33.75" customHeight="1">
      <c r="A13" s="136" t="s">
        <v>0</v>
      </c>
      <c r="B13" s="136"/>
      <c r="C13" s="65"/>
      <c r="D13" s="65"/>
      <c r="E13" s="66"/>
      <c r="F13" s="138">
        <v>1</v>
      </c>
      <c r="G13" s="136"/>
      <c r="H13" s="136"/>
      <c r="I13" s="137"/>
      <c r="J13" s="138">
        <v>2</v>
      </c>
      <c r="K13" s="139"/>
      <c r="L13" s="139"/>
      <c r="M13" s="137"/>
      <c r="N13" s="138">
        <v>3</v>
      </c>
      <c r="O13" s="139"/>
      <c r="P13" s="139"/>
      <c r="Q13" s="137"/>
      <c r="R13" s="138">
        <v>4</v>
      </c>
      <c r="S13" s="139"/>
      <c r="T13" s="139"/>
      <c r="U13" s="137"/>
      <c r="V13" s="138">
        <v>5</v>
      </c>
      <c r="W13" s="139"/>
      <c r="X13" s="139"/>
      <c r="Y13" s="137"/>
      <c r="Z13" s="138">
        <v>6</v>
      </c>
      <c r="AA13" s="139"/>
      <c r="AB13" s="139"/>
      <c r="AC13" s="137"/>
      <c r="AD13" s="138">
        <v>7</v>
      </c>
      <c r="AE13" s="139"/>
      <c r="AF13" s="139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115">
        <v>84</v>
      </c>
      <c r="D15" s="23" t="s">
        <v>190</v>
      </c>
      <c r="E15" s="23" t="s">
        <v>1016</v>
      </c>
      <c r="F15" s="26">
        <v>1</v>
      </c>
      <c r="G15" s="15">
        <v>25</v>
      </c>
      <c r="H15" s="3">
        <v>1</v>
      </c>
      <c r="I15" s="25">
        <v>200</v>
      </c>
      <c r="J15" s="33">
        <v>0</v>
      </c>
      <c r="K15" s="22">
        <v>0</v>
      </c>
      <c r="L15" s="22">
        <v>0</v>
      </c>
      <c r="M15" s="34">
        <v>0</v>
      </c>
      <c r="N15" s="16">
        <v>2</v>
      </c>
      <c r="O15" s="15">
        <f>IFERROR(VLOOKUP(N15,'Puntos XCC Mayor'!$A$1:$B$15,2,FALSE),0)</f>
        <v>20</v>
      </c>
      <c r="P15" s="3">
        <v>3</v>
      </c>
      <c r="Q15" s="34">
        <f>IFERROR(VLOOKUP(P15,'Puntos XCO'!$A$1:$B$63,2,FALSE),0)</f>
        <v>120</v>
      </c>
      <c r="R15" s="16">
        <v>1</v>
      </c>
      <c r="S15" s="15">
        <f>IFERROR(VLOOKUP(R15,'Puntos XCC Mayor'!$A$1:$B$15,2,FALSE),0)</f>
        <v>25</v>
      </c>
      <c r="T15" s="15">
        <v>1</v>
      </c>
      <c r="U15" s="25">
        <f>IFERROR(VLOOKUP(T15,'Puntos XCO'!$A$1:$B$63,2,FALSE),0)</f>
        <v>200</v>
      </c>
      <c r="V15" s="16">
        <v>2</v>
      </c>
      <c r="W15" s="15">
        <f>IFERROR(VLOOKUP(V15,'Puntos XCC Mayor'!$A$1:$B$15,2,FALSE),0)</f>
        <v>20</v>
      </c>
      <c r="X15" s="15">
        <v>2</v>
      </c>
      <c r="Y15" s="25">
        <f>IFERROR(VLOOKUP(X15,'Puntos XCO'!$A$1:$B$63,2,FALSE),0)</f>
        <v>150</v>
      </c>
      <c r="Z15" s="16">
        <f t="shared" ref="Z15:Z33" si="0">IFERROR(VLOOKUP($C15,RESXCC_1,9,FALSE),0)</f>
        <v>0</v>
      </c>
      <c r="AA15" s="15">
        <f>IFERROR(VLOOKUP(Z15,'Puntos XCC Mayor'!$A$1:$B$15,2,FALSE),0)</f>
        <v>0</v>
      </c>
      <c r="AB15" s="15">
        <f t="shared" ref="AB15:AB33" si="1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33" si="2">G15+I15+K15+M15+O15+Q15+S15+U15+W15+Y15+AA15+AC15+AE15+AG15</f>
        <v>960</v>
      </c>
      <c r="AJ15" s="2"/>
      <c r="AK15" s="13"/>
      <c r="AL15" s="12"/>
      <c r="AM15" s="14"/>
    </row>
    <row r="16" spans="1:39" ht="24.95" customHeight="1">
      <c r="A16" s="3">
        <v>2</v>
      </c>
      <c r="B16" s="22">
        <v>3</v>
      </c>
      <c r="C16" s="113">
        <v>91</v>
      </c>
      <c r="D16" s="23" t="s">
        <v>1021</v>
      </c>
      <c r="E16" s="23" t="s">
        <v>109</v>
      </c>
      <c r="F16" s="26"/>
      <c r="G16" s="15"/>
      <c r="H16" s="3"/>
      <c r="I16" s="25"/>
      <c r="J16" s="33">
        <v>1</v>
      </c>
      <c r="K16" s="22">
        <v>25</v>
      </c>
      <c r="L16" s="22">
        <v>2</v>
      </c>
      <c r="M16" s="34">
        <v>150</v>
      </c>
      <c r="N16" s="16">
        <v>5</v>
      </c>
      <c r="O16" s="15">
        <f>IFERROR(VLOOKUP(N16,'Puntos XCC Mayor'!$A$1:$B$15,2,FALSE),0)</f>
        <v>12</v>
      </c>
      <c r="P16" s="3">
        <v>1</v>
      </c>
      <c r="Q16" s="34">
        <f>IFERROR(VLOOKUP(P16,'Puntos XCO'!$A$1:$B$63,2,FALSE),0)</f>
        <v>200</v>
      </c>
      <c r="R16" s="16">
        <v>3</v>
      </c>
      <c r="S16" s="15">
        <f>IFERROR(VLOOKUP(R16,'Puntos XCC Mayor'!$A$1:$B$15,2,FALSE),0)</f>
        <v>16</v>
      </c>
      <c r="T16" s="15">
        <v>3</v>
      </c>
      <c r="U16" s="25">
        <f>IFERROR(VLOOKUP(T16,'Puntos XCO'!$A$1:$B$63,2,FALSE),0)</f>
        <v>120</v>
      </c>
      <c r="V16" s="16">
        <v>3</v>
      </c>
      <c r="W16" s="15">
        <f>IFERROR(VLOOKUP(V16,'Puntos XCC Mayor'!$A$1:$B$15,2,FALSE),0)</f>
        <v>16</v>
      </c>
      <c r="X16" s="15">
        <v>3</v>
      </c>
      <c r="Y16" s="25">
        <f>IFERROR(VLOOKUP(X16,'Puntos XCO'!$A$1:$B$63,2,FALSE),0)</f>
        <v>120</v>
      </c>
      <c r="Z16" s="16">
        <f t="shared" si="0"/>
        <v>0</v>
      </c>
      <c r="AA16" s="15">
        <f>IFERROR(VLOOKUP(Z16,'Puntos XCC Mayor'!$A$1:$B$15,2,FALSE),0)</f>
        <v>0</v>
      </c>
      <c r="AB16" s="15">
        <f t="shared" si="1"/>
        <v>2</v>
      </c>
      <c r="AC16" s="25">
        <f>IFERROR(VLOOKUP(AB16,'Puntos XCO'!$A$1:$B$63,2,FALSE),0)</f>
        <v>150</v>
      </c>
      <c r="AD16" s="16"/>
      <c r="AE16" s="15"/>
      <c r="AF16" s="15"/>
      <c r="AG16" s="25"/>
      <c r="AH16" s="27">
        <f t="shared" si="2"/>
        <v>809</v>
      </c>
      <c r="AJ16" s="2"/>
      <c r="AK16" s="13"/>
      <c r="AL16" s="12"/>
      <c r="AM16" s="14"/>
    </row>
    <row r="17" spans="1:39" ht="24.95" customHeight="1">
      <c r="A17" s="22">
        <v>3</v>
      </c>
      <c r="B17" s="3">
        <v>2</v>
      </c>
      <c r="C17" s="113">
        <v>85</v>
      </c>
      <c r="D17" s="23" t="s">
        <v>148</v>
      </c>
      <c r="E17" s="23" t="s">
        <v>1017</v>
      </c>
      <c r="F17" s="26">
        <v>3</v>
      </c>
      <c r="G17" s="15">
        <v>16</v>
      </c>
      <c r="H17" s="3">
        <v>2</v>
      </c>
      <c r="I17" s="25">
        <v>150</v>
      </c>
      <c r="J17" s="33">
        <v>0</v>
      </c>
      <c r="K17" s="22">
        <v>0</v>
      </c>
      <c r="L17" s="22">
        <v>1</v>
      </c>
      <c r="M17" s="34">
        <v>200</v>
      </c>
      <c r="N17" s="16"/>
      <c r="O17" s="15">
        <f>IFERROR(VLOOKUP(N17,'Puntos XCC Mayor'!$A$1:$B$15,2,FALSE),0)</f>
        <v>0</v>
      </c>
      <c r="P17" s="3">
        <v>5</v>
      </c>
      <c r="Q17" s="34">
        <f>IFERROR(VLOOKUP(P17,'Puntos XCO'!$A$1:$B$63,2,FALSE),0)</f>
        <v>100</v>
      </c>
      <c r="R17" s="16">
        <v>0</v>
      </c>
      <c r="S17" s="15">
        <f>IFERROR(VLOOKUP(R17,'Puntos XCC Mayor'!$A$1:$B$15,2,FALSE),0)</f>
        <v>0</v>
      </c>
      <c r="T17" s="15">
        <v>0</v>
      </c>
      <c r="U17" s="25">
        <f>IFERROR(VLOOKUP(T17,'Puntos XCO'!$A$1:$B$63,2,FALSE),0)</f>
        <v>0</v>
      </c>
      <c r="V17" s="16">
        <v>1</v>
      </c>
      <c r="W17" s="15">
        <f>IFERROR(VLOOKUP(V17,'Puntos XCC Mayor'!$A$1:$B$15,2,FALSE),0)</f>
        <v>25</v>
      </c>
      <c r="X17" s="15">
        <v>1</v>
      </c>
      <c r="Y17" s="25">
        <f>IFERROR(VLOOKUP(X17,'Puntos XCO'!$A$1:$B$63,2,FALSE),0)</f>
        <v>200</v>
      </c>
      <c r="Z17" s="16">
        <f t="shared" si="0"/>
        <v>0</v>
      </c>
      <c r="AA17" s="15">
        <f>IFERROR(VLOOKUP(Z17,'Puntos XCC Mayor'!$A$1:$B$15,2,FALSE),0)</f>
        <v>0</v>
      </c>
      <c r="AB17" s="15">
        <f t="shared" si="1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2"/>
        <v>691</v>
      </c>
      <c r="AJ17" s="2"/>
      <c r="AK17" s="13"/>
      <c r="AL17" s="12"/>
      <c r="AM17" s="14"/>
    </row>
    <row r="18" spans="1:39" ht="24.95" customHeight="1">
      <c r="A18" s="3">
        <v>4</v>
      </c>
      <c r="B18" s="3">
        <v>4</v>
      </c>
      <c r="C18" s="115">
        <v>94</v>
      </c>
      <c r="D18" s="23" t="s">
        <v>1025</v>
      </c>
      <c r="E18" s="23" t="s">
        <v>1026</v>
      </c>
      <c r="F18" s="26">
        <v>0</v>
      </c>
      <c r="G18" s="15">
        <v>0</v>
      </c>
      <c r="H18" s="3">
        <v>6</v>
      </c>
      <c r="I18" s="25">
        <v>95</v>
      </c>
      <c r="J18" s="33">
        <v>5</v>
      </c>
      <c r="K18" s="22">
        <v>12</v>
      </c>
      <c r="L18" s="22">
        <v>8</v>
      </c>
      <c r="M18" s="34">
        <v>85</v>
      </c>
      <c r="N18" s="16">
        <v>7</v>
      </c>
      <c r="O18" s="15">
        <f>IFERROR(VLOOKUP(N18,'Puntos XCC Mayor'!$A$1:$B$15,2,FALSE),0)</f>
        <v>9</v>
      </c>
      <c r="P18" s="3">
        <v>3</v>
      </c>
      <c r="Q18" s="34">
        <f>IFERROR(VLOOKUP(P18,'Puntos XCO'!$A$1:$B$63,2,FALSE),0)</f>
        <v>120</v>
      </c>
      <c r="R18" s="16">
        <v>6</v>
      </c>
      <c r="S18" s="15">
        <f>IFERROR(VLOOKUP(R18,'Puntos XCC Mayor'!$A$1:$B$15,2,FALSE),0)</f>
        <v>10</v>
      </c>
      <c r="T18" s="15">
        <v>5</v>
      </c>
      <c r="U18" s="25">
        <f>IFERROR(VLOOKUP(T18,'Puntos XCO'!$A$1:$B$63,2,FALSE),0)</f>
        <v>100</v>
      </c>
      <c r="V18" s="16">
        <v>7</v>
      </c>
      <c r="W18" s="15">
        <f>IFERROR(VLOOKUP(V18,'Puntos XCC Mayor'!$A$1:$B$15,2,FALSE),0)</f>
        <v>9</v>
      </c>
      <c r="X18" s="15">
        <v>6</v>
      </c>
      <c r="Y18" s="25">
        <f>IFERROR(VLOOKUP(X18,'Puntos XCO'!$A$1:$B$63,2,FALSE),0)</f>
        <v>95</v>
      </c>
      <c r="Z18" s="16">
        <f t="shared" si="0"/>
        <v>2</v>
      </c>
      <c r="AA18" s="15">
        <f>IFERROR(VLOOKUP(Z18,'Puntos XCC Mayor'!$A$1:$B$15,2,FALSE),0)</f>
        <v>20</v>
      </c>
      <c r="AB18" s="15">
        <f t="shared" si="1"/>
        <v>4</v>
      </c>
      <c r="AC18" s="25">
        <f>IFERROR(VLOOKUP(AB18,'Puntos XCO'!$A$1:$B$63,2,FALSE),0)</f>
        <v>110</v>
      </c>
      <c r="AD18" s="16"/>
      <c r="AE18" s="15"/>
      <c r="AF18" s="15"/>
      <c r="AG18" s="25"/>
      <c r="AH18" s="27">
        <f t="shared" si="2"/>
        <v>665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113">
        <v>87</v>
      </c>
      <c r="D19" s="23" t="s">
        <v>1020</v>
      </c>
      <c r="E19" s="23" t="s">
        <v>133</v>
      </c>
      <c r="F19" s="26"/>
      <c r="G19" s="15"/>
      <c r="H19" s="3"/>
      <c r="I19" s="25"/>
      <c r="J19" s="33">
        <v>4</v>
      </c>
      <c r="K19" s="22">
        <v>14</v>
      </c>
      <c r="L19" s="22">
        <v>5</v>
      </c>
      <c r="M19" s="34">
        <v>100</v>
      </c>
      <c r="N19" s="16">
        <v>6</v>
      </c>
      <c r="O19" s="15">
        <f>IFERROR(VLOOKUP(N19,'Puntos XCC Mayor'!$A$1:$B$15,2,FALSE),0)</f>
        <v>10</v>
      </c>
      <c r="P19" s="3">
        <v>7</v>
      </c>
      <c r="Q19" s="34">
        <f>IFERROR(VLOOKUP(P19,'Puntos XCO'!$A$1:$B$63,2,FALSE),0)</f>
        <v>90</v>
      </c>
      <c r="R19" s="16">
        <v>4</v>
      </c>
      <c r="S19" s="15">
        <f>IFERROR(VLOOKUP(R19,'Puntos XCC Mayor'!$A$1:$B$15,2,FALSE),0)</f>
        <v>14</v>
      </c>
      <c r="T19" s="15">
        <v>4</v>
      </c>
      <c r="U19" s="25">
        <f>IFERROR(VLOOKUP(T19,'Puntos XCO'!$A$1:$B$63,2,FALSE),0)</f>
        <v>110</v>
      </c>
      <c r="V19" s="16">
        <v>5</v>
      </c>
      <c r="W19" s="15">
        <f>IFERROR(VLOOKUP(V19,'Puntos XCC Mayor'!$A$1:$B$15,2,FALSE),0)</f>
        <v>12</v>
      </c>
      <c r="X19" s="15">
        <v>5</v>
      </c>
      <c r="Y19" s="25">
        <f>IFERROR(VLOOKUP(X19,'Puntos XCO'!$A$1:$B$63,2,FALSE),0)</f>
        <v>100</v>
      </c>
      <c r="Z19" s="16">
        <f t="shared" si="0"/>
        <v>0</v>
      </c>
      <c r="AA19" s="15">
        <f>IFERROR(VLOOKUP(Z19,'Puntos XCC Mayor'!$A$1:$B$15,2,FALSE),0)</f>
        <v>0</v>
      </c>
      <c r="AB19" s="15">
        <f t="shared" si="1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2"/>
        <v>450</v>
      </c>
      <c r="AJ19" s="2"/>
      <c r="AK19" s="13"/>
      <c r="AL19" s="12"/>
      <c r="AM19" s="14"/>
    </row>
    <row r="20" spans="1:39" ht="24.95" customHeight="1">
      <c r="A20" s="3">
        <v>6</v>
      </c>
      <c r="B20" s="3">
        <v>6</v>
      </c>
      <c r="C20" s="113">
        <v>92</v>
      </c>
      <c r="D20" s="23" t="s">
        <v>1022</v>
      </c>
      <c r="E20" s="23" t="s">
        <v>109</v>
      </c>
      <c r="F20" s="26"/>
      <c r="G20" s="15"/>
      <c r="H20" s="3"/>
      <c r="I20" s="25"/>
      <c r="J20" s="33">
        <v>2</v>
      </c>
      <c r="K20" s="22">
        <v>20</v>
      </c>
      <c r="L20" s="22">
        <v>3</v>
      </c>
      <c r="M20" s="34">
        <v>120</v>
      </c>
      <c r="N20" s="16"/>
      <c r="O20" s="15">
        <f>IFERROR(VLOOKUP(N20,'Puntos XCC Mayor'!$A$1:$B$15,2,FALSE),0)</f>
        <v>0</v>
      </c>
      <c r="P20" s="3"/>
      <c r="Q20" s="34">
        <f>IFERROR(VLOOKUP(P20,'Puntos XCO'!$A$1:$B$63,2,FALSE),0)</f>
        <v>0</v>
      </c>
      <c r="R20" s="16">
        <v>2</v>
      </c>
      <c r="S20" s="15">
        <f>IFERROR(VLOOKUP(R20,'Puntos XCC Mayor'!$A$1:$B$15,2,FALSE),0)</f>
        <v>20</v>
      </c>
      <c r="T20" s="15">
        <v>2</v>
      </c>
      <c r="U20" s="25">
        <f>IFERROR(VLOOKUP(T20,'Puntos XCO'!$A$1:$B$63,2,FALSE),0)</f>
        <v>150</v>
      </c>
      <c r="V20" s="16">
        <v>4</v>
      </c>
      <c r="W20" s="15">
        <f>IFERROR(VLOOKUP(V20,'Puntos XCC Mayor'!$A$1:$B$15,2,FALSE),0)</f>
        <v>14</v>
      </c>
      <c r="X20" s="15">
        <v>4</v>
      </c>
      <c r="Y20" s="25">
        <f>IFERROR(VLOOKUP(X20,'Puntos XCO'!$A$1:$B$63,2,FALSE),0)</f>
        <v>110</v>
      </c>
      <c r="Z20" s="16">
        <f t="shared" si="0"/>
        <v>0</v>
      </c>
      <c r="AA20" s="15">
        <f>IFERROR(VLOOKUP(Z20,'Puntos XCC Mayor'!$A$1:$B$15,2,FALSE),0)</f>
        <v>0</v>
      </c>
      <c r="AB20" s="15">
        <f t="shared" si="1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2"/>
        <v>434</v>
      </c>
      <c r="AJ20" s="2"/>
      <c r="AK20" s="13"/>
      <c r="AL20" s="12"/>
      <c r="AM20" s="14"/>
    </row>
    <row r="21" spans="1:39" ht="24.95" customHeight="1">
      <c r="A21" s="22">
        <v>7</v>
      </c>
      <c r="B21" s="3">
        <v>8</v>
      </c>
      <c r="C21" s="113">
        <v>90</v>
      </c>
      <c r="D21" s="23" t="s">
        <v>202</v>
      </c>
      <c r="E21" s="23" t="s">
        <v>100</v>
      </c>
      <c r="F21" s="26">
        <v>0</v>
      </c>
      <c r="G21" s="15">
        <v>0</v>
      </c>
      <c r="H21" s="3">
        <v>8</v>
      </c>
      <c r="I21" s="25">
        <v>85</v>
      </c>
      <c r="J21" s="33">
        <v>0</v>
      </c>
      <c r="K21" s="22">
        <v>0</v>
      </c>
      <c r="L21" s="22">
        <v>6</v>
      </c>
      <c r="M21" s="34">
        <v>95</v>
      </c>
      <c r="N21" s="16"/>
      <c r="O21" s="15">
        <f>IFERROR(VLOOKUP(N21,'Puntos XCC Mayor'!$A$1:$B$15,2,FALSE),0)</f>
        <v>0</v>
      </c>
      <c r="P21" s="3"/>
      <c r="Q21" s="34">
        <f>IFERROR(VLOOKUP(P21,'Puntos XCO'!$A$1:$B$63,2,FALSE),0)</f>
        <v>0</v>
      </c>
      <c r="R21" s="16">
        <v>5</v>
      </c>
      <c r="S21" s="15">
        <f>IFERROR(VLOOKUP(R21,'Puntos XCC Mayor'!$A$1:$B$15,2,FALSE),0)</f>
        <v>12</v>
      </c>
      <c r="T21" s="15">
        <v>6</v>
      </c>
      <c r="U21" s="25">
        <f>IFERROR(VLOOKUP(T21,'Puntos XCO'!$A$1:$B$63,2,FALSE),0)</f>
        <v>95</v>
      </c>
      <c r="V21" s="16">
        <v>0</v>
      </c>
      <c r="W21" s="15">
        <f>IFERROR(VLOOKUP(V21,'Puntos XCC Mayor'!$A$1:$B$15,2,FALSE),0)</f>
        <v>0</v>
      </c>
      <c r="X21" s="15">
        <v>0</v>
      </c>
      <c r="Y21" s="25">
        <f>IFERROR(VLOOKUP(X21,'Puntos XCO'!$A$1:$B$63,2,FALSE),0)</f>
        <v>0</v>
      </c>
      <c r="Z21" s="16">
        <f t="shared" si="0"/>
        <v>1</v>
      </c>
      <c r="AA21" s="15">
        <f>IFERROR(VLOOKUP(Z21,'Puntos XCC Mayor'!$A$1:$B$15,2,FALSE),0)</f>
        <v>25</v>
      </c>
      <c r="AB21" s="15">
        <f t="shared" si="1"/>
        <v>3</v>
      </c>
      <c r="AC21" s="25">
        <f>IFERROR(VLOOKUP(AB21,'Puntos XCO'!$A$1:$B$63,2,FALSE),0)</f>
        <v>120</v>
      </c>
      <c r="AD21" s="16"/>
      <c r="AE21" s="15"/>
      <c r="AF21" s="15"/>
      <c r="AG21" s="25"/>
      <c r="AH21" s="27">
        <f t="shared" si="2"/>
        <v>432</v>
      </c>
      <c r="AJ21" s="2"/>
      <c r="AK21" s="13"/>
      <c r="AL21" s="12"/>
      <c r="AM21" s="14"/>
    </row>
    <row r="22" spans="1:39" ht="24.95" customHeight="1">
      <c r="A22" s="3">
        <v>8</v>
      </c>
      <c r="B22" s="22">
        <v>7</v>
      </c>
      <c r="C22" s="115">
        <v>95</v>
      </c>
      <c r="D22" s="23" t="s">
        <v>588</v>
      </c>
      <c r="E22" s="23" t="s">
        <v>199</v>
      </c>
      <c r="F22" s="26">
        <v>8</v>
      </c>
      <c r="G22" s="15">
        <v>8</v>
      </c>
      <c r="H22" s="3">
        <v>9</v>
      </c>
      <c r="I22" s="25">
        <v>80</v>
      </c>
      <c r="J22" s="33">
        <v>6</v>
      </c>
      <c r="K22" s="22">
        <v>10</v>
      </c>
      <c r="L22" s="22">
        <v>7</v>
      </c>
      <c r="M22" s="34">
        <v>90</v>
      </c>
      <c r="N22" s="16"/>
      <c r="O22" s="15">
        <f>IFERROR(VLOOKUP(N22,'Puntos XCC Mayor'!$A$1:$B$15,2,FALSE),0)</f>
        <v>0</v>
      </c>
      <c r="P22" s="3"/>
      <c r="Q22" s="34">
        <f>IFERROR(VLOOKUP(P22,'Puntos XCO'!$A$1:$B$63,2,FALSE),0)</f>
        <v>0</v>
      </c>
      <c r="R22" s="16">
        <v>7</v>
      </c>
      <c r="S22" s="15">
        <f>IFERROR(VLOOKUP(R22,'Puntos XCC Mayor'!$A$1:$B$15,2,FALSE),0)</f>
        <v>9</v>
      </c>
      <c r="T22" s="15">
        <v>7</v>
      </c>
      <c r="U22" s="25">
        <f>IFERROR(VLOOKUP(T22,'Puntos XCO'!$A$1:$B$63,2,FALSE),0)</f>
        <v>90</v>
      </c>
      <c r="V22" s="16">
        <v>6</v>
      </c>
      <c r="W22" s="15">
        <f>IFERROR(VLOOKUP(V22,'Puntos XCC Mayor'!$A$1:$B$15,2,FALSE),0)</f>
        <v>10</v>
      </c>
      <c r="X22" s="15">
        <v>7</v>
      </c>
      <c r="Y22" s="25">
        <f>IFERROR(VLOOKUP(X22,'Puntos XCO'!$A$1:$B$63,2,FALSE),0)</f>
        <v>90</v>
      </c>
      <c r="Z22" s="16">
        <f t="shared" si="0"/>
        <v>0</v>
      </c>
      <c r="AA22" s="15">
        <f>IFERROR(VLOOKUP(Z22,'Puntos XCC Mayor'!$A$1:$B$15,2,FALSE),0)</f>
        <v>0</v>
      </c>
      <c r="AB22" s="15">
        <f t="shared" si="1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2"/>
        <v>387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9</v>
      </c>
      <c r="C23" s="115">
        <v>88</v>
      </c>
      <c r="D23" s="23" t="s">
        <v>196</v>
      </c>
      <c r="E23" s="23" t="s">
        <v>100</v>
      </c>
      <c r="F23" s="26">
        <v>7</v>
      </c>
      <c r="G23" s="15">
        <v>9</v>
      </c>
      <c r="H23" s="3">
        <v>5</v>
      </c>
      <c r="I23" s="25">
        <v>100</v>
      </c>
      <c r="J23" s="33">
        <v>3</v>
      </c>
      <c r="K23" s="22">
        <v>16</v>
      </c>
      <c r="L23" s="22">
        <v>4</v>
      </c>
      <c r="M23" s="34">
        <v>110</v>
      </c>
      <c r="N23" s="16"/>
      <c r="O23" s="15">
        <f>IFERROR(VLOOKUP(N23,'Puntos XCC Mayor'!$A$1:$B$15,2,FALSE),0)</f>
        <v>0</v>
      </c>
      <c r="P23" s="3"/>
      <c r="Q23" s="34">
        <f>IFERROR(VLOOKUP(P23,'Puntos XCO'!$A$1:$B$63,2,FALSE),0)</f>
        <v>0</v>
      </c>
      <c r="R23" s="16">
        <v>0</v>
      </c>
      <c r="S23" s="15">
        <f>IFERROR(VLOOKUP(R23,'Puntos XCC Mayor'!$A$1:$B$15,2,FALSE),0)</f>
        <v>0</v>
      </c>
      <c r="T23" s="15">
        <v>0</v>
      </c>
      <c r="U23" s="25">
        <f>IFERROR(VLOOKUP(T23,'Puntos XCO'!$A$1:$B$63,2,FALSE),0)</f>
        <v>0</v>
      </c>
      <c r="V23" s="16">
        <v>0</v>
      </c>
      <c r="W23" s="15">
        <f>IFERROR(VLOOKUP(V23,'Puntos XCC Mayor'!$A$1:$B$15,2,FALSE),0)</f>
        <v>0</v>
      </c>
      <c r="X23" s="15">
        <v>0</v>
      </c>
      <c r="Y23" s="25">
        <f>IFERROR(VLOOKUP(X23,'Puntos XCO'!$A$1:$B$63,2,FALSE),0)</f>
        <v>0</v>
      </c>
      <c r="Z23" s="16">
        <f t="shared" si="0"/>
        <v>0</v>
      </c>
      <c r="AA23" s="15">
        <f>IFERROR(VLOOKUP(Z23,'Puntos XCC Mayor'!$A$1:$B$15,2,FALSE),0)</f>
        <v>0</v>
      </c>
      <c r="AB23" s="15">
        <f t="shared" si="1"/>
        <v>5</v>
      </c>
      <c r="AC23" s="25">
        <f>IFERROR(VLOOKUP(AB23,'Puntos XCO'!$A$1:$B$63,2,FALSE),0)</f>
        <v>100</v>
      </c>
      <c r="AD23" s="16"/>
      <c r="AE23" s="15"/>
      <c r="AF23" s="15"/>
      <c r="AG23" s="25"/>
      <c r="AH23" s="27">
        <f t="shared" si="2"/>
        <v>335</v>
      </c>
      <c r="AJ23" s="2"/>
      <c r="AK23" s="13"/>
      <c r="AL23" s="12"/>
      <c r="AM23" s="14"/>
    </row>
    <row r="24" spans="1:39" ht="24.95" customHeight="1">
      <c r="A24" s="3">
        <v>10</v>
      </c>
      <c r="B24" s="3">
        <v>10</v>
      </c>
      <c r="C24" s="113">
        <v>89</v>
      </c>
      <c r="D24" s="23" t="s">
        <v>1014</v>
      </c>
      <c r="E24" s="23" t="s">
        <v>1139</v>
      </c>
      <c r="F24" s="26"/>
      <c r="G24" s="15"/>
      <c r="H24" s="3"/>
      <c r="I24" s="25"/>
      <c r="J24" s="33"/>
      <c r="K24" s="22"/>
      <c r="L24" s="22"/>
      <c r="M24" s="34"/>
      <c r="N24" s="16"/>
      <c r="O24" s="15">
        <f>IFERROR(VLOOKUP(N24,'Puntos XCC Mayor'!$A$1:$B$15,2,FALSE),0)</f>
        <v>0</v>
      </c>
      <c r="P24" s="3">
        <v>1</v>
      </c>
      <c r="Q24" s="34">
        <f>IFERROR(VLOOKUP(P24,'Puntos XCO'!$A$1:$B$63,2,FALSE),0)</f>
        <v>200</v>
      </c>
      <c r="R24" s="16">
        <v>0</v>
      </c>
      <c r="S24" s="15">
        <f>IFERROR(VLOOKUP(R24,'Puntos XCC Mayor'!$A$1:$B$15,2,FALSE),0)</f>
        <v>0</v>
      </c>
      <c r="T24" s="15">
        <v>0</v>
      </c>
      <c r="U24" s="25">
        <f>IFERROR(VLOOKUP(T24,'Puntos XCO'!$A$1:$B$63,2,FALSE),0)</f>
        <v>0</v>
      </c>
      <c r="V24" s="16">
        <v>0</v>
      </c>
      <c r="W24" s="15">
        <f>IFERROR(VLOOKUP(V24,'Puntos XCC Mayor'!$A$1:$B$15,2,FALSE),0)</f>
        <v>0</v>
      </c>
      <c r="X24" s="15">
        <v>0</v>
      </c>
      <c r="Y24" s="25">
        <f>IFERROR(VLOOKUP(X24,'Puntos XCO'!$A$1:$B$63,2,FALSE),0)</f>
        <v>0</v>
      </c>
      <c r="Z24" s="16">
        <f t="shared" si="0"/>
        <v>0</v>
      </c>
      <c r="AA24" s="15">
        <f>IFERROR(VLOOKUP(Z24,'Puntos XCC Mayor'!$A$1:$B$15,2,FALSE),0)</f>
        <v>0</v>
      </c>
      <c r="AB24" s="15">
        <f t="shared" si="1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2"/>
        <v>200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113">
        <v>82</v>
      </c>
      <c r="D25" s="23" t="s">
        <v>1012</v>
      </c>
      <c r="E25" s="23" t="s">
        <v>1013</v>
      </c>
      <c r="F25" s="26"/>
      <c r="G25" s="15"/>
      <c r="H25" s="3"/>
      <c r="I25" s="25"/>
      <c r="J25" s="33"/>
      <c r="K25" s="22"/>
      <c r="L25" s="22"/>
      <c r="M25" s="34"/>
      <c r="N25" s="16">
        <v>1</v>
      </c>
      <c r="O25" s="15">
        <f>IFERROR(VLOOKUP(N25,'Puntos XCC Mayor'!$A$1:$B$15,2,FALSE),0)</f>
        <v>25</v>
      </c>
      <c r="P25" s="3">
        <v>2</v>
      </c>
      <c r="Q25" s="34">
        <f>IFERROR(VLOOKUP(P25,'Puntos XCO'!$A$1:$B$63,2,FALSE),0)</f>
        <v>150</v>
      </c>
      <c r="R25" s="16">
        <v>0</v>
      </c>
      <c r="S25" s="15">
        <f>IFERROR(VLOOKUP(R25,'Puntos XCC Mayor'!$A$1:$B$15,2,FALSE),0)</f>
        <v>0</v>
      </c>
      <c r="T25" s="15">
        <v>0</v>
      </c>
      <c r="U25" s="25">
        <f>IFERROR(VLOOKUP(T25,'Puntos XCO'!$A$1:$B$63,2,FALSE),0)</f>
        <v>0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0"/>
        <v>0</v>
      </c>
      <c r="AA25" s="15">
        <f>IFERROR(VLOOKUP(Z25,'Puntos XCC Mayor'!$A$1:$B$15,2,FALSE),0)</f>
        <v>0</v>
      </c>
      <c r="AB25" s="15">
        <f t="shared" si="1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2"/>
        <v>175</v>
      </c>
      <c r="AJ25" s="3"/>
    </row>
    <row r="26" spans="1:39" ht="24.95" customHeight="1">
      <c r="A26" s="3">
        <v>12</v>
      </c>
      <c r="B26" s="3">
        <v>12</v>
      </c>
      <c r="C26" s="113">
        <v>93</v>
      </c>
      <c r="D26" s="23" t="s">
        <v>1023</v>
      </c>
      <c r="E26" s="23" t="s">
        <v>1024</v>
      </c>
      <c r="F26" s="26"/>
      <c r="G26" s="15"/>
      <c r="H26" s="3"/>
      <c r="I26" s="25"/>
      <c r="J26" s="33"/>
      <c r="K26" s="22"/>
      <c r="L26" s="22"/>
      <c r="M26" s="34"/>
      <c r="N26" s="16">
        <v>4</v>
      </c>
      <c r="O26" s="15">
        <f>IFERROR(VLOOKUP(N26,'Puntos XCC Mayor'!$A$1:$B$15,2,FALSE),0)</f>
        <v>14</v>
      </c>
      <c r="P26" s="3">
        <v>2</v>
      </c>
      <c r="Q26" s="34">
        <f>IFERROR(VLOOKUP(P26,'Puntos XCO'!$A$1:$B$63,2,FALSE),0)</f>
        <v>150</v>
      </c>
      <c r="R26" s="16">
        <v>0</v>
      </c>
      <c r="S26" s="15">
        <f>IFERROR(VLOOKUP(R26,'Puntos XCC Mayor'!$A$1:$B$15,2,FALSE),0)</f>
        <v>0</v>
      </c>
      <c r="T26" s="15">
        <v>0</v>
      </c>
      <c r="U26" s="25">
        <f>IFERROR(VLOOKUP(T26,'Puntos XCO'!$A$1:$B$63,2,FALSE),0)</f>
        <v>0</v>
      </c>
      <c r="V26" s="16">
        <v>0</v>
      </c>
      <c r="W26" s="15">
        <f>IFERROR(VLOOKUP(V26,'Puntos XCC Mayor'!$A$1:$B$15,2,FALSE),0)</f>
        <v>0</v>
      </c>
      <c r="X26" s="15">
        <v>0</v>
      </c>
      <c r="Y26" s="25">
        <f>IFERROR(VLOOKUP(X26,'Puntos XCO'!$A$1:$B$63,2,FALSE),0)</f>
        <v>0</v>
      </c>
      <c r="Z26" s="16">
        <f t="shared" si="0"/>
        <v>0</v>
      </c>
      <c r="AA26" s="15">
        <f>IFERROR(VLOOKUP(Z26,'Puntos XCC Mayor'!$A$1:$B$15,2,FALSE),0)</f>
        <v>0</v>
      </c>
      <c r="AB26" s="15">
        <f t="shared" si="1"/>
        <v>0</v>
      </c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2"/>
        <v>164</v>
      </c>
      <c r="AJ26" s="3"/>
    </row>
    <row r="27" spans="1:39" ht="24.95" customHeight="1">
      <c r="A27" s="22">
        <v>13</v>
      </c>
      <c r="B27" s="22">
        <v>13</v>
      </c>
      <c r="C27" s="113"/>
      <c r="D27" s="23" t="s">
        <v>194</v>
      </c>
      <c r="E27" s="23" t="s">
        <v>195</v>
      </c>
      <c r="F27" s="26">
        <v>6</v>
      </c>
      <c r="G27" s="15">
        <v>10</v>
      </c>
      <c r="H27" s="3">
        <v>3</v>
      </c>
      <c r="I27" s="25">
        <v>120</v>
      </c>
      <c r="J27" s="33">
        <v>0</v>
      </c>
      <c r="K27" s="22">
        <v>0</v>
      </c>
      <c r="L27" s="22">
        <v>0</v>
      </c>
      <c r="M27" s="34">
        <v>0</v>
      </c>
      <c r="N27" s="16"/>
      <c r="O27" s="15">
        <f>IFERROR(VLOOKUP(N27,'Puntos XCC Mayor'!$A$1:$B$15,2,FALSE),0)</f>
        <v>0</v>
      </c>
      <c r="P27" s="3"/>
      <c r="Q27" s="34">
        <f>IFERROR(VLOOKUP(P27,'Puntos XCO'!$A$1:$B$63,2,FALSE),0)</f>
        <v>0</v>
      </c>
      <c r="R27" s="16">
        <v>0</v>
      </c>
      <c r="S27" s="15">
        <f>IFERROR(VLOOKUP(R27,'Puntos XCC Mayor'!$A$1:$B$15,2,FALSE),0)</f>
        <v>0</v>
      </c>
      <c r="T27" s="15">
        <v>0</v>
      </c>
      <c r="U27" s="25">
        <f>IFERROR(VLOOKUP(T27,'Puntos XCO'!$A$1:$B$63,2,FALSE),0)</f>
        <v>0</v>
      </c>
      <c r="V27" s="16">
        <v>0</v>
      </c>
      <c r="W27" s="15">
        <f>IFERROR(VLOOKUP(V27,'Puntos XCC Mayor'!$A$1:$B$15,2,FALSE),0)</f>
        <v>0</v>
      </c>
      <c r="X27" s="15">
        <v>0</v>
      </c>
      <c r="Y27" s="25">
        <f>IFERROR(VLOOKUP(X27,'Puntos XCO'!$A$1:$B$63,2,FALSE),0)</f>
        <v>0</v>
      </c>
      <c r="Z27" s="16">
        <f t="shared" si="0"/>
        <v>0</v>
      </c>
      <c r="AA27" s="15">
        <f>IFERROR(VLOOKUP(Z27,'Puntos XCC Mayor'!$A$1:$B$15,2,FALSE),0)</f>
        <v>0</v>
      </c>
      <c r="AB27" s="15">
        <f t="shared" si="1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2"/>
        <v>130</v>
      </c>
      <c r="AJ27" s="3"/>
    </row>
    <row r="28" spans="1:39" ht="24.95" customHeight="1">
      <c r="A28" s="3">
        <v>14</v>
      </c>
      <c r="B28" s="3">
        <v>14</v>
      </c>
      <c r="C28" s="115"/>
      <c r="D28" s="23" t="s">
        <v>193</v>
      </c>
      <c r="E28" s="23" t="s">
        <v>109</v>
      </c>
      <c r="F28" s="26">
        <v>2</v>
      </c>
      <c r="G28" s="15">
        <v>20</v>
      </c>
      <c r="H28" s="3">
        <v>4</v>
      </c>
      <c r="I28" s="25">
        <v>110</v>
      </c>
      <c r="J28" s="33">
        <v>0</v>
      </c>
      <c r="K28" s="22">
        <v>0</v>
      </c>
      <c r="L28" s="22">
        <v>0</v>
      </c>
      <c r="M28" s="34">
        <v>0</v>
      </c>
      <c r="N28" s="16"/>
      <c r="O28" s="15">
        <f>IFERROR(VLOOKUP(N28,'Puntos XCC Mayor'!$A$1:$B$15,2,FALSE),0)</f>
        <v>0</v>
      </c>
      <c r="P28" s="3"/>
      <c r="Q28" s="34">
        <f>IFERROR(VLOOKUP(P28,'Puntos XCO'!$A$1:$B$63,2,FALSE),0)</f>
        <v>0</v>
      </c>
      <c r="R28" s="16">
        <v>0</v>
      </c>
      <c r="S28" s="15">
        <f>IFERROR(VLOOKUP(R28,'Puntos XCC Mayor'!$A$1:$B$15,2,FALSE),0)</f>
        <v>0</v>
      </c>
      <c r="T28" s="15">
        <v>0</v>
      </c>
      <c r="U28" s="25">
        <f>IFERROR(VLOOKUP(T28,'Puntos XCO'!$A$1:$B$63,2,FALSE),0)</f>
        <v>0</v>
      </c>
      <c r="V28" s="16">
        <v>0</v>
      </c>
      <c r="W28" s="15">
        <f>IFERROR(VLOOKUP(V28,'Puntos XCC Mayor'!$A$1:$B$15,2,FALSE),0)</f>
        <v>0</v>
      </c>
      <c r="X28" s="15">
        <v>0</v>
      </c>
      <c r="Y28" s="25">
        <f>IFERROR(VLOOKUP(X28,'Puntos XCO'!$A$1:$B$63,2,FALSE),0)</f>
        <v>0</v>
      </c>
      <c r="Z28" s="16">
        <f t="shared" si="0"/>
        <v>0</v>
      </c>
      <c r="AA28" s="15">
        <f>IFERROR(VLOOKUP(Z28,'Puntos XCC Mayor'!$A$1:$B$15,2,FALSE),0)</f>
        <v>0</v>
      </c>
      <c r="AB28" s="15">
        <f t="shared" si="1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2"/>
        <v>130</v>
      </c>
      <c r="AJ28" s="3"/>
    </row>
    <row r="29" spans="1:39" ht="24.95" customHeight="1">
      <c r="A29" s="22">
        <v>15</v>
      </c>
      <c r="B29" s="22">
        <v>15</v>
      </c>
      <c r="C29" s="113">
        <v>86</v>
      </c>
      <c r="D29" s="23" t="s">
        <v>1018</v>
      </c>
      <c r="E29" s="23" t="s">
        <v>1019</v>
      </c>
      <c r="F29" s="26"/>
      <c r="G29" s="15"/>
      <c r="H29" s="3"/>
      <c r="I29" s="25"/>
      <c r="J29" s="33"/>
      <c r="K29" s="22"/>
      <c r="L29" s="22"/>
      <c r="M29" s="34"/>
      <c r="N29" s="16">
        <v>3</v>
      </c>
      <c r="O29" s="15">
        <f>IFERROR(VLOOKUP(N29,'Puntos XCC Mayor'!$A$1:$B$15,2,FALSE),0)</f>
        <v>16</v>
      </c>
      <c r="P29" s="3">
        <v>6</v>
      </c>
      <c r="Q29" s="34">
        <f>IFERROR(VLOOKUP(P29,'Puntos XCO'!$A$1:$B$63,2,FALSE),0)</f>
        <v>95</v>
      </c>
      <c r="R29" s="16">
        <v>0</v>
      </c>
      <c r="S29" s="15">
        <f>IFERROR(VLOOKUP(R29,'Puntos XCC Mayor'!$A$1:$B$15,2,FALSE),0)</f>
        <v>0</v>
      </c>
      <c r="T29" s="15">
        <v>0</v>
      </c>
      <c r="U29" s="25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0"/>
        <v>0</v>
      </c>
      <c r="AA29" s="15">
        <f>IFERROR(VLOOKUP(Z29,'Puntos XCC Mayor'!$A$1:$B$15,2,FALSE),0)</f>
        <v>0</v>
      </c>
      <c r="AB29" s="15">
        <f t="shared" si="1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2"/>
        <v>111</v>
      </c>
      <c r="AJ29" s="3"/>
    </row>
    <row r="30" spans="1:39" ht="24.95" customHeight="1">
      <c r="A30" s="3">
        <v>16</v>
      </c>
      <c r="B30" s="3">
        <v>16</v>
      </c>
      <c r="C30" s="113">
        <v>83</v>
      </c>
      <c r="D30" s="23" t="s">
        <v>1015</v>
      </c>
      <c r="E30" s="23" t="s">
        <v>1013</v>
      </c>
      <c r="F30" s="26"/>
      <c r="G30" s="15"/>
      <c r="H30" s="3"/>
      <c r="I30" s="25"/>
      <c r="J30" s="33"/>
      <c r="K30" s="22"/>
      <c r="L30" s="22"/>
      <c r="M30" s="34"/>
      <c r="N30" s="16"/>
      <c r="O30" s="15">
        <f>IFERROR(VLOOKUP(N30,'Puntos XCC Mayor'!$A$1:$B$15,2,FALSE),0)</f>
        <v>0</v>
      </c>
      <c r="P30" s="3">
        <v>4</v>
      </c>
      <c r="Q30" s="34">
        <f>IFERROR(VLOOKUP(P30,'Puntos XCO'!$A$1:$B$63,2,FALSE),0)</f>
        <v>110</v>
      </c>
      <c r="R30" s="16">
        <v>0</v>
      </c>
      <c r="S30" s="15">
        <f>IFERROR(VLOOKUP(R30,'Puntos XCC Mayor'!$A$1:$B$15,2,FALSE),0)</f>
        <v>0</v>
      </c>
      <c r="T30" s="15">
        <v>0</v>
      </c>
      <c r="U30" s="25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0"/>
        <v>0</v>
      </c>
      <c r="AA30" s="15">
        <f>IFERROR(VLOOKUP(Z30,'Puntos XCC Mayor'!$A$1:$B$15,2,FALSE),0)</f>
        <v>0</v>
      </c>
      <c r="AB30" s="15">
        <f t="shared" si="1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2"/>
        <v>110</v>
      </c>
      <c r="AJ30" s="3"/>
    </row>
    <row r="31" spans="1:39" ht="24.95" customHeight="1">
      <c r="A31" s="22">
        <v>17</v>
      </c>
      <c r="B31" s="22">
        <v>17</v>
      </c>
      <c r="C31" s="113"/>
      <c r="D31" s="23" t="s">
        <v>197</v>
      </c>
      <c r="E31" s="23" t="s">
        <v>128</v>
      </c>
      <c r="F31" s="26">
        <v>0</v>
      </c>
      <c r="G31" s="15">
        <v>0</v>
      </c>
      <c r="H31" s="3">
        <v>7</v>
      </c>
      <c r="I31" s="25">
        <v>90</v>
      </c>
      <c r="J31" s="33">
        <v>0</v>
      </c>
      <c r="K31" s="22">
        <v>0</v>
      </c>
      <c r="L31" s="22">
        <v>0</v>
      </c>
      <c r="M31" s="34">
        <v>0</v>
      </c>
      <c r="N31" s="16"/>
      <c r="O31" s="15">
        <f>IFERROR(VLOOKUP(N31,'Puntos XCC Mayor'!$A$1:$B$15,2,FALSE),0)</f>
        <v>0</v>
      </c>
      <c r="P31" s="3"/>
      <c r="Q31" s="34">
        <f>IFERROR(VLOOKUP(P31,'Puntos XCO'!$A$1:$B$63,2,FALSE),0)</f>
        <v>0</v>
      </c>
      <c r="R31" s="16">
        <v>0</v>
      </c>
      <c r="S31" s="15">
        <f>IFERROR(VLOOKUP(R31,'Puntos XCC Mayor'!$A$1:$B$15,2,FALSE),0)</f>
        <v>0</v>
      </c>
      <c r="T31" s="15">
        <v>0</v>
      </c>
      <c r="U31" s="25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0"/>
        <v>0</v>
      </c>
      <c r="AA31" s="15">
        <f>IFERROR(VLOOKUP(Z31,'Puntos XCC Mayor'!$A$1:$B$15,2,FALSE),0)</f>
        <v>0</v>
      </c>
      <c r="AB31" s="15">
        <f t="shared" si="1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2"/>
        <v>90</v>
      </c>
      <c r="AJ31" s="3"/>
    </row>
    <row r="32" spans="1:39" ht="24.95" customHeight="1">
      <c r="A32" s="3">
        <v>18</v>
      </c>
      <c r="B32" s="3">
        <v>18</v>
      </c>
      <c r="C32" s="115"/>
      <c r="D32" s="23" t="s">
        <v>203</v>
      </c>
      <c r="E32" s="23" t="s">
        <v>195</v>
      </c>
      <c r="F32" s="26">
        <v>4</v>
      </c>
      <c r="G32" s="15">
        <v>14</v>
      </c>
      <c r="H32" s="3">
        <v>0</v>
      </c>
      <c r="I32" s="25">
        <v>0</v>
      </c>
      <c r="J32" s="33">
        <v>0</v>
      </c>
      <c r="K32" s="22">
        <v>0</v>
      </c>
      <c r="L32" s="22">
        <v>0</v>
      </c>
      <c r="M32" s="34">
        <v>0</v>
      </c>
      <c r="N32" s="16"/>
      <c r="O32" s="15">
        <f>IFERROR(VLOOKUP(N32,'Puntos XCC Mayor'!$A$1:$B$15,2,FALSE),0)</f>
        <v>0</v>
      </c>
      <c r="P32" s="3"/>
      <c r="Q32" s="34">
        <f>IFERROR(VLOOKUP(P32,'Puntos XCO'!$A$1:$B$63,2,FALSE),0)</f>
        <v>0</v>
      </c>
      <c r="R32" s="16">
        <v>0</v>
      </c>
      <c r="S32" s="15">
        <f>IFERROR(VLOOKUP(R32,'Puntos XCC Mayor'!$A$1:$B$15,2,FALSE),0)</f>
        <v>0</v>
      </c>
      <c r="T32" s="15">
        <v>0</v>
      </c>
      <c r="U32" s="25">
        <f>IFERROR(VLOOKUP(T32,'Puntos XCO'!$A$1:$B$63,2,FALSE),0)</f>
        <v>0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0"/>
        <v>0</v>
      </c>
      <c r="AA32" s="15">
        <f>IFERROR(VLOOKUP(Z32,'Puntos XCC Mayor'!$A$1:$B$15,2,FALSE),0)</f>
        <v>0</v>
      </c>
      <c r="AB32" s="15">
        <f t="shared" si="1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2"/>
        <v>14</v>
      </c>
      <c r="AJ32" s="3"/>
    </row>
    <row r="33" spans="1:36" ht="24.95" customHeight="1">
      <c r="A33" s="22">
        <v>19</v>
      </c>
      <c r="B33" s="22">
        <v>19</v>
      </c>
      <c r="C33" s="113"/>
      <c r="D33" s="23" t="s">
        <v>200</v>
      </c>
      <c r="E33" s="23" t="s">
        <v>195</v>
      </c>
      <c r="F33" s="26">
        <v>5</v>
      </c>
      <c r="G33" s="15">
        <v>12</v>
      </c>
      <c r="H33" s="3">
        <v>0</v>
      </c>
      <c r="I33" s="25">
        <v>0</v>
      </c>
      <c r="J33" s="33">
        <v>0</v>
      </c>
      <c r="K33" s="22">
        <v>0</v>
      </c>
      <c r="L33" s="22">
        <v>0</v>
      </c>
      <c r="M33" s="34">
        <v>0</v>
      </c>
      <c r="N33" s="16"/>
      <c r="O33" s="15">
        <f>IFERROR(VLOOKUP(N33,'Puntos XCC Mayor'!$A$1:$B$15,2,FALSE),0)</f>
        <v>0</v>
      </c>
      <c r="P33" s="3"/>
      <c r="Q33" s="34">
        <f>IFERROR(VLOOKUP(P33,'Puntos XCO'!$A$1:$B$63,2,FALSE),0)</f>
        <v>0</v>
      </c>
      <c r="R33" s="16">
        <v>0</v>
      </c>
      <c r="S33" s="15">
        <f>IFERROR(VLOOKUP(R33,'Puntos XCC Mayor'!$A$1:$B$15,2,FALSE),0)</f>
        <v>0</v>
      </c>
      <c r="T33" s="15">
        <v>0</v>
      </c>
      <c r="U33" s="25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0"/>
        <v>0</v>
      </c>
      <c r="AA33" s="15">
        <f>IFERROR(VLOOKUP(Z33,'Puntos XCC Mayor'!$A$1:$B$15,2,FALSE),0)</f>
        <v>0</v>
      </c>
      <c r="AB33" s="15">
        <f t="shared" si="1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2"/>
        <v>12</v>
      </c>
      <c r="AJ33" s="3"/>
    </row>
    <row r="34" spans="1:36" ht="24.95" customHeight="1">
      <c r="A34" s="3"/>
      <c r="B34" s="3"/>
      <c r="C34" s="3"/>
      <c r="D34" s="23"/>
      <c r="E34" s="23"/>
      <c r="F34" s="26"/>
      <c r="G34" s="15"/>
      <c r="H34" s="3"/>
      <c r="I34" s="25"/>
      <c r="J34" s="33"/>
      <c r="K34" s="22"/>
      <c r="L34" s="22"/>
      <c r="M34" s="34"/>
      <c r="N34" s="16"/>
      <c r="O34" s="15"/>
      <c r="P34" s="3"/>
      <c r="Q34" s="34"/>
      <c r="R34" s="16"/>
      <c r="S34" s="15"/>
      <c r="T34" s="15"/>
      <c r="U34" s="25"/>
      <c r="V34" s="16"/>
      <c r="W34" s="15"/>
      <c r="X34" s="15"/>
      <c r="Y34" s="25"/>
      <c r="Z34" s="16"/>
      <c r="AA34" s="15"/>
      <c r="AB34" s="15"/>
      <c r="AC34" s="25"/>
      <c r="AD34" s="16"/>
      <c r="AE34" s="15"/>
      <c r="AF34" s="15"/>
      <c r="AG34" s="25"/>
      <c r="AH34" s="27"/>
      <c r="AJ34" s="3"/>
    </row>
    <row r="35" spans="1:36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4"/>
      <c r="Q35" s="65"/>
      <c r="R35" s="65"/>
      <c r="S35" s="65"/>
      <c r="T35" s="65"/>
      <c r="U35" s="65"/>
      <c r="V35" s="65"/>
      <c r="W35" s="65"/>
      <c r="X35" s="65"/>
      <c r="Y35" s="65"/>
      <c r="Z35" s="116"/>
      <c r="AA35" s="116"/>
      <c r="AB35" s="116"/>
      <c r="AC35" s="116"/>
      <c r="AD35" s="116"/>
      <c r="AE35" s="116"/>
      <c r="AF35" s="116"/>
      <c r="AG35" s="116"/>
      <c r="AH35" s="65"/>
    </row>
    <row r="36" spans="1:36">
      <c r="M36" s="9"/>
      <c r="N36" s="9"/>
      <c r="O36" s="9"/>
      <c r="P36" s="10"/>
      <c r="Q36" s="9"/>
      <c r="R36" s="9"/>
      <c r="S36" s="9"/>
      <c r="T36" s="9"/>
      <c r="U36" s="9"/>
    </row>
    <row r="37" spans="1:36" ht="127.5" customHeight="1"/>
    <row r="38" spans="1:36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4"/>
      <c r="Q38" s="65"/>
      <c r="R38" s="65"/>
      <c r="S38" s="65"/>
      <c r="T38" s="65"/>
      <c r="U38" s="65"/>
      <c r="V38" s="65"/>
      <c r="W38" s="65"/>
      <c r="X38" s="65"/>
      <c r="Y38" s="65"/>
      <c r="Z38" s="116"/>
      <c r="AA38" s="116"/>
      <c r="AB38" s="116"/>
      <c r="AC38" s="116"/>
      <c r="AD38" s="116"/>
      <c r="AE38" s="116"/>
      <c r="AF38" s="116"/>
      <c r="AG38" s="116"/>
      <c r="AH38" s="65"/>
    </row>
  </sheetData>
  <sortState ref="B15:AH33">
    <sortCondition descending="1" ref="AH15:AH33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35:C65513 C1:C9 C12:C14">
    <cfRule type="duplicateValues" dxfId="549" priority="59" stopIfTrue="1"/>
  </conditionalFormatting>
  <conditionalFormatting sqref="A15 A17 A19 A21 A23 A25 A27 A29 A31 A33">
    <cfRule type="duplicateValues" dxfId="548" priority="22"/>
  </conditionalFormatting>
  <conditionalFormatting sqref="C15 C17 C19 C21 C23 C25:C34">
    <cfRule type="duplicateValues" dxfId="547" priority="21"/>
  </conditionalFormatting>
  <conditionalFormatting sqref="AJ15:AJ34">
    <cfRule type="duplicateValues" dxfId="546" priority="7842"/>
  </conditionalFormatting>
  <conditionalFormatting sqref="B15 B17 B19 B21 B23 B25 B27 B29 B31 B33">
    <cfRule type="duplicateValues" dxfId="545" priority="6"/>
  </conditionalFormatting>
  <conditionalFormatting sqref="C11">
    <cfRule type="duplicateValues" dxfId="544" priority="4" stopIfTrue="1"/>
  </conditionalFormatting>
  <conditionalFormatting sqref="C11">
    <cfRule type="duplicateValues" dxfId="543" priority="5" stopIfTrue="1"/>
  </conditionalFormatting>
  <conditionalFormatting sqref="D11">
    <cfRule type="duplicateValues" dxfId="542" priority="3" stopIfTrue="1"/>
  </conditionalFormatting>
  <conditionalFormatting sqref="C10">
    <cfRule type="duplicateValues" dxfId="541" priority="1" stopIfTrue="1"/>
  </conditionalFormatting>
  <conditionalFormatting sqref="C10">
    <cfRule type="duplicateValues" dxfId="540" priority="2" stopIfTrue="1"/>
  </conditionalFormatting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8:AM29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0.710937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67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3">
        <v>1</v>
      </c>
      <c r="B15" s="3">
        <v>1</v>
      </c>
      <c r="C15" s="21">
        <v>91</v>
      </c>
      <c r="D15" s="23" t="s">
        <v>585</v>
      </c>
      <c r="E15" s="24" t="s">
        <v>109</v>
      </c>
      <c r="F15" s="3"/>
      <c r="G15" s="15"/>
      <c r="H15" s="3"/>
      <c r="I15" s="25"/>
      <c r="J15" s="33">
        <v>1</v>
      </c>
      <c r="K15" s="22">
        <f>IFERROR(VLOOKUP(J15,'Puntos XCC Mayor'!$A$1:$B$15,2,FALSE),"0")</f>
        <v>25</v>
      </c>
      <c r="L15" s="22">
        <v>1</v>
      </c>
      <c r="M15" s="34">
        <f>IFERROR(VLOOKUP(L15,'Puntos XCO'!$A$1:$B$63,2,FALSE),0)</f>
        <v>200</v>
      </c>
      <c r="N15" s="16">
        <v>2</v>
      </c>
      <c r="O15" s="15">
        <f>IFERROR(VLOOKUP(N15,'Puntos XCC Mayor'!$A$1:$B$15,2,FALSE),0)</f>
        <v>20</v>
      </c>
      <c r="P15" s="3">
        <v>1</v>
      </c>
      <c r="Q15" s="34">
        <f>IFERROR(VLOOKUP(P15,'Puntos XCO'!$A$1:$B$63,2,FALSE),0)</f>
        <v>200</v>
      </c>
      <c r="R15" s="16">
        <v>2</v>
      </c>
      <c r="S15" s="15">
        <f>IFERROR(VLOOKUP(R15,'Puntos XCC Mayor'!$A$1:$B$15,2,FALSE),0)</f>
        <v>20</v>
      </c>
      <c r="T15" s="15">
        <v>2</v>
      </c>
      <c r="U15" s="25">
        <f>IFERROR(VLOOKUP(T15,'Puntos XCO'!$A$1:$B$63,2,FALSE),0)</f>
        <v>150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/>
      <c r="AA15" s="15">
        <f>IFERROR(VLOOKUP(Z15,'Puntos XCC Mayor'!$A$1:$B$15,2,FALSE),0)</f>
        <v>0</v>
      </c>
      <c r="AB15" s="15"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4" si="0">G15+I15+K15+M15+O15+Q15+S15+U15+W15+Y15</f>
        <v>840</v>
      </c>
      <c r="AJ15" s="2"/>
      <c r="AK15" s="13"/>
      <c r="AL15" s="12"/>
      <c r="AM15" s="14"/>
    </row>
    <row r="16" spans="1:39" ht="24.95" customHeight="1">
      <c r="A16" s="3">
        <v>2</v>
      </c>
      <c r="B16" s="3">
        <v>2</v>
      </c>
      <c r="C16" s="58">
        <v>94</v>
      </c>
      <c r="D16" s="23" t="s">
        <v>589</v>
      </c>
      <c r="E16" s="24" t="s">
        <v>134</v>
      </c>
      <c r="F16" s="3">
        <v>5</v>
      </c>
      <c r="G16" s="15">
        <f>IFERROR(VLOOKUP(F16,'Puntos XCC Mayor'!$A$1:$B$15,2,FALSE),0)</f>
        <v>12</v>
      </c>
      <c r="H16" s="3">
        <v>2</v>
      </c>
      <c r="I16" s="25">
        <f>IFERROR(VLOOKUP(H16,'Puntos XCO'!$A$1:$B$63,2,FALSE),0)</f>
        <v>150</v>
      </c>
      <c r="J16" s="33">
        <v>3</v>
      </c>
      <c r="K16" s="22">
        <f>IFERROR(VLOOKUP(J16,'Puntos XCC Mayor'!$A$1:$B$15,2,FALSE),"0")</f>
        <v>16</v>
      </c>
      <c r="L16" s="22">
        <v>5</v>
      </c>
      <c r="M16" s="34">
        <f>IFERROR(VLOOKUP(L16,'Puntos XCO'!$A$1:$B$63,2,FALSE),0)</f>
        <v>100</v>
      </c>
      <c r="N16" s="16">
        <v>3</v>
      </c>
      <c r="O16" s="15">
        <f>IFERROR(VLOOKUP(N16,'Puntos XCC Mayor'!$A$1:$B$15,2,FALSE),0)</f>
        <v>16</v>
      </c>
      <c r="P16" s="3">
        <v>3</v>
      </c>
      <c r="Q16" s="34">
        <f>IFERROR(VLOOKUP(P16,'Puntos XCO'!$A$1:$B$63,2,FALSE),0)</f>
        <v>120</v>
      </c>
      <c r="R16" s="16">
        <v>4</v>
      </c>
      <c r="S16" s="15">
        <f>IFERROR(VLOOKUP(R16,'Puntos XCC Mayor'!$A$1:$B$15,2,FALSE),0)</f>
        <v>14</v>
      </c>
      <c r="T16" s="15">
        <v>3</v>
      </c>
      <c r="U16" s="25">
        <f>IFERROR(VLOOKUP(T16,'Puntos XCO'!$A$1:$B$63,2,FALSE),0)</f>
        <v>120</v>
      </c>
      <c r="V16" s="16">
        <v>4</v>
      </c>
      <c r="W16" s="15">
        <f>IFERROR(VLOOKUP(V16,'Puntos XCC Mayor'!$A$1:$B$15,2,FALSE),0)</f>
        <v>14</v>
      </c>
      <c r="X16" s="15">
        <v>3</v>
      </c>
      <c r="Y16" s="25">
        <f>IFERROR(VLOOKUP(X16,'Puntos XCO'!$A$1:$B$63,2,FALSE),0)</f>
        <v>120</v>
      </c>
      <c r="Z16" s="16">
        <v>2</v>
      </c>
      <c r="AA16" s="15">
        <f>IFERROR(VLOOKUP(Z16,'Puntos XCC Mayor'!$A$1:$B$15,2,FALSE),0)</f>
        <v>20</v>
      </c>
      <c r="AB16" s="15"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0"/>
        <v>682</v>
      </c>
      <c r="AJ16" s="2"/>
      <c r="AK16" s="13"/>
      <c r="AL16" s="12"/>
      <c r="AM16" s="14"/>
    </row>
    <row r="17" spans="1:39" ht="24.95" customHeight="1">
      <c r="A17" s="3">
        <v>3</v>
      </c>
      <c r="B17" s="3">
        <v>3</v>
      </c>
      <c r="C17" s="21">
        <v>92</v>
      </c>
      <c r="D17" s="23" t="s">
        <v>586</v>
      </c>
      <c r="E17" s="24" t="s">
        <v>109</v>
      </c>
      <c r="F17" s="3"/>
      <c r="G17" s="15"/>
      <c r="H17" s="3"/>
      <c r="I17" s="25"/>
      <c r="J17" s="33">
        <v>2</v>
      </c>
      <c r="K17" s="22">
        <f>IFERROR(VLOOKUP(J17,'Puntos XCC Mayor'!$A$1:$B$15,2,FALSE),"0")</f>
        <v>20</v>
      </c>
      <c r="L17" s="22">
        <v>2</v>
      </c>
      <c r="M17" s="34">
        <f>IFERROR(VLOOKUP(L17,'Puntos XCO'!$A$1:$B$63,2,FALSE),0)</f>
        <v>150</v>
      </c>
      <c r="N17" s="16"/>
      <c r="O17" s="15">
        <f>IFERROR(VLOOKUP(N17,'Puntos XCC Mayor'!$A$1:$B$15,2,FALSE),0)</f>
        <v>0</v>
      </c>
      <c r="P17" s="3"/>
      <c r="Q17" s="34">
        <f>IFERROR(VLOOKUP(P17,'Puntos XCO'!$A$1:$B$63,2,FALSE),0)</f>
        <v>0</v>
      </c>
      <c r="R17" s="16">
        <v>1</v>
      </c>
      <c r="S17" s="15">
        <f>IFERROR(VLOOKUP(R17,'Puntos XCC Mayor'!$A$1:$B$15,2,FALSE),0)</f>
        <v>25</v>
      </c>
      <c r="T17" s="15">
        <v>1</v>
      </c>
      <c r="U17" s="25">
        <f>IFERROR(VLOOKUP(T17,'Puntos XCO'!$A$1:$B$63,2,FALSE),0)</f>
        <v>200</v>
      </c>
      <c r="V17" s="16">
        <v>2</v>
      </c>
      <c r="W17" s="15">
        <f>IFERROR(VLOOKUP(V17,'Puntos XCC Mayor'!$A$1:$B$15,2,FALSE),0)</f>
        <v>20</v>
      </c>
      <c r="X17" s="15">
        <v>2</v>
      </c>
      <c r="Y17" s="25">
        <f>IFERROR(VLOOKUP(X17,'Puntos XCO'!$A$1:$B$63,2,FALSE),0)</f>
        <v>150</v>
      </c>
      <c r="Z17" s="16"/>
      <c r="AA17" s="15">
        <f>IFERROR(VLOOKUP(Z17,'Puntos XCC Mayor'!$A$1:$B$15,2,FALSE),0)</f>
        <v>0</v>
      </c>
      <c r="AB17" s="15"/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0"/>
        <v>565</v>
      </c>
      <c r="AJ17" s="2"/>
      <c r="AK17" s="13"/>
      <c r="AL17" s="12"/>
      <c r="AM17" s="14"/>
    </row>
    <row r="18" spans="1:39" ht="24.95" customHeight="1">
      <c r="A18" s="3">
        <v>4</v>
      </c>
      <c r="B18" s="3">
        <v>4</v>
      </c>
      <c r="C18" s="58">
        <v>95</v>
      </c>
      <c r="D18" s="23" t="s">
        <v>588</v>
      </c>
      <c r="E18" s="24" t="s">
        <v>199</v>
      </c>
      <c r="F18" s="3">
        <v>4</v>
      </c>
      <c r="G18" s="15">
        <f>IFERROR(VLOOKUP(F18,'Puntos XCC Mayor'!$A$1:$B$15,2,FALSE),0)</f>
        <v>14</v>
      </c>
      <c r="H18" s="3">
        <v>5</v>
      </c>
      <c r="I18" s="25">
        <f>IFERROR(VLOOKUP(H18,'Puntos XCO'!$A$1:$B$63,2,FALSE),0)</f>
        <v>100</v>
      </c>
      <c r="J18" s="33">
        <v>4</v>
      </c>
      <c r="K18" s="22">
        <f>IFERROR(VLOOKUP(J18,'Puntos XCC Mayor'!$A$1:$B$15,2,FALSE),"0")</f>
        <v>14</v>
      </c>
      <c r="L18" s="22">
        <v>4</v>
      </c>
      <c r="M18" s="34">
        <f>IFERROR(VLOOKUP(L18,'Puntos XCO'!$A$1:$B$63,2,FALSE),0)</f>
        <v>110</v>
      </c>
      <c r="N18" s="16"/>
      <c r="O18" s="15">
        <f>IFERROR(VLOOKUP(N18,'Puntos XCC Mayor'!$A$1:$B$15,2,FALSE),0)</f>
        <v>0</v>
      </c>
      <c r="P18" s="3"/>
      <c r="Q18" s="34">
        <f>IFERROR(VLOOKUP(P18,'Puntos XCO'!$A$1:$B$63,2,FALSE),0)</f>
        <v>0</v>
      </c>
      <c r="R18" s="16">
        <v>5</v>
      </c>
      <c r="S18" s="15">
        <f>IFERROR(VLOOKUP(R18,'Puntos XCC Mayor'!$A$1:$B$15,2,FALSE),0)</f>
        <v>12</v>
      </c>
      <c r="T18" s="15">
        <v>5</v>
      </c>
      <c r="U18" s="25">
        <f>IFERROR(VLOOKUP(T18,'Puntos XCO'!$A$1:$B$63,2,FALSE),0)</f>
        <v>100</v>
      </c>
      <c r="V18" s="16">
        <v>3</v>
      </c>
      <c r="W18" s="15">
        <f>IFERROR(VLOOKUP(V18,'Puntos XCC Mayor'!$A$1:$B$15,2,FALSE),0)</f>
        <v>16</v>
      </c>
      <c r="X18" s="15">
        <v>4</v>
      </c>
      <c r="Y18" s="25">
        <f>IFERROR(VLOOKUP(X18,'Puntos XCO'!$A$1:$B$63,2,FALSE),0)</f>
        <v>110</v>
      </c>
      <c r="Z18" s="16"/>
      <c r="AA18" s="15">
        <f>IFERROR(VLOOKUP(Z18,'Puntos XCC Mayor'!$A$1:$B$15,2,FALSE),0)</f>
        <v>0</v>
      </c>
      <c r="AB18" s="15"/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0"/>
        <v>476</v>
      </c>
      <c r="AJ18" s="3"/>
    </row>
    <row r="19" spans="1:39" ht="24.95" customHeight="1">
      <c r="A19" s="3">
        <v>5</v>
      </c>
      <c r="B19" s="3">
        <v>5</v>
      </c>
      <c r="C19" s="40">
        <v>90</v>
      </c>
      <c r="D19" s="23" t="s">
        <v>202</v>
      </c>
      <c r="E19" s="24" t="s">
        <v>100</v>
      </c>
      <c r="F19" s="3">
        <v>0</v>
      </c>
      <c r="G19" s="15">
        <f>IFERROR(VLOOKUP(F19,'Puntos XCC Mayor'!$A$1:$B$15,2,FALSE),0)</f>
        <v>0</v>
      </c>
      <c r="H19" s="3">
        <v>4</v>
      </c>
      <c r="I19" s="25">
        <f>IFERROR(VLOOKUP(H19,'Puntos XCO'!$A$1:$B$63,2,FALSE),0)</f>
        <v>110</v>
      </c>
      <c r="J19" s="33">
        <v>0</v>
      </c>
      <c r="K19" s="22" t="str">
        <f>IFERROR(VLOOKUP(J19,'Puntos XCC Mayor'!$A$1:$B$15,2,FALSE),"0")</f>
        <v>0</v>
      </c>
      <c r="L19" s="22">
        <v>3</v>
      </c>
      <c r="M19" s="34">
        <f>IFERROR(VLOOKUP(L19,'Puntos XCO'!$A$1:$B$63,2,FALSE),0)</f>
        <v>120</v>
      </c>
      <c r="N19" s="16"/>
      <c r="O19" s="15">
        <f>IFERROR(VLOOKUP(N19,'Puntos XCC Mayor'!$A$1:$B$15,2,FALSE),0)</f>
        <v>0</v>
      </c>
      <c r="P19" s="3"/>
      <c r="Q19" s="34">
        <f>IFERROR(VLOOKUP(P19,'Puntos XCO'!$A$1:$B$63,2,FALSE),0)</f>
        <v>0</v>
      </c>
      <c r="R19" s="16">
        <v>3</v>
      </c>
      <c r="S19" s="15">
        <f>IFERROR(VLOOKUP(R19,'Puntos XCC Mayor'!$A$1:$B$15,2,FALSE),0)</f>
        <v>16</v>
      </c>
      <c r="T19" s="15">
        <v>4</v>
      </c>
      <c r="U19" s="25">
        <f>IFERROR(VLOOKUP(T19,'Puntos XCO'!$A$1:$B$63,2,FALSE),0)</f>
        <v>110</v>
      </c>
      <c r="V19" s="16"/>
      <c r="W19" s="15">
        <f>IFERROR(VLOOKUP(V19,'Puntos XCC Mayor'!$A$1:$B$15,2,FALSE),0)</f>
        <v>0</v>
      </c>
      <c r="X19" s="15"/>
      <c r="Y19" s="25">
        <f>IFERROR(VLOOKUP(X19,'Puntos XCO'!$A$1:$B$63,2,FALSE),0)</f>
        <v>0</v>
      </c>
      <c r="Z19" s="16">
        <v>1</v>
      </c>
      <c r="AA19" s="15">
        <f>IFERROR(VLOOKUP(Z19,'Puntos XCC Mayor'!$A$1:$B$15,2,FALSE),0)</f>
        <v>25</v>
      </c>
      <c r="AB19" s="15">
        <v>2</v>
      </c>
      <c r="AC19" s="25">
        <f>IFERROR(VLOOKUP(AB19,'Puntos XCO'!$A$1:$B$63,2,FALSE),0)</f>
        <v>150</v>
      </c>
      <c r="AD19" s="16"/>
      <c r="AE19" s="15"/>
      <c r="AF19" s="15"/>
      <c r="AG19" s="25"/>
      <c r="AH19" s="27">
        <f t="shared" si="0"/>
        <v>356</v>
      </c>
      <c r="AJ19" s="3"/>
    </row>
    <row r="20" spans="1:39" ht="24.95" customHeight="1">
      <c r="A20" s="3">
        <v>6</v>
      </c>
      <c r="B20" s="3">
        <v>6</v>
      </c>
      <c r="C20" s="58"/>
      <c r="D20" s="23" t="s">
        <v>194</v>
      </c>
      <c r="E20" s="24" t="s">
        <v>195</v>
      </c>
      <c r="F20" s="3">
        <v>3</v>
      </c>
      <c r="G20" s="15">
        <f>IFERROR(VLOOKUP(F20,'Puntos XCC Mayor'!$A$1:$B$15,2,FALSE),0)</f>
        <v>16</v>
      </c>
      <c r="H20" s="3">
        <v>1</v>
      </c>
      <c r="I20" s="25">
        <f>IFERROR(VLOOKUP(H20,'Puntos XCO'!$A$1:$B$63,2,FALSE),0)</f>
        <v>200</v>
      </c>
      <c r="J20" s="33">
        <v>0</v>
      </c>
      <c r="K20" s="22" t="str">
        <f>IFERROR(VLOOKUP(J20,'Puntos XCC Mayor'!$A$1:$B$15,2,FALSE),"0")</f>
        <v>0</v>
      </c>
      <c r="L20" s="22">
        <v>0</v>
      </c>
      <c r="M20" s="34">
        <f>IFERROR(VLOOKUP(L20,'Puntos XCO'!$A$1:$B$63,2,FALSE),0)</f>
        <v>0</v>
      </c>
      <c r="N20" s="16"/>
      <c r="O20" s="15">
        <f>IFERROR(VLOOKUP(N20,'Puntos XCC Mayor'!$A$1:$B$15,2,FALSE),0)</f>
        <v>0</v>
      </c>
      <c r="P20" s="3"/>
      <c r="Q20" s="34">
        <f>IFERROR(VLOOKUP(P20,'Puntos XCO'!$A$1:$B$63,2,FALSE),0)</f>
        <v>0</v>
      </c>
      <c r="R20" s="16"/>
      <c r="S20" s="15">
        <f>IFERROR(VLOOKUP(R20,'Puntos XCC Mayor'!$A$1:$B$15,2,FALSE),0)</f>
        <v>0</v>
      </c>
      <c r="T20" s="15"/>
      <c r="U20" s="25">
        <f>IFERROR(VLOOKUP(T20,'Puntos XCO'!$A$1:$B$63,2,FALSE),0)</f>
        <v>0</v>
      </c>
      <c r="V20" s="16"/>
      <c r="W20" s="15">
        <f>IFERROR(VLOOKUP(V20,'Puntos XCC Mayor'!$A$1:$B$15,2,FALSE),0)</f>
        <v>0</v>
      </c>
      <c r="X20" s="15"/>
      <c r="Y20" s="25">
        <f>IFERROR(VLOOKUP(X20,'Puntos XCO'!$A$1:$B$63,2,FALSE),0)</f>
        <v>0</v>
      </c>
      <c r="Z20" s="16"/>
      <c r="AA20" s="15">
        <f>IFERROR(VLOOKUP(Z20,'Puntos XCC Mayor'!$A$1:$B$15,2,FALSE),0)</f>
        <v>0</v>
      </c>
      <c r="AB20" s="15"/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0"/>
        <v>216</v>
      </c>
      <c r="AJ20" s="3"/>
    </row>
    <row r="21" spans="1:39" ht="24.95" customHeight="1">
      <c r="A21" s="3">
        <v>7</v>
      </c>
      <c r="B21" s="3">
        <v>7</v>
      </c>
      <c r="C21" s="58">
        <v>93</v>
      </c>
      <c r="D21" s="23" t="s">
        <v>1140</v>
      </c>
      <c r="E21" s="24" t="s">
        <v>1024</v>
      </c>
      <c r="F21" s="3"/>
      <c r="G21" s="15"/>
      <c r="H21" s="3"/>
      <c r="I21" s="25"/>
      <c r="J21" s="33"/>
      <c r="K21" s="22"/>
      <c r="L21" s="22"/>
      <c r="M21" s="34"/>
      <c r="N21" s="16">
        <v>1</v>
      </c>
      <c r="O21" s="15">
        <f>IFERROR(VLOOKUP(N21,'Puntos XCC Mayor'!$A$1:$B$15,2,FALSE),0)</f>
        <v>25</v>
      </c>
      <c r="P21" s="3">
        <v>2</v>
      </c>
      <c r="Q21" s="34">
        <f>IFERROR(VLOOKUP(P21,'Puntos XCO'!$A$1:$B$63,2,FALSE),0)</f>
        <v>150</v>
      </c>
      <c r="R21" s="16"/>
      <c r="S21" s="15">
        <f>IFERROR(VLOOKUP(R21,'Puntos XCC Mayor'!$A$1:$B$15,2,FALSE),0)</f>
        <v>0</v>
      </c>
      <c r="T21" s="15"/>
      <c r="U21" s="25">
        <f>IFERROR(VLOOKUP(T21,'Puntos XCO'!$A$1:$B$63,2,FALSE),0)</f>
        <v>0</v>
      </c>
      <c r="V21" s="16"/>
      <c r="W21" s="15">
        <f>IFERROR(VLOOKUP(V21,'Puntos XCC Mayor'!$A$1:$B$15,2,FALSE),0)</f>
        <v>0</v>
      </c>
      <c r="X21" s="15"/>
      <c r="Y21" s="25">
        <f>IFERROR(VLOOKUP(X21,'Puntos XCO'!$A$1:$B$63,2,FALSE),0)</f>
        <v>0</v>
      </c>
      <c r="Z21" s="16"/>
      <c r="AA21" s="15">
        <f>IFERROR(VLOOKUP(Z21,'Puntos XCC Mayor'!$A$1:$B$15,2,FALSE),0)</f>
        <v>0</v>
      </c>
      <c r="AB21" s="15"/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0"/>
        <v>175</v>
      </c>
      <c r="AJ21" s="3"/>
    </row>
    <row r="22" spans="1:39" ht="24.95" customHeight="1">
      <c r="A22" s="3">
        <v>8</v>
      </c>
      <c r="B22" s="3">
        <v>8</v>
      </c>
      <c r="C22" s="40"/>
      <c r="D22" s="23" t="s">
        <v>197</v>
      </c>
      <c r="E22" s="24" t="s">
        <v>128</v>
      </c>
      <c r="F22" s="3">
        <v>0</v>
      </c>
      <c r="G22" s="15">
        <f>IFERROR(VLOOKUP(F22,'Puntos XCC Mayor'!$A$1:$B$15,2,FALSE),0)</f>
        <v>0</v>
      </c>
      <c r="H22" s="3">
        <v>3</v>
      </c>
      <c r="I22" s="25">
        <f>IFERROR(VLOOKUP(H22,'Puntos XCO'!$A$1:$B$63,2,FALSE),0)</f>
        <v>120</v>
      </c>
      <c r="J22" s="106">
        <v>0</v>
      </c>
      <c r="K22" s="22" t="str">
        <f>IFERROR(VLOOKUP(J22,'Puntos XCC Mayor'!$A$1:$B$15,2,FALSE),"0")</f>
        <v>0</v>
      </c>
      <c r="L22" s="22">
        <v>0</v>
      </c>
      <c r="M22" s="34">
        <f>IFERROR(VLOOKUP(L22,'Puntos XCO'!$A$1:$B$63,2,FALSE),0)</f>
        <v>0</v>
      </c>
      <c r="N22" s="16"/>
      <c r="O22" s="15">
        <f>IFERROR(VLOOKUP(N22,'Puntos XCC Mayor'!$A$1:$B$15,2,FALSE),0)</f>
        <v>0</v>
      </c>
      <c r="P22" s="3"/>
      <c r="Q22" s="34">
        <f>IFERROR(VLOOKUP(P22,'Puntos XCO'!$A$1:$B$63,2,FALSE),0)</f>
        <v>0</v>
      </c>
      <c r="R22" s="16"/>
      <c r="S22" s="15">
        <f>IFERROR(VLOOKUP(R22,'Puntos XCC Mayor'!$A$1:$B$15,2,FALSE),0)</f>
        <v>0</v>
      </c>
      <c r="T22" s="15"/>
      <c r="U22" s="25">
        <f>IFERROR(VLOOKUP(T22,'Puntos XCO'!$A$1:$B$63,2,FALSE),0)</f>
        <v>0</v>
      </c>
      <c r="V22" s="16"/>
      <c r="W22" s="15">
        <f>IFERROR(VLOOKUP(V22,'Puntos XCC Mayor'!$A$1:$B$15,2,FALSE),0)</f>
        <v>0</v>
      </c>
      <c r="X22" s="15"/>
      <c r="Y22" s="25">
        <f>IFERROR(VLOOKUP(X22,'Puntos XCO'!$A$1:$B$63,2,FALSE),0)</f>
        <v>0</v>
      </c>
      <c r="Z22" s="16"/>
      <c r="AA22" s="15">
        <f>IFERROR(VLOOKUP(Z22,'Puntos XCC Mayor'!$A$1:$B$15,2,FALSE),0)</f>
        <v>0</v>
      </c>
      <c r="AB22" s="15"/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0"/>
        <v>120</v>
      </c>
      <c r="AJ22" s="3"/>
    </row>
    <row r="23" spans="1:39" ht="24.95" customHeight="1">
      <c r="A23" s="3">
        <v>9</v>
      </c>
      <c r="B23" s="3">
        <v>9</v>
      </c>
      <c r="C23" s="21"/>
      <c r="D23" s="23" t="s">
        <v>203</v>
      </c>
      <c r="E23" s="24" t="s">
        <v>195</v>
      </c>
      <c r="F23" s="3">
        <v>1</v>
      </c>
      <c r="G23" s="15">
        <f>IFERROR(VLOOKUP(F23,'Puntos XCC Mayor'!$A$1:$B$15,2,FALSE),0)</f>
        <v>25</v>
      </c>
      <c r="H23" s="3"/>
      <c r="I23" s="25">
        <f>IFERROR(VLOOKUP(H23,'Puntos XCO'!$A$1:$B$63,2,FALSE),0)</f>
        <v>0</v>
      </c>
      <c r="J23" s="106">
        <v>0</v>
      </c>
      <c r="K23" s="22" t="str">
        <f>IFERROR(VLOOKUP(J23,'Puntos XCC Mayor'!$A$1:$B$15,2,FALSE),"0")</f>
        <v>0</v>
      </c>
      <c r="L23" s="22">
        <v>0</v>
      </c>
      <c r="M23" s="34">
        <f>IFERROR(VLOOKUP(L23,'Puntos XCO'!$A$1:$B$63,2,FALSE),0)</f>
        <v>0</v>
      </c>
      <c r="N23" s="16"/>
      <c r="O23" s="15">
        <f>IFERROR(VLOOKUP(N23,'Puntos XCC Mayor'!$A$1:$B$15,2,FALSE),0)</f>
        <v>0</v>
      </c>
      <c r="P23" s="3"/>
      <c r="Q23" s="34">
        <f>IFERROR(VLOOKUP(P23,'Puntos XCO'!$A$1:$B$63,2,FALSE),0)</f>
        <v>0</v>
      </c>
      <c r="R23" s="16"/>
      <c r="S23" s="15">
        <f>IFERROR(VLOOKUP(R23,'Puntos XCC Mayor'!$A$1:$B$15,2,FALSE),0)</f>
        <v>0</v>
      </c>
      <c r="T23" s="15"/>
      <c r="U23" s="25">
        <f>IFERROR(VLOOKUP(T23,'Puntos XCO'!$A$1:$B$63,2,FALSE),0)</f>
        <v>0</v>
      </c>
      <c r="V23" s="16"/>
      <c r="W23" s="15">
        <f>IFERROR(VLOOKUP(V23,'Puntos XCC Mayor'!$A$1:$B$15,2,FALSE),0)</f>
        <v>0</v>
      </c>
      <c r="X23" s="15"/>
      <c r="Y23" s="25">
        <f>IFERROR(VLOOKUP(X23,'Puntos XCO'!$A$1:$B$63,2,FALSE),0)</f>
        <v>0</v>
      </c>
      <c r="Z23" s="16"/>
      <c r="AA23" s="15">
        <f>IFERROR(VLOOKUP(Z23,'Puntos XCC Mayor'!$A$1:$B$15,2,FALSE),0)</f>
        <v>0</v>
      </c>
      <c r="AB23" s="15"/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0"/>
        <v>25</v>
      </c>
      <c r="AJ23" s="3"/>
    </row>
    <row r="24" spans="1:39" ht="24.95" customHeight="1">
      <c r="A24" s="3">
        <v>10</v>
      </c>
      <c r="B24" s="3">
        <v>10</v>
      </c>
      <c r="C24" s="58"/>
      <c r="D24" s="23" t="s">
        <v>200</v>
      </c>
      <c r="E24" s="24" t="s">
        <v>195</v>
      </c>
      <c r="F24" s="3">
        <v>2</v>
      </c>
      <c r="G24" s="15">
        <f>IFERROR(VLOOKUP(F24,'Puntos XCC Mayor'!$A$1:$B$15,2,FALSE),0)</f>
        <v>20</v>
      </c>
      <c r="H24" s="3"/>
      <c r="I24" s="25">
        <f>IFERROR(VLOOKUP(H24,'Puntos XCO'!$A$1:$B$63,2,FALSE),0)</f>
        <v>0</v>
      </c>
      <c r="J24" s="106">
        <v>0</v>
      </c>
      <c r="K24" s="22" t="str">
        <f>IFERROR(VLOOKUP(J24,'Puntos XCC Mayor'!$A$1:$B$15,2,FALSE),"0")</f>
        <v>0</v>
      </c>
      <c r="L24" s="22">
        <v>0</v>
      </c>
      <c r="M24" s="34">
        <f>IFERROR(VLOOKUP(L24,'Puntos XCO'!$A$1:$B$63,2,FALSE),0)</f>
        <v>0</v>
      </c>
      <c r="N24" s="16"/>
      <c r="O24" s="15">
        <f>IFERROR(VLOOKUP(N24,'Puntos XCC Mayor'!$A$1:$B$15,2,FALSE),0)</f>
        <v>0</v>
      </c>
      <c r="P24" s="3"/>
      <c r="Q24" s="34">
        <f>IFERROR(VLOOKUP(P24,'Puntos XCO'!$A$1:$B$63,2,FALSE),0)</f>
        <v>0</v>
      </c>
      <c r="R24" s="16"/>
      <c r="S24" s="15">
        <f>IFERROR(VLOOKUP(R24,'Puntos XCC Mayor'!$A$1:$B$15,2,FALSE),0)</f>
        <v>0</v>
      </c>
      <c r="T24" s="15"/>
      <c r="U24" s="25">
        <f>IFERROR(VLOOKUP(T24,'Puntos XCO'!$A$1:$B$63,2,FALSE),0)</f>
        <v>0</v>
      </c>
      <c r="V24" s="16"/>
      <c r="W24" s="15">
        <f>IFERROR(VLOOKUP(V24,'Puntos XCC Mayor'!$A$1:$B$15,2,FALSE),0)</f>
        <v>0</v>
      </c>
      <c r="X24" s="15"/>
      <c r="Y24" s="25">
        <f>IFERROR(VLOOKUP(X24,'Puntos XCO'!$A$1:$B$63,2,FALSE),0)</f>
        <v>0</v>
      </c>
      <c r="Z24" s="16"/>
      <c r="AA24" s="15">
        <f>IFERROR(VLOOKUP(Z24,'Puntos XCC Mayor'!$A$1:$B$15,2,FALSE),0)</f>
        <v>0</v>
      </c>
      <c r="AB24" s="15"/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0"/>
        <v>20</v>
      </c>
      <c r="AJ24" s="3"/>
    </row>
    <row r="25" spans="1:39" ht="24.95" customHeight="1">
      <c r="A25" s="3"/>
      <c r="B25" s="3"/>
      <c r="C25" s="21"/>
      <c r="D25" s="23"/>
      <c r="E25" s="62"/>
      <c r="F25" s="3"/>
      <c r="G25" s="15"/>
      <c r="H25" s="15"/>
      <c r="I25" s="63"/>
      <c r="J25" s="64"/>
      <c r="K25" s="15"/>
      <c r="L25" s="15"/>
      <c r="M25" s="63"/>
      <c r="N25" s="63"/>
      <c r="O25" s="15"/>
      <c r="P25" s="3"/>
      <c r="Q25" s="63"/>
      <c r="R25" s="63"/>
      <c r="S25" s="15"/>
      <c r="T25" s="15"/>
      <c r="U25" s="63"/>
      <c r="V25" s="63"/>
      <c r="W25" s="15"/>
      <c r="X25" s="15"/>
      <c r="Y25" s="63"/>
      <c r="Z25" s="63"/>
      <c r="AA25" s="15"/>
      <c r="AB25" s="15"/>
      <c r="AC25" s="63"/>
      <c r="AD25" s="63"/>
      <c r="AE25" s="15"/>
      <c r="AF25" s="15"/>
      <c r="AG25" s="63"/>
      <c r="AH25" s="27"/>
      <c r="AJ25" s="3"/>
    </row>
    <row r="26" spans="1:39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6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</row>
    <row r="27" spans="1:39">
      <c r="M27" s="9"/>
      <c r="N27" s="9"/>
      <c r="O27" s="9"/>
      <c r="P27" s="10"/>
      <c r="Q27" s="9"/>
      <c r="R27" s="9"/>
      <c r="S27" s="9"/>
      <c r="T27" s="9"/>
      <c r="U27" s="9"/>
    </row>
    <row r="28" spans="1:39" ht="108" customHeight="1"/>
    <row r="29" spans="1:3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4"/>
      <c r="Q29" s="65"/>
      <c r="R29" s="65"/>
      <c r="S29" s="65"/>
      <c r="T29" s="65"/>
      <c r="U29" s="65"/>
      <c r="V29" s="65"/>
      <c r="W29" s="65"/>
      <c r="X29" s="65"/>
      <c r="Y29" s="65"/>
      <c r="Z29" s="119"/>
      <c r="AA29" s="119"/>
      <c r="AB29" s="119"/>
      <c r="AC29" s="119"/>
      <c r="AD29" s="119"/>
      <c r="AE29" s="119"/>
      <c r="AF29" s="119"/>
      <c r="AG29" s="119"/>
      <c r="AH29" s="65"/>
    </row>
  </sheetData>
  <sortState ref="B15:AH24">
    <sortCondition descending="1" ref="AH15:AH24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6:C65504 C1:C9 C12:C14">
    <cfRule type="duplicateValues" dxfId="539" priority="54" stopIfTrue="1"/>
  </conditionalFormatting>
  <conditionalFormatting sqref="F25 F18:F19">
    <cfRule type="duplicateValues" dxfId="538" priority="7151" stopIfTrue="1"/>
  </conditionalFormatting>
  <conditionalFormatting sqref="B25">
    <cfRule type="duplicateValues" dxfId="537" priority="7153" stopIfTrue="1"/>
  </conditionalFormatting>
  <conditionalFormatting sqref="C19 C15">
    <cfRule type="duplicateValues" dxfId="536" priority="19"/>
  </conditionalFormatting>
  <conditionalFormatting sqref="F20">
    <cfRule type="duplicateValues" dxfId="535" priority="18" stopIfTrue="1"/>
  </conditionalFormatting>
  <conditionalFormatting sqref="C21:C25">
    <cfRule type="duplicateValues" dxfId="534" priority="7332"/>
  </conditionalFormatting>
  <conditionalFormatting sqref="AJ15:AJ25">
    <cfRule type="duplicateValues" dxfId="533" priority="7335"/>
  </conditionalFormatting>
  <conditionalFormatting sqref="F21:F23">
    <cfRule type="duplicateValues" dxfId="532" priority="7337" stopIfTrue="1"/>
  </conditionalFormatting>
  <conditionalFormatting sqref="F24">
    <cfRule type="duplicateValues" dxfId="531" priority="11" stopIfTrue="1"/>
  </conditionalFormatting>
  <conditionalFormatting sqref="C11">
    <cfRule type="duplicateValues" dxfId="530" priority="4" stopIfTrue="1"/>
  </conditionalFormatting>
  <conditionalFormatting sqref="C11">
    <cfRule type="duplicateValues" dxfId="529" priority="5" stopIfTrue="1"/>
  </conditionalFormatting>
  <conditionalFormatting sqref="D11">
    <cfRule type="duplicateValues" dxfId="528" priority="3" stopIfTrue="1"/>
  </conditionalFormatting>
  <conditionalFormatting sqref="C10">
    <cfRule type="duplicateValues" dxfId="527" priority="1" stopIfTrue="1"/>
  </conditionalFormatting>
  <conditionalFormatting sqref="C10">
    <cfRule type="duplicateValues" dxfId="52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A8:AM90"/>
  <sheetViews>
    <sheetView showGridLines="0" topLeftCell="A55" zoomScale="70" zoomScaleNormal="70" zoomScaleSheetLayoutView="90" workbookViewId="0">
      <selection activeCell="E19" sqref="E19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7.2851562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75"/>
      <c r="D13" s="75"/>
      <c r="E13" s="121"/>
      <c r="F13" s="140">
        <v>1</v>
      </c>
      <c r="G13" s="140"/>
      <c r="H13" s="140"/>
      <c r="I13" s="141"/>
      <c r="J13" s="142">
        <v>2</v>
      </c>
      <c r="K13" s="140"/>
      <c r="L13" s="140"/>
      <c r="M13" s="141"/>
      <c r="N13" s="142">
        <v>3</v>
      </c>
      <c r="O13" s="140"/>
      <c r="P13" s="140"/>
      <c r="Q13" s="141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122" t="s">
        <v>3</v>
      </c>
      <c r="D14" s="123" t="s">
        <v>4</v>
      </c>
      <c r="E14" s="124" t="s">
        <v>5</v>
      </c>
      <c r="F14" s="125" t="s">
        <v>43</v>
      </c>
      <c r="G14" s="125" t="s">
        <v>44</v>
      </c>
      <c r="H14" s="125" t="s">
        <v>45</v>
      </c>
      <c r="I14" s="126" t="s">
        <v>46</v>
      </c>
      <c r="J14" s="127" t="s">
        <v>43</v>
      </c>
      <c r="K14" s="125" t="s">
        <v>44</v>
      </c>
      <c r="L14" s="125" t="s">
        <v>45</v>
      </c>
      <c r="M14" s="126" t="s">
        <v>46</v>
      </c>
      <c r="N14" s="127" t="s">
        <v>43</v>
      </c>
      <c r="O14" s="125" t="s">
        <v>44</v>
      </c>
      <c r="P14" s="125" t="s">
        <v>45</v>
      </c>
      <c r="Q14" s="126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3">
        <v>1</v>
      </c>
      <c r="B15" s="3">
        <v>1</v>
      </c>
      <c r="C15" s="113">
        <v>103</v>
      </c>
      <c r="D15" s="23" t="s">
        <v>206</v>
      </c>
      <c r="E15" s="24" t="s">
        <v>100</v>
      </c>
      <c r="F15" s="3">
        <v>3</v>
      </c>
      <c r="G15" s="15">
        <v>8</v>
      </c>
      <c r="H15" s="3">
        <v>3</v>
      </c>
      <c r="I15" s="25">
        <v>120</v>
      </c>
      <c r="J15" s="33">
        <v>3</v>
      </c>
      <c r="K15" s="22">
        <v>8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2</v>
      </c>
      <c r="W15" s="15">
        <f>IFERROR(VLOOKUP(V15,'Puntos XCC Mayor'!$A$1:$B$15,2,FALSE),0)</f>
        <v>20</v>
      </c>
      <c r="X15" s="15">
        <v>1</v>
      </c>
      <c r="Y15" s="25">
        <f>IFERROR(VLOOKUP(X15,'Puntos XCO'!$A$1:$B$63,2,FALSE),0)</f>
        <v>200</v>
      </c>
      <c r="Z15" s="16">
        <f t="shared" ref="Z15:Z46" si="0">IFERROR(VLOOKUP($C15,RESXCC_1,9,FALSE),0)</f>
        <v>1</v>
      </c>
      <c r="AA15" s="15">
        <f>IFERROR(VLOOKUP(Z15,'Puntos XCC Mayor'!$A$1:$B$15,2,FALSE),0)</f>
        <v>25</v>
      </c>
      <c r="AB15" s="15">
        <f t="shared" ref="AB15:AB46" si="1">IFERROR(VLOOKUP($C15,RESXCO,9,FALSE),0)</f>
        <v>0</v>
      </c>
      <c r="AC15" s="25">
        <f>IFERROR(VLOOKUP(AB15,'Puntos XCO'!$A$1:$B$63,2,FALSE),0)</f>
        <v>0</v>
      </c>
      <c r="AD15" s="16"/>
      <c r="AE15" s="15"/>
      <c r="AF15" s="15"/>
      <c r="AG15" s="25"/>
      <c r="AH15" s="27">
        <f t="shared" ref="AH15:AH46" si="2">G15+I15+K15+M15+O15+Q15+S15+U15+W15+Y15+AA15+AC15+AE15+AG15</f>
        <v>941</v>
      </c>
      <c r="AJ15" s="2"/>
      <c r="AK15" s="13"/>
      <c r="AL15" s="12"/>
      <c r="AM15" s="14"/>
    </row>
    <row r="16" spans="1:39" ht="24.95" customHeight="1">
      <c r="A16" s="3">
        <v>2</v>
      </c>
      <c r="B16" s="3">
        <v>2</v>
      </c>
      <c r="C16" s="113">
        <v>105</v>
      </c>
      <c r="D16" s="23" t="s">
        <v>208</v>
      </c>
      <c r="E16" s="24" t="s">
        <v>591</v>
      </c>
      <c r="F16" s="3">
        <v>4</v>
      </c>
      <c r="G16" s="15">
        <v>7</v>
      </c>
      <c r="H16" s="3">
        <v>2</v>
      </c>
      <c r="I16" s="25">
        <v>150</v>
      </c>
      <c r="J16" s="33">
        <v>4</v>
      </c>
      <c r="K16" s="22">
        <v>7</v>
      </c>
      <c r="L16" s="22">
        <v>3</v>
      </c>
      <c r="M16" s="34">
        <v>120</v>
      </c>
      <c r="N16" s="26"/>
      <c r="O16" s="3">
        <f>IFERROR(VLOOKUP(N16,'Puntos XCC Menor'!$A$1:$B$15,2,FALSE),0)</f>
        <v>0</v>
      </c>
      <c r="P16" s="3">
        <v>5</v>
      </c>
      <c r="Q16" s="34">
        <f>IFERROR(VLOOKUP(P16,'Puntos XCO'!$A$1:$B$63,2,FALSE),0)</f>
        <v>100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v>0</v>
      </c>
      <c r="W16" s="15">
        <f>IFERROR(VLOOKUP(V16,'Puntos XCC Mayor'!$A$1:$B$15,2,FALSE),0)</f>
        <v>0</v>
      </c>
      <c r="X16" s="15">
        <v>2</v>
      </c>
      <c r="Y16" s="25">
        <f>IFERROR(VLOOKUP(X16,'Puntos XCO'!$A$1:$B$63,2,FALSE),0)</f>
        <v>150</v>
      </c>
      <c r="Z16" s="16">
        <f t="shared" si="0"/>
        <v>5</v>
      </c>
      <c r="AA16" s="15">
        <f>IFERROR(VLOOKUP(Z16,'Puntos XCC Mayor'!$A$1:$B$15,2,FALSE),0)</f>
        <v>12</v>
      </c>
      <c r="AB16" s="15">
        <f t="shared" si="1"/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2"/>
        <v>825</v>
      </c>
      <c r="AJ16" s="2"/>
      <c r="AK16" s="13"/>
      <c r="AL16" s="12"/>
      <c r="AM16" s="14"/>
    </row>
    <row r="17" spans="1:39" ht="24.95" customHeight="1">
      <c r="A17" s="3">
        <v>3</v>
      </c>
      <c r="B17" s="3">
        <v>3</v>
      </c>
      <c r="C17" s="113">
        <v>104</v>
      </c>
      <c r="D17" s="23" t="s">
        <v>590</v>
      </c>
      <c r="E17" s="24" t="s">
        <v>109</v>
      </c>
      <c r="F17" s="3">
        <v>1</v>
      </c>
      <c r="G17" s="15">
        <v>10</v>
      </c>
      <c r="H17" s="3">
        <v>4</v>
      </c>
      <c r="I17" s="25">
        <v>110</v>
      </c>
      <c r="J17" s="33">
        <v>1</v>
      </c>
      <c r="K17" s="22">
        <v>10</v>
      </c>
      <c r="L17" s="22">
        <v>2</v>
      </c>
      <c r="M17" s="34">
        <v>150</v>
      </c>
      <c r="N17" s="26"/>
      <c r="O17" s="3">
        <f>IFERROR(VLOOKUP(N17,'Puntos XCC Menor'!$A$1:$B$15,2,FALSE),0)</f>
        <v>0</v>
      </c>
      <c r="P17" s="3">
        <v>6</v>
      </c>
      <c r="Q17" s="34">
        <f>IFERROR(VLOOKUP(P17,'Puntos XCO'!$A$1:$B$63,2,FALSE),0)</f>
        <v>95</v>
      </c>
      <c r="R17" s="16">
        <v>5</v>
      </c>
      <c r="S17" s="3">
        <f>IFERROR(VLOOKUP(R17,'Puntos XCC Menor'!$A$1:$B$15,2,FALSE),0)</f>
        <v>6</v>
      </c>
      <c r="T17" s="15">
        <v>5</v>
      </c>
      <c r="U17" s="39">
        <f>IFERROR(VLOOKUP(T17,'Puntos XCO'!$A$1:$B$63,2,FALSE),0)</f>
        <v>100</v>
      </c>
      <c r="V17" s="16">
        <v>1</v>
      </c>
      <c r="W17" s="15">
        <f>IFERROR(VLOOKUP(V17,'Puntos XCC Mayor'!$A$1:$B$15,2,FALSE),0)</f>
        <v>25</v>
      </c>
      <c r="X17" s="15">
        <v>5</v>
      </c>
      <c r="Y17" s="25">
        <f>IFERROR(VLOOKUP(X17,'Puntos XCO'!$A$1:$B$63,2,FALSE),0)</f>
        <v>100</v>
      </c>
      <c r="Z17" s="16">
        <f t="shared" si="0"/>
        <v>4</v>
      </c>
      <c r="AA17" s="15">
        <f>IFERROR(VLOOKUP(Z17,'Puntos XCC Mayor'!$A$1:$B$15,2,FALSE),0)</f>
        <v>14</v>
      </c>
      <c r="AB17" s="15">
        <f t="shared" si="1"/>
        <v>4</v>
      </c>
      <c r="AC17" s="25">
        <f>IFERROR(VLOOKUP(AB17,'Puntos XCO'!$A$1:$B$63,2,FALSE),0)</f>
        <v>110</v>
      </c>
      <c r="AD17" s="16"/>
      <c r="AE17" s="15"/>
      <c r="AF17" s="15"/>
      <c r="AG17" s="25"/>
      <c r="AH17" s="27">
        <f t="shared" si="2"/>
        <v>730</v>
      </c>
      <c r="AJ17" s="2"/>
      <c r="AK17" s="13"/>
      <c r="AL17" s="12"/>
      <c r="AM17" s="14"/>
    </row>
    <row r="18" spans="1:39" ht="24.95" customHeight="1">
      <c r="A18" s="3">
        <v>4</v>
      </c>
      <c r="B18" s="3">
        <v>4</v>
      </c>
      <c r="C18" s="113">
        <v>158</v>
      </c>
      <c r="D18" s="23" t="s">
        <v>204</v>
      </c>
      <c r="E18" s="24" t="s">
        <v>1604</v>
      </c>
      <c r="F18" s="3">
        <v>2</v>
      </c>
      <c r="G18" s="15">
        <v>9</v>
      </c>
      <c r="H18" s="3">
        <v>1</v>
      </c>
      <c r="I18" s="25">
        <v>200</v>
      </c>
      <c r="J18" s="33">
        <v>2</v>
      </c>
      <c r="K18" s="22">
        <v>9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/>
      <c r="Q18" s="34">
        <f>IFERROR(VLOOKUP(P18,'Puntos XCO'!$A$1:$B$63,2,FALSE),0)</f>
        <v>0</v>
      </c>
      <c r="R18" s="16">
        <v>3</v>
      </c>
      <c r="S18" s="3">
        <f>IFERROR(VLOOKUP(R18,'Puntos XCC Menor'!$A$1:$B$15,2,FALSE),0)</f>
        <v>8</v>
      </c>
      <c r="T18" s="15">
        <v>8</v>
      </c>
      <c r="U18" s="39">
        <f>IFERROR(VLOOKUP(T18,'Puntos XCO'!$A$1:$B$63,2,FALSE),0)</f>
        <v>85</v>
      </c>
      <c r="V18" s="16">
        <v>3</v>
      </c>
      <c r="W18" s="15">
        <f>IFERROR(VLOOKUP(V18,'Puntos XCC Mayor'!$A$1:$B$15,2,FALSE),0)</f>
        <v>16</v>
      </c>
      <c r="X18" s="15">
        <v>3</v>
      </c>
      <c r="Y18" s="25">
        <f>IFERROR(VLOOKUP(X18,'Puntos XCO'!$A$1:$B$63,2,FALSE),0)</f>
        <v>120</v>
      </c>
      <c r="Z18" s="16">
        <f t="shared" si="0"/>
        <v>8</v>
      </c>
      <c r="AA18" s="15">
        <f>IFERROR(VLOOKUP(Z18,'Puntos XCC Mayor'!$A$1:$B$15,2,FALSE),0)</f>
        <v>8</v>
      </c>
      <c r="AB18" s="15">
        <f t="shared" si="1"/>
        <v>6</v>
      </c>
      <c r="AC18" s="25">
        <f>IFERROR(VLOOKUP(AB18,'Puntos XCO'!$A$1:$B$63,2,FALSE),0)</f>
        <v>95</v>
      </c>
      <c r="AD18" s="16"/>
      <c r="AE18" s="15"/>
      <c r="AF18" s="15"/>
      <c r="AG18" s="25"/>
      <c r="AH18" s="27">
        <f t="shared" si="2"/>
        <v>660</v>
      </c>
      <c r="AJ18" s="2"/>
      <c r="AK18" s="13"/>
      <c r="AL18" s="12"/>
      <c r="AM18" s="14"/>
    </row>
    <row r="19" spans="1:39" ht="24.95" customHeight="1">
      <c r="A19" s="3">
        <v>5</v>
      </c>
      <c r="B19" s="3">
        <v>5</v>
      </c>
      <c r="C19" s="113">
        <v>106</v>
      </c>
      <c r="D19" s="23" t="s">
        <v>235</v>
      </c>
      <c r="E19" s="24" t="s">
        <v>1030</v>
      </c>
      <c r="F19" s="3">
        <v>5</v>
      </c>
      <c r="G19" s="15">
        <v>6</v>
      </c>
      <c r="H19" s="3">
        <v>5</v>
      </c>
      <c r="I19" s="25">
        <v>100</v>
      </c>
      <c r="J19" s="33">
        <v>6</v>
      </c>
      <c r="K19" s="22">
        <v>5</v>
      </c>
      <c r="L19" s="22">
        <v>17</v>
      </c>
      <c r="M19" s="34">
        <v>64</v>
      </c>
      <c r="N19" s="26"/>
      <c r="O19" s="3">
        <f>IFERROR(VLOOKUP(N19,'Puntos XCC Menor'!$A$1:$B$15,2,FALSE),0)</f>
        <v>0</v>
      </c>
      <c r="P19" s="3">
        <v>15</v>
      </c>
      <c r="Q19" s="34">
        <f>IFERROR(VLOOKUP(P19,'Puntos XCO'!$A$1:$B$63,2,FALSE),0)</f>
        <v>68</v>
      </c>
      <c r="R19" s="16">
        <v>4</v>
      </c>
      <c r="S19" s="3">
        <f>IFERROR(VLOOKUP(R19,'Puntos XCC Menor'!$A$1:$B$15,2,FALSE),0)</f>
        <v>7</v>
      </c>
      <c r="T19" s="15">
        <v>3</v>
      </c>
      <c r="U19" s="39">
        <f>IFERROR(VLOOKUP(T19,'Puntos XCO'!$A$1:$B$63,2,FALSE),0)</f>
        <v>120</v>
      </c>
      <c r="V19" s="16">
        <v>31</v>
      </c>
      <c r="W19" s="15">
        <f>IFERROR(VLOOKUP(V19,'Puntos XCC Mayor'!$A$1:$B$15,2,FALSE),0)</f>
        <v>0</v>
      </c>
      <c r="X19" s="15">
        <v>4</v>
      </c>
      <c r="Y19" s="25">
        <f>IFERROR(VLOOKUP(X19,'Puntos XCO'!$A$1:$B$63,2,FALSE),0)</f>
        <v>110</v>
      </c>
      <c r="Z19" s="16">
        <f t="shared" si="0"/>
        <v>3</v>
      </c>
      <c r="AA19" s="15">
        <f>IFERROR(VLOOKUP(Z19,'Puntos XCC Mayor'!$A$1:$B$15,2,FALSE),0)</f>
        <v>16</v>
      </c>
      <c r="AB19" s="15">
        <f t="shared" si="1"/>
        <v>2</v>
      </c>
      <c r="AC19" s="25">
        <f>IFERROR(VLOOKUP(AB19,'Puntos XCO'!$A$1:$B$63,2,FALSE),0)</f>
        <v>150</v>
      </c>
      <c r="AD19" s="16"/>
      <c r="AE19" s="15"/>
      <c r="AF19" s="15"/>
      <c r="AG19" s="25"/>
      <c r="AH19" s="27">
        <f t="shared" si="2"/>
        <v>646</v>
      </c>
      <c r="AJ19" s="2"/>
      <c r="AK19" s="13"/>
      <c r="AL19" s="12"/>
      <c r="AM19" s="14"/>
    </row>
    <row r="20" spans="1:39" ht="24.95" customHeight="1">
      <c r="A20" s="3">
        <v>6</v>
      </c>
      <c r="B20" s="3">
        <v>10</v>
      </c>
      <c r="C20" s="115">
        <v>113</v>
      </c>
      <c r="D20" s="23" t="s">
        <v>1037</v>
      </c>
      <c r="E20" s="24" t="s">
        <v>84</v>
      </c>
      <c r="F20" s="3"/>
      <c r="G20" s="15"/>
      <c r="H20" s="3"/>
      <c r="I20" s="25"/>
      <c r="J20" s="33">
        <v>7</v>
      </c>
      <c r="K20" s="22">
        <v>4</v>
      </c>
      <c r="L20" s="22">
        <v>5</v>
      </c>
      <c r="M20" s="34">
        <v>100</v>
      </c>
      <c r="N20" s="26"/>
      <c r="O20" s="3">
        <f>IFERROR(VLOOKUP(N20,'Puntos XCC Menor'!$A$1:$B$15,2,FALSE),0)</f>
        <v>0</v>
      </c>
      <c r="P20" s="3">
        <v>4</v>
      </c>
      <c r="Q20" s="34">
        <f>IFERROR(VLOOKUP(P20,'Puntos XCO'!$A$1:$B$63,2,FALSE),0)</f>
        <v>110</v>
      </c>
      <c r="R20" s="16">
        <v>0</v>
      </c>
      <c r="S20" s="3">
        <f>IFERROR(VLOOKUP(R20,'Puntos XCC Menor'!$A$1:$B$15,2,FALSE),0)</f>
        <v>0</v>
      </c>
      <c r="T20" s="15">
        <v>4</v>
      </c>
      <c r="U20" s="39">
        <f>IFERROR(VLOOKUP(T20,'Puntos XCO'!$A$1:$B$63,2,FALSE),0)</f>
        <v>110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0"/>
        <v>2</v>
      </c>
      <c r="AA20" s="15">
        <f>IFERROR(VLOOKUP(Z20,'Puntos XCC Mayor'!$A$1:$B$15,2,FALSE),0)</f>
        <v>20</v>
      </c>
      <c r="AB20" s="15">
        <f t="shared" si="1"/>
        <v>1</v>
      </c>
      <c r="AC20" s="25">
        <f>IFERROR(VLOOKUP(AB20,'Puntos XCO'!$A$1:$B$63,2,FALSE),0)</f>
        <v>200</v>
      </c>
      <c r="AD20" s="16"/>
      <c r="AE20" s="15"/>
      <c r="AF20" s="15"/>
      <c r="AG20" s="25"/>
      <c r="AH20" s="27">
        <f t="shared" si="2"/>
        <v>544</v>
      </c>
      <c r="AJ20" s="2"/>
      <c r="AK20" s="13"/>
      <c r="AL20" s="12"/>
      <c r="AM20" s="14"/>
    </row>
    <row r="21" spans="1:39" ht="24.95" customHeight="1">
      <c r="A21" s="3">
        <v>7</v>
      </c>
      <c r="B21" s="3">
        <v>6</v>
      </c>
      <c r="C21" s="113">
        <v>109</v>
      </c>
      <c r="D21" s="23" t="s">
        <v>602</v>
      </c>
      <c r="E21" s="24" t="s">
        <v>240</v>
      </c>
      <c r="F21" s="3">
        <v>12</v>
      </c>
      <c r="G21" s="15">
        <v>0</v>
      </c>
      <c r="H21" s="3">
        <v>17</v>
      </c>
      <c r="I21" s="25">
        <v>64</v>
      </c>
      <c r="J21" s="33">
        <v>11</v>
      </c>
      <c r="K21" s="22">
        <v>0</v>
      </c>
      <c r="L21" s="22">
        <v>9</v>
      </c>
      <c r="M21" s="34">
        <v>80</v>
      </c>
      <c r="N21" s="26"/>
      <c r="O21" s="3">
        <f>IFERROR(VLOOKUP(N21,'Puntos XCC Menor'!$A$1:$B$15,2,FALSE),0)</f>
        <v>0</v>
      </c>
      <c r="P21" s="3">
        <v>11</v>
      </c>
      <c r="Q21" s="34">
        <f>IFERROR(VLOOKUP(P21,'Puntos XCO'!$A$1:$B$63,2,FALSE),0)</f>
        <v>76</v>
      </c>
      <c r="R21" s="16">
        <v>6</v>
      </c>
      <c r="S21" s="3">
        <f>IFERROR(VLOOKUP(R21,'Puntos XCC Menor'!$A$1:$B$15,2,FALSE),0)</f>
        <v>5</v>
      </c>
      <c r="T21" s="15">
        <v>6</v>
      </c>
      <c r="U21" s="39">
        <f>IFERROR(VLOOKUP(T21,'Puntos XCO'!$A$1:$B$63,2,FALSE),0)</f>
        <v>95</v>
      </c>
      <c r="V21" s="16">
        <v>5</v>
      </c>
      <c r="W21" s="15">
        <f>IFERROR(VLOOKUP(V21,'Puntos XCC Mayor'!$A$1:$B$15,2,FALSE),0)</f>
        <v>12</v>
      </c>
      <c r="X21" s="15">
        <v>9</v>
      </c>
      <c r="Y21" s="25">
        <f>IFERROR(VLOOKUP(X21,'Puntos XCO'!$A$1:$B$63,2,FALSE),0)</f>
        <v>80</v>
      </c>
      <c r="Z21" s="16">
        <f t="shared" si="0"/>
        <v>6</v>
      </c>
      <c r="AA21" s="15">
        <f>IFERROR(VLOOKUP(Z21,'Puntos XCC Mayor'!$A$1:$B$15,2,FALSE),0)</f>
        <v>10</v>
      </c>
      <c r="AB21" s="15">
        <f t="shared" si="1"/>
        <v>5</v>
      </c>
      <c r="AC21" s="25">
        <f>IFERROR(VLOOKUP(AB21,'Puntos XCO'!$A$1:$B$63,2,FALSE),0)</f>
        <v>100</v>
      </c>
      <c r="AD21" s="16"/>
      <c r="AE21" s="15"/>
      <c r="AF21" s="15"/>
      <c r="AG21" s="25"/>
      <c r="AH21" s="27">
        <f t="shared" si="2"/>
        <v>522</v>
      </c>
      <c r="AJ21" s="2"/>
      <c r="AK21" s="13"/>
      <c r="AL21" s="12"/>
      <c r="AM21" s="14"/>
    </row>
    <row r="22" spans="1:39" ht="24.95" customHeight="1">
      <c r="A22" s="3">
        <v>8</v>
      </c>
      <c r="B22" s="3">
        <v>7</v>
      </c>
      <c r="C22" s="113">
        <v>107</v>
      </c>
      <c r="D22" s="23" t="s">
        <v>1031</v>
      </c>
      <c r="E22" s="24" t="s">
        <v>70</v>
      </c>
      <c r="F22" s="3">
        <v>19</v>
      </c>
      <c r="G22" s="15">
        <v>0</v>
      </c>
      <c r="H22" s="3">
        <v>11</v>
      </c>
      <c r="I22" s="25">
        <v>76</v>
      </c>
      <c r="J22" s="33">
        <v>12</v>
      </c>
      <c r="K22" s="22">
        <v>0</v>
      </c>
      <c r="L22" s="22">
        <v>8</v>
      </c>
      <c r="M22" s="34">
        <v>85</v>
      </c>
      <c r="N22" s="26"/>
      <c r="O22" s="3">
        <f>IFERROR(VLOOKUP(N22,'Puntos XCC Menor'!$A$1:$B$15,2,FALSE),0)</f>
        <v>0</v>
      </c>
      <c r="P22" s="3">
        <v>16</v>
      </c>
      <c r="Q22" s="34">
        <f>IFERROR(VLOOKUP(P22,'Puntos XCO'!$A$1:$B$63,2,FALSE),0)</f>
        <v>66</v>
      </c>
      <c r="R22" s="16">
        <v>9</v>
      </c>
      <c r="S22" s="3">
        <f>IFERROR(VLOOKUP(R22,'Puntos XCC Menor'!$A$1:$B$15,2,FALSE),0)</f>
        <v>2</v>
      </c>
      <c r="T22" s="15">
        <v>13</v>
      </c>
      <c r="U22" s="39">
        <f>IFERROR(VLOOKUP(T22,'Puntos XCO'!$A$1:$B$63,2,FALSE),0)</f>
        <v>72</v>
      </c>
      <c r="V22" s="16">
        <v>27</v>
      </c>
      <c r="W22" s="15">
        <f>IFERROR(VLOOKUP(V22,'Puntos XCC Mayor'!$A$1:$B$15,2,FALSE),0)</f>
        <v>0</v>
      </c>
      <c r="X22" s="15">
        <v>10</v>
      </c>
      <c r="Y22" s="25">
        <f>IFERROR(VLOOKUP(X22,'Puntos XCO'!$A$1:$B$63,2,FALSE),0)</f>
        <v>78</v>
      </c>
      <c r="Z22" s="16">
        <f t="shared" si="0"/>
        <v>9</v>
      </c>
      <c r="AA22" s="15">
        <f>IFERROR(VLOOKUP(Z22,'Puntos XCC Mayor'!$A$1:$B$15,2,FALSE),0)</f>
        <v>7</v>
      </c>
      <c r="AB22" s="15">
        <f t="shared" si="1"/>
        <v>8</v>
      </c>
      <c r="AC22" s="25">
        <f>IFERROR(VLOOKUP(AB22,'Puntos XCO'!$A$1:$B$63,2,FALSE),0)</f>
        <v>85</v>
      </c>
      <c r="AD22" s="16"/>
      <c r="AE22" s="15"/>
      <c r="AF22" s="15"/>
      <c r="AG22" s="25"/>
      <c r="AH22" s="27">
        <f t="shared" si="2"/>
        <v>471</v>
      </c>
      <c r="AJ22" s="2"/>
      <c r="AK22" s="13"/>
      <c r="AL22" s="12"/>
      <c r="AM22" s="14"/>
    </row>
    <row r="23" spans="1:39" ht="24.95" customHeight="1">
      <c r="A23" s="3">
        <v>9</v>
      </c>
      <c r="B23" s="3">
        <v>8</v>
      </c>
      <c r="C23" s="113">
        <v>112</v>
      </c>
      <c r="D23" s="23" t="s">
        <v>1036</v>
      </c>
      <c r="E23" s="24" t="s">
        <v>6</v>
      </c>
      <c r="F23" s="3">
        <v>22</v>
      </c>
      <c r="G23" s="15">
        <v>0</v>
      </c>
      <c r="H23" s="3">
        <v>14</v>
      </c>
      <c r="I23" s="25">
        <v>70</v>
      </c>
      <c r="J23" s="33">
        <v>19</v>
      </c>
      <c r="K23" s="22">
        <v>0</v>
      </c>
      <c r="L23" s="22">
        <v>16</v>
      </c>
      <c r="M23" s="34">
        <v>66</v>
      </c>
      <c r="N23" s="26"/>
      <c r="O23" s="3">
        <f>IFERROR(VLOOKUP(N23,'Puntos XCC Menor'!$A$1:$B$15,2,FALSE),0)</f>
        <v>0</v>
      </c>
      <c r="P23" s="3">
        <v>12</v>
      </c>
      <c r="Q23" s="34">
        <f>IFERROR(VLOOKUP(P23,'Puntos XCO'!$A$1:$B$63,2,FALSE),0)</f>
        <v>74</v>
      </c>
      <c r="R23" s="16">
        <v>0</v>
      </c>
      <c r="S23" s="3">
        <f>IFERROR(VLOOKUP(R23,'Puntos XCC Menor'!$A$1:$B$15,2,FALSE),0)</f>
        <v>0</v>
      </c>
      <c r="T23" s="15">
        <v>9</v>
      </c>
      <c r="U23" s="39">
        <f>IFERROR(VLOOKUP(T23,'Puntos XCO'!$A$1:$B$63,2,FALSE),0)</f>
        <v>80</v>
      </c>
      <c r="V23" s="16">
        <v>31</v>
      </c>
      <c r="W23" s="15">
        <f>IFERROR(VLOOKUP(V23,'Puntos XCC Mayor'!$A$1:$B$15,2,FALSE),0)</f>
        <v>0</v>
      </c>
      <c r="X23" s="15">
        <v>11</v>
      </c>
      <c r="Y23" s="25">
        <f>IFERROR(VLOOKUP(X23,'Puntos XCO'!$A$1:$B$63,2,FALSE),0)</f>
        <v>76</v>
      </c>
      <c r="Z23" s="16">
        <f t="shared" si="0"/>
        <v>0</v>
      </c>
      <c r="AA23" s="15">
        <f>IFERROR(VLOOKUP(Z23,'Puntos XCC Mayor'!$A$1:$B$15,2,FALSE),0)</f>
        <v>0</v>
      </c>
      <c r="AB23" s="15">
        <f t="shared" si="1"/>
        <v>17</v>
      </c>
      <c r="AC23" s="25">
        <f>IFERROR(VLOOKUP(AB23,'Puntos XCO'!$A$1:$B$63,2,FALSE),0)</f>
        <v>64</v>
      </c>
      <c r="AD23" s="16"/>
      <c r="AE23" s="15"/>
      <c r="AF23" s="15"/>
      <c r="AG23" s="25"/>
      <c r="AH23" s="27">
        <f t="shared" si="2"/>
        <v>430</v>
      </c>
      <c r="AJ23" s="2"/>
      <c r="AK23" s="13"/>
      <c r="AL23" s="12"/>
      <c r="AM23" s="14"/>
    </row>
    <row r="24" spans="1:39" ht="24.95" customHeight="1">
      <c r="A24" s="3">
        <v>10</v>
      </c>
      <c r="B24" s="3">
        <v>9</v>
      </c>
      <c r="C24" s="113">
        <v>108</v>
      </c>
      <c r="D24" s="23" t="s">
        <v>1032</v>
      </c>
      <c r="E24" s="24" t="s">
        <v>154</v>
      </c>
      <c r="F24" s="3">
        <v>7</v>
      </c>
      <c r="G24" s="15">
        <v>4</v>
      </c>
      <c r="H24" s="3">
        <v>13</v>
      </c>
      <c r="I24" s="25">
        <v>72</v>
      </c>
      <c r="J24" s="33">
        <v>10</v>
      </c>
      <c r="K24" s="22">
        <v>1</v>
      </c>
      <c r="L24" s="22">
        <v>10</v>
      </c>
      <c r="M24" s="34">
        <v>78</v>
      </c>
      <c r="N24" s="26"/>
      <c r="O24" s="3">
        <f>IFERROR(VLOOKUP(N24,'Puntos XCC Menor'!$A$1:$B$15,2,FALSE),0)</f>
        <v>0</v>
      </c>
      <c r="P24" s="3">
        <v>14</v>
      </c>
      <c r="Q24" s="34">
        <f>IFERROR(VLOOKUP(P24,'Puntos XCO'!$A$1:$B$63,2,FALSE),0)</f>
        <v>70</v>
      </c>
      <c r="R24" s="16">
        <v>17</v>
      </c>
      <c r="S24" s="3">
        <f>IFERROR(VLOOKUP(R24,'Puntos XCC Menor'!$A$1:$B$15,2,FALSE),0)</f>
        <v>0</v>
      </c>
      <c r="T24" s="15">
        <v>19</v>
      </c>
      <c r="U24" s="39">
        <f>IFERROR(VLOOKUP(T24,'Puntos XCO'!$A$1:$B$63,2,FALSE),0)</f>
        <v>60</v>
      </c>
      <c r="V24" s="16">
        <v>22</v>
      </c>
      <c r="W24" s="15">
        <f>IFERROR(VLOOKUP(V24,'Puntos XCC Mayor'!$A$1:$B$15,2,FALSE),0)</f>
        <v>0</v>
      </c>
      <c r="X24" s="15">
        <v>13</v>
      </c>
      <c r="Y24" s="25">
        <f>IFERROR(VLOOKUP(X24,'Puntos XCO'!$A$1:$B$63,2,FALSE),0)</f>
        <v>72</v>
      </c>
      <c r="Z24" s="16">
        <f t="shared" si="0"/>
        <v>0</v>
      </c>
      <c r="AA24" s="15">
        <f>IFERROR(VLOOKUP(Z24,'Puntos XCC Mayor'!$A$1:$B$15,2,FALSE),0)</f>
        <v>0</v>
      </c>
      <c r="AB24" s="15">
        <f t="shared" si="1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2"/>
        <v>357</v>
      </c>
      <c r="AJ24" s="2"/>
      <c r="AK24" s="13"/>
      <c r="AL24" s="12"/>
      <c r="AM24" s="14"/>
    </row>
    <row r="25" spans="1:39" ht="24.95" customHeight="1">
      <c r="A25" s="3">
        <v>11</v>
      </c>
      <c r="B25" s="3">
        <v>14</v>
      </c>
      <c r="C25" s="113">
        <v>110</v>
      </c>
      <c r="D25" s="23" t="s">
        <v>1033</v>
      </c>
      <c r="E25" s="24" t="s">
        <v>246</v>
      </c>
      <c r="F25" s="3">
        <v>20</v>
      </c>
      <c r="G25" s="15">
        <v>0</v>
      </c>
      <c r="H25" s="3">
        <v>18</v>
      </c>
      <c r="I25" s="25">
        <v>62</v>
      </c>
      <c r="J25" s="33">
        <v>9</v>
      </c>
      <c r="K25" s="22">
        <v>2</v>
      </c>
      <c r="L25" s="22">
        <v>11</v>
      </c>
      <c r="M25" s="34">
        <v>76</v>
      </c>
      <c r="N25" s="26"/>
      <c r="O25" s="3">
        <f>IFERROR(VLOOKUP(N25,'Puntos XCC Menor'!$A$1:$B$15,2,FALSE),0)</f>
        <v>0</v>
      </c>
      <c r="P25" s="3"/>
      <c r="Q25" s="34">
        <f>IFERROR(VLOOKUP(P25,'Puntos XCO'!$A$1:$B$63,2,FALSE),0)</f>
        <v>0</v>
      </c>
      <c r="R25" s="16">
        <v>7</v>
      </c>
      <c r="S25" s="3">
        <f>IFERROR(VLOOKUP(R25,'Puntos XCC Menor'!$A$1:$B$15,2,FALSE),0)</f>
        <v>4</v>
      </c>
      <c r="T25" s="15">
        <v>21</v>
      </c>
      <c r="U25" s="39">
        <f>IFERROR(VLOOKUP(T25,'Puntos XCO'!$A$1:$B$63,2,FALSE),0)</f>
        <v>56</v>
      </c>
      <c r="V25" s="16">
        <v>28</v>
      </c>
      <c r="W25" s="15">
        <f>IFERROR(VLOOKUP(V25,'Puntos XCC Mayor'!$A$1:$B$15,2,FALSE),0)</f>
        <v>0</v>
      </c>
      <c r="X25" s="15">
        <v>23</v>
      </c>
      <c r="Y25" s="25">
        <f>IFERROR(VLOOKUP(X25,'Puntos XCO'!$A$1:$B$63,2,FALSE),0)</f>
        <v>52</v>
      </c>
      <c r="Z25" s="16">
        <f t="shared" si="0"/>
        <v>7</v>
      </c>
      <c r="AA25" s="15">
        <f>IFERROR(VLOOKUP(Z25,'Puntos XCC Mayor'!$A$1:$B$15,2,FALSE),0)</f>
        <v>9</v>
      </c>
      <c r="AB25" s="15">
        <f t="shared" si="1"/>
        <v>11</v>
      </c>
      <c r="AC25" s="25">
        <f>IFERROR(VLOOKUP(AB25,'Puntos XCO'!$A$1:$B$63,2,FALSE),0)</f>
        <v>76</v>
      </c>
      <c r="AD25" s="16"/>
      <c r="AE25" s="15"/>
      <c r="AF25" s="15"/>
      <c r="AG25" s="25"/>
      <c r="AH25" s="27">
        <f t="shared" si="2"/>
        <v>337</v>
      </c>
      <c r="AJ25" s="2"/>
      <c r="AK25" s="13"/>
      <c r="AL25" s="12"/>
      <c r="AM25" s="14"/>
    </row>
    <row r="26" spans="1:39" ht="24.95" customHeight="1">
      <c r="A26" s="3">
        <v>12</v>
      </c>
      <c r="B26" s="3">
        <v>15</v>
      </c>
      <c r="C26" s="113">
        <v>160</v>
      </c>
      <c r="D26" s="23" t="s">
        <v>236</v>
      </c>
      <c r="E26" s="24" t="s">
        <v>605</v>
      </c>
      <c r="F26" s="3">
        <v>29</v>
      </c>
      <c r="G26" s="15">
        <v>0</v>
      </c>
      <c r="H26" s="3">
        <v>21</v>
      </c>
      <c r="I26" s="25">
        <v>56</v>
      </c>
      <c r="J26" s="33">
        <v>28</v>
      </c>
      <c r="K26" s="22">
        <v>0</v>
      </c>
      <c r="L26" s="22">
        <v>25</v>
      </c>
      <c r="M26" s="34">
        <v>48</v>
      </c>
      <c r="N26" s="26"/>
      <c r="O26" s="3">
        <f>IFERROR(VLOOKUP(N26,'Puntos XCC Menor'!$A$1:$B$15,2,FALSE),0)</f>
        <v>0</v>
      </c>
      <c r="P26" s="3"/>
      <c r="Q26" s="34">
        <f>IFERROR(VLOOKUP(P26,'Puntos XCO'!$A$1:$B$63,2,FALSE),0)</f>
        <v>0</v>
      </c>
      <c r="R26" s="16">
        <v>16</v>
      </c>
      <c r="S26" s="3">
        <f>IFERROR(VLOOKUP(R26,'Puntos XCC Menor'!$A$1:$B$15,2,FALSE),0)</f>
        <v>0</v>
      </c>
      <c r="T26" s="15">
        <v>14</v>
      </c>
      <c r="U26" s="39">
        <f>IFERROR(VLOOKUP(T26,'Puntos XCO'!$A$1:$B$63,2,FALSE),0)</f>
        <v>70</v>
      </c>
      <c r="V26" s="16">
        <v>29</v>
      </c>
      <c r="W26" s="15">
        <f>IFERROR(VLOOKUP(V26,'Puntos XCC Mayor'!$A$1:$B$15,2,FALSE),0)</f>
        <v>0</v>
      </c>
      <c r="X26" s="15">
        <v>12</v>
      </c>
      <c r="Y26" s="25">
        <f>IFERROR(VLOOKUP(X26,'Puntos XCO'!$A$1:$B$63,2,FALSE),0)</f>
        <v>74</v>
      </c>
      <c r="Z26" s="16">
        <f t="shared" si="0"/>
        <v>12</v>
      </c>
      <c r="AA26" s="15">
        <f>IFERROR(VLOOKUP(Z26,'Puntos XCC Mayor'!$A$1:$B$15,2,FALSE),0)</f>
        <v>4</v>
      </c>
      <c r="AB26" s="15">
        <f t="shared" si="1"/>
        <v>9</v>
      </c>
      <c r="AC26" s="25">
        <f>IFERROR(VLOOKUP(AB26,'Puntos XCO'!$A$1:$B$63,2,FALSE),0)</f>
        <v>80</v>
      </c>
      <c r="AD26" s="16"/>
      <c r="AE26" s="15"/>
      <c r="AF26" s="15"/>
      <c r="AG26" s="25"/>
      <c r="AH26" s="27">
        <f t="shared" si="2"/>
        <v>332</v>
      </c>
      <c r="AJ26" s="2"/>
      <c r="AK26" s="13"/>
      <c r="AL26" s="12"/>
      <c r="AM26" s="14"/>
    </row>
    <row r="27" spans="1:39" ht="24.95" customHeight="1">
      <c r="A27" s="3">
        <v>13</v>
      </c>
      <c r="B27" s="3">
        <v>12</v>
      </c>
      <c r="C27" s="113">
        <v>114</v>
      </c>
      <c r="D27" s="23" t="s">
        <v>1038</v>
      </c>
      <c r="E27" s="24" t="s">
        <v>108</v>
      </c>
      <c r="F27" s="3">
        <v>21</v>
      </c>
      <c r="G27" s="15">
        <v>0</v>
      </c>
      <c r="H27" s="3">
        <v>31</v>
      </c>
      <c r="I27" s="25">
        <v>36</v>
      </c>
      <c r="J27" s="33">
        <v>25</v>
      </c>
      <c r="K27" s="22">
        <v>0</v>
      </c>
      <c r="L27" s="22">
        <v>21</v>
      </c>
      <c r="M27" s="34">
        <v>56</v>
      </c>
      <c r="N27" s="26"/>
      <c r="O27" s="3">
        <f>IFERROR(VLOOKUP(N27,'Puntos XCC Menor'!$A$1:$B$15,2,FALSE),0)</f>
        <v>0</v>
      </c>
      <c r="P27" s="3">
        <v>23</v>
      </c>
      <c r="Q27" s="34">
        <f>IFERROR(VLOOKUP(P27,'Puntos XCO'!$A$1:$B$63,2,FALSE),0)</f>
        <v>52</v>
      </c>
      <c r="R27" s="16">
        <v>20</v>
      </c>
      <c r="S27" s="3">
        <f>IFERROR(VLOOKUP(R27,'Puntos XCC Menor'!$A$1:$B$15,2,FALSE),0)</f>
        <v>0</v>
      </c>
      <c r="T27" s="15">
        <v>23</v>
      </c>
      <c r="U27" s="39">
        <f>IFERROR(VLOOKUP(T27,'Puntos XCO'!$A$1:$B$63,2,FALSE),0)</f>
        <v>52</v>
      </c>
      <c r="V27" s="16">
        <v>16</v>
      </c>
      <c r="W27" s="15">
        <f>IFERROR(VLOOKUP(V27,'Puntos XCC Mayor'!$A$1:$B$15,2,FALSE),0)</f>
        <v>0</v>
      </c>
      <c r="X27" s="15">
        <v>20</v>
      </c>
      <c r="Y27" s="25">
        <f>IFERROR(VLOOKUP(X27,'Puntos XCO'!$A$1:$B$63,2,FALSE),0)</f>
        <v>58</v>
      </c>
      <c r="Z27" s="16">
        <f t="shared" si="0"/>
        <v>18</v>
      </c>
      <c r="AA27" s="15">
        <f>IFERROR(VLOOKUP(Z27,'Puntos XCC Mayor'!$A$1:$B$15,2,FALSE),0)</f>
        <v>0</v>
      </c>
      <c r="AB27" s="15">
        <f t="shared" si="1"/>
        <v>22</v>
      </c>
      <c r="AC27" s="25">
        <f>IFERROR(VLOOKUP(AB27,'Puntos XCO'!$A$1:$B$63,2,FALSE),0)</f>
        <v>54</v>
      </c>
      <c r="AD27" s="16"/>
      <c r="AE27" s="15"/>
      <c r="AF27" s="15"/>
      <c r="AG27" s="25"/>
      <c r="AH27" s="27">
        <f t="shared" si="2"/>
        <v>308</v>
      </c>
      <c r="AJ27" s="2"/>
      <c r="AK27" s="13"/>
      <c r="AL27" s="12"/>
      <c r="AM27" s="14"/>
    </row>
    <row r="28" spans="1:39" ht="24.95" customHeight="1">
      <c r="A28" s="3">
        <v>14</v>
      </c>
      <c r="B28" s="3">
        <v>17</v>
      </c>
      <c r="C28" s="113">
        <v>119</v>
      </c>
      <c r="D28" s="23" t="s">
        <v>238</v>
      </c>
      <c r="E28" s="24" t="s">
        <v>84</v>
      </c>
      <c r="F28" s="3">
        <v>24</v>
      </c>
      <c r="G28" s="15">
        <v>0</v>
      </c>
      <c r="H28" s="3">
        <v>29</v>
      </c>
      <c r="I28" s="25">
        <v>40</v>
      </c>
      <c r="J28" s="33">
        <v>23</v>
      </c>
      <c r="K28" s="22">
        <v>0</v>
      </c>
      <c r="L28" s="22">
        <v>26</v>
      </c>
      <c r="M28" s="34">
        <v>46</v>
      </c>
      <c r="N28" s="26"/>
      <c r="O28" s="3">
        <f>IFERROR(VLOOKUP(N28,'Puntos XCC Menor'!$A$1:$B$15,2,FALSE),0)</f>
        <v>0</v>
      </c>
      <c r="P28" s="3">
        <v>21</v>
      </c>
      <c r="Q28" s="34">
        <f>IFERROR(VLOOKUP(P28,'Puntos XCO'!$A$1:$B$63,2,FALSE),0)</f>
        <v>56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v>0</v>
      </c>
      <c r="W28" s="15">
        <f>IFERROR(VLOOKUP(V28,'Puntos XCC Mayor'!$A$1:$B$15,2,FALSE),0)</f>
        <v>0</v>
      </c>
      <c r="X28" s="15">
        <v>15</v>
      </c>
      <c r="Y28" s="25">
        <f>IFERROR(VLOOKUP(X28,'Puntos XCO'!$A$1:$B$63,2,FALSE),0)</f>
        <v>68</v>
      </c>
      <c r="Z28" s="16">
        <f t="shared" si="0"/>
        <v>19</v>
      </c>
      <c r="AA28" s="15">
        <f>IFERROR(VLOOKUP(Z28,'Puntos XCC Mayor'!$A$1:$B$15,2,FALSE),0)</f>
        <v>0</v>
      </c>
      <c r="AB28" s="15">
        <f t="shared" si="1"/>
        <v>14</v>
      </c>
      <c r="AC28" s="25">
        <f>IFERROR(VLOOKUP(AB28,'Puntos XCO'!$A$1:$B$63,2,FALSE),0)</f>
        <v>70</v>
      </c>
      <c r="AD28" s="16"/>
      <c r="AE28" s="15"/>
      <c r="AF28" s="15"/>
      <c r="AG28" s="25"/>
      <c r="AH28" s="27">
        <f t="shared" si="2"/>
        <v>280</v>
      </c>
      <c r="AJ28" s="3"/>
      <c r="AM28" s="29"/>
    </row>
    <row r="29" spans="1:39" ht="24.95" customHeight="1">
      <c r="A29" s="3">
        <v>15</v>
      </c>
      <c r="B29" s="3">
        <v>19</v>
      </c>
      <c r="C29" s="113">
        <v>132</v>
      </c>
      <c r="D29" s="23" t="s">
        <v>595</v>
      </c>
      <c r="E29" s="24" t="s">
        <v>127</v>
      </c>
      <c r="F29" s="3">
        <v>23</v>
      </c>
      <c r="G29" s="15">
        <v>0</v>
      </c>
      <c r="H29" s="3">
        <v>10</v>
      </c>
      <c r="I29" s="25">
        <v>78</v>
      </c>
      <c r="J29" s="33">
        <v>22</v>
      </c>
      <c r="K29" s="22">
        <v>0</v>
      </c>
      <c r="L29" s="22">
        <v>19</v>
      </c>
      <c r="M29" s="34">
        <v>60</v>
      </c>
      <c r="N29" s="26"/>
      <c r="O29" s="3">
        <f>IFERROR(VLOOKUP(N29,'Puntos XCC Menor'!$A$1:$B$15,2,FALSE),0)</f>
        <v>0</v>
      </c>
      <c r="P29" s="3"/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18</v>
      </c>
      <c r="U29" s="39">
        <f>IFERROR(VLOOKUP(T29,'Puntos XCO'!$A$1:$B$63,2,FALSE),0)</f>
        <v>62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0"/>
        <v>15</v>
      </c>
      <c r="AA29" s="15">
        <f>IFERROR(VLOOKUP(Z29,'Puntos XCC Mayor'!$A$1:$B$15,2,FALSE),0)</f>
        <v>1</v>
      </c>
      <c r="AB29" s="15">
        <f t="shared" si="1"/>
        <v>16</v>
      </c>
      <c r="AC29" s="25">
        <f>IFERROR(VLOOKUP(AB29,'Puntos XCO'!$A$1:$B$63,2,FALSE),0)</f>
        <v>66</v>
      </c>
      <c r="AD29" s="16"/>
      <c r="AE29" s="15"/>
      <c r="AF29" s="15"/>
      <c r="AG29" s="25"/>
      <c r="AH29" s="27">
        <f t="shared" si="2"/>
        <v>267</v>
      </c>
      <c r="AJ29" s="3"/>
    </row>
    <row r="30" spans="1:39" ht="24.95" customHeight="1">
      <c r="A30" s="3">
        <v>16</v>
      </c>
      <c r="B30" s="3">
        <v>11</v>
      </c>
      <c r="C30" s="113">
        <v>142</v>
      </c>
      <c r="D30" s="23" t="s">
        <v>259</v>
      </c>
      <c r="E30" s="24" t="s">
        <v>620</v>
      </c>
      <c r="F30" s="3">
        <v>17</v>
      </c>
      <c r="G30" s="15">
        <v>0</v>
      </c>
      <c r="H30" s="3">
        <v>0</v>
      </c>
      <c r="I30" s="25">
        <v>0</v>
      </c>
      <c r="J30" s="33">
        <v>15</v>
      </c>
      <c r="K30" s="22">
        <v>0</v>
      </c>
      <c r="L30" s="22">
        <v>12</v>
      </c>
      <c r="M30" s="34">
        <v>74</v>
      </c>
      <c r="N30" s="26"/>
      <c r="O30" s="3">
        <f>IFERROR(VLOOKUP(N30,'Puntos XCC Menor'!$A$1:$B$15,2,FALSE),0)</f>
        <v>0</v>
      </c>
      <c r="P30" s="3"/>
      <c r="Q30" s="34">
        <f>IFERROR(VLOOKUP(P30,'Puntos XCO'!$A$1:$B$63,2,FALSE),0)</f>
        <v>0</v>
      </c>
      <c r="R30" s="16">
        <v>8</v>
      </c>
      <c r="S30" s="3">
        <f>IFERROR(VLOOKUP(R30,'Puntos XCC Menor'!$A$1:$B$15,2,FALSE),0)</f>
        <v>3</v>
      </c>
      <c r="T30" s="15">
        <v>7</v>
      </c>
      <c r="U30" s="39">
        <f>IFERROR(VLOOKUP(T30,'Puntos XCO'!$A$1:$B$63,2,FALSE),0)</f>
        <v>90</v>
      </c>
      <c r="V30" s="16">
        <v>6</v>
      </c>
      <c r="W30" s="15">
        <f>IFERROR(VLOOKUP(V30,'Puntos XCC Mayor'!$A$1:$B$15,2,FALSE),0)</f>
        <v>10</v>
      </c>
      <c r="X30" s="15">
        <v>8</v>
      </c>
      <c r="Y30" s="25">
        <f>IFERROR(VLOOKUP(X30,'Puntos XCO'!$A$1:$B$63,2,FALSE),0)</f>
        <v>85</v>
      </c>
      <c r="Z30" s="16">
        <f t="shared" si="0"/>
        <v>0</v>
      </c>
      <c r="AA30" s="15">
        <f>IFERROR(VLOOKUP(Z30,'Puntos XCC Mayor'!$A$1:$B$15,2,FALSE),0)</f>
        <v>0</v>
      </c>
      <c r="AB30" s="15">
        <f t="shared" si="1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2"/>
        <v>262</v>
      </c>
      <c r="AJ30" s="3"/>
    </row>
    <row r="31" spans="1:39" ht="24.95" customHeight="1">
      <c r="A31" s="3">
        <v>17</v>
      </c>
      <c r="B31" s="3">
        <v>22</v>
      </c>
      <c r="C31" s="113">
        <v>163</v>
      </c>
      <c r="D31" s="23" t="s">
        <v>615</v>
      </c>
      <c r="E31" s="24" t="s">
        <v>221</v>
      </c>
      <c r="F31" s="3">
        <v>13</v>
      </c>
      <c r="G31" s="15">
        <v>0</v>
      </c>
      <c r="H31" s="3">
        <v>0</v>
      </c>
      <c r="I31" s="25">
        <v>0</v>
      </c>
      <c r="J31" s="33">
        <v>20</v>
      </c>
      <c r="K31" s="22">
        <v>0</v>
      </c>
      <c r="L31" s="22">
        <v>22</v>
      </c>
      <c r="M31" s="34">
        <v>54</v>
      </c>
      <c r="N31" s="26"/>
      <c r="O31" s="3">
        <f>IFERROR(VLOOKUP(N31,'Puntos XCC Menor'!$A$1:$B$15,2,FALSE),0)</f>
        <v>0</v>
      </c>
      <c r="P31" s="3"/>
      <c r="Q31" s="34">
        <f>IFERROR(VLOOKUP(P31,'Puntos XCO'!$A$1:$B$63,2,FALSE),0)</f>
        <v>0</v>
      </c>
      <c r="R31" s="16">
        <v>23</v>
      </c>
      <c r="S31" s="3">
        <f>IFERROR(VLOOKUP(R31,'Puntos XCC Menor'!$A$1:$B$15,2,FALSE),0)</f>
        <v>0</v>
      </c>
      <c r="T31" s="15">
        <v>15</v>
      </c>
      <c r="U31" s="39">
        <f>IFERROR(VLOOKUP(T31,'Puntos XCO'!$A$1:$B$63,2,FALSE),0)</f>
        <v>68</v>
      </c>
      <c r="V31" s="16">
        <v>25</v>
      </c>
      <c r="W31" s="15">
        <f>IFERROR(VLOOKUP(V31,'Puntos XCC Mayor'!$A$1:$B$15,2,FALSE),0)</f>
        <v>0</v>
      </c>
      <c r="X31" s="15">
        <v>18</v>
      </c>
      <c r="Y31" s="25">
        <f>IFERROR(VLOOKUP(X31,'Puntos XCO'!$A$1:$B$63,2,FALSE),0)</f>
        <v>62</v>
      </c>
      <c r="Z31" s="16">
        <f t="shared" si="0"/>
        <v>20</v>
      </c>
      <c r="AA31" s="15">
        <f>IFERROR(VLOOKUP(Z31,'Puntos XCC Mayor'!$A$1:$B$15,2,FALSE),0)</f>
        <v>0</v>
      </c>
      <c r="AB31" s="15">
        <f t="shared" si="1"/>
        <v>10</v>
      </c>
      <c r="AC31" s="25">
        <f>IFERROR(VLOOKUP(AB31,'Puntos XCO'!$A$1:$B$63,2,FALSE),0)</f>
        <v>78</v>
      </c>
      <c r="AD31" s="16"/>
      <c r="AE31" s="15"/>
      <c r="AF31" s="15"/>
      <c r="AG31" s="25"/>
      <c r="AH31" s="27">
        <f t="shared" si="2"/>
        <v>262</v>
      </c>
      <c r="AJ31" s="3"/>
    </row>
    <row r="32" spans="1:39" ht="24.95" customHeight="1">
      <c r="A32" s="3">
        <v>18</v>
      </c>
      <c r="B32" s="3">
        <v>21</v>
      </c>
      <c r="C32" s="113">
        <v>120</v>
      </c>
      <c r="D32" s="23" t="s">
        <v>255</v>
      </c>
      <c r="E32" s="24" t="s">
        <v>71</v>
      </c>
      <c r="F32" s="3">
        <v>28</v>
      </c>
      <c r="G32" s="15">
        <v>0</v>
      </c>
      <c r="H32" s="3">
        <v>19</v>
      </c>
      <c r="I32" s="25">
        <v>60</v>
      </c>
      <c r="J32" s="33">
        <v>0</v>
      </c>
      <c r="K32" s="22">
        <v>0</v>
      </c>
      <c r="L32" s="22">
        <v>0</v>
      </c>
      <c r="M32" s="34">
        <v>0</v>
      </c>
      <c r="N32" s="26"/>
      <c r="O32" s="3">
        <f>IFERROR(VLOOKUP(N32,'Puntos XCC Menor'!$A$1:$B$15,2,FALSE),0)</f>
        <v>0</v>
      </c>
      <c r="P32" s="3">
        <v>20</v>
      </c>
      <c r="Q32" s="34">
        <f>IFERROR(VLOOKUP(P32,'Puntos XCO'!$A$1:$B$63,2,FALSE),0)</f>
        <v>58</v>
      </c>
      <c r="R32" s="16">
        <v>14</v>
      </c>
      <c r="S32" s="3">
        <f>IFERROR(VLOOKUP(R32,'Puntos XCC Menor'!$A$1:$B$15,2,FALSE),0)</f>
        <v>0</v>
      </c>
      <c r="T32" s="15">
        <v>16</v>
      </c>
      <c r="U32" s="39">
        <f>IFERROR(VLOOKUP(T32,'Puntos XCO'!$A$1:$B$63,2,FALSE),0)</f>
        <v>66</v>
      </c>
      <c r="V32" s="16">
        <v>15</v>
      </c>
      <c r="W32" s="15">
        <f>IFERROR(VLOOKUP(V32,'Puntos XCC Mayor'!$A$1:$B$15,2,FALSE),0)</f>
        <v>1</v>
      </c>
      <c r="X32" s="15">
        <v>0</v>
      </c>
      <c r="Y32" s="25">
        <f>IFERROR(VLOOKUP(X32,'Puntos XCO'!$A$1:$B$63,2,FALSE),0)</f>
        <v>0</v>
      </c>
      <c r="Z32" s="16">
        <f t="shared" si="0"/>
        <v>16</v>
      </c>
      <c r="AA32" s="15">
        <f>IFERROR(VLOOKUP(Z32,'Puntos XCC Mayor'!$A$1:$B$15,2,FALSE),0)</f>
        <v>0</v>
      </c>
      <c r="AB32" s="15">
        <f t="shared" si="1"/>
        <v>15</v>
      </c>
      <c r="AC32" s="25">
        <f>IFERROR(VLOOKUP(AB32,'Puntos XCO'!$A$1:$B$63,2,FALSE),0)</f>
        <v>68</v>
      </c>
      <c r="AD32" s="16"/>
      <c r="AE32" s="15"/>
      <c r="AF32" s="15"/>
      <c r="AG32" s="25"/>
      <c r="AH32" s="27">
        <f t="shared" si="2"/>
        <v>253</v>
      </c>
      <c r="AJ32" s="3"/>
    </row>
    <row r="33" spans="1:36" ht="24.95" customHeight="1">
      <c r="A33" s="3">
        <v>19</v>
      </c>
      <c r="B33" s="3">
        <v>13</v>
      </c>
      <c r="C33" s="118">
        <v>126</v>
      </c>
      <c r="D33" s="23" t="s">
        <v>1050</v>
      </c>
      <c r="E33" s="24" t="s">
        <v>957</v>
      </c>
      <c r="F33" s="3"/>
      <c r="G33" s="15"/>
      <c r="H33" s="3"/>
      <c r="I33" s="25"/>
      <c r="J33" s="33"/>
      <c r="K33" s="22"/>
      <c r="L33" s="22"/>
      <c r="M33" s="34"/>
      <c r="N33" s="26"/>
      <c r="O33" s="3">
        <f>IFERROR(VLOOKUP(N33,'Puntos XCC Menor'!$A$1:$B$15,2,FALSE),0)</f>
        <v>0</v>
      </c>
      <c r="P33" s="3">
        <v>9</v>
      </c>
      <c r="Q33" s="34">
        <f>IFERROR(VLOOKUP(P33,'Puntos XCO'!$A$1:$B$63,2,FALSE),0)</f>
        <v>80</v>
      </c>
      <c r="R33" s="16">
        <v>10</v>
      </c>
      <c r="S33" s="3">
        <f>IFERROR(VLOOKUP(R33,'Puntos XCC Menor'!$A$1:$B$15,2,FALSE),0)</f>
        <v>1</v>
      </c>
      <c r="T33" s="15">
        <v>11</v>
      </c>
      <c r="U33" s="39">
        <f>IFERROR(VLOOKUP(T33,'Puntos XCO'!$A$1:$B$63,2,FALSE),0)</f>
        <v>76</v>
      </c>
      <c r="V33" s="16">
        <v>30</v>
      </c>
      <c r="W33" s="15">
        <f>IFERROR(VLOOKUP(V33,'Puntos XCC Mayor'!$A$1:$B$15,2,FALSE),0)</f>
        <v>0</v>
      </c>
      <c r="X33" s="15">
        <v>6</v>
      </c>
      <c r="Y33" s="25">
        <f>IFERROR(VLOOKUP(X33,'Puntos XCO'!$A$1:$B$63,2,FALSE),0)</f>
        <v>95</v>
      </c>
      <c r="Z33" s="16">
        <f t="shared" si="0"/>
        <v>0</v>
      </c>
      <c r="AA33" s="15">
        <f>IFERROR(VLOOKUP(Z33,'Puntos XCC Mayor'!$A$1:$B$15,2,FALSE),0)</f>
        <v>0</v>
      </c>
      <c r="AB33" s="15">
        <f t="shared" si="1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2"/>
        <v>252</v>
      </c>
      <c r="AJ33" s="3"/>
    </row>
    <row r="34" spans="1:36" ht="24.95" customHeight="1">
      <c r="A34" s="3">
        <v>20</v>
      </c>
      <c r="B34" s="3">
        <v>32</v>
      </c>
      <c r="C34" s="113">
        <v>131</v>
      </c>
      <c r="D34" s="23" t="s">
        <v>593</v>
      </c>
      <c r="E34" s="24" t="s">
        <v>127</v>
      </c>
      <c r="F34" s="3">
        <v>10</v>
      </c>
      <c r="G34" s="15">
        <v>1</v>
      </c>
      <c r="H34" s="3">
        <v>6</v>
      </c>
      <c r="I34" s="25">
        <v>95</v>
      </c>
      <c r="J34" s="33">
        <v>0</v>
      </c>
      <c r="K34" s="22">
        <v>0</v>
      </c>
      <c r="L34" s="22">
        <v>24</v>
      </c>
      <c r="M34" s="34">
        <v>50</v>
      </c>
      <c r="N34" s="26"/>
      <c r="O34" s="3">
        <f>IFERROR(VLOOKUP(N34,'Puntos XCC Menor'!$A$1:$B$15,2,FALSE),0)</f>
        <v>0</v>
      </c>
      <c r="P34" s="3"/>
      <c r="Q34" s="34">
        <f>IFERROR(VLOOKUP(P34,'Puntos XCO'!$A$1:$B$63,2,FALSE),0)</f>
        <v>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0</v>
      </c>
      <c r="W34" s="15">
        <f>IFERROR(VLOOKUP(V34,'Puntos XCC Mayor'!$A$1:$B$15,2,FALSE),0)</f>
        <v>0</v>
      </c>
      <c r="X34" s="15">
        <v>0</v>
      </c>
      <c r="Y34" s="25">
        <f>IFERROR(VLOOKUP(X34,'Puntos XCO'!$A$1:$B$63,2,FALSE),0)</f>
        <v>0</v>
      </c>
      <c r="Z34" s="16">
        <f t="shared" si="0"/>
        <v>11</v>
      </c>
      <c r="AA34" s="15">
        <f>IFERROR(VLOOKUP(Z34,'Puntos XCC Mayor'!$A$1:$B$15,2,FALSE),0)</f>
        <v>5</v>
      </c>
      <c r="AB34" s="15">
        <f t="shared" si="1"/>
        <v>7</v>
      </c>
      <c r="AC34" s="25">
        <f>IFERROR(VLOOKUP(AB34,'Puntos XCO'!$A$1:$B$63,2,FALSE),0)</f>
        <v>90</v>
      </c>
      <c r="AD34" s="16"/>
      <c r="AE34" s="15"/>
      <c r="AF34" s="15"/>
      <c r="AG34" s="25"/>
      <c r="AH34" s="27">
        <f t="shared" si="2"/>
        <v>241</v>
      </c>
      <c r="AJ34" s="3"/>
    </row>
    <row r="35" spans="1:36" ht="24.95" customHeight="1">
      <c r="A35" s="3">
        <v>21</v>
      </c>
      <c r="B35" s="3">
        <v>16</v>
      </c>
      <c r="C35" s="115">
        <v>121</v>
      </c>
      <c r="D35" s="23" t="s">
        <v>1043</v>
      </c>
      <c r="E35" s="24" t="s">
        <v>133</v>
      </c>
      <c r="F35" s="3"/>
      <c r="G35" s="15"/>
      <c r="H35" s="3"/>
      <c r="I35" s="25"/>
      <c r="J35" s="33">
        <v>33</v>
      </c>
      <c r="K35" s="22">
        <v>0</v>
      </c>
      <c r="L35" s="22">
        <v>27</v>
      </c>
      <c r="M35" s="34">
        <v>44</v>
      </c>
      <c r="N35" s="26"/>
      <c r="O35" s="3">
        <f>IFERROR(VLOOKUP(N35,'Puntos XCC Menor'!$A$1:$B$15,2,FALSE),0)</f>
        <v>0</v>
      </c>
      <c r="P35" s="3">
        <v>17</v>
      </c>
      <c r="Q35" s="34">
        <f>IFERROR(VLOOKUP(P35,'Puntos XCO'!$A$1:$B$63,2,FALSE),0)</f>
        <v>64</v>
      </c>
      <c r="R35" s="16">
        <v>11</v>
      </c>
      <c r="S35" s="3">
        <f>IFERROR(VLOOKUP(R35,'Puntos XCC Menor'!$A$1:$B$15,2,FALSE),0)</f>
        <v>0</v>
      </c>
      <c r="T35" s="15">
        <v>12</v>
      </c>
      <c r="U35" s="39">
        <f>IFERROR(VLOOKUP(T35,'Puntos XCO'!$A$1:$B$63,2,FALSE),0)</f>
        <v>74</v>
      </c>
      <c r="V35" s="16">
        <v>14</v>
      </c>
      <c r="W35" s="15">
        <f>IFERROR(VLOOKUP(V35,'Puntos XCC Mayor'!$A$1:$B$15,2,FALSE),0)</f>
        <v>2</v>
      </c>
      <c r="X35" s="15">
        <v>21</v>
      </c>
      <c r="Y35" s="25">
        <f>IFERROR(VLOOKUP(X35,'Puntos XCO'!$A$1:$B$63,2,FALSE),0)</f>
        <v>56</v>
      </c>
      <c r="Z35" s="16">
        <f t="shared" si="0"/>
        <v>0</v>
      </c>
      <c r="AA35" s="15">
        <f>IFERROR(VLOOKUP(Z35,'Puntos XCC Mayor'!$A$1:$B$15,2,FALSE),0)</f>
        <v>0</v>
      </c>
      <c r="AB35" s="15">
        <f t="shared" si="1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2"/>
        <v>240</v>
      </c>
      <c r="AJ35" s="3"/>
    </row>
    <row r="36" spans="1:36" ht="24.95" customHeight="1">
      <c r="A36" s="3">
        <v>22</v>
      </c>
      <c r="B36" s="3">
        <v>25</v>
      </c>
      <c r="C36" s="113">
        <v>162</v>
      </c>
      <c r="D36" s="23" t="s">
        <v>606</v>
      </c>
      <c r="E36" s="24" t="s">
        <v>130</v>
      </c>
      <c r="F36" s="3">
        <v>33</v>
      </c>
      <c r="G36" s="15">
        <v>0</v>
      </c>
      <c r="H36" s="3">
        <v>23</v>
      </c>
      <c r="I36" s="25">
        <v>52</v>
      </c>
      <c r="J36" s="33">
        <v>41</v>
      </c>
      <c r="K36" s="22">
        <v>0</v>
      </c>
      <c r="L36" s="22">
        <v>42</v>
      </c>
      <c r="M36" s="34">
        <v>22</v>
      </c>
      <c r="N36" s="26"/>
      <c r="O36" s="3">
        <f>IFERROR(VLOOKUP(N36,'Puntos XCC Menor'!$A$1:$B$15,2,FALSE),0)</f>
        <v>0</v>
      </c>
      <c r="P36" s="3"/>
      <c r="Q36" s="34">
        <f>IFERROR(VLOOKUP(P36,'Puntos XCO'!$A$1:$B$63,2,FALSE),0)</f>
        <v>0</v>
      </c>
      <c r="R36" s="16">
        <v>22</v>
      </c>
      <c r="S36" s="3">
        <f>IFERROR(VLOOKUP(R36,'Puntos XCC Menor'!$A$1:$B$15,2,FALSE),0)</f>
        <v>0</v>
      </c>
      <c r="T36" s="15">
        <v>22</v>
      </c>
      <c r="U36" s="39">
        <f>IFERROR(VLOOKUP(T36,'Puntos XCO'!$A$1:$B$63,2,FALSE),0)</f>
        <v>54</v>
      </c>
      <c r="V36" s="16">
        <v>28</v>
      </c>
      <c r="W36" s="15">
        <f>IFERROR(VLOOKUP(V36,'Puntos XCC Mayor'!$A$1:$B$15,2,FALSE),0)</f>
        <v>0</v>
      </c>
      <c r="X36" s="15">
        <v>27</v>
      </c>
      <c r="Y36" s="25">
        <f>IFERROR(VLOOKUP(X36,'Puntos XCO'!$A$1:$B$63,2,FALSE),0)</f>
        <v>44</v>
      </c>
      <c r="Z36" s="16">
        <f t="shared" si="0"/>
        <v>23</v>
      </c>
      <c r="AA36" s="15">
        <f>IFERROR(VLOOKUP(Z36,'Puntos XCC Mayor'!$A$1:$B$15,2,FALSE),0)</f>
        <v>0</v>
      </c>
      <c r="AB36" s="15">
        <f t="shared" si="1"/>
        <v>19</v>
      </c>
      <c r="AC36" s="25">
        <f>IFERROR(VLOOKUP(AB36,'Puntos XCO'!$A$1:$B$63,2,FALSE),0)</f>
        <v>60</v>
      </c>
      <c r="AD36" s="16"/>
      <c r="AE36" s="15"/>
      <c r="AF36" s="15"/>
      <c r="AG36" s="25"/>
      <c r="AH36" s="27">
        <f t="shared" si="2"/>
        <v>232</v>
      </c>
      <c r="AJ36" s="3"/>
    </row>
    <row r="37" spans="1:36" ht="24.95" customHeight="1">
      <c r="A37" s="3">
        <v>23</v>
      </c>
      <c r="B37" s="3">
        <v>30</v>
      </c>
      <c r="C37" s="115">
        <v>147</v>
      </c>
      <c r="D37" s="23" t="s">
        <v>261</v>
      </c>
      <c r="E37" s="24" t="s">
        <v>110</v>
      </c>
      <c r="F37" s="3">
        <v>35</v>
      </c>
      <c r="G37" s="15">
        <v>0</v>
      </c>
      <c r="H37" s="3">
        <v>24</v>
      </c>
      <c r="I37" s="25">
        <v>50</v>
      </c>
      <c r="J37" s="33">
        <v>31</v>
      </c>
      <c r="K37" s="22">
        <v>0</v>
      </c>
      <c r="L37" s="22">
        <v>29</v>
      </c>
      <c r="M37" s="34">
        <v>40</v>
      </c>
      <c r="N37" s="26"/>
      <c r="O37" s="3">
        <f>IFERROR(VLOOKUP(N37,'Puntos XCC Menor'!$A$1:$B$15,2,FALSE),0)</f>
        <v>0</v>
      </c>
      <c r="P37" s="3"/>
      <c r="Q37" s="34">
        <f>IFERROR(VLOOKUP(P37,'Puntos XCO'!$A$1:$B$63,2,FALSE),0)</f>
        <v>0</v>
      </c>
      <c r="R37" s="16">
        <v>12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v>19</v>
      </c>
      <c r="W37" s="15">
        <f>IFERROR(VLOOKUP(V37,'Puntos XCC Mayor'!$A$1:$B$15,2,FALSE),0)</f>
        <v>0</v>
      </c>
      <c r="X37" s="15">
        <v>17</v>
      </c>
      <c r="Y37" s="25">
        <f>IFERROR(VLOOKUP(X37,'Puntos XCO'!$A$1:$B$63,2,FALSE),0)</f>
        <v>64</v>
      </c>
      <c r="Z37" s="16">
        <f t="shared" si="0"/>
        <v>13</v>
      </c>
      <c r="AA37" s="15">
        <f>IFERROR(VLOOKUP(Z37,'Puntos XCC Mayor'!$A$1:$B$15,2,FALSE),0)</f>
        <v>3</v>
      </c>
      <c r="AB37" s="15">
        <f t="shared" si="1"/>
        <v>12</v>
      </c>
      <c r="AC37" s="25">
        <f>IFERROR(VLOOKUP(AB37,'Puntos XCO'!$A$1:$B$63,2,FALSE),0)</f>
        <v>74</v>
      </c>
      <c r="AD37" s="16"/>
      <c r="AE37" s="15"/>
      <c r="AF37" s="15"/>
      <c r="AG37" s="25"/>
      <c r="AH37" s="27">
        <f t="shared" si="2"/>
        <v>231</v>
      </c>
      <c r="AJ37" s="3"/>
    </row>
    <row r="38" spans="1:36" ht="24.95" customHeight="1">
      <c r="A38" s="3">
        <v>24</v>
      </c>
      <c r="B38" s="3">
        <v>26</v>
      </c>
      <c r="C38" s="113">
        <v>166</v>
      </c>
      <c r="D38" s="23" t="s">
        <v>612</v>
      </c>
      <c r="E38" s="24" t="s">
        <v>84</v>
      </c>
      <c r="F38" s="3">
        <v>32</v>
      </c>
      <c r="G38" s="15">
        <v>0</v>
      </c>
      <c r="H38" s="3">
        <v>32</v>
      </c>
      <c r="I38" s="25">
        <v>34</v>
      </c>
      <c r="J38" s="33">
        <v>17</v>
      </c>
      <c r="K38" s="22">
        <v>0</v>
      </c>
      <c r="L38" s="22">
        <v>13</v>
      </c>
      <c r="M38" s="34">
        <v>72</v>
      </c>
      <c r="N38" s="26"/>
      <c r="O38" s="3">
        <f>IFERROR(VLOOKUP(N38,'Puntos XCC Menor'!$A$1:$B$15,2,FALSE),0)</f>
        <v>0</v>
      </c>
      <c r="P38" s="3"/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23</v>
      </c>
      <c r="W38" s="15">
        <f>IFERROR(VLOOKUP(V38,'Puntos XCC Mayor'!$A$1:$B$15,2,FALSE),0)</f>
        <v>0</v>
      </c>
      <c r="X38" s="15">
        <v>19</v>
      </c>
      <c r="Y38" s="25">
        <f>IFERROR(VLOOKUP(X38,'Puntos XCO'!$A$1:$B$63,2,FALSE),0)</f>
        <v>60</v>
      </c>
      <c r="Z38" s="16">
        <f t="shared" si="0"/>
        <v>0</v>
      </c>
      <c r="AA38" s="15">
        <f>IFERROR(VLOOKUP(Z38,'Puntos XCC Mayor'!$A$1:$B$15,2,FALSE),0)</f>
        <v>0</v>
      </c>
      <c r="AB38" s="15">
        <f t="shared" si="1"/>
        <v>21</v>
      </c>
      <c r="AC38" s="25">
        <f>IFERROR(VLOOKUP(AB38,'Puntos XCO'!$A$1:$B$63,2,FALSE),0)</f>
        <v>56</v>
      </c>
      <c r="AD38" s="16"/>
      <c r="AE38" s="15"/>
      <c r="AF38" s="15"/>
      <c r="AG38" s="25"/>
      <c r="AH38" s="27">
        <f t="shared" si="2"/>
        <v>222</v>
      </c>
      <c r="AJ38" s="3"/>
    </row>
    <row r="39" spans="1:36" ht="24.95" customHeight="1">
      <c r="A39" s="3">
        <v>25</v>
      </c>
      <c r="B39" s="3">
        <v>33</v>
      </c>
      <c r="C39" s="113">
        <v>161</v>
      </c>
      <c r="D39" s="23" t="s">
        <v>604</v>
      </c>
      <c r="E39" s="24" t="s">
        <v>172</v>
      </c>
      <c r="F39" s="3">
        <v>18</v>
      </c>
      <c r="G39" s="15">
        <v>0</v>
      </c>
      <c r="H39" s="3">
        <v>20</v>
      </c>
      <c r="I39" s="25">
        <v>58</v>
      </c>
      <c r="J39" s="33">
        <v>24</v>
      </c>
      <c r="K39" s="22">
        <v>0</v>
      </c>
      <c r="L39" s="22">
        <v>30</v>
      </c>
      <c r="M39" s="34">
        <v>38</v>
      </c>
      <c r="N39" s="26"/>
      <c r="O39" s="3">
        <f>IFERROR(VLOOKUP(N39,'Puntos XCC Menor'!$A$1:$B$15,2,FALSE),0)</f>
        <v>0</v>
      </c>
      <c r="P39" s="3"/>
      <c r="Q39" s="34">
        <f>IFERROR(VLOOKUP(P39,'Puntos XCO'!$A$1:$B$63,2,FALSE),0)</f>
        <v>0</v>
      </c>
      <c r="R39" s="16">
        <v>18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21</v>
      </c>
      <c r="W39" s="15">
        <f>IFERROR(VLOOKUP(V39,'Puntos XCC Mayor'!$A$1:$B$15,2,FALSE),0)</f>
        <v>0</v>
      </c>
      <c r="X39" s="15">
        <v>24</v>
      </c>
      <c r="Y39" s="25">
        <f>IFERROR(VLOOKUP(X39,'Puntos XCO'!$A$1:$B$63,2,FALSE),0)</f>
        <v>50</v>
      </c>
      <c r="Z39" s="16">
        <f t="shared" si="0"/>
        <v>17</v>
      </c>
      <c r="AA39" s="15">
        <f>IFERROR(VLOOKUP(Z39,'Puntos XCC Mayor'!$A$1:$B$15,2,FALSE),0)</f>
        <v>0</v>
      </c>
      <c r="AB39" s="15">
        <f t="shared" si="1"/>
        <v>18</v>
      </c>
      <c r="AC39" s="25">
        <f>IFERROR(VLOOKUP(AB39,'Puntos XCO'!$A$1:$B$63,2,FALSE),0)</f>
        <v>62</v>
      </c>
      <c r="AD39" s="16"/>
      <c r="AE39" s="15"/>
      <c r="AF39" s="15"/>
      <c r="AG39" s="25"/>
      <c r="AH39" s="27">
        <f t="shared" si="2"/>
        <v>208</v>
      </c>
      <c r="AJ39" s="3"/>
    </row>
    <row r="40" spans="1:36" ht="24.95" customHeight="1">
      <c r="A40" s="3">
        <v>26</v>
      </c>
      <c r="B40" s="3">
        <v>18</v>
      </c>
      <c r="C40" s="118">
        <v>101</v>
      </c>
      <c r="D40" s="23" t="s">
        <v>1027</v>
      </c>
      <c r="E40" s="24" t="s">
        <v>901</v>
      </c>
      <c r="F40" s="3"/>
      <c r="G40" s="15"/>
      <c r="H40" s="3"/>
      <c r="I40" s="25"/>
      <c r="J40" s="33"/>
      <c r="K40" s="22"/>
      <c r="L40" s="22"/>
      <c r="M40" s="34"/>
      <c r="N40" s="26"/>
      <c r="O40" s="3">
        <f>IFERROR(VLOOKUP(N40,'Puntos XCC Menor'!$A$1:$B$15,2,FALSE),0)</f>
        <v>0</v>
      </c>
      <c r="P40" s="3">
        <v>1</v>
      </c>
      <c r="Q40" s="34">
        <f>IFERROR(VLOOKUP(P40,'Puntos XCO'!$A$1:$B$63,2,FALSE),0)</f>
        <v>200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0"/>
        <v>0</v>
      </c>
      <c r="AA40" s="15">
        <f>IFERROR(VLOOKUP(Z40,'Puntos XCC Mayor'!$A$1:$B$15,2,FALSE),0)</f>
        <v>0</v>
      </c>
      <c r="AB40" s="15">
        <f t="shared" si="1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2"/>
        <v>200</v>
      </c>
      <c r="AJ40" s="3"/>
    </row>
    <row r="41" spans="1:36" ht="24.95" customHeight="1">
      <c r="A41" s="3">
        <v>27</v>
      </c>
      <c r="B41" s="3">
        <v>35</v>
      </c>
      <c r="C41" s="113">
        <v>130</v>
      </c>
      <c r="D41" s="23" t="s">
        <v>594</v>
      </c>
      <c r="E41" s="24" t="s">
        <v>127</v>
      </c>
      <c r="F41" s="3">
        <v>26</v>
      </c>
      <c r="G41" s="15">
        <v>0</v>
      </c>
      <c r="H41" s="3">
        <v>7</v>
      </c>
      <c r="I41" s="25">
        <v>90</v>
      </c>
      <c r="J41" s="33">
        <v>0</v>
      </c>
      <c r="K41" s="22">
        <v>0</v>
      </c>
      <c r="L41" s="22">
        <v>31</v>
      </c>
      <c r="M41" s="34">
        <v>36</v>
      </c>
      <c r="N41" s="26"/>
      <c r="O41" s="3">
        <f>IFERROR(VLOOKUP(N41,'Puntos XCC Menor'!$A$1:$B$15,2,FALSE),0)</f>
        <v>0</v>
      </c>
      <c r="P41" s="3"/>
      <c r="Q41" s="34">
        <f>IFERROR(VLOOKUP(P41,'Puntos XCO'!$A$1:$B$63,2,FALSE),0)</f>
        <v>0</v>
      </c>
      <c r="R41" s="16">
        <v>0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v>0</v>
      </c>
      <c r="W41" s="15">
        <f>IFERROR(VLOOKUP(V41,'Puntos XCC Mayor'!$A$1:$B$15,2,FALSE),0)</f>
        <v>0</v>
      </c>
      <c r="X41" s="15">
        <v>0</v>
      </c>
      <c r="Y41" s="25">
        <f>IFERROR(VLOOKUP(X41,'Puntos XCO'!$A$1:$B$63,2,FALSE),0)</f>
        <v>0</v>
      </c>
      <c r="Z41" s="16">
        <f t="shared" si="0"/>
        <v>14</v>
      </c>
      <c r="AA41" s="15">
        <f>IFERROR(VLOOKUP(Z41,'Puntos XCC Mayor'!$A$1:$B$15,2,FALSE),0)</f>
        <v>2</v>
      </c>
      <c r="AB41" s="15">
        <f t="shared" si="1"/>
        <v>13</v>
      </c>
      <c r="AC41" s="25">
        <f>IFERROR(VLOOKUP(AB41,'Puntos XCO'!$A$1:$B$63,2,FALSE),0)</f>
        <v>72</v>
      </c>
      <c r="AD41" s="16"/>
      <c r="AE41" s="15"/>
      <c r="AF41" s="15"/>
      <c r="AG41" s="25"/>
      <c r="AH41" s="27">
        <f t="shared" si="2"/>
        <v>200</v>
      </c>
      <c r="AJ41" s="3"/>
    </row>
    <row r="42" spans="1:36" ht="24.95" customHeight="1">
      <c r="A42" s="3">
        <v>28</v>
      </c>
      <c r="B42" s="3">
        <v>20</v>
      </c>
      <c r="C42" s="118">
        <v>122</v>
      </c>
      <c r="D42" s="23" t="s">
        <v>256</v>
      </c>
      <c r="E42" s="24" t="s">
        <v>1045</v>
      </c>
      <c r="F42" s="3"/>
      <c r="G42" s="15"/>
      <c r="H42" s="3"/>
      <c r="I42" s="25"/>
      <c r="J42" s="33">
        <v>30</v>
      </c>
      <c r="K42" s="22">
        <v>0</v>
      </c>
      <c r="L42" s="22">
        <v>33</v>
      </c>
      <c r="M42" s="34">
        <v>32</v>
      </c>
      <c r="N42" s="26"/>
      <c r="O42" s="3">
        <f>IFERROR(VLOOKUP(N42,'Puntos XCC Menor'!$A$1:$B$15,2,FALSE),0)</f>
        <v>0</v>
      </c>
      <c r="P42" s="3">
        <v>22</v>
      </c>
      <c r="Q42" s="34">
        <f>IFERROR(VLOOKUP(P42,'Puntos XCO'!$A$1:$B$63,2,FALSE),0)</f>
        <v>54</v>
      </c>
      <c r="R42" s="16">
        <v>13</v>
      </c>
      <c r="S42" s="3">
        <f>IFERROR(VLOOKUP(R42,'Puntos XCC Menor'!$A$1:$B$15,2,FALSE),0)</f>
        <v>0</v>
      </c>
      <c r="T42" s="15">
        <v>17</v>
      </c>
      <c r="U42" s="39">
        <f>IFERROR(VLOOKUP(T42,'Puntos XCO'!$A$1:$B$63,2,FALSE),0)</f>
        <v>64</v>
      </c>
      <c r="V42" s="16">
        <v>0</v>
      </c>
      <c r="W42" s="15">
        <f>IFERROR(VLOOKUP(V42,'Puntos XCC Mayor'!$A$1:$B$15,2,FALSE),0)</f>
        <v>0</v>
      </c>
      <c r="X42" s="15">
        <v>26</v>
      </c>
      <c r="Y42" s="25">
        <f>IFERROR(VLOOKUP(X42,'Puntos XCO'!$A$1:$B$63,2,FALSE),0)</f>
        <v>46</v>
      </c>
      <c r="Z42" s="16">
        <f t="shared" si="0"/>
        <v>24</v>
      </c>
      <c r="AA42" s="15">
        <f>IFERROR(VLOOKUP(Z42,'Puntos XCC Mayor'!$A$1:$B$15,2,FALSE),0)</f>
        <v>0</v>
      </c>
      <c r="AB42" s="15">
        <f t="shared" si="1"/>
        <v>0</v>
      </c>
      <c r="AC42" s="25">
        <f>IFERROR(VLOOKUP(AB42,'Puntos XCO'!$A$1:$B$63,2,FALSE),0)</f>
        <v>0</v>
      </c>
      <c r="AD42" s="16"/>
      <c r="AE42" s="15"/>
      <c r="AF42" s="15"/>
      <c r="AG42" s="25"/>
      <c r="AH42" s="27">
        <f t="shared" si="2"/>
        <v>196</v>
      </c>
      <c r="AJ42" s="3"/>
    </row>
    <row r="43" spans="1:36" ht="24.95" customHeight="1">
      <c r="A43" s="3">
        <v>29</v>
      </c>
      <c r="B43" s="3">
        <v>23</v>
      </c>
      <c r="C43" s="113">
        <v>159</v>
      </c>
      <c r="D43" s="23" t="s">
        <v>216</v>
      </c>
      <c r="E43" s="24" t="s">
        <v>217</v>
      </c>
      <c r="F43" s="3">
        <v>11</v>
      </c>
      <c r="G43" s="15">
        <v>0</v>
      </c>
      <c r="H43" s="3">
        <v>16</v>
      </c>
      <c r="I43" s="25">
        <v>66</v>
      </c>
      <c r="J43" s="33">
        <v>8</v>
      </c>
      <c r="K43" s="22">
        <v>3</v>
      </c>
      <c r="L43" s="22">
        <v>23</v>
      </c>
      <c r="M43" s="34">
        <v>52</v>
      </c>
      <c r="N43" s="26"/>
      <c r="O43" s="3">
        <f>IFERROR(VLOOKUP(N43,'Puntos XCC Menor'!$A$1:$B$15,2,FALSE),0)</f>
        <v>0</v>
      </c>
      <c r="P43" s="3"/>
      <c r="Q43" s="34">
        <f>IFERROR(VLOOKUP(P43,'Puntos XCO'!$A$1:$B$63,2,FALSE),0)</f>
        <v>0</v>
      </c>
      <c r="R43" s="16">
        <v>15</v>
      </c>
      <c r="S43" s="3">
        <f>IFERROR(VLOOKUP(R43,'Puntos XCC Menor'!$A$1:$B$15,2,FALSE),0)</f>
        <v>0</v>
      </c>
      <c r="T43" s="15">
        <v>20</v>
      </c>
      <c r="U43" s="39">
        <f>IFERROR(VLOOKUP(T43,'Puntos XCO'!$A$1:$B$63,2,FALSE),0)</f>
        <v>58</v>
      </c>
      <c r="V43" s="16">
        <v>0</v>
      </c>
      <c r="W43" s="15">
        <f>IFERROR(VLOOKUP(V43,'Puntos XCC Mayor'!$A$1:$B$15,2,FALSE),0)</f>
        <v>0</v>
      </c>
      <c r="X43" s="15">
        <v>0</v>
      </c>
      <c r="Y43" s="25">
        <f>IFERROR(VLOOKUP(X43,'Puntos XCO'!$A$1:$B$63,2,FALSE),0)</f>
        <v>0</v>
      </c>
      <c r="Z43" s="16">
        <f t="shared" si="0"/>
        <v>0</v>
      </c>
      <c r="AA43" s="15">
        <f>IFERROR(VLOOKUP(Z43,'Puntos XCC Mayor'!$A$1:$B$15,2,FALSE),0)</f>
        <v>0</v>
      </c>
      <c r="AB43" s="15">
        <f t="shared" si="1"/>
        <v>0</v>
      </c>
      <c r="AC43" s="25">
        <f>IFERROR(VLOOKUP(AB43,'Puntos XCO'!$A$1:$B$63,2,FALSE),0)</f>
        <v>0</v>
      </c>
      <c r="AD43" s="16"/>
      <c r="AE43" s="15"/>
      <c r="AF43" s="15"/>
      <c r="AG43" s="25"/>
      <c r="AH43" s="27">
        <f t="shared" si="2"/>
        <v>179</v>
      </c>
      <c r="AJ43" s="3"/>
    </row>
    <row r="44" spans="1:36" ht="24.95" customHeight="1">
      <c r="A44" s="3">
        <v>30</v>
      </c>
      <c r="B44" s="3">
        <v>24</v>
      </c>
      <c r="C44" s="113">
        <v>135</v>
      </c>
      <c r="D44" s="23" t="s">
        <v>596</v>
      </c>
      <c r="E44" s="24" t="s">
        <v>597</v>
      </c>
      <c r="F44" s="3">
        <v>8</v>
      </c>
      <c r="G44" s="15">
        <v>3</v>
      </c>
      <c r="H44" s="3">
        <v>12</v>
      </c>
      <c r="I44" s="25">
        <v>74</v>
      </c>
      <c r="J44" s="33">
        <v>5</v>
      </c>
      <c r="K44" s="22">
        <v>6</v>
      </c>
      <c r="L44" s="22">
        <v>6</v>
      </c>
      <c r="M44" s="34">
        <v>95</v>
      </c>
      <c r="N44" s="26"/>
      <c r="O44" s="3">
        <f>IFERROR(VLOOKUP(N44,'Puntos XCC Menor'!$A$1:$B$15,2,FALSE),0)</f>
        <v>0</v>
      </c>
      <c r="P44" s="3"/>
      <c r="Q44" s="34">
        <f>IFERROR(VLOOKUP(P44,'Puntos XCO'!$A$1:$B$63,2,FALSE),0)</f>
        <v>0</v>
      </c>
      <c r="R44" s="16">
        <v>0</v>
      </c>
      <c r="S44" s="3">
        <f>IFERROR(VLOOKUP(R44,'Puntos XCC Menor'!$A$1:$B$15,2,FALSE),0)</f>
        <v>0</v>
      </c>
      <c r="T44" s="15">
        <v>0</v>
      </c>
      <c r="U44" s="39">
        <f>IFERROR(VLOOKUP(T44,'Puntos XCO'!$A$1:$B$63,2,FALSE),0)</f>
        <v>0</v>
      </c>
      <c r="V44" s="16">
        <v>0</v>
      </c>
      <c r="W44" s="15">
        <f>IFERROR(VLOOKUP(V44,'Puntos XCC Mayor'!$A$1:$B$15,2,FALSE),0)</f>
        <v>0</v>
      </c>
      <c r="X44" s="15">
        <v>0</v>
      </c>
      <c r="Y44" s="25">
        <f>IFERROR(VLOOKUP(X44,'Puntos XCO'!$A$1:$B$63,2,FALSE),0)</f>
        <v>0</v>
      </c>
      <c r="Z44" s="16">
        <f t="shared" si="0"/>
        <v>0</v>
      </c>
      <c r="AA44" s="15">
        <f>IFERROR(VLOOKUP(Z44,'Puntos XCC Mayor'!$A$1:$B$15,2,FALSE),0)</f>
        <v>0</v>
      </c>
      <c r="AB44" s="15">
        <f t="shared" si="1"/>
        <v>0</v>
      </c>
      <c r="AC44" s="25">
        <f>IFERROR(VLOOKUP(AB44,'Puntos XCO'!$A$1:$B$63,2,FALSE),0)</f>
        <v>0</v>
      </c>
      <c r="AD44" s="16"/>
      <c r="AE44" s="15"/>
      <c r="AF44" s="15"/>
      <c r="AG44" s="25"/>
      <c r="AH44" s="27">
        <f t="shared" si="2"/>
        <v>178</v>
      </c>
      <c r="AJ44" s="3"/>
    </row>
    <row r="45" spans="1:36" ht="24.95" customHeight="1">
      <c r="A45" s="3">
        <v>31</v>
      </c>
      <c r="B45" s="3">
        <v>27</v>
      </c>
      <c r="C45" s="115">
        <v>125</v>
      </c>
      <c r="D45" s="23" t="s">
        <v>1049</v>
      </c>
      <c r="E45" s="24" t="s">
        <v>240</v>
      </c>
      <c r="F45" s="3"/>
      <c r="G45" s="15"/>
      <c r="H45" s="3"/>
      <c r="I45" s="25"/>
      <c r="J45" s="33">
        <v>37</v>
      </c>
      <c r="K45" s="22">
        <v>0</v>
      </c>
      <c r="L45" s="22">
        <v>40</v>
      </c>
      <c r="M45" s="34">
        <v>24</v>
      </c>
      <c r="N45" s="26"/>
      <c r="O45" s="3">
        <f>IFERROR(VLOOKUP(N45,'Puntos XCC Menor'!$A$1:$B$15,2,FALSE),0)</f>
        <v>0</v>
      </c>
      <c r="P45" s="3">
        <v>18</v>
      </c>
      <c r="Q45" s="34">
        <f>IFERROR(VLOOKUP(P45,'Puntos XCO'!$A$1:$B$63,2,FALSE),0)</f>
        <v>62</v>
      </c>
      <c r="R45" s="16">
        <v>0</v>
      </c>
      <c r="S45" s="3">
        <f>IFERROR(VLOOKUP(R45,'Puntos XCC Menor'!$A$1:$B$15,2,FALSE),0)</f>
        <v>0</v>
      </c>
      <c r="T45" s="15">
        <v>10</v>
      </c>
      <c r="U45" s="39">
        <f>IFERROR(VLOOKUP(T45,'Puntos XCO'!$A$1:$B$63,2,FALSE),0)</f>
        <v>78</v>
      </c>
      <c r="V45" s="16">
        <v>0</v>
      </c>
      <c r="W45" s="15">
        <f>IFERROR(VLOOKUP(V45,'Puntos XCC Mayor'!$A$1:$B$15,2,FALSE),0)</f>
        <v>0</v>
      </c>
      <c r="X45" s="15">
        <v>0</v>
      </c>
      <c r="Y45" s="25">
        <f>IFERROR(VLOOKUP(X45,'Puntos XCO'!$A$1:$B$63,2,FALSE),0)</f>
        <v>0</v>
      </c>
      <c r="Z45" s="16">
        <f t="shared" si="0"/>
        <v>0</v>
      </c>
      <c r="AA45" s="15">
        <f>IFERROR(VLOOKUP(Z45,'Puntos XCC Mayor'!$A$1:$B$15,2,FALSE),0)</f>
        <v>0</v>
      </c>
      <c r="AB45" s="15">
        <f t="shared" si="1"/>
        <v>0</v>
      </c>
      <c r="AC45" s="25">
        <f>IFERROR(VLOOKUP(AB45,'Puntos XCO'!$A$1:$B$63,2,FALSE),0)</f>
        <v>0</v>
      </c>
      <c r="AD45" s="16"/>
      <c r="AE45" s="15"/>
      <c r="AF45" s="15"/>
      <c r="AG45" s="25"/>
      <c r="AH45" s="27">
        <f t="shared" si="2"/>
        <v>164</v>
      </c>
      <c r="AJ45" s="3"/>
    </row>
    <row r="46" spans="1:36" ht="24.95" customHeight="1">
      <c r="A46" s="3">
        <v>32</v>
      </c>
      <c r="B46" s="3">
        <v>28</v>
      </c>
      <c r="C46" s="115">
        <v>115</v>
      </c>
      <c r="D46" s="23" t="s">
        <v>1039</v>
      </c>
      <c r="E46" s="24" t="s">
        <v>1040</v>
      </c>
      <c r="F46" s="3"/>
      <c r="G46" s="15"/>
      <c r="H46" s="3"/>
      <c r="I46" s="25"/>
      <c r="J46" s="33">
        <v>14</v>
      </c>
      <c r="K46" s="22">
        <v>0</v>
      </c>
      <c r="L46" s="22">
        <v>7</v>
      </c>
      <c r="M46" s="34">
        <v>90</v>
      </c>
      <c r="N46" s="26"/>
      <c r="O46" s="3">
        <f>IFERROR(VLOOKUP(N46,'Puntos XCC Menor'!$A$1:$B$15,2,FALSE),0)</f>
        <v>0</v>
      </c>
      <c r="P46" s="3">
        <v>13</v>
      </c>
      <c r="Q46" s="34">
        <f>IFERROR(VLOOKUP(P46,'Puntos XCO'!$A$1:$B$63,2,FALSE),0)</f>
        <v>72</v>
      </c>
      <c r="R46" s="16">
        <v>0</v>
      </c>
      <c r="S46" s="3">
        <f>IFERROR(VLOOKUP(R46,'Puntos XCC Menor'!$A$1:$B$15,2,FALSE),0)</f>
        <v>0</v>
      </c>
      <c r="T46" s="15">
        <v>0</v>
      </c>
      <c r="U46" s="39">
        <f>IFERROR(VLOOKUP(T46,'Puntos XCO'!$A$1:$B$63,2,FALSE),0)</f>
        <v>0</v>
      </c>
      <c r="V46" s="16">
        <v>0</v>
      </c>
      <c r="W46" s="15">
        <f>IFERROR(VLOOKUP(V46,'Puntos XCC Mayor'!$A$1:$B$15,2,FALSE),0)</f>
        <v>0</v>
      </c>
      <c r="X46" s="15">
        <v>0</v>
      </c>
      <c r="Y46" s="25">
        <f>IFERROR(VLOOKUP(X46,'Puntos XCO'!$A$1:$B$63,2,FALSE),0)</f>
        <v>0</v>
      </c>
      <c r="Z46" s="16">
        <f t="shared" si="0"/>
        <v>0</v>
      </c>
      <c r="AA46" s="15">
        <f>IFERROR(VLOOKUP(Z46,'Puntos XCC Mayor'!$A$1:$B$15,2,FALSE),0)</f>
        <v>0</v>
      </c>
      <c r="AB46" s="15">
        <f t="shared" si="1"/>
        <v>0</v>
      </c>
      <c r="AC46" s="25">
        <f>IFERROR(VLOOKUP(AB46,'Puntos XCO'!$A$1:$B$63,2,FALSE),0)</f>
        <v>0</v>
      </c>
      <c r="AD46" s="16"/>
      <c r="AE46" s="15"/>
      <c r="AF46" s="15"/>
      <c r="AG46" s="25"/>
      <c r="AH46" s="27">
        <f t="shared" si="2"/>
        <v>162</v>
      </c>
      <c r="AJ46" s="3"/>
    </row>
    <row r="47" spans="1:36" ht="24.95" customHeight="1">
      <c r="A47" s="3">
        <v>33</v>
      </c>
      <c r="B47" s="3">
        <v>29</v>
      </c>
      <c r="C47" s="113">
        <v>118</v>
      </c>
      <c r="D47" s="23" t="s">
        <v>1042</v>
      </c>
      <c r="E47" s="24" t="s">
        <v>614</v>
      </c>
      <c r="F47" s="3">
        <v>15</v>
      </c>
      <c r="G47" s="15">
        <v>0</v>
      </c>
      <c r="H47" s="3">
        <v>35</v>
      </c>
      <c r="I47" s="25">
        <v>29</v>
      </c>
      <c r="J47" s="33">
        <v>36</v>
      </c>
      <c r="K47" s="22">
        <v>0</v>
      </c>
      <c r="L47" s="22">
        <v>20</v>
      </c>
      <c r="M47" s="34">
        <v>58</v>
      </c>
      <c r="N47" s="26"/>
      <c r="O47" s="3">
        <f>IFERROR(VLOOKUP(N47,'Puntos XCC Menor'!$A$1:$B$15,2,FALSE),0)</f>
        <v>0</v>
      </c>
      <c r="P47" s="3"/>
      <c r="Q47" s="34">
        <f>IFERROR(VLOOKUP(P47,'Puntos XCO'!$A$1:$B$63,2,FALSE),0)</f>
        <v>0</v>
      </c>
      <c r="R47" s="16">
        <v>0</v>
      </c>
      <c r="S47" s="3">
        <f>IFERROR(VLOOKUP(R47,'Puntos XCC Menor'!$A$1:$B$15,2,FALSE),0)</f>
        <v>0</v>
      </c>
      <c r="T47" s="15">
        <v>0</v>
      </c>
      <c r="U47" s="39">
        <f>IFERROR(VLOOKUP(T47,'Puntos XCO'!$A$1:$B$63,2,FALSE),0)</f>
        <v>0</v>
      </c>
      <c r="V47" s="16">
        <v>17</v>
      </c>
      <c r="W47" s="15">
        <f>IFERROR(VLOOKUP(V47,'Puntos XCC Mayor'!$A$1:$B$15,2,FALSE),0)</f>
        <v>0</v>
      </c>
      <c r="X47" s="15">
        <v>14</v>
      </c>
      <c r="Y47" s="25">
        <f>IFERROR(VLOOKUP(X47,'Puntos XCO'!$A$1:$B$63,2,FALSE),0)</f>
        <v>70</v>
      </c>
      <c r="Z47" s="16">
        <f t="shared" ref="Z47:Z78" si="3">IFERROR(VLOOKUP($C47,RESXCC_1,9,FALSE),0)</f>
        <v>0</v>
      </c>
      <c r="AA47" s="15">
        <f>IFERROR(VLOOKUP(Z47,'Puntos XCC Mayor'!$A$1:$B$15,2,FALSE),0)</f>
        <v>0</v>
      </c>
      <c r="AB47" s="15">
        <f t="shared" ref="AB47:AB78" si="4">IFERROR(VLOOKUP($C47,RESXCO,9,FALSE),0)</f>
        <v>0</v>
      </c>
      <c r="AC47" s="25">
        <f>IFERROR(VLOOKUP(AB47,'Puntos XCO'!$A$1:$B$63,2,FALSE),0)</f>
        <v>0</v>
      </c>
      <c r="AD47" s="16"/>
      <c r="AE47" s="15"/>
      <c r="AF47" s="15"/>
      <c r="AG47" s="25"/>
      <c r="AH47" s="27">
        <f t="shared" ref="AH47:AH78" si="5">G47+I47+K47+M47+O47+Q47+S47+U47+W47+Y47+AA47+AC47+AE47+AG47</f>
        <v>157</v>
      </c>
      <c r="AJ47" s="3"/>
    </row>
    <row r="48" spans="1:36" ht="24.95" customHeight="1">
      <c r="A48" s="3">
        <v>34</v>
      </c>
      <c r="B48" s="3">
        <v>31</v>
      </c>
      <c r="C48" s="113"/>
      <c r="D48" s="23" t="s">
        <v>225</v>
      </c>
      <c r="E48" s="24" t="s">
        <v>84</v>
      </c>
      <c r="F48" s="3">
        <v>6</v>
      </c>
      <c r="G48" s="15">
        <v>5</v>
      </c>
      <c r="H48" s="3">
        <v>9</v>
      </c>
      <c r="I48" s="25">
        <v>80</v>
      </c>
      <c r="J48" s="33">
        <v>18</v>
      </c>
      <c r="K48" s="22">
        <v>0</v>
      </c>
      <c r="L48" s="22">
        <v>18</v>
      </c>
      <c r="M48" s="34">
        <v>62</v>
      </c>
      <c r="N48" s="26"/>
      <c r="O48" s="3">
        <f>IFERROR(VLOOKUP(N48,'Puntos XCC Menor'!$A$1:$B$15,2,FALSE),0)</f>
        <v>0</v>
      </c>
      <c r="P48" s="3"/>
      <c r="Q48" s="34">
        <f>IFERROR(VLOOKUP(P48,'Puntos XCO'!$A$1:$B$63,2,FALSE),0)</f>
        <v>0</v>
      </c>
      <c r="R48" s="16">
        <v>0</v>
      </c>
      <c r="S48" s="3">
        <f>IFERROR(VLOOKUP(R48,'Puntos XCC Menor'!$A$1:$B$15,2,FALSE),0)</f>
        <v>0</v>
      </c>
      <c r="T48" s="15">
        <v>0</v>
      </c>
      <c r="U48" s="39">
        <f>IFERROR(VLOOKUP(T48,'Puntos XCO'!$A$1:$B$63,2,FALSE),0)</f>
        <v>0</v>
      </c>
      <c r="V48" s="16">
        <v>0</v>
      </c>
      <c r="W48" s="15">
        <f>IFERROR(VLOOKUP(V48,'Puntos XCC Mayor'!$A$1:$B$15,2,FALSE),0)</f>
        <v>0</v>
      </c>
      <c r="X48" s="15">
        <v>0</v>
      </c>
      <c r="Y48" s="25">
        <f>IFERROR(VLOOKUP(X48,'Puntos XCO'!$A$1:$B$63,2,FALSE),0)</f>
        <v>0</v>
      </c>
      <c r="Z48" s="16">
        <f t="shared" si="3"/>
        <v>0</v>
      </c>
      <c r="AA48" s="15">
        <f>IFERROR(VLOOKUP(Z48,'Puntos XCC Mayor'!$A$1:$B$15,2,FALSE),0)</f>
        <v>0</v>
      </c>
      <c r="AB48" s="15">
        <f t="shared" si="4"/>
        <v>0</v>
      </c>
      <c r="AC48" s="25">
        <f>IFERROR(VLOOKUP(AB48,'Puntos XCO'!$A$1:$B$63,2,FALSE),0)</f>
        <v>0</v>
      </c>
      <c r="AD48" s="16"/>
      <c r="AE48" s="15"/>
      <c r="AF48" s="15"/>
      <c r="AG48" s="25"/>
      <c r="AH48" s="27">
        <f t="shared" si="5"/>
        <v>147</v>
      </c>
      <c r="AJ48" s="3"/>
    </row>
    <row r="49" spans="1:36" ht="24.95" customHeight="1">
      <c r="A49" s="3">
        <v>35</v>
      </c>
      <c r="B49" s="3">
        <v>34</v>
      </c>
      <c r="C49" s="113"/>
      <c r="D49" s="23" t="s">
        <v>222</v>
      </c>
      <c r="E49" s="24" t="s">
        <v>601</v>
      </c>
      <c r="F49" s="3">
        <v>34</v>
      </c>
      <c r="G49" s="15">
        <v>0</v>
      </c>
      <c r="H49" s="3">
        <v>15</v>
      </c>
      <c r="I49" s="25">
        <v>68</v>
      </c>
      <c r="J49" s="33">
        <v>13</v>
      </c>
      <c r="K49" s="22">
        <v>0</v>
      </c>
      <c r="L49" s="22">
        <v>14</v>
      </c>
      <c r="M49" s="34">
        <v>70</v>
      </c>
      <c r="N49" s="26"/>
      <c r="O49" s="3">
        <f>IFERROR(VLOOKUP(N49,'Puntos XCC Menor'!$A$1:$B$15,2,FALSE),0)</f>
        <v>0</v>
      </c>
      <c r="P49" s="3"/>
      <c r="Q49" s="34">
        <f>IFERROR(VLOOKUP(P49,'Puntos XCO'!$A$1:$B$63,2,FALSE),0)</f>
        <v>0</v>
      </c>
      <c r="R49" s="16">
        <v>0</v>
      </c>
      <c r="S49" s="3">
        <f>IFERROR(VLOOKUP(R49,'Puntos XCC Menor'!$A$1:$B$15,2,FALSE),0)</f>
        <v>0</v>
      </c>
      <c r="T49" s="15">
        <v>0</v>
      </c>
      <c r="U49" s="39">
        <f>IFERROR(VLOOKUP(T49,'Puntos XCO'!$A$1:$B$63,2,FALSE),0)</f>
        <v>0</v>
      </c>
      <c r="V49" s="16">
        <v>0</v>
      </c>
      <c r="W49" s="15">
        <f>IFERROR(VLOOKUP(V49,'Puntos XCC Mayor'!$A$1:$B$15,2,FALSE),0)</f>
        <v>0</v>
      </c>
      <c r="X49" s="15">
        <v>0</v>
      </c>
      <c r="Y49" s="25">
        <f>IFERROR(VLOOKUP(X49,'Puntos XCO'!$A$1:$B$63,2,FALSE),0)</f>
        <v>0</v>
      </c>
      <c r="Z49" s="16">
        <f t="shared" si="3"/>
        <v>0</v>
      </c>
      <c r="AA49" s="15">
        <f>IFERROR(VLOOKUP(Z49,'Puntos XCC Mayor'!$A$1:$B$15,2,FALSE),0)</f>
        <v>0</v>
      </c>
      <c r="AB49" s="15">
        <f t="shared" si="4"/>
        <v>0</v>
      </c>
      <c r="AC49" s="25">
        <f>IFERROR(VLOOKUP(AB49,'Puntos XCO'!$A$1:$B$63,2,FALSE),0)</f>
        <v>0</v>
      </c>
      <c r="AD49" s="16"/>
      <c r="AE49" s="15"/>
      <c r="AF49" s="15"/>
      <c r="AG49" s="25"/>
      <c r="AH49" s="27">
        <f t="shared" si="5"/>
        <v>138</v>
      </c>
      <c r="AJ49" s="3"/>
    </row>
    <row r="50" spans="1:36" s="38" customFormat="1" ht="24.95" customHeight="1">
      <c r="A50" s="3">
        <v>36</v>
      </c>
      <c r="B50" s="3">
        <v>36</v>
      </c>
      <c r="C50" s="118">
        <v>102</v>
      </c>
      <c r="D50" s="23" t="s">
        <v>1028</v>
      </c>
      <c r="E50" s="24" t="s">
        <v>1029</v>
      </c>
      <c r="F50" s="3"/>
      <c r="G50" s="15"/>
      <c r="H50" s="3"/>
      <c r="I50" s="25"/>
      <c r="J50" s="33"/>
      <c r="K50" s="22"/>
      <c r="L50" s="22"/>
      <c r="M50" s="34"/>
      <c r="N50" s="26"/>
      <c r="O50" s="3">
        <f>IFERROR(VLOOKUP(N50,'Puntos XCC Menor'!$A$1:$B$15,2,FALSE),0)</f>
        <v>0</v>
      </c>
      <c r="P50" s="3">
        <v>3</v>
      </c>
      <c r="Q50" s="34">
        <f>IFERROR(VLOOKUP(P50,'Puntos XCO'!$A$1:$B$63,2,FALSE),0)</f>
        <v>120</v>
      </c>
      <c r="R50" s="16">
        <v>0</v>
      </c>
      <c r="S50" s="3">
        <f>IFERROR(VLOOKUP(R50,'Puntos XCC Menor'!$A$1:$B$15,2,FALSE),0)</f>
        <v>0</v>
      </c>
      <c r="T50" s="15">
        <v>0</v>
      </c>
      <c r="U50" s="39">
        <f>IFERROR(VLOOKUP(T50,'Puntos XCO'!$A$1:$B$63,2,FALSE),0)</f>
        <v>0</v>
      </c>
      <c r="V50" s="16">
        <v>0</v>
      </c>
      <c r="W50" s="15">
        <f>IFERROR(VLOOKUP(V50,'Puntos XCC Mayor'!$A$1:$B$15,2,FALSE),0)</f>
        <v>0</v>
      </c>
      <c r="X50" s="15">
        <v>0</v>
      </c>
      <c r="Y50" s="25">
        <f>IFERROR(VLOOKUP(X50,'Puntos XCO'!$A$1:$B$63,2,FALSE),0)</f>
        <v>0</v>
      </c>
      <c r="Z50" s="16">
        <f t="shared" si="3"/>
        <v>0</v>
      </c>
      <c r="AA50" s="15">
        <f>IFERROR(VLOOKUP(Z50,'Puntos XCC Mayor'!$A$1:$B$15,2,FALSE),0)</f>
        <v>0</v>
      </c>
      <c r="AB50" s="15">
        <f t="shared" si="4"/>
        <v>0</v>
      </c>
      <c r="AC50" s="25">
        <f>IFERROR(VLOOKUP(AB50,'Puntos XCO'!$A$1:$B$63,2,FALSE),0)</f>
        <v>0</v>
      </c>
      <c r="AD50" s="16"/>
      <c r="AE50" s="15"/>
      <c r="AF50" s="15"/>
      <c r="AG50" s="25"/>
      <c r="AH50" s="27">
        <f t="shared" si="5"/>
        <v>120</v>
      </c>
      <c r="AJ50" s="3"/>
    </row>
    <row r="51" spans="1:36" ht="24.95" customHeight="1">
      <c r="A51" s="3">
        <v>37</v>
      </c>
      <c r="B51" s="3">
        <v>37</v>
      </c>
      <c r="C51" s="113"/>
      <c r="D51" s="23" t="s">
        <v>607</v>
      </c>
      <c r="E51" s="24" t="s">
        <v>85</v>
      </c>
      <c r="F51" s="3">
        <v>31</v>
      </c>
      <c r="G51" s="15">
        <v>0</v>
      </c>
      <c r="H51" s="3">
        <v>25</v>
      </c>
      <c r="I51" s="25">
        <v>48</v>
      </c>
      <c r="J51" s="33">
        <v>21</v>
      </c>
      <c r="K51" s="22">
        <v>0</v>
      </c>
      <c r="L51" s="22">
        <v>15</v>
      </c>
      <c r="M51" s="34">
        <v>68</v>
      </c>
      <c r="N51" s="26"/>
      <c r="O51" s="3">
        <f>IFERROR(VLOOKUP(N51,'Puntos XCC Menor'!$A$1:$B$15,2,FALSE),0)</f>
        <v>0</v>
      </c>
      <c r="P51" s="3"/>
      <c r="Q51" s="34">
        <f>IFERROR(VLOOKUP(P51,'Puntos XCO'!$A$1:$B$63,2,FALSE),0)</f>
        <v>0</v>
      </c>
      <c r="R51" s="16">
        <v>0</v>
      </c>
      <c r="S51" s="3">
        <f>IFERROR(VLOOKUP(R51,'Puntos XCC Menor'!$A$1:$B$15,2,FALSE),0)</f>
        <v>0</v>
      </c>
      <c r="T51" s="15">
        <v>0</v>
      </c>
      <c r="U51" s="39">
        <f>IFERROR(VLOOKUP(T51,'Puntos XCO'!$A$1:$B$63,2,FALSE),0)</f>
        <v>0</v>
      </c>
      <c r="V51" s="16">
        <v>0</v>
      </c>
      <c r="W51" s="15">
        <f>IFERROR(VLOOKUP(V51,'Puntos XCC Mayor'!$A$1:$B$15,2,FALSE),0)</f>
        <v>0</v>
      </c>
      <c r="X51" s="15">
        <v>0</v>
      </c>
      <c r="Y51" s="25">
        <f>IFERROR(VLOOKUP(X51,'Puntos XCO'!$A$1:$B$63,2,FALSE),0)</f>
        <v>0</v>
      </c>
      <c r="Z51" s="16">
        <f t="shared" si="3"/>
        <v>0</v>
      </c>
      <c r="AA51" s="15">
        <f>IFERROR(VLOOKUP(Z51,'Puntos XCC Mayor'!$A$1:$B$15,2,FALSE),0)</f>
        <v>0</v>
      </c>
      <c r="AB51" s="15">
        <f t="shared" si="4"/>
        <v>0</v>
      </c>
      <c r="AC51" s="25">
        <f>IFERROR(VLOOKUP(AB51,'Puntos XCO'!$A$1:$B$63,2,FALSE),0)</f>
        <v>0</v>
      </c>
      <c r="AD51" s="16"/>
      <c r="AE51" s="15"/>
      <c r="AF51" s="15"/>
      <c r="AG51" s="25"/>
      <c r="AH51" s="27">
        <f t="shared" si="5"/>
        <v>116</v>
      </c>
      <c r="AJ51" s="3"/>
    </row>
    <row r="52" spans="1:36" ht="24.95" customHeight="1">
      <c r="A52" s="3">
        <v>38</v>
      </c>
      <c r="B52" s="3">
        <v>38</v>
      </c>
      <c r="C52" s="115">
        <v>171</v>
      </c>
      <c r="D52" s="23" t="str">
        <f>VLOOKUP(C52,PLANILLA,2,FALSE)</f>
        <v>MORA Jeferson*</v>
      </c>
      <c r="E52" s="24" t="str">
        <f>VLOOKUP(C52,PLANILLA,4,FALSE)</f>
        <v xml:space="preserve">PZ CYCLING TEAM </v>
      </c>
      <c r="F52" s="3"/>
      <c r="G52" s="15"/>
      <c r="H52" s="3"/>
      <c r="I52" s="25"/>
      <c r="J52" s="33"/>
      <c r="K52" s="22"/>
      <c r="L52" s="22"/>
      <c r="M52" s="34"/>
      <c r="N52" s="26"/>
      <c r="O52" s="3"/>
      <c r="P52" s="3"/>
      <c r="Q52" s="34"/>
      <c r="R52" s="16"/>
      <c r="S52" s="3"/>
      <c r="T52" s="15"/>
      <c r="U52" s="39"/>
      <c r="V52" s="16">
        <v>4</v>
      </c>
      <c r="W52" s="15">
        <f>IFERROR(VLOOKUP(V52,'Puntos XCC Mayor'!$A$1:$B$15,2,FALSE),0)</f>
        <v>14</v>
      </c>
      <c r="X52" s="15">
        <v>7</v>
      </c>
      <c r="Y52" s="25">
        <f>IFERROR(VLOOKUP(X52,'Puntos XCO'!$A$1:$B$63,2,FALSE),0)</f>
        <v>90</v>
      </c>
      <c r="Z52" s="16">
        <f t="shared" si="3"/>
        <v>0</v>
      </c>
      <c r="AA52" s="15">
        <f>IFERROR(VLOOKUP(Z52,'Puntos XCC Mayor'!$A$1:$B$15,2,FALSE),0)</f>
        <v>0</v>
      </c>
      <c r="AB52" s="15">
        <f t="shared" si="4"/>
        <v>0</v>
      </c>
      <c r="AC52" s="25">
        <f>IFERROR(VLOOKUP(AB52,'Puntos XCO'!$A$1:$B$63,2,FALSE),0)</f>
        <v>0</v>
      </c>
      <c r="AD52" s="16"/>
      <c r="AE52" s="15"/>
      <c r="AF52" s="15"/>
      <c r="AG52" s="25"/>
      <c r="AH52" s="27">
        <f t="shared" si="5"/>
        <v>104</v>
      </c>
      <c r="AJ52" s="3"/>
    </row>
    <row r="53" spans="1:36" ht="24.95" customHeight="1">
      <c r="A53" s="3">
        <v>39</v>
      </c>
      <c r="B53" s="3">
        <v>39</v>
      </c>
      <c r="C53" s="113">
        <v>168</v>
      </c>
      <c r="D53" s="23" t="s">
        <v>233</v>
      </c>
      <c r="E53" s="24" t="s">
        <v>234</v>
      </c>
      <c r="F53" s="3">
        <v>25</v>
      </c>
      <c r="G53" s="15">
        <v>0</v>
      </c>
      <c r="H53" s="3">
        <v>22</v>
      </c>
      <c r="I53" s="25">
        <v>54</v>
      </c>
      <c r="J53" s="33">
        <v>0</v>
      </c>
      <c r="K53" s="22">
        <v>0</v>
      </c>
      <c r="L53" s="22">
        <v>0</v>
      </c>
      <c r="M53" s="34">
        <v>0</v>
      </c>
      <c r="N53" s="26"/>
      <c r="O53" s="3">
        <f>IFERROR(VLOOKUP(N53,'Puntos XCC Menor'!$A$1:$B$15,2,FALSE),0)</f>
        <v>0</v>
      </c>
      <c r="P53" s="3"/>
      <c r="Q53" s="34">
        <f>IFERROR(VLOOKUP(P53,'Puntos XCO'!$A$1:$B$63,2,FALSE),0)</f>
        <v>0</v>
      </c>
      <c r="R53" s="16">
        <v>0</v>
      </c>
      <c r="S53" s="3">
        <f>IFERROR(VLOOKUP(R53,'Puntos XCC Menor'!$A$1:$B$15,2,FALSE),0)</f>
        <v>0</v>
      </c>
      <c r="T53" s="15">
        <v>0</v>
      </c>
      <c r="U53" s="39">
        <f>IFERROR(VLOOKUP(T53,'Puntos XCO'!$A$1:$B$63,2,FALSE),0)</f>
        <v>0</v>
      </c>
      <c r="V53" s="16">
        <v>24</v>
      </c>
      <c r="W53" s="15">
        <f>IFERROR(VLOOKUP(V53,'Puntos XCC Mayor'!$A$1:$B$15,2,FALSE),0)</f>
        <v>0</v>
      </c>
      <c r="X53" s="15">
        <v>25</v>
      </c>
      <c r="Y53" s="25">
        <f>IFERROR(VLOOKUP(X53,'Puntos XCO'!$A$1:$B$63,2,FALSE),0)</f>
        <v>48</v>
      </c>
      <c r="Z53" s="16">
        <f t="shared" si="3"/>
        <v>0</v>
      </c>
      <c r="AA53" s="15">
        <f>IFERROR(VLOOKUP(Z53,'Puntos XCC Mayor'!$A$1:$B$15,2,FALSE),0)</f>
        <v>0</v>
      </c>
      <c r="AB53" s="15">
        <f t="shared" si="4"/>
        <v>0</v>
      </c>
      <c r="AC53" s="25">
        <f>IFERROR(VLOOKUP(AB53,'Puntos XCO'!$A$1:$B$63,2,FALSE),0)</f>
        <v>0</v>
      </c>
      <c r="AD53" s="16"/>
      <c r="AE53" s="15"/>
      <c r="AF53" s="15"/>
      <c r="AG53" s="25"/>
      <c r="AH53" s="27">
        <f t="shared" si="5"/>
        <v>102</v>
      </c>
      <c r="AJ53" s="3"/>
    </row>
    <row r="54" spans="1:36" ht="24.95" customHeight="1">
      <c r="A54" s="3">
        <v>40</v>
      </c>
      <c r="B54" s="3">
        <v>56</v>
      </c>
      <c r="C54" s="115">
        <v>164</v>
      </c>
      <c r="D54" s="23" t="str">
        <f>VLOOKUP(C54,PLANILLA,2,FALSE)</f>
        <v>SANCHES Bruce sanche mendenz</v>
      </c>
      <c r="E54" s="24" t="str">
        <f>VLOOKUP(C54,PLANILLA,4,FALSE)</f>
        <v>Acisa sarapiqui</v>
      </c>
      <c r="F54" s="3"/>
      <c r="G54" s="15"/>
      <c r="H54" s="3"/>
      <c r="I54" s="25"/>
      <c r="J54" s="33"/>
      <c r="K54" s="22"/>
      <c r="L54" s="22"/>
      <c r="M54" s="34"/>
      <c r="N54" s="26"/>
      <c r="O54" s="3"/>
      <c r="P54" s="3"/>
      <c r="Q54" s="34"/>
      <c r="R54" s="16">
        <v>19</v>
      </c>
      <c r="S54" s="3">
        <f>IFERROR(VLOOKUP(R54,'Puntos XCC Menor'!$A$1:$B$15,2,FALSE),0)</f>
        <v>0</v>
      </c>
      <c r="T54" s="15">
        <v>0</v>
      </c>
      <c r="U54" s="39">
        <f>IFERROR(VLOOKUP(T54,'Puntos XCO'!$A$1:$B$63,2,FALSE),0)</f>
        <v>0</v>
      </c>
      <c r="V54" s="16">
        <v>29</v>
      </c>
      <c r="W54" s="15">
        <f>IFERROR(VLOOKUP(V54,'Puntos XCC Mayor'!$A$1:$B$15,2,FALSE),0)</f>
        <v>0</v>
      </c>
      <c r="X54" s="15">
        <v>31</v>
      </c>
      <c r="Y54" s="25">
        <f>IFERROR(VLOOKUP(X54,'Puntos XCO'!$A$1:$B$63,2,FALSE),0)</f>
        <v>36</v>
      </c>
      <c r="Z54" s="16">
        <f t="shared" si="3"/>
        <v>21</v>
      </c>
      <c r="AA54" s="15">
        <f>IFERROR(VLOOKUP(Z54,'Puntos XCC Mayor'!$A$1:$B$15,2,FALSE),0)</f>
        <v>0</v>
      </c>
      <c r="AB54" s="15">
        <f t="shared" si="4"/>
        <v>20</v>
      </c>
      <c r="AC54" s="25">
        <f>IFERROR(VLOOKUP(AB54,'Puntos XCO'!$A$1:$B$63,2,FALSE),0)</f>
        <v>58</v>
      </c>
      <c r="AD54" s="16"/>
      <c r="AE54" s="15"/>
      <c r="AF54" s="15"/>
      <c r="AG54" s="25"/>
      <c r="AH54" s="27">
        <f t="shared" si="5"/>
        <v>94</v>
      </c>
      <c r="AJ54" s="3"/>
    </row>
    <row r="55" spans="1:36" ht="24.95" customHeight="1">
      <c r="A55" s="3">
        <v>41</v>
      </c>
      <c r="B55" s="3">
        <v>40</v>
      </c>
      <c r="C55" s="118">
        <v>111</v>
      </c>
      <c r="D55" s="23" t="s">
        <v>1034</v>
      </c>
      <c r="E55" s="24" t="s">
        <v>1035</v>
      </c>
      <c r="F55" s="3"/>
      <c r="G55" s="15"/>
      <c r="H55" s="3"/>
      <c r="I55" s="25"/>
      <c r="J55" s="33"/>
      <c r="K55" s="22"/>
      <c r="L55" s="22"/>
      <c r="M55" s="34"/>
      <c r="N55" s="26"/>
      <c r="O55" s="3">
        <f>IFERROR(VLOOKUP(N55,'Puntos XCC Menor'!$A$1:$B$15,2,FALSE),0)</f>
        <v>0</v>
      </c>
      <c r="P55" s="3">
        <v>7</v>
      </c>
      <c r="Q55" s="34">
        <f>IFERROR(VLOOKUP(P55,'Puntos XCO'!$A$1:$B$63,2,FALSE),0)</f>
        <v>90</v>
      </c>
      <c r="R55" s="16">
        <v>0</v>
      </c>
      <c r="S55" s="3">
        <f>IFERROR(VLOOKUP(R55,'Puntos XCC Menor'!$A$1:$B$15,2,FALSE),0)</f>
        <v>0</v>
      </c>
      <c r="T55" s="15">
        <v>0</v>
      </c>
      <c r="U55" s="39">
        <f>IFERROR(VLOOKUP(T55,'Puntos XCO'!$A$1:$B$63,2,FALSE),0)</f>
        <v>0</v>
      </c>
      <c r="V55" s="16">
        <v>0</v>
      </c>
      <c r="W55" s="15">
        <f>IFERROR(VLOOKUP(V55,'Puntos XCC Mayor'!$A$1:$B$15,2,FALSE),0)</f>
        <v>0</v>
      </c>
      <c r="X55" s="15">
        <v>0</v>
      </c>
      <c r="Y55" s="25">
        <f>IFERROR(VLOOKUP(X55,'Puntos XCO'!$A$1:$B$63,2,FALSE),0)</f>
        <v>0</v>
      </c>
      <c r="Z55" s="16">
        <f t="shared" si="3"/>
        <v>0</v>
      </c>
      <c r="AA55" s="15">
        <f>IFERROR(VLOOKUP(Z55,'Puntos XCC Mayor'!$A$1:$B$15,2,FALSE),0)</f>
        <v>0</v>
      </c>
      <c r="AB55" s="15">
        <f t="shared" si="4"/>
        <v>0</v>
      </c>
      <c r="AC55" s="25">
        <f>IFERROR(VLOOKUP(AB55,'Puntos XCO'!$A$1:$B$63,2,FALSE),0)</f>
        <v>0</v>
      </c>
      <c r="AD55" s="16"/>
      <c r="AE55" s="15"/>
      <c r="AF55" s="15"/>
      <c r="AG55" s="25"/>
      <c r="AH55" s="27">
        <f t="shared" si="5"/>
        <v>90</v>
      </c>
      <c r="AJ55" s="3"/>
    </row>
    <row r="56" spans="1:36" ht="24.95" customHeight="1">
      <c r="A56" s="3">
        <v>42</v>
      </c>
      <c r="B56" s="3">
        <v>41</v>
      </c>
      <c r="C56" s="113"/>
      <c r="D56" s="23" t="s">
        <v>608</v>
      </c>
      <c r="E56" s="24" t="s">
        <v>108</v>
      </c>
      <c r="F56" s="3">
        <v>37</v>
      </c>
      <c r="G56" s="15">
        <v>0</v>
      </c>
      <c r="H56" s="3">
        <v>26</v>
      </c>
      <c r="I56" s="25">
        <v>46</v>
      </c>
      <c r="J56" s="33">
        <v>32</v>
      </c>
      <c r="K56" s="22">
        <v>0</v>
      </c>
      <c r="L56" s="22">
        <v>28</v>
      </c>
      <c r="M56" s="34">
        <v>42</v>
      </c>
      <c r="N56" s="26"/>
      <c r="O56" s="3">
        <f>IFERROR(VLOOKUP(N56,'Puntos XCC Menor'!$A$1:$B$15,2,FALSE),0)</f>
        <v>0</v>
      </c>
      <c r="P56" s="3"/>
      <c r="Q56" s="34">
        <f>IFERROR(VLOOKUP(P56,'Puntos XCO'!$A$1:$B$63,2,FALSE),0)</f>
        <v>0</v>
      </c>
      <c r="R56" s="16">
        <v>0</v>
      </c>
      <c r="S56" s="3">
        <f>IFERROR(VLOOKUP(R56,'Puntos XCC Menor'!$A$1:$B$15,2,FALSE),0)</f>
        <v>0</v>
      </c>
      <c r="T56" s="15">
        <v>0</v>
      </c>
      <c r="U56" s="39">
        <f>IFERROR(VLOOKUP(T56,'Puntos XCO'!$A$1:$B$63,2,FALSE),0)</f>
        <v>0</v>
      </c>
      <c r="V56" s="16">
        <v>0</v>
      </c>
      <c r="W56" s="15">
        <f>IFERROR(VLOOKUP(V56,'Puntos XCC Mayor'!$A$1:$B$15,2,FALSE),0)</f>
        <v>0</v>
      </c>
      <c r="X56" s="15">
        <v>0</v>
      </c>
      <c r="Y56" s="25">
        <f>IFERROR(VLOOKUP(X56,'Puntos XCO'!$A$1:$B$63,2,FALSE),0)</f>
        <v>0</v>
      </c>
      <c r="Z56" s="16">
        <f t="shared" si="3"/>
        <v>0</v>
      </c>
      <c r="AA56" s="15">
        <f>IFERROR(VLOOKUP(Z56,'Puntos XCC Mayor'!$A$1:$B$15,2,FALSE),0)</f>
        <v>0</v>
      </c>
      <c r="AB56" s="15">
        <f t="shared" si="4"/>
        <v>0</v>
      </c>
      <c r="AC56" s="25">
        <f>IFERROR(VLOOKUP(AB56,'Puntos XCO'!$A$1:$B$63,2,FALSE),0)</f>
        <v>0</v>
      </c>
      <c r="AD56" s="16"/>
      <c r="AE56" s="15"/>
      <c r="AF56" s="15"/>
      <c r="AG56" s="25"/>
      <c r="AH56" s="27">
        <f t="shared" si="5"/>
        <v>88</v>
      </c>
      <c r="AJ56" s="3"/>
    </row>
    <row r="57" spans="1:36" ht="24.95" customHeight="1">
      <c r="A57" s="3">
        <v>43</v>
      </c>
      <c r="B57" s="3">
        <v>42</v>
      </c>
      <c r="C57" s="118">
        <v>117</v>
      </c>
      <c r="D57" s="23" t="s">
        <v>1041</v>
      </c>
      <c r="E57" s="24" t="s">
        <v>1024</v>
      </c>
      <c r="F57" s="3"/>
      <c r="G57" s="15"/>
      <c r="H57" s="3"/>
      <c r="I57" s="25"/>
      <c r="J57" s="33"/>
      <c r="K57" s="22"/>
      <c r="L57" s="22"/>
      <c r="M57" s="34"/>
      <c r="N57" s="26"/>
      <c r="O57" s="3">
        <f>IFERROR(VLOOKUP(N57,'Puntos XCC Menor'!$A$1:$B$15,2,FALSE),0)</f>
        <v>0</v>
      </c>
      <c r="P57" s="3">
        <v>8</v>
      </c>
      <c r="Q57" s="34">
        <f>IFERROR(VLOOKUP(P57,'Puntos XCO'!$A$1:$B$63,2,FALSE),0)</f>
        <v>85</v>
      </c>
      <c r="R57" s="16">
        <v>0</v>
      </c>
      <c r="S57" s="3">
        <f>IFERROR(VLOOKUP(R57,'Puntos XCC Menor'!$A$1:$B$15,2,FALSE),0)</f>
        <v>0</v>
      </c>
      <c r="T57" s="15">
        <v>0</v>
      </c>
      <c r="U57" s="39">
        <f>IFERROR(VLOOKUP(T57,'Puntos XCO'!$A$1:$B$63,2,FALSE),0)</f>
        <v>0</v>
      </c>
      <c r="V57" s="16">
        <v>0</v>
      </c>
      <c r="W57" s="15">
        <f>IFERROR(VLOOKUP(V57,'Puntos XCC Mayor'!$A$1:$B$15,2,FALSE),0)</f>
        <v>0</v>
      </c>
      <c r="X57" s="15">
        <v>0</v>
      </c>
      <c r="Y57" s="25">
        <f>IFERROR(VLOOKUP(X57,'Puntos XCO'!$A$1:$B$63,2,FALSE),0)</f>
        <v>0</v>
      </c>
      <c r="Z57" s="16">
        <f t="shared" si="3"/>
        <v>0</v>
      </c>
      <c r="AA57" s="15">
        <f>IFERROR(VLOOKUP(Z57,'Puntos XCC Mayor'!$A$1:$B$15,2,FALSE),0)</f>
        <v>0</v>
      </c>
      <c r="AB57" s="15">
        <f t="shared" si="4"/>
        <v>0</v>
      </c>
      <c r="AC57" s="25">
        <f>IFERROR(VLOOKUP(AB57,'Puntos XCO'!$A$1:$B$63,2,FALSE),0)</f>
        <v>0</v>
      </c>
      <c r="AD57" s="16"/>
      <c r="AE57" s="15"/>
      <c r="AF57" s="15"/>
      <c r="AG57" s="25"/>
      <c r="AH57" s="27">
        <f t="shared" si="5"/>
        <v>85</v>
      </c>
      <c r="AJ57" s="3"/>
    </row>
    <row r="58" spans="1:36" ht="24.95" customHeight="1">
      <c r="A58" s="3">
        <v>44</v>
      </c>
      <c r="B58" s="3">
        <v>43</v>
      </c>
      <c r="C58" s="113"/>
      <c r="D58" s="23" t="s">
        <v>226</v>
      </c>
      <c r="E58" s="24" t="s">
        <v>84</v>
      </c>
      <c r="F58" s="3">
        <v>14</v>
      </c>
      <c r="G58" s="15">
        <v>0</v>
      </c>
      <c r="H58" s="3">
        <v>8</v>
      </c>
      <c r="I58" s="25">
        <v>85</v>
      </c>
      <c r="J58" s="33">
        <v>0</v>
      </c>
      <c r="K58" s="22">
        <v>0</v>
      </c>
      <c r="L58" s="22">
        <v>0</v>
      </c>
      <c r="M58" s="34">
        <v>0</v>
      </c>
      <c r="N58" s="26"/>
      <c r="O58" s="3">
        <f>IFERROR(VLOOKUP(N58,'Puntos XCC Menor'!$A$1:$B$15,2,FALSE),0)</f>
        <v>0</v>
      </c>
      <c r="P58" s="3"/>
      <c r="Q58" s="34">
        <f>IFERROR(VLOOKUP(P58,'Puntos XCO'!$A$1:$B$63,2,FALSE),0)</f>
        <v>0</v>
      </c>
      <c r="R58" s="16">
        <v>0</v>
      </c>
      <c r="S58" s="3">
        <f>IFERROR(VLOOKUP(R58,'Puntos XCC Menor'!$A$1:$B$15,2,FALSE),0)</f>
        <v>0</v>
      </c>
      <c r="T58" s="15">
        <v>0</v>
      </c>
      <c r="U58" s="39">
        <f>IFERROR(VLOOKUP(T58,'Puntos XCO'!$A$1:$B$63,2,FALSE),0)</f>
        <v>0</v>
      </c>
      <c r="V58" s="16">
        <v>0</v>
      </c>
      <c r="W58" s="15">
        <f>IFERROR(VLOOKUP(V58,'Puntos XCC Mayor'!$A$1:$B$15,2,FALSE),0)</f>
        <v>0</v>
      </c>
      <c r="X58" s="15">
        <v>0</v>
      </c>
      <c r="Y58" s="25">
        <f>IFERROR(VLOOKUP(X58,'Puntos XCO'!$A$1:$B$63,2,FALSE),0)</f>
        <v>0</v>
      </c>
      <c r="Z58" s="16">
        <f t="shared" si="3"/>
        <v>0</v>
      </c>
      <c r="AA58" s="15">
        <f>IFERROR(VLOOKUP(Z58,'Puntos XCC Mayor'!$A$1:$B$15,2,FALSE),0)</f>
        <v>0</v>
      </c>
      <c r="AB58" s="15">
        <f t="shared" si="4"/>
        <v>0</v>
      </c>
      <c r="AC58" s="25">
        <f>IFERROR(VLOOKUP(AB58,'Puntos XCO'!$A$1:$B$63,2,FALSE),0)</f>
        <v>0</v>
      </c>
      <c r="AD58" s="16"/>
      <c r="AE58" s="15"/>
      <c r="AF58" s="15"/>
      <c r="AG58" s="25"/>
      <c r="AH58" s="27">
        <f t="shared" si="5"/>
        <v>85</v>
      </c>
      <c r="AJ58" s="3"/>
    </row>
    <row r="59" spans="1:36" ht="24.95" customHeight="1">
      <c r="A59" s="3">
        <v>45</v>
      </c>
      <c r="B59" s="3">
        <v>44</v>
      </c>
      <c r="C59" s="113">
        <v>124</v>
      </c>
      <c r="D59" s="23" t="s">
        <v>213</v>
      </c>
      <c r="E59" s="24" t="s">
        <v>1048</v>
      </c>
      <c r="F59" s="3">
        <v>36</v>
      </c>
      <c r="G59" s="15">
        <v>0</v>
      </c>
      <c r="H59" s="3">
        <v>0</v>
      </c>
      <c r="I59" s="25">
        <v>0</v>
      </c>
      <c r="J59" s="33">
        <v>35</v>
      </c>
      <c r="K59" s="22">
        <v>0</v>
      </c>
      <c r="L59" s="22">
        <v>34</v>
      </c>
      <c r="M59" s="34">
        <v>30</v>
      </c>
      <c r="N59" s="26"/>
      <c r="O59" s="3">
        <f>IFERROR(VLOOKUP(N59,'Puntos XCC Menor'!$A$1:$B$15,2,FALSE),0)</f>
        <v>0</v>
      </c>
      <c r="P59" s="3"/>
      <c r="Q59" s="34">
        <f>IFERROR(VLOOKUP(P59,'Puntos XCO'!$A$1:$B$63,2,FALSE),0)</f>
        <v>0</v>
      </c>
      <c r="R59" s="16">
        <v>0</v>
      </c>
      <c r="S59" s="3">
        <f>IFERROR(VLOOKUP(R59,'Puntos XCC Menor'!$A$1:$B$15,2,FALSE),0)</f>
        <v>0</v>
      </c>
      <c r="T59" s="15">
        <v>0</v>
      </c>
      <c r="U59" s="39">
        <f>IFERROR(VLOOKUP(T59,'Puntos XCO'!$A$1:$B$63,2,FALSE),0)</f>
        <v>0</v>
      </c>
      <c r="V59" s="16">
        <v>20</v>
      </c>
      <c r="W59" s="15">
        <f>IFERROR(VLOOKUP(V59,'Puntos XCC Mayor'!$A$1:$B$15,2,FALSE),0)</f>
        <v>0</v>
      </c>
      <c r="X59" s="15">
        <v>22</v>
      </c>
      <c r="Y59" s="25">
        <f>IFERROR(VLOOKUP(X59,'Puntos XCO'!$A$1:$B$63,2,FALSE),0)</f>
        <v>54</v>
      </c>
      <c r="Z59" s="16">
        <f t="shared" si="3"/>
        <v>0</v>
      </c>
      <c r="AA59" s="15">
        <f>IFERROR(VLOOKUP(Z59,'Puntos XCC Mayor'!$A$1:$B$15,2,FALSE),0)</f>
        <v>0</v>
      </c>
      <c r="AB59" s="15">
        <f t="shared" si="4"/>
        <v>0</v>
      </c>
      <c r="AC59" s="25">
        <f>IFERROR(VLOOKUP(AB59,'Puntos XCO'!$A$1:$B$63,2,FALSE),0)</f>
        <v>0</v>
      </c>
      <c r="AD59" s="16"/>
      <c r="AE59" s="15"/>
      <c r="AF59" s="15"/>
      <c r="AG59" s="25"/>
      <c r="AH59" s="27">
        <f t="shared" si="5"/>
        <v>84</v>
      </c>
      <c r="AJ59" s="3"/>
    </row>
    <row r="60" spans="1:36" ht="24.95" customHeight="1">
      <c r="A60" s="3">
        <v>46</v>
      </c>
      <c r="B60" s="3">
        <v>45</v>
      </c>
      <c r="C60" s="118">
        <v>123</v>
      </c>
      <c r="D60" s="23" t="s">
        <v>1046</v>
      </c>
      <c r="E60" s="24" t="s">
        <v>1047</v>
      </c>
      <c r="F60" s="3"/>
      <c r="G60" s="15"/>
      <c r="H60" s="3"/>
      <c r="I60" s="25"/>
      <c r="J60" s="33"/>
      <c r="K60" s="22"/>
      <c r="L60" s="22"/>
      <c r="M60" s="34"/>
      <c r="N60" s="26"/>
      <c r="O60" s="3">
        <f>IFERROR(VLOOKUP(N60,'Puntos XCC Menor'!$A$1:$B$15,2,FALSE),0)</f>
        <v>0</v>
      </c>
      <c r="P60" s="3">
        <v>10</v>
      </c>
      <c r="Q60" s="34">
        <f>IFERROR(VLOOKUP(P60,'Puntos XCO'!$A$1:$B$63,2,FALSE),0)</f>
        <v>78</v>
      </c>
      <c r="R60" s="16">
        <v>0</v>
      </c>
      <c r="S60" s="3">
        <f>IFERROR(VLOOKUP(R60,'Puntos XCC Menor'!$A$1:$B$15,2,FALSE),0)</f>
        <v>0</v>
      </c>
      <c r="T60" s="15">
        <v>0</v>
      </c>
      <c r="U60" s="39">
        <f>IFERROR(VLOOKUP(T60,'Puntos XCO'!$A$1:$B$63,2,FALSE),0)</f>
        <v>0</v>
      </c>
      <c r="V60" s="16">
        <v>0</v>
      </c>
      <c r="W60" s="15">
        <f>IFERROR(VLOOKUP(V60,'Puntos XCC Mayor'!$A$1:$B$15,2,FALSE),0)</f>
        <v>0</v>
      </c>
      <c r="X60" s="15">
        <v>0</v>
      </c>
      <c r="Y60" s="25">
        <f>IFERROR(VLOOKUP(X60,'Puntos XCO'!$A$1:$B$63,2,FALSE),0)</f>
        <v>0</v>
      </c>
      <c r="Z60" s="16">
        <f t="shared" si="3"/>
        <v>0</v>
      </c>
      <c r="AA60" s="15">
        <f>IFERROR(VLOOKUP(Z60,'Puntos XCC Mayor'!$A$1:$B$15,2,FALSE),0)</f>
        <v>0</v>
      </c>
      <c r="AB60" s="15">
        <f t="shared" si="4"/>
        <v>0</v>
      </c>
      <c r="AC60" s="25">
        <f>IFERROR(VLOOKUP(AB60,'Puntos XCO'!$A$1:$B$63,2,FALSE),0)</f>
        <v>0</v>
      </c>
      <c r="AD60" s="16"/>
      <c r="AE60" s="15"/>
      <c r="AF60" s="15"/>
      <c r="AG60" s="25"/>
      <c r="AH60" s="27">
        <f t="shared" si="5"/>
        <v>78</v>
      </c>
      <c r="AJ60" s="3"/>
    </row>
    <row r="61" spans="1:36" ht="24.95" customHeight="1">
      <c r="A61" s="3">
        <v>47</v>
      </c>
      <c r="B61" s="3">
        <v>46</v>
      </c>
      <c r="C61" s="115">
        <v>170</v>
      </c>
      <c r="D61" s="23" t="str">
        <f>VLOOKUP(C61,PLANILLA,2,FALSE)</f>
        <v>PEREIRA Keiner*</v>
      </c>
      <c r="E61" s="24" t="str">
        <f>VLOOKUP(C61,PLANILLA,4,FALSE)</f>
        <v>TEAM TIERNITICOS-ELKY FERRETERÍA BIORACER</v>
      </c>
      <c r="F61" s="3"/>
      <c r="G61" s="15"/>
      <c r="H61" s="3"/>
      <c r="I61" s="25"/>
      <c r="J61" s="33"/>
      <c r="K61" s="22"/>
      <c r="L61" s="22"/>
      <c r="M61" s="34"/>
      <c r="N61" s="26"/>
      <c r="O61" s="3"/>
      <c r="P61" s="3"/>
      <c r="Q61" s="34"/>
      <c r="R61" s="16"/>
      <c r="S61" s="3"/>
      <c r="T61" s="15"/>
      <c r="U61" s="39"/>
      <c r="V61" s="16">
        <v>18</v>
      </c>
      <c r="W61" s="15">
        <f>IFERROR(VLOOKUP(V61,'Puntos XCC Mayor'!$A$1:$B$15,2,FALSE),0)</f>
        <v>0</v>
      </c>
      <c r="X61" s="15">
        <v>16</v>
      </c>
      <c r="Y61" s="25">
        <f>IFERROR(VLOOKUP(X61,'Puntos XCO'!$A$1:$B$63,2,FALSE),0)</f>
        <v>66</v>
      </c>
      <c r="Z61" s="16">
        <f t="shared" si="3"/>
        <v>0</v>
      </c>
      <c r="AA61" s="15">
        <f>IFERROR(VLOOKUP(Z61,'Puntos XCC Mayor'!$A$1:$B$15,2,FALSE),0)</f>
        <v>0</v>
      </c>
      <c r="AB61" s="15">
        <f t="shared" si="4"/>
        <v>0</v>
      </c>
      <c r="AC61" s="25">
        <f>IFERROR(VLOOKUP(AB61,'Puntos XCO'!$A$1:$B$63,2,FALSE),0)</f>
        <v>0</v>
      </c>
      <c r="AD61" s="16"/>
      <c r="AE61" s="15"/>
      <c r="AF61" s="15"/>
      <c r="AG61" s="25"/>
      <c r="AH61" s="27">
        <f t="shared" si="5"/>
        <v>66</v>
      </c>
      <c r="AJ61" s="3"/>
    </row>
    <row r="62" spans="1:36" ht="24.95" customHeight="1">
      <c r="A62" s="3">
        <v>48</v>
      </c>
      <c r="B62" s="3">
        <v>47</v>
      </c>
      <c r="C62" s="113">
        <v>167</v>
      </c>
      <c r="D62" s="23" t="s">
        <v>215</v>
      </c>
      <c r="E62" s="24" t="s">
        <v>172</v>
      </c>
      <c r="F62" s="3">
        <v>39</v>
      </c>
      <c r="G62" s="15">
        <v>0</v>
      </c>
      <c r="H62" s="3">
        <v>33</v>
      </c>
      <c r="I62" s="25">
        <v>32</v>
      </c>
      <c r="J62" s="33">
        <v>43</v>
      </c>
      <c r="K62" s="22">
        <v>0</v>
      </c>
      <c r="L62" s="22">
        <v>35</v>
      </c>
      <c r="M62" s="34">
        <v>29</v>
      </c>
      <c r="N62" s="26"/>
      <c r="O62" s="3">
        <f>IFERROR(VLOOKUP(N62,'Puntos XCC Menor'!$A$1:$B$15,2,FALSE),0)</f>
        <v>0</v>
      </c>
      <c r="P62" s="3"/>
      <c r="Q62" s="34">
        <f>IFERROR(VLOOKUP(P62,'Puntos XCO'!$A$1:$B$63,2,FALSE),0)</f>
        <v>0</v>
      </c>
      <c r="R62" s="16">
        <v>0</v>
      </c>
      <c r="S62" s="3">
        <f>IFERROR(VLOOKUP(R62,'Puntos XCC Menor'!$A$1:$B$15,2,FALSE),0)</f>
        <v>0</v>
      </c>
      <c r="T62" s="15">
        <v>0</v>
      </c>
      <c r="U62" s="39">
        <f>IFERROR(VLOOKUP(T62,'Puntos XCO'!$A$1:$B$63,2,FALSE),0)</f>
        <v>0</v>
      </c>
      <c r="V62" s="16">
        <v>30</v>
      </c>
      <c r="W62" s="15">
        <f>IFERROR(VLOOKUP(V62,'Puntos XCC Mayor'!$A$1:$B$15,2,FALSE),0)</f>
        <v>0</v>
      </c>
      <c r="X62" s="15">
        <v>0</v>
      </c>
      <c r="Y62" s="25">
        <f>IFERROR(VLOOKUP(X62,'Puntos XCO'!$A$1:$B$63,2,FALSE),0)</f>
        <v>0</v>
      </c>
      <c r="Z62" s="16">
        <f t="shared" si="3"/>
        <v>0</v>
      </c>
      <c r="AA62" s="15">
        <f>IFERROR(VLOOKUP(Z62,'Puntos XCC Mayor'!$A$1:$B$15,2,FALSE),0)</f>
        <v>0</v>
      </c>
      <c r="AB62" s="15">
        <f t="shared" si="4"/>
        <v>0</v>
      </c>
      <c r="AC62" s="25">
        <f>IFERROR(VLOOKUP(AB62,'Puntos XCO'!$A$1:$B$63,2,FALSE),0)</f>
        <v>0</v>
      </c>
      <c r="AD62" s="16"/>
      <c r="AE62" s="15"/>
      <c r="AF62" s="15"/>
      <c r="AG62" s="25"/>
      <c r="AH62" s="27">
        <f t="shared" si="5"/>
        <v>61</v>
      </c>
      <c r="AJ62" s="3"/>
    </row>
    <row r="63" spans="1:36" ht="24.95" customHeight="1">
      <c r="A63" s="3">
        <v>49</v>
      </c>
      <c r="B63" s="3">
        <v>48</v>
      </c>
      <c r="C63" s="118">
        <v>127</v>
      </c>
      <c r="D63" s="23" t="s">
        <v>1051</v>
      </c>
      <c r="E63" s="24" t="s">
        <v>123</v>
      </c>
      <c r="F63" s="3"/>
      <c r="G63" s="15"/>
      <c r="H63" s="3"/>
      <c r="I63" s="25"/>
      <c r="J63" s="33"/>
      <c r="K63" s="22"/>
      <c r="L63" s="22"/>
      <c r="M63" s="34"/>
      <c r="N63" s="26"/>
      <c r="O63" s="3">
        <f>IFERROR(VLOOKUP(N63,'Puntos XCC Menor'!$A$1:$B$15,2,FALSE),0)</f>
        <v>0</v>
      </c>
      <c r="P63" s="3">
        <v>19</v>
      </c>
      <c r="Q63" s="34">
        <f>IFERROR(VLOOKUP(P63,'Puntos XCO'!$A$1:$B$63,2,FALSE),0)</f>
        <v>60</v>
      </c>
      <c r="R63" s="16">
        <v>0</v>
      </c>
      <c r="S63" s="3">
        <f>IFERROR(VLOOKUP(R63,'Puntos XCC Menor'!$A$1:$B$15,2,FALSE),0)</f>
        <v>0</v>
      </c>
      <c r="T63" s="15">
        <v>0</v>
      </c>
      <c r="U63" s="39">
        <f>IFERROR(VLOOKUP(T63,'Puntos XCO'!$A$1:$B$63,2,FALSE),0)</f>
        <v>0</v>
      </c>
      <c r="V63" s="16">
        <v>0</v>
      </c>
      <c r="W63" s="15">
        <f>IFERROR(VLOOKUP(V63,'Puntos XCC Mayor'!$A$1:$B$15,2,FALSE),0)</f>
        <v>0</v>
      </c>
      <c r="X63" s="15">
        <v>0</v>
      </c>
      <c r="Y63" s="25">
        <f>IFERROR(VLOOKUP(X63,'Puntos XCO'!$A$1:$B$63,2,FALSE),0)</f>
        <v>0</v>
      </c>
      <c r="Z63" s="16">
        <f t="shared" si="3"/>
        <v>0</v>
      </c>
      <c r="AA63" s="15">
        <f>IFERROR(VLOOKUP(Z63,'Puntos XCC Mayor'!$A$1:$B$15,2,FALSE),0)</f>
        <v>0</v>
      </c>
      <c r="AB63" s="15">
        <f t="shared" si="4"/>
        <v>0</v>
      </c>
      <c r="AC63" s="25">
        <f>IFERROR(VLOOKUP(AB63,'Puntos XCO'!$A$1:$B$63,2,FALSE),0)</f>
        <v>0</v>
      </c>
      <c r="AD63" s="16"/>
      <c r="AE63" s="15"/>
      <c r="AF63" s="15"/>
      <c r="AG63" s="25"/>
      <c r="AH63" s="27">
        <f t="shared" si="5"/>
        <v>60</v>
      </c>
      <c r="AJ63" s="3"/>
    </row>
    <row r="64" spans="1:36" ht="24.95" customHeight="1">
      <c r="A64" s="3">
        <v>50</v>
      </c>
      <c r="B64" s="3">
        <v>49</v>
      </c>
      <c r="C64" s="113"/>
      <c r="D64" s="23" t="s">
        <v>224</v>
      </c>
      <c r="E64" s="24" t="s">
        <v>172</v>
      </c>
      <c r="F64" s="3">
        <v>16</v>
      </c>
      <c r="G64" s="15">
        <v>0</v>
      </c>
      <c r="H64" s="3">
        <v>34</v>
      </c>
      <c r="I64" s="25">
        <v>30</v>
      </c>
      <c r="J64" s="33">
        <v>27</v>
      </c>
      <c r="K64" s="22">
        <v>0</v>
      </c>
      <c r="L64" s="22">
        <v>36</v>
      </c>
      <c r="M64" s="34">
        <v>28</v>
      </c>
      <c r="N64" s="26"/>
      <c r="O64" s="3">
        <f>IFERROR(VLOOKUP(N64,'Puntos XCC Menor'!$A$1:$B$15,2,FALSE),0)</f>
        <v>0</v>
      </c>
      <c r="P64" s="3"/>
      <c r="Q64" s="34">
        <f>IFERROR(VLOOKUP(P64,'Puntos XCO'!$A$1:$B$63,2,FALSE),0)</f>
        <v>0</v>
      </c>
      <c r="R64" s="16">
        <v>0</v>
      </c>
      <c r="S64" s="3">
        <f>IFERROR(VLOOKUP(R64,'Puntos XCC Menor'!$A$1:$B$15,2,FALSE),0)</f>
        <v>0</v>
      </c>
      <c r="T64" s="15">
        <v>0</v>
      </c>
      <c r="U64" s="39">
        <f>IFERROR(VLOOKUP(T64,'Puntos XCO'!$A$1:$B$63,2,FALSE),0)</f>
        <v>0</v>
      </c>
      <c r="V64" s="16">
        <v>0</v>
      </c>
      <c r="W64" s="15">
        <f>IFERROR(VLOOKUP(V64,'Puntos XCC Mayor'!$A$1:$B$15,2,FALSE),0)</f>
        <v>0</v>
      </c>
      <c r="X64" s="15">
        <v>0</v>
      </c>
      <c r="Y64" s="25">
        <f>IFERROR(VLOOKUP(X64,'Puntos XCO'!$A$1:$B$63,2,FALSE),0)</f>
        <v>0</v>
      </c>
      <c r="Z64" s="16">
        <f t="shared" si="3"/>
        <v>0</v>
      </c>
      <c r="AA64" s="15">
        <f>IFERROR(VLOOKUP(Z64,'Puntos XCC Mayor'!$A$1:$B$15,2,FALSE),0)</f>
        <v>0</v>
      </c>
      <c r="AB64" s="15">
        <f t="shared" si="4"/>
        <v>0</v>
      </c>
      <c r="AC64" s="25">
        <f>IFERROR(VLOOKUP(AB64,'Puntos XCO'!$A$1:$B$63,2,FALSE),0)</f>
        <v>0</v>
      </c>
      <c r="AD64" s="16"/>
      <c r="AE64" s="15"/>
      <c r="AF64" s="15"/>
      <c r="AG64" s="25"/>
      <c r="AH64" s="27">
        <f t="shared" si="5"/>
        <v>58</v>
      </c>
      <c r="AJ64" s="3"/>
    </row>
    <row r="65" spans="1:36" ht="24.95" customHeight="1">
      <c r="A65" s="3">
        <v>51</v>
      </c>
      <c r="B65" s="3">
        <v>50</v>
      </c>
      <c r="C65" s="113">
        <v>137</v>
      </c>
      <c r="D65" s="23" t="s">
        <v>610</v>
      </c>
      <c r="E65" s="24" t="s">
        <v>292</v>
      </c>
      <c r="F65" s="3">
        <v>40</v>
      </c>
      <c r="G65" s="15">
        <v>0</v>
      </c>
      <c r="H65" s="3">
        <v>30</v>
      </c>
      <c r="I65" s="25">
        <v>38</v>
      </c>
      <c r="J65" s="33">
        <v>45</v>
      </c>
      <c r="K65" s="22">
        <v>0</v>
      </c>
      <c r="L65" s="22">
        <v>45</v>
      </c>
      <c r="M65" s="34">
        <v>19</v>
      </c>
      <c r="N65" s="26"/>
      <c r="O65" s="3">
        <f>IFERROR(VLOOKUP(N65,'Puntos XCC Menor'!$A$1:$B$15,2,FALSE),0)</f>
        <v>0</v>
      </c>
      <c r="P65" s="3"/>
      <c r="Q65" s="34">
        <f>IFERROR(VLOOKUP(P65,'Puntos XCO'!$A$1:$B$63,2,FALSE),0)</f>
        <v>0</v>
      </c>
      <c r="R65" s="16">
        <v>0</v>
      </c>
      <c r="S65" s="3">
        <f>IFERROR(VLOOKUP(R65,'Puntos XCC Menor'!$A$1:$B$15,2,FALSE),0)</f>
        <v>0</v>
      </c>
      <c r="T65" s="15">
        <v>0</v>
      </c>
      <c r="U65" s="39">
        <f>IFERROR(VLOOKUP(T65,'Puntos XCO'!$A$1:$B$63,2,FALSE),0)</f>
        <v>0</v>
      </c>
      <c r="V65" s="16">
        <v>0</v>
      </c>
      <c r="W65" s="15">
        <f>IFERROR(VLOOKUP(V65,'Puntos XCC Mayor'!$A$1:$B$15,2,FALSE),0)</f>
        <v>0</v>
      </c>
      <c r="X65" s="15">
        <v>0</v>
      </c>
      <c r="Y65" s="25">
        <f>IFERROR(VLOOKUP(X65,'Puntos XCO'!$A$1:$B$63,2,FALSE),0)</f>
        <v>0</v>
      </c>
      <c r="Z65" s="16">
        <f t="shared" si="3"/>
        <v>0</v>
      </c>
      <c r="AA65" s="15">
        <f>IFERROR(VLOOKUP(Z65,'Puntos XCC Mayor'!$A$1:$B$15,2,FALSE),0)</f>
        <v>0</v>
      </c>
      <c r="AB65" s="15">
        <f t="shared" si="4"/>
        <v>0</v>
      </c>
      <c r="AC65" s="25">
        <f>IFERROR(VLOOKUP(AB65,'Puntos XCO'!$A$1:$B$63,2,FALSE),0)</f>
        <v>0</v>
      </c>
      <c r="AD65" s="16"/>
      <c r="AE65" s="15"/>
      <c r="AF65" s="15"/>
      <c r="AG65" s="25"/>
      <c r="AH65" s="27">
        <f t="shared" si="5"/>
        <v>57</v>
      </c>
      <c r="AJ65" s="3"/>
    </row>
    <row r="66" spans="1:36" ht="24.95" customHeight="1">
      <c r="A66" s="3">
        <v>52</v>
      </c>
      <c r="B66" s="3"/>
      <c r="C66" s="105">
        <v>173</v>
      </c>
      <c r="D66" s="23" t="str">
        <f>VLOOKUP(C66,PLANILLA,2,FALSE)</f>
        <v>ZÚÑIGA Roberto</v>
      </c>
      <c r="E66" s="24" t="str">
        <f>VLOOKUP(C66,PLANILLA,4,FALSE)</f>
        <v>Alajuela codea</v>
      </c>
      <c r="F66" s="3"/>
      <c r="G66" s="15"/>
      <c r="H66" s="3"/>
      <c r="I66" s="25"/>
      <c r="J66" s="33"/>
      <c r="K66" s="22"/>
      <c r="L66" s="22"/>
      <c r="M66" s="34"/>
      <c r="N66" s="26"/>
      <c r="O66" s="3"/>
      <c r="P66" s="3"/>
      <c r="Q66" s="34"/>
      <c r="R66" s="16"/>
      <c r="S66" s="3"/>
      <c r="T66" s="15"/>
      <c r="U66" s="39"/>
      <c r="V66" s="16"/>
      <c r="W66" s="15"/>
      <c r="X66" s="15"/>
      <c r="Y66" s="25"/>
      <c r="Z66" s="16">
        <f t="shared" si="3"/>
        <v>0</v>
      </c>
      <c r="AA66" s="15">
        <f>IFERROR(VLOOKUP(Z66,'Puntos XCC Mayor'!$A$1:$B$15,2,FALSE),0)</f>
        <v>0</v>
      </c>
      <c r="AB66" s="15">
        <f t="shared" si="4"/>
        <v>23</v>
      </c>
      <c r="AC66" s="25">
        <f>IFERROR(VLOOKUP(AB66,'Puntos XCO'!$A$1:$B$63,2,FALSE),0)</f>
        <v>52</v>
      </c>
      <c r="AD66" s="16"/>
      <c r="AE66" s="15"/>
      <c r="AF66" s="15"/>
      <c r="AG66" s="25"/>
      <c r="AH66" s="27">
        <f t="shared" si="5"/>
        <v>52</v>
      </c>
      <c r="AJ66" s="3"/>
    </row>
    <row r="67" spans="1:36" ht="24.95" customHeight="1">
      <c r="A67" s="3">
        <v>53</v>
      </c>
      <c r="B67" s="3">
        <v>51</v>
      </c>
      <c r="C67" s="113">
        <v>138</v>
      </c>
      <c r="D67" s="23" t="s">
        <v>254</v>
      </c>
      <c r="E67" s="24" t="s">
        <v>7</v>
      </c>
      <c r="F67" s="3">
        <v>27</v>
      </c>
      <c r="G67" s="15">
        <v>0</v>
      </c>
      <c r="H67" s="3">
        <v>27</v>
      </c>
      <c r="I67" s="25">
        <v>44</v>
      </c>
      <c r="J67" s="33">
        <v>0</v>
      </c>
      <c r="K67" s="22">
        <v>0</v>
      </c>
      <c r="L67" s="22">
        <v>0</v>
      </c>
      <c r="M67" s="34">
        <v>0</v>
      </c>
      <c r="N67" s="26"/>
      <c r="O67" s="3">
        <f>IFERROR(VLOOKUP(N67,'Puntos XCC Menor'!$A$1:$B$15,2,FALSE),0)</f>
        <v>0</v>
      </c>
      <c r="P67" s="3"/>
      <c r="Q67" s="34">
        <f>IFERROR(VLOOKUP(P67,'Puntos XCO'!$A$1:$B$63,2,FALSE),0)</f>
        <v>0</v>
      </c>
      <c r="R67" s="16">
        <v>0</v>
      </c>
      <c r="S67" s="3">
        <f>IFERROR(VLOOKUP(R67,'Puntos XCC Menor'!$A$1:$B$15,2,FALSE),0)</f>
        <v>0</v>
      </c>
      <c r="T67" s="15">
        <v>0</v>
      </c>
      <c r="U67" s="39">
        <f>IFERROR(VLOOKUP(T67,'Puntos XCO'!$A$1:$B$63,2,FALSE),0)</f>
        <v>0</v>
      </c>
      <c r="V67" s="16">
        <v>0</v>
      </c>
      <c r="W67" s="15">
        <f>IFERROR(VLOOKUP(V67,'Puntos XCC Mayor'!$A$1:$B$15,2,FALSE),0)</f>
        <v>0</v>
      </c>
      <c r="X67" s="15">
        <v>0</v>
      </c>
      <c r="Y67" s="25">
        <f>IFERROR(VLOOKUP(X67,'Puntos XCO'!$A$1:$B$63,2,FALSE),0)</f>
        <v>0</v>
      </c>
      <c r="Z67" s="16">
        <f t="shared" si="3"/>
        <v>0</v>
      </c>
      <c r="AA67" s="15">
        <f>IFERROR(VLOOKUP(Z67,'Puntos XCC Mayor'!$A$1:$B$15,2,FALSE),0)</f>
        <v>0</v>
      </c>
      <c r="AB67" s="15">
        <f t="shared" si="4"/>
        <v>0</v>
      </c>
      <c r="AC67" s="25">
        <f>IFERROR(VLOOKUP(AB67,'Puntos XCO'!$A$1:$B$63,2,FALSE),0)</f>
        <v>0</v>
      </c>
      <c r="AD67" s="16"/>
      <c r="AE67" s="15"/>
      <c r="AF67" s="15"/>
      <c r="AG67" s="25"/>
      <c r="AH67" s="27">
        <f t="shared" si="5"/>
        <v>44</v>
      </c>
      <c r="AJ67" s="3"/>
    </row>
    <row r="68" spans="1:36" ht="24.95" customHeight="1">
      <c r="A68" s="3">
        <v>54</v>
      </c>
      <c r="B68" s="3">
        <v>52</v>
      </c>
      <c r="C68" s="113">
        <v>129</v>
      </c>
      <c r="D68" s="23" t="s">
        <v>241</v>
      </c>
      <c r="E68" s="24" t="s">
        <v>150</v>
      </c>
      <c r="F68" s="3">
        <v>38</v>
      </c>
      <c r="G68" s="15">
        <v>0</v>
      </c>
      <c r="H68" s="3">
        <v>28</v>
      </c>
      <c r="I68" s="25">
        <v>42</v>
      </c>
      <c r="J68" s="33">
        <v>0</v>
      </c>
      <c r="K68" s="22">
        <v>0</v>
      </c>
      <c r="L68" s="22">
        <v>0</v>
      </c>
      <c r="M68" s="34">
        <v>0</v>
      </c>
      <c r="N68" s="26"/>
      <c r="O68" s="3">
        <f>IFERROR(VLOOKUP(N68,'Puntos XCC Menor'!$A$1:$B$15,2,FALSE),0)</f>
        <v>0</v>
      </c>
      <c r="P68" s="3"/>
      <c r="Q68" s="34">
        <f>IFERROR(VLOOKUP(P68,'Puntos XCO'!$A$1:$B$63,2,FALSE),0)</f>
        <v>0</v>
      </c>
      <c r="R68" s="16">
        <v>0</v>
      </c>
      <c r="S68" s="3">
        <f>IFERROR(VLOOKUP(R68,'Puntos XCC Menor'!$A$1:$B$15,2,FALSE),0)</f>
        <v>0</v>
      </c>
      <c r="T68" s="15">
        <v>0</v>
      </c>
      <c r="U68" s="39">
        <f>IFERROR(VLOOKUP(T68,'Puntos XCO'!$A$1:$B$63,2,FALSE),0)</f>
        <v>0</v>
      </c>
      <c r="V68" s="16">
        <v>0</v>
      </c>
      <c r="W68" s="15">
        <f>IFERROR(VLOOKUP(V68,'Puntos XCC Mayor'!$A$1:$B$15,2,FALSE),0)</f>
        <v>0</v>
      </c>
      <c r="X68" s="15">
        <v>0</v>
      </c>
      <c r="Y68" s="25">
        <f>IFERROR(VLOOKUP(X68,'Puntos XCO'!$A$1:$B$63,2,FALSE),0)</f>
        <v>0</v>
      </c>
      <c r="Z68" s="16">
        <f t="shared" si="3"/>
        <v>0</v>
      </c>
      <c r="AA68" s="15">
        <f>IFERROR(VLOOKUP(Z68,'Puntos XCC Mayor'!$A$1:$B$15,2,FALSE),0)</f>
        <v>0</v>
      </c>
      <c r="AB68" s="15">
        <f t="shared" si="4"/>
        <v>0</v>
      </c>
      <c r="AC68" s="25">
        <f>IFERROR(VLOOKUP(AB68,'Puntos XCO'!$A$1:$B$63,2,FALSE),0)</f>
        <v>0</v>
      </c>
      <c r="AD68" s="16"/>
      <c r="AE68" s="15"/>
      <c r="AF68" s="15"/>
      <c r="AG68" s="25"/>
      <c r="AH68" s="27">
        <f t="shared" si="5"/>
        <v>42</v>
      </c>
      <c r="AJ68" s="3"/>
    </row>
    <row r="69" spans="1:36" ht="24.95" customHeight="1">
      <c r="A69" s="3">
        <v>55</v>
      </c>
      <c r="B69" s="3">
        <v>53</v>
      </c>
      <c r="C69" s="115">
        <v>169</v>
      </c>
      <c r="D69" s="23" t="str">
        <f>VLOOKUP(C69,PLANILLA,2,FALSE)</f>
        <v xml:space="preserve">VARGAS  Justin </v>
      </c>
      <c r="E69" s="24" t="str">
        <f>VLOOKUP(C69,PLANILLA,4,FALSE)</f>
        <v>SOTO TRAINING -CCDR LIBERIA</v>
      </c>
      <c r="F69" s="3"/>
      <c r="G69" s="15"/>
      <c r="H69" s="3"/>
      <c r="I69" s="25"/>
      <c r="J69" s="33"/>
      <c r="K69" s="22"/>
      <c r="L69" s="22"/>
      <c r="M69" s="34"/>
      <c r="N69" s="26"/>
      <c r="O69" s="3"/>
      <c r="P69" s="3"/>
      <c r="Q69" s="34"/>
      <c r="R69" s="16"/>
      <c r="S69" s="3"/>
      <c r="T69" s="15"/>
      <c r="U69" s="39"/>
      <c r="V69" s="16">
        <v>27</v>
      </c>
      <c r="W69" s="15">
        <f>IFERROR(VLOOKUP(V69,'Puntos XCC Mayor'!$A$1:$B$15,2,FALSE),0)</f>
        <v>0</v>
      </c>
      <c r="X69" s="15">
        <v>28</v>
      </c>
      <c r="Y69" s="25">
        <f>IFERROR(VLOOKUP(X69,'Puntos XCO'!$A$1:$B$63,2,FALSE),0)</f>
        <v>42</v>
      </c>
      <c r="Z69" s="16">
        <f t="shared" si="3"/>
        <v>0</v>
      </c>
      <c r="AA69" s="15">
        <f>IFERROR(VLOOKUP(Z69,'Puntos XCC Mayor'!$A$1:$B$15,2,FALSE),0)</f>
        <v>0</v>
      </c>
      <c r="AB69" s="15">
        <f t="shared" si="4"/>
        <v>0</v>
      </c>
      <c r="AC69" s="25">
        <f>IFERROR(VLOOKUP(AB69,'Puntos XCO'!$A$1:$B$63,2,FALSE),0)</f>
        <v>0</v>
      </c>
      <c r="AD69" s="16"/>
      <c r="AE69" s="15"/>
      <c r="AF69" s="15"/>
      <c r="AG69" s="25"/>
      <c r="AH69" s="27">
        <f t="shared" si="5"/>
        <v>42</v>
      </c>
      <c r="AJ69" s="3"/>
    </row>
    <row r="70" spans="1:36" ht="24.95" customHeight="1">
      <c r="A70" s="3">
        <v>56</v>
      </c>
      <c r="B70" s="3">
        <v>54</v>
      </c>
      <c r="C70" s="115">
        <v>165</v>
      </c>
      <c r="D70" s="23" t="str">
        <f>VLOOKUP(C70,PLANILLA,2,FALSE)</f>
        <v>GUILLEN Samuel</v>
      </c>
      <c r="E70" s="24" t="str">
        <f>VLOOKUP(C70,PLANILLA,4,FALSE)</f>
        <v>CCDR SAN JOSE</v>
      </c>
      <c r="F70" s="3"/>
      <c r="G70" s="15"/>
      <c r="H70" s="3"/>
      <c r="I70" s="25"/>
      <c r="J70" s="33"/>
      <c r="K70" s="22"/>
      <c r="L70" s="22"/>
      <c r="M70" s="34"/>
      <c r="N70" s="26"/>
      <c r="O70" s="3"/>
      <c r="P70" s="3"/>
      <c r="Q70" s="34"/>
      <c r="R70" s="16">
        <v>21</v>
      </c>
      <c r="S70" s="3">
        <f>IFERROR(VLOOKUP(R70,'Puntos XCC Menor'!$A$1:$B$15,2,FALSE),0)</f>
        <v>0</v>
      </c>
      <c r="T70" s="15">
        <v>0</v>
      </c>
      <c r="U70" s="39">
        <f>IFERROR(VLOOKUP(T70,'Puntos XCO'!$A$1:$B$63,2,FALSE),0)</f>
        <v>0</v>
      </c>
      <c r="V70" s="16">
        <v>0</v>
      </c>
      <c r="W70" s="15">
        <f>IFERROR(VLOOKUP(V70,'Puntos XCC Mayor'!$A$1:$B$15,2,FALSE),0)</f>
        <v>0</v>
      </c>
      <c r="X70" s="15">
        <v>29</v>
      </c>
      <c r="Y70" s="25">
        <f>IFERROR(VLOOKUP(X70,'Puntos XCO'!$A$1:$B$63,2,FALSE),0)</f>
        <v>40</v>
      </c>
      <c r="Z70" s="16">
        <f t="shared" si="3"/>
        <v>0</v>
      </c>
      <c r="AA70" s="15">
        <f>IFERROR(VLOOKUP(Z70,'Puntos XCC Mayor'!$A$1:$B$15,2,FALSE),0)</f>
        <v>0</v>
      </c>
      <c r="AB70" s="15">
        <f t="shared" si="4"/>
        <v>0</v>
      </c>
      <c r="AC70" s="25">
        <f>IFERROR(VLOOKUP(AB70,'Puntos XCO'!$A$1:$B$63,2,FALSE),0)</f>
        <v>0</v>
      </c>
      <c r="AD70" s="16"/>
      <c r="AE70" s="15"/>
      <c r="AF70" s="15"/>
      <c r="AG70" s="25"/>
      <c r="AH70" s="27">
        <f t="shared" si="5"/>
        <v>40</v>
      </c>
      <c r="AJ70" s="3"/>
    </row>
    <row r="71" spans="1:36" ht="24.95" customHeight="1">
      <c r="A71" s="3">
        <v>57</v>
      </c>
      <c r="B71" s="3">
        <v>55</v>
      </c>
      <c r="C71" s="113">
        <v>143</v>
      </c>
      <c r="D71" s="23" t="s">
        <v>260</v>
      </c>
      <c r="E71" s="24" t="s">
        <v>126</v>
      </c>
      <c r="F71" s="3">
        <v>0</v>
      </c>
      <c r="G71" s="15">
        <v>0</v>
      </c>
      <c r="H71" s="3">
        <v>0</v>
      </c>
      <c r="I71" s="25">
        <v>0</v>
      </c>
      <c r="J71" s="33">
        <v>0</v>
      </c>
      <c r="K71" s="22">
        <v>0</v>
      </c>
      <c r="L71" s="22">
        <v>0</v>
      </c>
      <c r="M71" s="34">
        <v>0</v>
      </c>
      <c r="N71" s="26"/>
      <c r="O71" s="3">
        <f>IFERROR(VLOOKUP(N71,'Puntos XCC Menor'!$A$1:$B$15,2,FALSE),0)</f>
        <v>0</v>
      </c>
      <c r="P71" s="3"/>
      <c r="Q71" s="34">
        <f>IFERROR(VLOOKUP(P71,'Puntos XCO'!$A$1:$B$63,2,FALSE),0)</f>
        <v>0</v>
      </c>
      <c r="R71" s="16">
        <v>0</v>
      </c>
      <c r="S71" s="3">
        <f>IFERROR(VLOOKUP(R71,'Puntos XCC Menor'!$A$1:$B$15,2,FALSE),0)</f>
        <v>0</v>
      </c>
      <c r="T71" s="15">
        <v>0</v>
      </c>
      <c r="U71" s="39">
        <f>IFERROR(VLOOKUP(T71,'Puntos XCO'!$A$1:$B$63,2,FALSE),0)</f>
        <v>0</v>
      </c>
      <c r="V71" s="16">
        <v>26</v>
      </c>
      <c r="W71" s="15">
        <f>IFERROR(VLOOKUP(V71,'Puntos XCC Mayor'!$A$1:$B$15,2,FALSE),0)</f>
        <v>0</v>
      </c>
      <c r="X71" s="15">
        <v>30</v>
      </c>
      <c r="Y71" s="25">
        <f>IFERROR(VLOOKUP(X71,'Puntos XCO'!$A$1:$B$63,2,FALSE),0)</f>
        <v>38</v>
      </c>
      <c r="Z71" s="16">
        <f t="shared" si="3"/>
        <v>0</v>
      </c>
      <c r="AA71" s="15">
        <f>IFERROR(VLOOKUP(Z71,'Puntos XCC Mayor'!$A$1:$B$15,2,FALSE),0)</f>
        <v>0</v>
      </c>
      <c r="AB71" s="15">
        <f t="shared" si="4"/>
        <v>0</v>
      </c>
      <c r="AC71" s="25">
        <f>IFERROR(VLOOKUP(AB71,'Puntos XCO'!$A$1:$B$63,2,FALSE),0)</f>
        <v>0</v>
      </c>
      <c r="AD71" s="16"/>
      <c r="AE71" s="15"/>
      <c r="AF71" s="15"/>
      <c r="AG71" s="25"/>
      <c r="AH71" s="27">
        <f t="shared" si="5"/>
        <v>38</v>
      </c>
      <c r="AJ71" s="3"/>
    </row>
    <row r="72" spans="1:36" ht="24.95" customHeight="1">
      <c r="A72" s="3">
        <v>58</v>
      </c>
      <c r="B72" s="3">
        <v>57</v>
      </c>
      <c r="C72" s="115">
        <v>151</v>
      </c>
      <c r="D72" s="23" t="s">
        <v>629</v>
      </c>
      <c r="E72" s="24" t="s">
        <v>71</v>
      </c>
      <c r="F72" s="3"/>
      <c r="G72" s="15"/>
      <c r="H72" s="3"/>
      <c r="I72" s="25"/>
      <c r="J72" s="33">
        <v>16</v>
      </c>
      <c r="K72" s="22">
        <v>0</v>
      </c>
      <c r="L72" s="22">
        <v>32</v>
      </c>
      <c r="M72" s="34">
        <v>34</v>
      </c>
      <c r="N72" s="26"/>
      <c r="O72" s="3">
        <f>IFERROR(VLOOKUP(N72,'Puntos XCC Menor'!$A$1:$B$15,2,FALSE),0)</f>
        <v>0</v>
      </c>
      <c r="P72" s="3"/>
      <c r="Q72" s="34">
        <f>IFERROR(VLOOKUP(P72,'Puntos XCO'!$A$1:$B$63,2,FALSE),0)</f>
        <v>0</v>
      </c>
      <c r="R72" s="16">
        <v>0</v>
      </c>
      <c r="S72" s="3">
        <f>IFERROR(VLOOKUP(R72,'Puntos XCC Menor'!$A$1:$B$15,2,FALSE),0)</f>
        <v>0</v>
      </c>
      <c r="T72" s="15">
        <v>0</v>
      </c>
      <c r="U72" s="39">
        <f>IFERROR(VLOOKUP(T72,'Puntos XCO'!$A$1:$B$63,2,FALSE),0)</f>
        <v>0</v>
      </c>
      <c r="V72" s="16">
        <v>0</v>
      </c>
      <c r="W72" s="15">
        <f>IFERROR(VLOOKUP(V72,'Puntos XCC Mayor'!$A$1:$B$15,2,FALSE),0)</f>
        <v>0</v>
      </c>
      <c r="X72" s="15">
        <v>0</v>
      </c>
      <c r="Y72" s="25">
        <f>IFERROR(VLOOKUP(X72,'Puntos XCO'!$A$1:$B$63,2,FALSE),0)</f>
        <v>0</v>
      </c>
      <c r="Z72" s="16">
        <f t="shared" si="3"/>
        <v>0</v>
      </c>
      <c r="AA72" s="15">
        <f>IFERROR(VLOOKUP(Z72,'Puntos XCC Mayor'!$A$1:$B$15,2,FALSE),0)</f>
        <v>0</v>
      </c>
      <c r="AB72" s="15">
        <f t="shared" si="4"/>
        <v>0</v>
      </c>
      <c r="AC72" s="25">
        <f>IFERROR(VLOOKUP(AB72,'Puntos XCO'!$A$1:$B$63,2,FALSE),0)</f>
        <v>0</v>
      </c>
      <c r="AD72" s="16"/>
      <c r="AE72" s="15"/>
      <c r="AF72" s="15"/>
      <c r="AG72" s="25"/>
      <c r="AH72" s="27">
        <f t="shared" si="5"/>
        <v>34</v>
      </c>
      <c r="AJ72" s="3"/>
    </row>
    <row r="73" spans="1:36" ht="24.95" customHeight="1">
      <c r="A73" s="3">
        <v>59</v>
      </c>
      <c r="B73" s="3">
        <v>58</v>
      </c>
      <c r="C73" s="113"/>
      <c r="D73" s="23" t="s">
        <v>616</v>
      </c>
      <c r="E73" s="24" t="s">
        <v>84</v>
      </c>
      <c r="F73" s="3">
        <v>0</v>
      </c>
      <c r="G73" s="15">
        <v>0</v>
      </c>
      <c r="H73" s="3">
        <v>0</v>
      </c>
      <c r="I73" s="25">
        <v>0</v>
      </c>
      <c r="J73" s="33">
        <v>42</v>
      </c>
      <c r="K73" s="22">
        <v>0</v>
      </c>
      <c r="L73" s="22">
        <v>37</v>
      </c>
      <c r="M73" s="34">
        <v>27</v>
      </c>
      <c r="N73" s="26"/>
      <c r="O73" s="3">
        <f>IFERROR(VLOOKUP(N73,'Puntos XCC Menor'!$A$1:$B$15,2,FALSE),0)</f>
        <v>0</v>
      </c>
      <c r="P73" s="3"/>
      <c r="Q73" s="34">
        <f>IFERROR(VLOOKUP(P73,'Puntos XCO'!$A$1:$B$63,2,FALSE),0)</f>
        <v>0</v>
      </c>
      <c r="R73" s="16">
        <v>0</v>
      </c>
      <c r="S73" s="3">
        <f>IFERROR(VLOOKUP(R73,'Puntos XCC Menor'!$A$1:$B$15,2,FALSE),0)</f>
        <v>0</v>
      </c>
      <c r="T73" s="15">
        <v>0</v>
      </c>
      <c r="U73" s="39">
        <f>IFERROR(VLOOKUP(T73,'Puntos XCO'!$A$1:$B$63,2,FALSE),0)</f>
        <v>0</v>
      </c>
      <c r="V73" s="16">
        <v>0</v>
      </c>
      <c r="W73" s="15">
        <f>IFERROR(VLOOKUP(V73,'Puntos XCC Mayor'!$A$1:$B$15,2,FALSE),0)</f>
        <v>0</v>
      </c>
      <c r="X73" s="15">
        <v>0</v>
      </c>
      <c r="Y73" s="25">
        <f>IFERROR(VLOOKUP(X73,'Puntos XCO'!$A$1:$B$63,2,FALSE),0)</f>
        <v>0</v>
      </c>
      <c r="Z73" s="16">
        <f t="shared" si="3"/>
        <v>0</v>
      </c>
      <c r="AA73" s="15">
        <f>IFERROR(VLOOKUP(Z73,'Puntos XCC Mayor'!$A$1:$B$15,2,FALSE),0)</f>
        <v>0</v>
      </c>
      <c r="AB73" s="15">
        <f t="shared" si="4"/>
        <v>0</v>
      </c>
      <c r="AC73" s="25">
        <f>IFERROR(VLOOKUP(AB73,'Puntos XCO'!$A$1:$B$63,2,FALSE),0)</f>
        <v>0</v>
      </c>
      <c r="AD73" s="16"/>
      <c r="AE73" s="15"/>
      <c r="AF73" s="15"/>
      <c r="AG73" s="25"/>
      <c r="AH73" s="27">
        <f t="shared" si="5"/>
        <v>27</v>
      </c>
      <c r="AJ73" s="3"/>
    </row>
    <row r="74" spans="1:36" ht="24.95" customHeight="1">
      <c r="A74" s="3">
        <v>60</v>
      </c>
      <c r="B74" s="3">
        <v>59</v>
      </c>
      <c r="C74" s="115">
        <v>149</v>
      </c>
      <c r="D74" s="23" t="s">
        <v>625</v>
      </c>
      <c r="E74" s="24" t="s">
        <v>626</v>
      </c>
      <c r="F74" s="3"/>
      <c r="G74" s="15"/>
      <c r="H74" s="3"/>
      <c r="I74" s="25"/>
      <c r="J74" s="33">
        <v>40</v>
      </c>
      <c r="K74" s="22">
        <v>0</v>
      </c>
      <c r="L74" s="22">
        <v>38</v>
      </c>
      <c r="M74" s="34">
        <v>26</v>
      </c>
      <c r="N74" s="26"/>
      <c r="O74" s="3">
        <f>IFERROR(VLOOKUP(N74,'Puntos XCC Menor'!$A$1:$B$15,2,FALSE),0)</f>
        <v>0</v>
      </c>
      <c r="P74" s="3"/>
      <c r="Q74" s="34">
        <f>IFERROR(VLOOKUP(P74,'Puntos XCO'!$A$1:$B$63,2,FALSE),0)</f>
        <v>0</v>
      </c>
      <c r="R74" s="16">
        <v>0</v>
      </c>
      <c r="S74" s="3">
        <f>IFERROR(VLOOKUP(R74,'Puntos XCC Menor'!$A$1:$B$15,2,FALSE),0)</f>
        <v>0</v>
      </c>
      <c r="T74" s="15">
        <v>0</v>
      </c>
      <c r="U74" s="39">
        <f>IFERROR(VLOOKUP(T74,'Puntos XCO'!$A$1:$B$63,2,FALSE),0)</f>
        <v>0</v>
      </c>
      <c r="V74" s="16">
        <v>0</v>
      </c>
      <c r="W74" s="15">
        <f>IFERROR(VLOOKUP(V74,'Puntos XCC Mayor'!$A$1:$B$15,2,FALSE),0)</f>
        <v>0</v>
      </c>
      <c r="X74" s="15">
        <v>0</v>
      </c>
      <c r="Y74" s="25">
        <f>IFERROR(VLOOKUP(X74,'Puntos XCO'!$A$1:$B$63,2,FALSE),0)</f>
        <v>0</v>
      </c>
      <c r="Z74" s="16">
        <f t="shared" si="3"/>
        <v>0</v>
      </c>
      <c r="AA74" s="15">
        <f>IFERROR(VLOOKUP(Z74,'Puntos XCC Mayor'!$A$1:$B$15,2,FALSE),0)</f>
        <v>0</v>
      </c>
      <c r="AB74" s="15">
        <f t="shared" si="4"/>
        <v>0</v>
      </c>
      <c r="AC74" s="25">
        <f>IFERROR(VLOOKUP(AB74,'Puntos XCO'!$A$1:$B$63,2,FALSE),0)</f>
        <v>0</v>
      </c>
      <c r="AD74" s="16"/>
      <c r="AE74" s="15"/>
      <c r="AF74" s="15"/>
      <c r="AG74" s="25"/>
      <c r="AH74" s="27">
        <f t="shared" si="5"/>
        <v>26</v>
      </c>
      <c r="AJ74" s="3"/>
    </row>
    <row r="75" spans="1:36" ht="24.95" customHeight="1">
      <c r="A75" s="3">
        <v>61</v>
      </c>
      <c r="B75" s="3">
        <v>60</v>
      </c>
      <c r="C75" s="115">
        <v>155</v>
      </c>
      <c r="D75" s="23" t="s">
        <v>635</v>
      </c>
      <c r="E75" s="24" t="s">
        <v>636</v>
      </c>
      <c r="F75" s="3"/>
      <c r="G75" s="15"/>
      <c r="H75" s="3"/>
      <c r="I75" s="25"/>
      <c r="J75" s="33">
        <v>0</v>
      </c>
      <c r="K75" s="22">
        <v>0</v>
      </c>
      <c r="L75" s="22">
        <v>39</v>
      </c>
      <c r="M75" s="34">
        <v>25</v>
      </c>
      <c r="N75" s="26"/>
      <c r="O75" s="3">
        <f>IFERROR(VLOOKUP(N75,'Puntos XCC Menor'!$A$1:$B$15,2,FALSE),0)</f>
        <v>0</v>
      </c>
      <c r="P75" s="3"/>
      <c r="Q75" s="34">
        <f>IFERROR(VLOOKUP(P75,'Puntos XCO'!$A$1:$B$63,2,FALSE),0)</f>
        <v>0</v>
      </c>
      <c r="R75" s="16">
        <v>0</v>
      </c>
      <c r="S75" s="3">
        <f>IFERROR(VLOOKUP(R75,'Puntos XCC Menor'!$A$1:$B$15,2,FALSE),0)</f>
        <v>0</v>
      </c>
      <c r="T75" s="15">
        <v>0</v>
      </c>
      <c r="U75" s="39">
        <f>IFERROR(VLOOKUP(T75,'Puntos XCO'!$A$1:$B$63,2,FALSE),0)</f>
        <v>0</v>
      </c>
      <c r="V75" s="16">
        <v>0</v>
      </c>
      <c r="W75" s="15">
        <f>IFERROR(VLOOKUP(V75,'Puntos XCC Mayor'!$A$1:$B$15,2,FALSE),0)</f>
        <v>0</v>
      </c>
      <c r="X75" s="15">
        <v>0</v>
      </c>
      <c r="Y75" s="25">
        <f>IFERROR(VLOOKUP(X75,'Puntos XCO'!$A$1:$B$63,2,FALSE),0)</f>
        <v>0</v>
      </c>
      <c r="Z75" s="16">
        <f t="shared" si="3"/>
        <v>0</v>
      </c>
      <c r="AA75" s="15">
        <f>IFERROR(VLOOKUP(Z75,'Puntos XCC Mayor'!$A$1:$B$15,2,FALSE),0)</f>
        <v>0</v>
      </c>
      <c r="AB75" s="15">
        <f t="shared" si="4"/>
        <v>0</v>
      </c>
      <c r="AC75" s="25">
        <f>IFERROR(VLOOKUP(AB75,'Puntos XCO'!$A$1:$B$63,2,FALSE),0)</f>
        <v>0</v>
      </c>
      <c r="AD75" s="16"/>
      <c r="AE75" s="15"/>
      <c r="AF75" s="15"/>
      <c r="AG75" s="25"/>
      <c r="AH75" s="27">
        <f t="shared" si="5"/>
        <v>25</v>
      </c>
      <c r="AJ75" s="3"/>
    </row>
    <row r="76" spans="1:36" ht="24.95" customHeight="1">
      <c r="A76" s="3">
        <v>62</v>
      </c>
      <c r="B76" s="3">
        <v>61</v>
      </c>
      <c r="C76" s="115">
        <v>156</v>
      </c>
      <c r="D76" s="23" t="s">
        <v>540</v>
      </c>
      <c r="E76" s="24" t="s">
        <v>111</v>
      </c>
      <c r="F76" s="3"/>
      <c r="G76" s="15"/>
      <c r="H76" s="3"/>
      <c r="I76" s="25"/>
      <c r="J76" s="33">
        <v>34</v>
      </c>
      <c r="K76" s="22">
        <v>0</v>
      </c>
      <c r="L76" s="22">
        <v>41</v>
      </c>
      <c r="M76" s="34">
        <v>23</v>
      </c>
      <c r="N76" s="26"/>
      <c r="O76" s="3">
        <f>IFERROR(VLOOKUP(N76,'Puntos XCC Menor'!$A$1:$B$15,2,FALSE),0)</f>
        <v>0</v>
      </c>
      <c r="P76" s="3"/>
      <c r="Q76" s="34">
        <f>IFERROR(VLOOKUP(P76,'Puntos XCO'!$A$1:$B$63,2,FALSE),0)</f>
        <v>0</v>
      </c>
      <c r="R76" s="16">
        <v>0</v>
      </c>
      <c r="S76" s="3">
        <f>IFERROR(VLOOKUP(R76,'Puntos XCC Menor'!$A$1:$B$15,2,FALSE),0)</f>
        <v>0</v>
      </c>
      <c r="T76" s="15">
        <v>0</v>
      </c>
      <c r="U76" s="39">
        <f>IFERROR(VLOOKUP(T76,'Puntos XCO'!$A$1:$B$63,2,FALSE),0)</f>
        <v>0</v>
      </c>
      <c r="V76" s="16">
        <v>0</v>
      </c>
      <c r="W76" s="15">
        <f>IFERROR(VLOOKUP(V76,'Puntos XCC Mayor'!$A$1:$B$15,2,FALSE),0)</f>
        <v>0</v>
      </c>
      <c r="X76" s="15">
        <v>0</v>
      </c>
      <c r="Y76" s="25">
        <f>IFERROR(VLOOKUP(X76,'Puntos XCO'!$A$1:$B$63,2,FALSE),0)</f>
        <v>0</v>
      </c>
      <c r="Z76" s="16">
        <f t="shared" si="3"/>
        <v>0</v>
      </c>
      <c r="AA76" s="15">
        <f>IFERROR(VLOOKUP(Z76,'Puntos XCC Mayor'!$A$1:$B$15,2,FALSE),0)</f>
        <v>0</v>
      </c>
      <c r="AB76" s="15">
        <f t="shared" si="4"/>
        <v>0</v>
      </c>
      <c r="AC76" s="25">
        <f>IFERROR(VLOOKUP(AB76,'Puntos XCO'!$A$1:$B$63,2,FALSE),0)</f>
        <v>0</v>
      </c>
      <c r="AD76" s="16"/>
      <c r="AE76" s="15"/>
      <c r="AF76" s="15"/>
      <c r="AG76" s="25"/>
      <c r="AH76" s="27">
        <f t="shared" si="5"/>
        <v>23</v>
      </c>
      <c r="AJ76" s="3"/>
    </row>
    <row r="77" spans="1:36" ht="24.95" customHeight="1">
      <c r="A77" s="3">
        <v>63</v>
      </c>
      <c r="B77" s="3">
        <v>62</v>
      </c>
      <c r="C77" s="115">
        <v>152</v>
      </c>
      <c r="D77" s="23" t="s">
        <v>630</v>
      </c>
      <c r="E77" s="24" t="s">
        <v>101</v>
      </c>
      <c r="F77" s="3"/>
      <c r="G77" s="15"/>
      <c r="H77" s="3"/>
      <c r="I77" s="25"/>
      <c r="J77" s="33">
        <v>38</v>
      </c>
      <c r="K77" s="22">
        <v>0</v>
      </c>
      <c r="L77" s="22">
        <v>43</v>
      </c>
      <c r="M77" s="34">
        <v>21</v>
      </c>
      <c r="N77" s="26"/>
      <c r="O77" s="3">
        <f>IFERROR(VLOOKUP(N77,'Puntos XCC Menor'!$A$1:$B$15,2,FALSE),0)</f>
        <v>0</v>
      </c>
      <c r="P77" s="3"/>
      <c r="Q77" s="34">
        <f>IFERROR(VLOOKUP(P77,'Puntos XCO'!$A$1:$B$63,2,FALSE),0)</f>
        <v>0</v>
      </c>
      <c r="R77" s="16">
        <v>0</v>
      </c>
      <c r="S77" s="3">
        <f>IFERROR(VLOOKUP(R77,'Puntos XCC Menor'!$A$1:$B$15,2,FALSE),0)</f>
        <v>0</v>
      </c>
      <c r="T77" s="15">
        <v>0</v>
      </c>
      <c r="U77" s="39">
        <f>IFERROR(VLOOKUP(T77,'Puntos XCO'!$A$1:$B$63,2,FALSE),0)</f>
        <v>0</v>
      </c>
      <c r="V77" s="16">
        <v>0</v>
      </c>
      <c r="W77" s="15">
        <f>IFERROR(VLOOKUP(V77,'Puntos XCC Mayor'!$A$1:$B$15,2,FALSE),0)</f>
        <v>0</v>
      </c>
      <c r="X77" s="15">
        <v>0</v>
      </c>
      <c r="Y77" s="25">
        <f>IFERROR(VLOOKUP(X77,'Puntos XCO'!$A$1:$B$63,2,FALSE),0)</f>
        <v>0</v>
      </c>
      <c r="Z77" s="16">
        <f t="shared" si="3"/>
        <v>0</v>
      </c>
      <c r="AA77" s="15">
        <f>IFERROR(VLOOKUP(Z77,'Puntos XCC Mayor'!$A$1:$B$15,2,FALSE),0)</f>
        <v>0</v>
      </c>
      <c r="AB77" s="15">
        <f t="shared" si="4"/>
        <v>0</v>
      </c>
      <c r="AC77" s="25">
        <f>IFERROR(VLOOKUP(AB77,'Puntos XCO'!$A$1:$B$63,2,FALSE),0)</f>
        <v>0</v>
      </c>
      <c r="AD77" s="16"/>
      <c r="AE77" s="15"/>
      <c r="AF77" s="15"/>
      <c r="AG77" s="25"/>
      <c r="AH77" s="27">
        <f t="shared" si="5"/>
        <v>21</v>
      </c>
      <c r="AJ77" s="3"/>
    </row>
    <row r="78" spans="1:36" ht="24.95" customHeight="1">
      <c r="A78" s="3">
        <v>64</v>
      </c>
      <c r="B78" s="3">
        <v>63</v>
      </c>
      <c r="C78" s="115">
        <v>150</v>
      </c>
      <c r="D78" s="23" t="s">
        <v>627</v>
      </c>
      <c r="E78" s="24" t="s">
        <v>628</v>
      </c>
      <c r="F78" s="3"/>
      <c r="G78" s="15"/>
      <c r="H78" s="3"/>
      <c r="I78" s="25"/>
      <c r="J78" s="33">
        <v>44</v>
      </c>
      <c r="K78" s="22">
        <v>0</v>
      </c>
      <c r="L78" s="22">
        <v>44</v>
      </c>
      <c r="M78" s="34">
        <v>20</v>
      </c>
      <c r="N78" s="26"/>
      <c r="O78" s="3">
        <f>IFERROR(VLOOKUP(N78,'Puntos XCC Menor'!$A$1:$B$15,2,FALSE),0)</f>
        <v>0</v>
      </c>
      <c r="P78" s="3"/>
      <c r="Q78" s="34">
        <f>IFERROR(VLOOKUP(P78,'Puntos XCO'!$A$1:$B$63,2,FALSE),0)</f>
        <v>0</v>
      </c>
      <c r="R78" s="16">
        <v>0</v>
      </c>
      <c r="S78" s="3">
        <f>IFERROR(VLOOKUP(R78,'Puntos XCC Menor'!$A$1:$B$15,2,FALSE),0)</f>
        <v>0</v>
      </c>
      <c r="T78" s="15">
        <v>0</v>
      </c>
      <c r="U78" s="39">
        <f>IFERROR(VLOOKUP(T78,'Puntos XCO'!$A$1:$B$63,2,FALSE),0)</f>
        <v>0</v>
      </c>
      <c r="V78" s="16">
        <v>0</v>
      </c>
      <c r="W78" s="15">
        <f>IFERROR(VLOOKUP(V78,'Puntos XCC Mayor'!$A$1:$B$15,2,FALSE),0)</f>
        <v>0</v>
      </c>
      <c r="X78" s="15">
        <v>0</v>
      </c>
      <c r="Y78" s="25">
        <f>IFERROR(VLOOKUP(X78,'Puntos XCO'!$A$1:$B$63,2,FALSE),0)</f>
        <v>0</v>
      </c>
      <c r="Z78" s="16">
        <f t="shared" si="3"/>
        <v>0</v>
      </c>
      <c r="AA78" s="15">
        <f>IFERROR(VLOOKUP(Z78,'Puntos XCC Mayor'!$A$1:$B$15,2,FALSE),0)</f>
        <v>0</v>
      </c>
      <c r="AB78" s="15">
        <f t="shared" si="4"/>
        <v>0</v>
      </c>
      <c r="AC78" s="25">
        <f>IFERROR(VLOOKUP(AB78,'Puntos XCO'!$A$1:$B$63,2,FALSE),0)</f>
        <v>0</v>
      </c>
      <c r="AD78" s="16"/>
      <c r="AE78" s="15"/>
      <c r="AF78" s="15"/>
      <c r="AG78" s="25"/>
      <c r="AH78" s="27">
        <f t="shared" si="5"/>
        <v>20</v>
      </c>
      <c r="AJ78" s="3"/>
    </row>
    <row r="79" spans="1:36" ht="24.95" customHeight="1">
      <c r="A79" s="3">
        <v>65</v>
      </c>
      <c r="B79" s="3">
        <v>64</v>
      </c>
      <c r="C79" s="113"/>
      <c r="D79" s="23" t="s">
        <v>617</v>
      </c>
      <c r="E79" s="24" t="s">
        <v>618</v>
      </c>
      <c r="F79" s="3">
        <v>30</v>
      </c>
      <c r="G79" s="15">
        <v>0</v>
      </c>
      <c r="H79" s="3">
        <v>0</v>
      </c>
      <c r="I79" s="25">
        <v>0</v>
      </c>
      <c r="J79" s="33">
        <v>29</v>
      </c>
      <c r="K79" s="22">
        <v>0</v>
      </c>
      <c r="L79" s="22">
        <v>46</v>
      </c>
      <c r="M79" s="34">
        <v>18</v>
      </c>
      <c r="N79" s="26"/>
      <c r="O79" s="3">
        <f>IFERROR(VLOOKUP(N79,'Puntos XCC Menor'!$A$1:$B$15,2,FALSE),0)</f>
        <v>0</v>
      </c>
      <c r="P79" s="3"/>
      <c r="Q79" s="34">
        <f>IFERROR(VLOOKUP(P79,'Puntos XCO'!$A$1:$B$63,2,FALSE),0)</f>
        <v>0</v>
      </c>
      <c r="R79" s="16">
        <v>0</v>
      </c>
      <c r="S79" s="3">
        <f>IFERROR(VLOOKUP(R79,'Puntos XCC Menor'!$A$1:$B$15,2,FALSE),0)</f>
        <v>0</v>
      </c>
      <c r="T79" s="15">
        <v>0</v>
      </c>
      <c r="U79" s="39">
        <f>IFERROR(VLOOKUP(T79,'Puntos XCO'!$A$1:$B$63,2,FALSE),0)</f>
        <v>0</v>
      </c>
      <c r="V79" s="16">
        <v>0</v>
      </c>
      <c r="W79" s="15">
        <f>IFERROR(VLOOKUP(V79,'Puntos XCC Mayor'!$A$1:$B$15,2,FALSE),0)</f>
        <v>0</v>
      </c>
      <c r="X79" s="15">
        <v>0</v>
      </c>
      <c r="Y79" s="25">
        <f>IFERROR(VLOOKUP(X79,'Puntos XCO'!$A$1:$B$63,2,FALSE),0)</f>
        <v>0</v>
      </c>
      <c r="Z79" s="16">
        <f t="shared" ref="Z79:Z85" si="6">IFERROR(VLOOKUP($C79,RESXCC_1,9,FALSE),0)</f>
        <v>0</v>
      </c>
      <c r="AA79" s="15">
        <f>IFERROR(VLOOKUP(Z79,'Puntos XCC Mayor'!$A$1:$B$15,2,FALSE),0)</f>
        <v>0</v>
      </c>
      <c r="AB79" s="15">
        <f t="shared" ref="AB79:AB85" si="7">IFERROR(VLOOKUP($C79,RESXCO,9,FALSE),0)</f>
        <v>0</v>
      </c>
      <c r="AC79" s="25">
        <f>IFERROR(VLOOKUP(AB79,'Puntos XCO'!$A$1:$B$63,2,FALSE),0)</f>
        <v>0</v>
      </c>
      <c r="AD79" s="16"/>
      <c r="AE79" s="15"/>
      <c r="AF79" s="15"/>
      <c r="AG79" s="25"/>
      <c r="AH79" s="27">
        <f t="shared" ref="AH79:AH85" si="8">G79+I79+K79+M79+O79+Q79+S79+U79+W79+Y79+AA79+AC79+AE79+AG79</f>
        <v>18</v>
      </c>
      <c r="AJ79" s="3"/>
    </row>
    <row r="80" spans="1:36" ht="24.95" customHeight="1">
      <c r="A80" s="3">
        <v>66</v>
      </c>
      <c r="B80" s="3"/>
      <c r="C80" s="105">
        <v>174</v>
      </c>
      <c r="D80" s="23" t="str">
        <f>VLOOKUP(C80,PLANILLA,2,FALSE)</f>
        <v>GONZÁLEZ Isaac*</v>
      </c>
      <c r="E80" s="24" t="str">
        <f>VLOOKUP(C80,PLANILLA,4,FALSE)</f>
        <v xml:space="preserve">CCDR LIMON </v>
      </c>
      <c r="F80" s="3"/>
      <c r="G80" s="15"/>
      <c r="H80" s="3"/>
      <c r="I80" s="25"/>
      <c r="J80" s="33"/>
      <c r="K80" s="22"/>
      <c r="L80" s="22"/>
      <c r="M80" s="34"/>
      <c r="N80" s="26"/>
      <c r="O80" s="3"/>
      <c r="P80" s="3"/>
      <c r="Q80" s="34"/>
      <c r="R80" s="16"/>
      <c r="S80" s="3"/>
      <c r="T80" s="15"/>
      <c r="U80" s="39"/>
      <c r="V80" s="16"/>
      <c r="W80" s="15"/>
      <c r="X80" s="15"/>
      <c r="Y80" s="25"/>
      <c r="Z80" s="16">
        <f t="shared" si="6"/>
        <v>10</v>
      </c>
      <c r="AA80" s="15">
        <f>IFERROR(VLOOKUP(Z80,'Puntos XCC Mayor'!$A$1:$B$15,2,FALSE),0)</f>
        <v>6</v>
      </c>
      <c r="AB80" s="15">
        <f t="shared" si="7"/>
        <v>0</v>
      </c>
      <c r="AC80" s="25">
        <f>IFERROR(VLOOKUP(AB80,'Puntos XCO'!$A$1:$B$63,2,FALSE),0)</f>
        <v>0</v>
      </c>
      <c r="AD80" s="16"/>
      <c r="AE80" s="15"/>
      <c r="AF80" s="15"/>
      <c r="AG80" s="25"/>
      <c r="AH80" s="27">
        <f t="shared" si="8"/>
        <v>6</v>
      </c>
      <c r="AJ80" s="3"/>
    </row>
    <row r="81" spans="1:36" ht="24.95" customHeight="1">
      <c r="A81" s="3">
        <v>67</v>
      </c>
      <c r="B81" s="3">
        <v>65</v>
      </c>
      <c r="C81" s="113"/>
      <c r="D81" s="23" t="s">
        <v>210</v>
      </c>
      <c r="E81" s="24" t="s">
        <v>110</v>
      </c>
      <c r="F81" s="3">
        <v>9</v>
      </c>
      <c r="G81" s="15">
        <v>2</v>
      </c>
      <c r="H81" s="3">
        <v>0</v>
      </c>
      <c r="I81" s="25">
        <v>0</v>
      </c>
      <c r="J81" s="33">
        <v>0</v>
      </c>
      <c r="K81" s="22">
        <v>0</v>
      </c>
      <c r="L81" s="22">
        <v>0</v>
      </c>
      <c r="M81" s="34">
        <v>0</v>
      </c>
      <c r="N81" s="26"/>
      <c r="O81" s="3">
        <f>IFERROR(VLOOKUP(N81,'Puntos XCC Menor'!$A$1:$B$15,2,FALSE),0)</f>
        <v>0</v>
      </c>
      <c r="P81" s="3"/>
      <c r="Q81" s="34">
        <f>IFERROR(VLOOKUP(P81,'Puntos XCO'!$A$1:$B$63,2,FALSE),0)</f>
        <v>0</v>
      </c>
      <c r="R81" s="16">
        <v>0</v>
      </c>
      <c r="S81" s="3">
        <f>IFERROR(VLOOKUP(R81,'Puntos XCC Menor'!$A$1:$B$15,2,FALSE),0)</f>
        <v>0</v>
      </c>
      <c r="T81" s="15">
        <v>0</v>
      </c>
      <c r="U81" s="39">
        <f>IFERROR(VLOOKUP(T81,'Puntos XCO'!$A$1:$B$63,2,FALSE),0)</f>
        <v>0</v>
      </c>
      <c r="V81" s="16">
        <v>0</v>
      </c>
      <c r="W81" s="15">
        <f>IFERROR(VLOOKUP(V81,'Puntos XCC Mayor'!$A$1:$B$15,2,FALSE),0)</f>
        <v>0</v>
      </c>
      <c r="X81" s="15">
        <v>0</v>
      </c>
      <c r="Y81" s="25">
        <f>IFERROR(VLOOKUP(X81,'Puntos XCO'!$A$1:$B$63,2,FALSE),0)</f>
        <v>0</v>
      </c>
      <c r="Z81" s="16">
        <f t="shared" si="6"/>
        <v>0</v>
      </c>
      <c r="AA81" s="15">
        <f>IFERROR(VLOOKUP(Z81,'Puntos XCC Mayor'!$A$1:$B$15,2,FALSE),0)</f>
        <v>0</v>
      </c>
      <c r="AB81" s="15">
        <f t="shared" si="7"/>
        <v>0</v>
      </c>
      <c r="AC81" s="25">
        <f>IFERROR(VLOOKUP(AB81,'Puntos XCO'!$A$1:$B$63,2,FALSE),0)</f>
        <v>0</v>
      </c>
      <c r="AD81" s="16"/>
      <c r="AE81" s="15"/>
      <c r="AF81" s="15"/>
      <c r="AG81" s="25"/>
      <c r="AH81" s="27">
        <f t="shared" si="8"/>
        <v>2</v>
      </c>
      <c r="AJ81" s="3"/>
    </row>
    <row r="82" spans="1:36" ht="24.95" customHeight="1">
      <c r="A82" s="3"/>
      <c r="B82" s="3"/>
      <c r="C82" s="113">
        <v>141</v>
      </c>
      <c r="D82" s="23" t="s">
        <v>258</v>
      </c>
      <c r="E82" s="24" t="s">
        <v>150</v>
      </c>
      <c r="F82" s="3">
        <v>0</v>
      </c>
      <c r="G82" s="15">
        <v>0</v>
      </c>
      <c r="H82" s="3">
        <v>0</v>
      </c>
      <c r="I82" s="25">
        <v>0</v>
      </c>
      <c r="J82" s="33">
        <v>0</v>
      </c>
      <c r="K82" s="22">
        <v>0</v>
      </c>
      <c r="L82" s="22">
        <v>0</v>
      </c>
      <c r="M82" s="34">
        <v>0</v>
      </c>
      <c r="N82" s="26"/>
      <c r="O82" s="3">
        <f>IFERROR(VLOOKUP(N82,'Puntos XCC Menor'!$A$1:$B$15,2,FALSE),0)</f>
        <v>0</v>
      </c>
      <c r="P82" s="3"/>
      <c r="Q82" s="34">
        <f>IFERROR(VLOOKUP(P82,'Puntos XCO'!$A$1:$B$63,2,FALSE),0)</f>
        <v>0</v>
      </c>
      <c r="R82" s="16">
        <v>0</v>
      </c>
      <c r="S82" s="3">
        <f>IFERROR(VLOOKUP(R82,'Puntos XCC Menor'!$A$1:$B$15,2,FALSE),0)</f>
        <v>0</v>
      </c>
      <c r="T82" s="15">
        <v>0</v>
      </c>
      <c r="U82" s="39">
        <f>IFERROR(VLOOKUP(T82,'Puntos XCO'!$A$1:$B$63,2,FALSE),0)</f>
        <v>0</v>
      </c>
      <c r="V82" s="16">
        <v>0</v>
      </c>
      <c r="W82" s="15">
        <f>IFERROR(VLOOKUP(V82,'Puntos XCC Mayor'!$A$1:$B$15,2,FALSE),0)</f>
        <v>0</v>
      </c>
      <c r="X82" s="15">
        <v>0</v>
      </c>
      <c r="Y82" s="25">
        <f>IFERROR(VLOOKUP(X82,'Puntos XCO'!$A$1:$B$63,2,FALSE),0)</f>
        <v>0</v>
      </c>
      <c r="Z82" s="16">
        <f t="shared" si="6"/>
        <v>0</v>
      </c>
      <c r="AA82" s="15">
        <f>IFERROR(VLOOKUP(Z82,'Puntos XCC Mayor'!$A$1:$B$15,2,FALSE),0)</f>
        <v>0</v>
      </c>
      <c r="AB82" s="15">
        <f t="shared" si="7"/>
        <v>0</v>
      </c>
      <c r="AC82" s="25">
        <f>IFERROR(VLOOKUP(AB82,'Puntos XCO'!$A$1:$B$63,2,FALSE),0)</f>
        <v>0</v>
      </c>
      <c r="AD82" s="16"/>
      <c r="AE82" s="15"/>
      <c r="AF82" s="15"/>
      <c r="AG82" s="25"/>
      <c r="AH82" s="27">
        <f t="shared" si="8"/>
        <v>0</v>
      </c>
      <c r="AJ82" s="3"/>
    </row>
    <row r="83" spans="1:36" ht="24.95" customHeight="1">
      <c r="A83" s="3"/>
      <c r="B83" s="3"/>
      <c r="C83" s="115">
        <v>153</v>
      </c>
      <c r="D83" s="23" t="s">
        <v>631</v>
      </c>
      <c r="E83" s="24" t="s">
        <v>632</v>
      </c>
      <c r="F83" s="3"/>
      <c r="G83" s="15"/>
      <c r="H83" s="3"/>
      <c r="I83" s="25"/>
      <c r="J83" s="33">
        <v>39</v>
      </c>
      <c r="K83" s="22">
        <v>0</v>
      </c>
      <c r="L83" s="22">
        <v>0</v>
      </c>
      <c r="M83" s="34">
        <v>0</v>
      </c>
      <c r="N83" s="26"/>
      <c r="O83" s="3">
        <f>IFERROR(VLOOKUP(N83,'Puntos XCC Menor'!$A$1:$B$15,2,FALSE),0)</f>
        <v>0</v>
      </c>
      <c r="P83" s="3"/>
      <c r="Q83" s="34">
        <f>IFERROR(VLOOKUP(P83,'Puntos XCO'!$A$1:$B$63,2,FALSE),0)</f>
        <v>0</v>
      </c>
      <c r="R83" s="16">
        <v>0</v>
      </c>
      <c r="S83" s="3">
        <f>IFERROR(VLOOKUP(R83,'Puntos XCC Menor'!$A$1:$B$15,2,FALSE),0)</f>
        <v>0</v>
      </c>
      <c r="T83" s="15">
        <v>0</v>
      </c>
      <c r="U83" s="39">
        <f>IFERROR(VLOOKUP(T83,'Puntos XCO'!$A$1:$B$63,2,FALSE),0)</f>
        <v>0</v>
      </c>
      <c r="V83" s="16">
        <v>0</v>
      </c>
      <c r="W83" s="15">
        <f>IFERROR(VLOOKUP(V83,'Puntos XCC Mayor'!$A$1:$B$15,2,FALSE),0)</f>
        <v>0</v>
      </c>
      <c r="X83" s="15">
        <v>0</v>
      </c>
      <c r="Y83" s="25">
        <f>IFERROR(VLOOKUP(X83,'Puntos XCO'!$A$1:$B$63,2,FALSE),0)</f>
        <v>0</v>
      </c>
      <c r="Z83" s="16">
        <f t="shared" si="6"/>
        <v>0</v>
      </c>
      <c r="AA83" s="15">
        <f>IFERROR(VLOOKUP(Z83,'Puntos XCC Mayor'!$A$1:$B$15,2,FALSE),0)</f>
        <v>0</v>
      </c>
      <c r="AB83" s="15">
        <f t="shared" si="7"/>
        <v>0</v>
      </c>
      <c r="AC83" s="25">
        <f>IFERROR(VLOOKUP(AB83,'Puntos XCO'!$A$1:$B$63,2,FALSE),0)</f>
        <v>0</v>
      </c>
      <c r="AD83" s="16"/>
      <c r="AE83" s="15"/>
      <c r="AF83" s="15"/>
      <c r="AG83" s="25"/>
      <c r="AH83" s="27">
        <f t="shared" si="8"/>
        <v>0</v>
      </c>
      <c r="AJ83" s="3"/>
    </row>
    <row r="84" spans="1:36" ht="24.95" customHeight="1">
      <c r="A84" s="3"/>
      <c r="B84" s="3"/>
      <c r="C84" s="115">
        <v>154</v>
      </c>
      <c r="D84" s="23" t="s">
        <v>633</v>
      </c>
      <c r="E84" s="24" t="s">
        <v>634</v>
      </c>
      <c r="F84" s="3"/>
      <c r="G84" s="15"/>
      <c r="H84" s="3"/>
      <c r="I84" s="25"/>
      <c r="J84" s="33">
        <v>26</v>
      </c>
      <c r="K84" s="22">
        <v>0</v>
      </c>
      <c r="L84" s="22">
        <v>0</v>
      </c>
      <c r="M84" s="34">
        <v>0</v>
      </c>
      <c r="N84" s="26"/>
      <c r="O84" s="3">
        <f>IFERROR(VLOOKUP(N84,'Puntos XCC Menor'!$A$1:$B$15,2,FALSE),0)</f>
        <v>0</v>
      </c>
      <c r="P84" s="3"/>
      <c r="Q84" s="34">
        <f>IFERROR(VLOOKUP(P84,'Puntos XCO'!$A$1:$B$63,2,FALSE),0)</f>
        <v>0</v>
      </c>
      <c r="R84" s="16">
        <v>0</v>
      </c>
      <c r="S84" s="3">
        <f>IFERROR(VLOOKUP(R84,'Puntos XCC Menor'!$A$1:$B$15,2,FALSE),0)</f>
        <v>0</v>
      </c>
      <c r="T84" s="15">
        <v>0</v>
      </c>
      <c r="U84" s="39">
        <f>IFERROR(VLOOKUP(T84,'Puntos XCO'!$A$1:$B$63,2,FALSE),0)</f>
        <v>0</v>
      </c>
      <c r="V84" s="16">
        <v>0</v>
      </c>
      <c r="W84" s="15">
        <f>IFERROR(VLOOKUP(V84,'Puntos XCC Mayor'!$A$1:$B$15,2,FALSE),0)</f>
        <v>0</v>
      </c>
      <c r="X84" s="15">
        <v>0</v>
      </c>
      <c r="Y84" s="25">
        <f>IFERROR(VLOOKUP(X84,'Puntos XCO'!$A$1:$B$63,2,FALSE),0)</f>
        <v>0</v>
      </c>
      <c r="Z84" s="16">
        <f t="shared" si="6"/>
        <v>0</v>
      </c>
      <c r="AA84" s="15">
        <f>IFERROR(VLOOKUP(Z84,'Puntos XCC Mayor'!$A$1:$B$15,2,FALSE),0)</f>
        <v>0</v>
      </c>
      <c r="AB84" s="15">
        <f t="shared" si="7"/>
        <v>0</v>
      </c>
      <c r="AC84" s="25">
        <f>IFERROR(VLOOKUP(AB84,'Puntos XCO'!$A$1:$B$63,2,FALSE),0)</f>
        <v>0</v>
      </c>
      <c r="AD84" s="16"/>
      <c r="AE84" s="15"/>
      <c r="AF84" s="15"/>
      <c r="AG84" s="25"/>
      <c r="AH84" s="27">
        <f t="shared" si="8"/>
        <v>0</v>
      </c>
      <c r="AJ84" s="3"/>
    </row>
    <row r="85" spans="1:36" ht="24.95" customHeight="1">
      <c r="A85" s="3"/>
      <c r="B85" s="3"/>
      <c r="C85" s="105">
        <v>172</v>
      </c>
      <c r="D85" s="23" t="str">
        <f>VLOOKUP(C85,PLANILLA,2,FALSE)</f>
        <v>SALAS Sebastian*</v>
      </c>
      <c r="E85" s="24" t="str">
        <f>VLOOKUP(C85,PLANILLA,4,FALSE)</f>
        <v xml:space="preserve">CCDR SAN JOSÉ </v>
      </c>
      <c r="F85" s="3"/>
      <c r="G85" s="15"/>
      <c r="H85" s="3"/>
      <c r="I85" s="25"/>
      <c r="J85" s="33"/>
      <c r="K85" s="22"/>
      <c r="L85" s="22"/>
      <c r="M85" s="34"/>
      <c r="N85" s="26"/>
      <c r="O85" s="3"/>
      <c r="P85" s="3"/>
      <c r="Q85" s="34"/>
      <c r="R85" s="16"/>
      <c r="S85" s="3"/>
      <c r="T85" s="15"/>
      <c r="U85" s="39"/>
      <c r="V85" s="16"/>
      <c r="W85" s="15"/>
      <c r="X85" s="15"/>
      <c r="Y85" s="25"/>
      <c r="Z85" s="16">
        <f t="shared" si="6"/>
        <v>22</v>
      </c>
      <c r="AA85" s="15">
        <f>IFERROR(VLOOKUP(Z85,'Puntos XCC Mayor'!$A$1:$B$15,2,FALSE),0)</f>
        <v>0</v>
      </c>
      <c r="AB85" s="15">
        <f t="shared" si="7"/>
        <v>0</v>
      </c>
      <c r="AC85" s="25">
        <f>IFERROR(VLOOKUP(AB85,'Puntos XCO'!$A$1:$B$63,2,FALSE),0)</f>
        <v>0</v>
      </c>
      <c r="AD85" s="16"/>
      <c r="AE85" s="15"/>
      <c r="AF85" s="15"/>
      <c r="AG85" s="25"/>
      <c r="AH85" s="27">
        <f t="shared" si="8"/>
        <v>0</v>
      </c>
      <c r="AJ85" s="3"/>
    </row>
    <row r="86" spans="1:36" ht="24.95" customHeight="1">
      <c r="A86" s="3"/>
      <c r="B86" s="3"/>
      <c r="C86" s="2"/>
      <c r="D86" s="23"/>
      <c r="E86" s="24"/>
      <c r="F86" s="3"/>
      <c r="G86" s="15"/>
      <c r="H86" s="3"/>
      <c r="I86" s="25"/>
      <c r="J86" s="33"/>
      <c r="K86" s="22"/>
      <c r="L86" s="22"/>
      <c r="M86" s="34"/>
      <c r="N86" s="32"/>
      <c r="O86" s="30"/>
      <c r="P86" s="3"/>
      <c r="Q86" s="34"/>
      <c r="R86" s="32"/>
      <c r="S86" s="30"/>
      <c r="T86" s="30"/>
      <c r="U86" s="31"/>
      <c r="V86" s="32"/>
      <c r="W86" s="30"/>
      <c r="X86" s="30"/>
      <c r="Y86" s="31"/>
      <c r="Z86" s="32"/>
      <c r="AA86" s="30"/>
      <c r="AB86" s="30"/>
      <c r="AC86" s="31"/>
      <c r="AD86" s="32"/>
      <c r="AE86" s="30"/>
      <c r="AF86" s="30"/>
      <c r="AG86" s="31"/>
      <c r="AH86" s="27"/>
      <c r="AJ86" s="3"/>
    </row>
    <row r="87" spans="1:36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74"/>
      <c r="Q87" s="65"/>
      <c r="R87" s="65"/>
      <c r="S87" s="65"/>
      <c r="T87" s="65"/>
      <c r="U87" s="65"/>
      <c r="V87" s="65"/>
      <c r="W87" s="65"/>
      <c r="X87" s="65"/>
      <c r="Y87" s="65"/>
      <c r="Z87" s="119"/>
      <c r="AA87" s="119"/>
      <c r="AB87" s="119"/>
      <c r="AC87" s="119"/>
      <c r="AD87" s="119"/>
      <c r="AE87" s="119"/>
      <c r="AF87" s="119"/>
      <c r="AG87" s="119"/>
      <c r="AH87" s="65"/>
    </row>
    <row r="88" spans="1:36">
      <c r="M88" s="9"/>
      <c r="N88" s="9"/>
      <c r="O88" s="9"/>
      <c r="P88" s="10"/>
      <c r="Q88" s="9"/>
      <c r="R88" s="9"/>
      <c r="S88" s="9"/>
      <c r="T88" s="9"/>
      <c r="U88" s="9"/>
    </row>
    <row r="89" spans="1:36" ht="111.75" customHeight="1"/>
    <row r="90" spans="1:36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74"/>
      <c r="Q90" s="65"/>
      <c r="R90" s="65"/>
      <c r="S90" s="65"/>
      <c r="T90" s="65"/>
      <c r="U90" s="65"/>
      <c r="V90" s="65"/>
      <c r="W90" s="65"/>
      <c r="X90" s="65"/>
      <c r="Y90" s="65"/>
      <c r="Z90" s="119"/>
      <c r="AA90" s="119"/>
      <c r="AB90" s="119"/>
      <c r="AC90" s="119"/>
      <c r="AD90" s="119"/>
      <c r="AE90" s="119"/>
      <c r="AF90" s="119"/>
      <c r="AG90" s="119"/>
      <c r="AH90" s="65"/>
    </row>
  </sheetData>
  <sortState ref="B15:AH85">
    <sortCondition descending="1" ref="AH15:AH85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87:C65565 C1:C9 C12:C14">
    <cfRule type="duplicateValues" dxfId="525" priority="66" stopIfTrue="1"/>
  </conditionalFormatting>
  <conditionalFormatting sqref="C15:C57">
    <cfRule type="duplicateValues" dxfId="524" priority="7347"/>
  </conditionalFormatting>
  <conditionalFormatting sqref="C58:C69">
    <cfRule type="duplicateValues" dxfId="523" priority="7869"/>
  </conditionalFormatting>
  <conditionalFormatting sqref="C70:C82 C86">
    <cfRule type="duplicateValues" dxfId="522" priority="7910"/>
  </conditionalFormatting>
  <conditionalFormatting sqref="AJ15:AJ86">
    <cfRule type="duplicateValues" dxfId="521" priority="7912"/>
  </conditionalFormatting>
  <conditionalFormatting sqref="C83:C85">
    <cfRule type="duplicateValues" dxfId="520" priority="6"/>
  </conditionalFormatting>
  <conditionalFormatting sqref="C11">
    <cfRule type="duplicateValues" dxfId="519" priority="4" stopIfTrue="1"/>
  </conditionalFormatting>
  <conditionalFormatting sqref="C11">
    <cfRule type="duplicateValues" dxfId="518" priority="5" stopIfTrue="1"/>
  </conditionalFormatting>
  <conditionalFormatting sqref="D11">
    <cfRule type="duplicateValues" dxfId="517" priority="3" stopIfTrue="1"/>
  </conditionalFormatting>
  <conditionalFormatting sqref="C10">
    <cfRule type="duplicateValues" dxfId="516" priority="1" stopIfTrue="1"/>
  </conditionalFormatting>
  <conditionalFormatting sqref="C10">
    <cfRule type="duplicateValues" dxfId="515" priority="2" stopIfTrue="1"/>
  </conditionalFormatting>
  <pageMargins left="0.70866141732283472" right="0.70866141732283472" top="0.74803149606299213" bottom="0.74803149606299213" header="0.31496062992125984" footer="0.31496062992125984"/>
  <pageSetup paperSize="9" scale="49" fitToHeight="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8:AM28"/>
  <sheetViews>
    <sheetView showGridLines="0" zoomScale="70" zoomScaleNormal="70" zoomScaleSheetLayoutView="90" workbookViewId="0">
      <selection activeCell="D15" sqref="D15"/>
    </sheetView>
  </sheetViews>
  <sheetFormatPr baseColWidth="10" defaultRowHeight="15"/>
  <cols>
    <col min="1" max="1" width="10.28515625" style="2" customWidth="1"/>
    <col min="2" max="2" width="13.42578125" bestFit="1" customWidth="1"/>
    <col min="3" max="3" width="8.85546875" customWidth="1"/>
    <col min="4" max="4" width="37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7109375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0.5703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52">
        <v>1</v>
      </c>
      <c r="B15" s="52">
        <v>1</v>
      </c>
      <c r="C15" s="113">
        <v>263</v>
      </c>
      <c r="D15" s="23" t="s">
        <v>1054</v>
      </c>
      <c r="E15" s="24" t="s">
        <v>376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>
        <f t="shared" ref="Z15:Z23" si="0">IFERROR(VLOOKUP($C15,RESXCC_1,9,FALSE),0)</f>
        <v>1</v>
      </c>
      <c r="AA15" s="15">
        <f>IFERROR(VLOOKUP(Z15,'Puntos XCC Mayor'!$A$1:$B$15,2,FALSE),0)</f>
        <v>25</v>
      </c>
      <c r="AB15" s="15">
        <f t="shared" ref="AB15:AB23" si="1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3" si="2">G15+I15+K15+M15+O15+Q15+S15+U15+W15+Y15+AA15+AC15+AE15+AG15</f>
        <v>1230</v>
      </c>
      <c r="AJ15" s="2"/>
      <c r="AK15" s="13"/>
      <c r="AL15" s="12"/>
      <c r="AM15" s="14"/>
    </row>
    <row r="16" spans="1:39" ht="24.95" customHeight="1">
      <c r="A16" s="52">
        <v>2</v>
      </c>
      <c r="B16" s="52">
        <v>2</v>
      </c>
      <c r="C16" s="113">
        <v>264</v>
      </c>
      <c r="D16" s="23" t="s">
        <v>264</v>
      </c>
      <c r="E16" s="24" t="s">
        <v>642</v>
      </c>
      <c r="F16" s="3">
        <v>2</v>
      </c>
      <c r="G16" s="15">
        <v>9</v>
      </c>
      <c r="H16" s="3">
        <v>4</v>
      </c>
      <c r="I16" s="25">
        <v>110</v>
      </c>
      <c r="J16" s="33">
        <v>2</v>
      </c>
      <c r="K16" s="22">
        <v>9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4</v>
      </c>
      <c r="Q16" s="34">
        <f>IFERROR(VLOOKUP(P16,'Puntos XCO'!$A$1:$B$63,2,FALSE),0)</f>
        <v>110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v>2</v>
      </c>
      <c r="W16" s="15">
        <f>IFERROR(VLOOKUP(V16,'Puntos XCC Mayor'!$A$1:$B$15,2,FALSE),0)</f>
        <v>20</v>
      </c>
      <c r="X16" s="15">
        <v>2</v>
      </c>
      <c r="Y16" s="25">
        <f>IFERROR(VLOOKUP(X16,'Puntos XCO'!$A$1:$B$63,2,FALSE),0)</f>
        <v>150</v>
      </c>
      <c r="Z16" s="16">
        <f t="shared" si="0"/>
        <v>0</v>
      </c>
      <c r="AA16" s="15">
        <f>IFERROR(VLOOKUP(Z16,'Puntos XCC Mayor'!$A$1:$B$15,2,FALSE),0)</f>
        <v>0</v>
      </c>
      <c r="AB16" s="15">
        <f t="shared" si="1"/>
        <v>0</v>
      </c>
      <c r="AC16" s="25">
        <f>IFERROR(VLOOKUP(AB16,'Puntos XCO'!$A$1:$B$63,2,FALSE),0)</f>
        <v>0</v>
      </c>
      <c r="AD16" s="16"/>
      <c r="AE16" s="15"/>
      <c r="AF16" s="15"/>
      <c r="AG16" s="25"/>
      <c r="AH16" s="27">
        <f t="shared" si="2"/>
        <v>717</v>
      </c>
      <c r="AJ16" s="2"/>
      <c r="AK16" s="13"/>
      <c r="AL16" s="12"/>
      <c r="AM16" s="14"/>
    </row>
    <row r="17" spans="1:39" ht="24.95" customHeight="1">
      <c r="A17" s="52">
        <v>3</v>
      </c>
      <c r="B17" s="52">
        <v>4</v>
      </c>
      <c r="C17" s="113">
        <v>266</v>
      </c>
      <c r="D17" s="23" t="s">
        <v>266</v>
      </c>
      <c r="E17" s="24" t="s">
        <v>132</v>
      </c>
      <c r="F17" s="3">
        <v>0</v>
      </c>
      <c r="G17" s="15">
        <v>0</v>
      </c>
      <c r="H17" s="3">
        <v>3</v>
      </c>
      <c r="I17" s="25">
        <v>120</v>
      </c>
      <c r="J17" s="33">
        <v>0</v>
      </c>
      <c r="K17" s="22">
        <v>0</v>
      </c>
      <c r="L17" s="22">
        <v>0</v>
      </c>
      <c r="M17" s="34">
        <v>0</v>
      </c>
      <c r="N17" s="26"/>
      <c r="O17" s="3">
        <f>IFERROR(VLOOKUP(N17,'Puntos XCC Menor'!$A$1:$B$15,2,FALSE),0)</f>
        <v>0</v>
      </c>
      <c r="P17" s="3"/>
      <c r="Q17" s="34">
        <f>IFERROR(VLOOKUP(P17,'Puntos XCO'!$A$1:$B$63,2,FALSE),0)</f>
        <v>0</v>
      </c>
      <c r="R17" s="16">
        <v>0</v>
      </c>
      <c r="S17" s="3">
        <f>IFERROR(VLOOKUP(R17,'Puntos XCC Menor'!$A$1:$B$15,2,FALSE),0)</f>
        <v>0</v>
      </c>
      <c r="T17" s="15">
        <v>0</v>
      </c>
      <c r="U17" s="39">
        <f>IFERROR(VLOOKUP(T17,'Puntos XCO'!$A$1:$B$63,2,FALSE),0)</f>
        <v>0</v>
      </c>
      <c r="V17" s="16">
        <v>3</v>
      </c>
      <c r="W17" s="15">
        <f>IFERROR(VLOOKUP(V17,'Puntos XCC Mayor'!$A$1:$B$15,2,FALSE),0)</f>
        <v>16</v>
      </c>
      <c r="X17" s="15">
        <v>3</v>
      </c>
      <c r="Y17" s="25">
        <f>IFERROR(VLOOKUP(X17,'Puntos XCO'!$A$1:$B$63,2,FALSE),0)</f>
        <v>120</v>
      </c>
      <c r="Z17" s="16">
        <f t="shared" si="0"/>
        <v>2</v>
      </c>
      <c r="AA17" s="15">
        <f>IFERROR(VLOOKUP(Z17,'Puntos XCC Mayor'!$A$1:$B$15,2,FALSE),0)</f>
        <v>20</v>
      </c>
      <c r="AB17" s="15">
        <f t="shared" si="1"/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2"/>
        <v>426</v>
      </c>
      <c r="AJ17" s="2"/>
      <c r="AK17" s="13"/>
      <c r="AL17" s="12"/>
      <c r="AM17" s="14"/>
    </row>
    <row r="18" spans="1:39" ht="24.95" customHeight="1">
      <c r="A18" s="52">
        <v>4</v>
      </c>
      <c r="B18" s="52">
        <v>3</v>
      </c>
      <c r="C18" s="114">
        <v>265</v>
      </c>
      <c r="D18" s="23" t="s">
        <v>1055</v>
      </c>
      <c r="E18" s="24" t="s">
        <v>128</v>
      </c>
      <c r="F18" s="3"/>
      <c r="G18" s="15"/>
      <c r="H18" s="15"/>
      <c r="I18" s="25"/>
      <c r="J18" s="33">
        <v>4</v>
      </c>
      <c r="K18" s="22">
        <v>7</v>
      </c>
      <c r="L18" s="22">
        <v>3</v>
      </c>
      <c r="M18" s="34">
        <v>120</v>
      </c>
      <c r="N18" s="26"/>
      <c r="O18" s="3">
        <f>IFERROR(VLOOKUP(N18,'Puntos XCC Menor'!$A$1:$B$15,2,FALSE),0)</f>
        <v>0</v>
      </c>
      <c r="P18" s="3">
        <v>5</v>
      </c>
      <c r="Q18" s="34">
        <f>IFERROR(VLOOKUP(P18,'Puntos XCO'!$A$1:$B$63,2,FALSE),0)</f>
        <v>100</v>
      </c>
      <c r="R18" s="16">
        <v>3</v>
      </c>
      <c r="S18" s="3">
        <f>IFERROR(VLOOKUP(R18,'Puntos XCC Menor'!$A$1:$B$15,2,FALSE),0)</f>
        <v>8</v>
      </c>
      <c r="T18" s="15">
        <v>0</v>
      </c>
      <c r="U18" s="39">
        <f>IFERROR(VLOOKUP(T18,'Puntos XCO'!$A$1:$B$63,2,FALSE),0)</f>
        <v>0</v>
      </c>
      <c r="V18" s="16">
        <v>4</v>
      </c>
      <c r="W18" s="15">
        <f>IFERROR(VLOOKUP(V18,'Puntos XCC Mayor'!$A$1:$B$15,2,FALSE),0)</f>
        <v>14</v>
      </c>
      <c r="X18" s="15">
        <v>5</v>
      </c>
      <c r="Y18" s="25">
        <f>IFERROR(VLOOKUP(X18,'Puntos XCO'!$A$1:$B$63,2,FALSE),0)</f>
        <v>100</v>
      </c>
      <c r="Z18" s="16">
        <f t="shared" si="0"/>
        <v>0</v>
      </c>
      <c r="AA18" s="15">
        <f>IFERROR(VLOOKUP(Z18,'Puntos XCC Mayor'!$A$1:$B$15,2,FALSE),0)</f>
        <v>0</v>
      </c>
      <c r="AB18" s="15">
        <f t="shared" si="1"/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2"/>
        <v>349</v>
      </c>
      <c r="AJ18" s="2"/>
      <c r="AK18" s="13"/>
      <c r="AL18" s="12"/>
      <c r="AM18" s="14"/>
    </row>
    <row r="19" spans="1:39" ht="24.95" customHeight="1">
      <c r="A19" s="52">
        <v>5</v>
      </c>
      <c r="B19" s="52">
        <v>5</v>
      </c>
      <c r="C19" s="113">
        <v>261</v>
      </c>
      <c r="D19" s="23" t="s">
        <v>1052</v>
      </c>
      <c r="E19" s="24" t="s">
        <v>901</v>
      </c>
      <c r="F19" s="3"/>
      <c r="G19" s="15"/>
      <c r="H19" s="3"/>
      <c r="I19" s="63"/>
      <c r="J19" s="33"/>
      <c r="K19" s="22"/>
      <c r="L19" s="22"/>
      <c r="M19" s="34"/>
      <c r="N19" s="26"/>
      <c r="O19" s="3"/>
      <c r="P19" s="3">
        <v>1</v>
      </c>
      <c r="Q19" s="34">
        <f>IFERROR(VLOOKUP(P19,'Puntos XCO'!$A$1:$B$63,2,FALSE),0)</f>
        <v>200</v>
      </c>
      <c r="R19" s="16">
        <v>0</v>
      </c>
      <c r="S19" s="3">
        <f>IFERROR(VLOOKUP(R19,'Puntos XCC Menor'!$A$1:$B$15,2,FALSE),0)</f>
        <v>0</v>
      </c>
      <c r="T19" s="15">
        <v>0</v>
      </c>
      <c r="U19" s="39">
        <f>IFERROR(VLOOKUP(T19,'Puntos XCO'!$A$1:$B$63,2,FALSE),0)</f>
        <v>0</v>
      </c>
      <c r="V19" s="16">
        <v>0</v>
      </c>
      <c r="W19" s="15">
        <f>IFERROR(VLOOKUP(V19,'Puntos XCC Mayor'!$A$1:$B$15,2,FALSE),0)</f>
        <v>0</v>
      </c>
      <c r="X19" s="15">
        <v>0</v>
      </c>
      <c r="Y19" s="25">
        <f>IFERROR(VLOOKUP(X19,'Puntos XCO'!$A$1:$B$63,2,FALSE),0)</f>
        <v>0</v>
      </c>
      <c r="Z19" s="16">
        <f t="shared" si="0"/>
        <v>0</v>
      </c>
      <c r="AA19" s="15">
        <f>IFERROR(VLOOKUP(Z19,'Puntos XCC Mayor'!$A$1:$B$15,2,FALSE),0)</f>
        <v>0</v>
      </c>
      <c r="AB19" s="15">
        <f t="shared" si="1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2"/>
        <v>200</v>
      </c>
      <c r="AJ19" s="3"/>
    </row>
    <row r="20" spans="1:39" ht="24.95" customHeight="1">
      <c r="A20" s="52">
        <v>6</v>
      </c>
      <c r="B20" s="52">
        <v>6</v>
      </c>
      <c r="C20" s="113"/>
      <c r="D20" s="23" t="s">
        <v>640</v>
      </c>
      <c r="E20" s="24" t="s">
        <v>108</v>
      </c>
      <c r="F20" s="3">
        <v>3</v>
      </c>
      <c r="G20" s="15">
        <v>8</v>
      </c>
      <c r="H20" s="3">
        <v>2</v>
      </c>
      <c r="I20" s="63">
        <v>150</v>
      </c>
      <c r="J20" s="33">
        <v>3</v>
      </c>
      <c r="K20" s="22">
        <v>8</v>
      </c>
      <c r="L20" s="22">
        <v>0</v>
      </c>
      <c r="M20" s="34">
        <v>0</v>
      </c>
      <c r="N20" s="26"/>
      <c r="O20" s="3">
        <f>IFERROR(VLOOKUP(N20,'Puntos XCC Menor'!$A$1:$B$15,2,FALSE),0)</f>
        <v>0</v>
      </c>
      <c r="P20" s="3"/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0"/>
        <v>0</v>
      </c>
      <c r="AA20" s="15">
        <f>IFERROR(VLOOKUP(Z20,'Puntos XCC Mayor'!$A$1:$B$15,2,FALSE),0)</f>
        <v>0</v>
      </c>
      <c r="AB20" s="15">
        <f t="shared" si="1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2"/>
        <v>166</v>
      </c>
      <c r="AJ20" s="3"/>
    </row>
    <row r="21" spans="1:39" ht="24.95" customHeight="1">
      <c r="A21" s="52">
        <v>7</v>
      </c>
      <c r="B21" s="52">
        <v>7</v>
      </c>
      <c r="C21" s="113">
        <v>262</v>
      </c>
      <c r="D21" s="23" t="s">
        <v>1053</v>
      </c>
      <c r="E21" s="24" t="s">
        <v>1035</v>
      </c>
      <c r="F21" s="3"/>
      <c r="G21" s="15"/>
      <c r="H21" s="3"/>
      <c r="I21" s="63"/>
      <c r="J21" s="33"/>
      <c r="K21" s="22"/>
      <c r="L21" s="22"/>
      <c r="M21" s="34"/>
      <c r="N21" s="26"/>
      <c r="O21" s="3"/>
      <c r="P21" s="3">
        <v>3</v>
      </c>
      <c r="Q21" s="34">
        <f>IFERROR(VLOOKUP(P21,'Puntos XCO'!$A$1:$B$63,2,FALSE),0)</f>
        <v>120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v>0</v>
      </c>
      <c r="W21" s="15">
        <f>IFERROR(VLOOKUP(V21,'Puntos XCC Mayor'!$A$1:$B$15,2,FALSE),0)</f>
        <v>0</v>
      </c>
      <c r="X21" s="15">
        <v>0</v>
      </c>
      <c r="Y21" s="25">
        <f>IFERROR(VLOOKUP(X21,'Puntos XCO'!$A$1:$B$63,2,FALSE),0)</f>
        <v>0</v>
      </c>
      <c r="Z21" s="16">
        <f t="shared" si="0"/>
        <v>0</v>
      </c>
      <c r="AA21" s="15">
        <f>IFERROR(VLOOKUP(Z21,'Puntos XCC Mayor'!$A$1:$B$15,2,FALSE),0)</f>
        <v>0</v>
      </c>
      <c r="AB21" s="15">
        <f t="shared" si="1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2"/>
        <v>120</v>
      </c>
      <c r="AJ21" s="3"/>
    </row>
    <row r="22" spans="1:39" ht="24.95" customHeight="1">
      <c r="A22" s="52">
        <v>8</v>
      </c>
      <c r="B22" s="52"/>
      <c r="C22" s="105">
        <v>268</v>
      </c>
      <c r="D22" s="23" t="str">
        <f>VLOOKUP(C22,PLANILLA,2,FALSE)</f>
        <v>MAYORGA Lucía*</v>
      </c>
      <c r="E22" s="24" t="str">
        <f>VLOOKUP(C22,PLANILLA,4,FALSE)</f>
        <v xml:space="preserve">Codea alajuela </v>
      </c>
      <c r="F22" s="3"/>
      <c r="G22" s="15"/>
      <c r="H22" s="3"/>
      <c r="I22" s="63"/>
      <c r="J22" s="33"/>
      <c r="K22" s="22"/>
      <c r="L22" s="22"/>
      <c r="M22" s="34"/>
      <c r="N22" s="26"/>
      <c r="O22" s="3"/>
      <c r="P22" s="3"/>
      <c r="Q22" s="34"/>
      <c r="R22" s="16"/>
      <c r="S22" s="3"/>
      <c r="T22" s="15"/>
      <c r="U22" s="39"/>
      <c r="V22" s="16"/>
      <c r="W22" s="15"/>
      <c r="X22" s="15"/>
      <c r="Y22" s="25"/>
      <c r="Z22" s="16">
        <f t="shared" si="0"/>
        <v>0</v>
      </c>
      <c r="AA22" s="15">
        <f>IFERROR(VLOOKUP(Z22,'Puntos XCC Mayor'!$A$1:$B$15,2,FALSE),0)</f>
        <v>0</v>
      </c>
      <c r="AB22" s="15">
        <f t="shared" si="1"/>
        <v>3</v>
      </c>
      <c r="AC22" s="25">
        <f>IFERROR(VLOOKUP(AB22,'Puntos XCO'!$A$1:$B$63,2,FALSE),0)</f>
        <v>120</v>
      </c>
      <c r="AD22" s="16"/>
      <c r="AE22" s="15"/>
      <c r="AF22" s="15"/>
      <c r="AG22" s="25"/>
      <c r="AH22" s="27">
        <f t="shared" si="2"/>
        <v>120</v>
      </c>
      <c r="AJ22" s="3"/>
    </row>
    <row r="23" spans="1:39" ht="24.95" customHeight="1">
      <c r="A23" s="52">
        <v>9</v>
      </c>
      <c r="B23" s="52">
        <v>8</v>
      </c>
      <c r="C23" s="113">
        <v>267</v>
      </c>
      <c r="D23" s="23" t="str">
        <f>VLOOKUP(C23,PLANILLA,2,FALSE)</f>
        <v>CALVO Fiorella</v>
      </c>
      <c r="E23" s="24" t="str">
        <f>VLOOKUP(C23,PLANILLA,4,FALSE)</f>
        <v xml:space="preserve">ASOCIACIÓN CICLISTICA GRECIA </v>
      </c>
      <c r="F23" s="3"/>
      <c r="G23" s="15"/>
      <c r="H23" s="3"/>
      <c r="I23" s="63"/>
      <c r="J23" s="33"/>
      <c r="K23" s="22"/>
      <c r="L23" s="22"/>
      <c r="M23" s="34"/>
      <c r="N23" s="26"/>
      <c r="O23" s="3"/>
      <c r="P23" s="3"/>
      <c r="Q23" s="34"/>
      <c r="R23" s="16"/>
      <c r="S23" s="3"/>
      <c r="T23" s="15"/>
      <c r="U23" s="39"/>
      <c r="V23" s="16">
        <v>0</v>
      </c>
      <c r="W23" s="15">
        <f>IFERROR(VLOOKUP(V23,'Puntos XCC Mayor'!$A$1:$B$15,2,FALSE),0)</f>
        <v>0</v>
      </c>
      <c r="X23" s="15">
        <v>4</v>
      </c>
      <c r="Y23" s="25">
        <f>IFERROR(VLOOKUP(X23,'Puntos XCO'!$A$1:$B$63,2,FALSE),0)</f>
        <v>110</v>
      </c>
      <c r="Z23" s="16">
        <f t="shared" si="0"/>
        <v>0</v>
      </c>
      <c r="AA23" s="15">
        <f>IFERROR(VLOOKUP(Z23,'Puntos XCC Mayor'!$A$1:$B$15,2,FALSE),0)</f>
        <v>0</v>
      </c>
      <c r="AB23" s="15">
        <f t="shared" si="1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2"/>
        <v>110</v>
      </c>
      <c r="AJ23" s="3"/>
    </row>
    <row r="24" spans="1:39" ht="24.95" customHeight="1">
      <c r="A24" s="3"/>
      <c r="B24" s="3"/>
      <c r="C24" s="42"/>
      <c r="D24" s="23"/>
      <c r="E24" s="53"/>
      <c r="F24" s="3"/>
      <c r="G24" s="15"/>
      <c r="H24" s="15"/>
      <c r="I24" s="15"/>
      <c r="J24" s="3"/>
      <c r="K24" s="15"/>
      <c r="L24" s="15"/>
      <c r="M24" s="15"/>
      <c r="N24" s="15"/>
      <c r="O24" s="15"/>
      <c r="P24" s="3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27"/>
      <c r="AJ24" s="3"/>
    </row>
    <row r="25" spans="1:39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4"/>
      <c r="Q25" s="65"/>
      <c r="R25" s="65"/>
      <c r="S25" s="65"/>
      <c r="T25" s="65"/>
      <c r="U25" s="65"/>
      <c r="V25" s="65"/>
      <c r="W25" s="65"/>
      <c r="X25" s="65"/>
      <c r="Y25" s="65"/>
      <c r="Z25" s="119"/>
      <c r="AA25" s="119"/>
      <c r="AB25" s="119"/>
      <c r="AC25" s="119"/>
      <c r="AD25" s="119"/>
      <c r="AE25" s="119"/>
      <c r="AF25" s="119"/>
      <c r="AG25" s="119"/>
      <c r="AH25" s="65"/>
    </row>
    <row r="26" spans="1:39">
      <c r="M26" s="9"/>
      <c r="N26" s="9"/>
      <c r="O26" s="9"/>
      <c r="P26" s="10"/>
      <c r="Q26" s="9"/>
      <c r="R26" s="9"/>
      <c r="S26" s="9"/>
      <c r="T26" s="9"/>
      <c r="U26" s="9"/>
    </row>
    <row r="27" spans="1:39" ht="127.5" customHeight="1"/>
    <row r="28" spans="1:39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74"/>
      <c r="Q28" s="65"/>
      <c r="R28" s="65"/>
      <c r="S28" s="65"/>
      <c r="T28" s="65"/>
      <c r="U28" s="65"/>
      <c r="V28" s="65"/>
      <c r="W28" s="65"/>
      <c r="X28" s="65"/>
      <c r="Y28" s="65"/>
      <c r="Z28" s="119"/>
      <c r="AA28" s="119"/>
      <c r="AB28" s="119"/>
      <c r="AC28" s="119"/>
      <c r="AD28" s="119"/>
      <c r="AE28" s="119"/>
      <c r="AF28" s="119"/>
      <c r="AG28" s="119"/>
      <c r="AH28" s="65"/>
    </row>
  </sheetData>
  <sortState ref="B15:AH23">
    <sortCondition descending="1" ref="AH15:AH23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5:C65503 C1:C9 C12:C14">
    <cfRule type="duplicateValues" dxfId="514" priority="62" stopIfTrue="1"/>
  </conditionalFormatting>
  <conditionalFormatting sqref="F19 F24">
    <cfRule type="duplicateValues" dxfId="513" priority="6982" stopIfTrue="1"/>
  </conditionalFormatting>
  <conditionalFormatting sqref="B24">
    <cfRule type="duplicateValues" dxfId="512" priority="6983" stopIfTrue="1"/>
  </conditionalFormatting>
  <conditionalFormatting sqref="C15:C18">
    <cfRule type="duplicateValues" dxfId="511" priority="21"/>
  </conditionalFormatting>
  <conditionalFormatting sqref="AJ15:AJ24">
    <cfRule type="duplicateValues" dxfId="510" priority="7268"/>
  </conditionalFormatting>
  <conditionalFormatting sqref="F20">
    <cfRule type="duplicateValues" dxfId="509" priority="14" stopIfTrue="1"/>
  </conditionalFormatting>
  <conditionalFormatting sqref="F21">
    <cfRule type="duplicateValues" dxfId="508" priority="13" stopIfTrue="1"/>
  </conditionalFormatting>
  <conditionalFormatting sqref="F22:F23">
    <cfRule type="duplicateValues" dxfId="507" priority="7" stopIfTrue="1"/>
  </conditionalFormatting>
  <conditionalFormatting sqref="C23">
    <cfRule type="duplicateValues" dxfId="506" priority="6"/>
  </conditionalFormatting>
  <conditionalFormatting sqref="C11">
    <cfRule type="duplicateValues" dxfId="505" priority="4" stopIfTrue="1"/>
  </conditionalFormatting>
  <conditionalFormatting sqref="C11">
    <cfRule type="duplicateValues" dxfId="504" priority="5" stopIfTrue="1"/>
  </conditionalFormatting>
  <conditionalFormatting sqref="D11">
    <cfRule type="duplicateValues" dxfId="503" priority="3" stopIfTrue="1"/>
  </conditionalFormatting>
  <conditionalFormatting sqref="C10">
    <cfRule type="duplicateValues" dxfId="502" priority="1" stopIfTrue="1"/>
  </conditionalFormatting>
  <conditionalFormatting sqref="C10">
    <cfRule type="duplicateValues" dxfId="501" priority="2" stopIfTrue="1"/>
  </conditionalFormatting>
  <pageMargins left="0.70866141732283472" right="0.70866141732283472" top="0.74803149606299213" bottom="0.74803149606299213" header="0.31496062992125984" footer="0.31496062992125984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8:AM77"/>
  <sheetViews>
    <sheetView showGridLines="0" zoomScale="70" zoomScaleNormal="70" zoomScaleSheetLayoutView="90" workbookViewId="0">
      <selection activeCell="E20" sqref="E20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3.14062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0.5703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3">
        <v>1</v>
      </c>
      <c r="B15" s="3">
        <v>1</v>
      </c>
      <c r="C15" s="22">
        <v>307</v>
      </c>
      <c r="D15" s="23" t="str">
        <f t="shared" ref="D15:D46" si="0">VLOOKUP(C15,PLANILLA,2,FALSE)</f>
        <v>ARIAS  Daniel*</v>
      </c>
      <c r="E15" s="24" t="str">
        <f t="shared" ref="E15:E46" si="1">VLOOKUP(C15,PLANILLA,4,FALSE)</f>
        <v xml:space="preserve">Ciclismo Belen </v>
      </c>
      <c r="F15" s="3">
        <v>4</v>
      </c>
      <c r="G15" s="15">
        <v>7</v>
      </c>
      <c r="H15" s="3">
        <v>16</v>
      </c>
      <c r="I15" s="25">
        <v>66</v>
      </c>
      <c r="J15" s="33">
        <v>0</v>
      </c>
      <c r="K15" s="22">
        <v>0</v>
      </c>
      <c r="L15" s="22">
        <v>6</v>
      </c>
      <c r="M15" s="34">
        <v>95</v>
      </c>
      <c r="N15" s="26"/>
      <c r="O15" s="3">
        <f>IFERROR(VLOOKUP(N15,'Puntos XCC Menor'!$A$1:$B$15,2,FALSE),0)</f>
        <v>0</v>
      </c>
      <c r="P15" s="3">
        <v>3</v>
      </c>
      <c r="Q15" s="34">
        <f>IFERROR(VLOOKUP(P15,'Puntos XCO'!$A$1:$B$63,2,FALSE),0)</f>
        <v>120</v>
      </c>
      <c r="R15" s="16">
        <v>4</v>
      </c>
      <c r="S15" s="3">
        <f>IFERROR(VLOOKUP(R15,'Puntos XCC Menor'!$A$1:$B$15,2,FALSE),0)</f>
        <v>7</v>
      </c>
      <c r="T15" s="15">
        <v>1</v>
      </c>
      <c r="U15" s="39">
        <f>IFERROR(VLOOKUP(T15,'Puntos XCO'!$A$1:$B$63,2,FALSE),0)</f>
        <v>200</v>
      </c>
      <c r="V15" s="16">
        <v>2</v>
      </c>
      <c r="W15" s="15">
        <f>IFERROR(VLOOKUP(V15,'Puntos XCC Mayor'!$A$1:$B$15,2,FALSE),0)</f>
        <v>20</v>
      </c>
      <c r="X15" s="15">
        <v>1</v>
      </c>
      <c r="Y15" s="25">
        <f>IFERROR(VLOOKUP(X15,'Puntos XCO'!$A$1:$B$63,2,FALSE),0)</f>
        <v>200</v>
      </c>
      <c r="Z15" s="16">
        <f t="shared" ref="Z15:Z46" si="2">IFERROR(VLOOKUP($C15,RESXCC_1,9,FALSE),0)</f>
        <v>1</v>
      </c>
      <c r="AA15" s="15">
        <f>IFERROR(VLOOKUP(Z15,'Puntos XCC Mayor'!$A$1:$B$15,2,FALSE),0)</f>
        <v>25</v>
      </c>
      <c r="AB15" s="15">
        <f t="shared" ref="AB15:AB46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46" si="4">G15+I15+K15+M15+O15+Q15+S15+U15+W15+Y15+AA15+AC15+AE15+AG15</f>
        <v>940</v>
      </c>
      <c r="AJ15" s="2"/>
      <c r="AK15" s="13"/>
      <c r="AL15" s="12"/>
      <c r="AM15" s="14"/>
    </row>
    <row r="16" spans="1:39" ht="24.95" customHeight="1">
      <c r="A16" s="3">
        <v>2</v>
      </c>
      <c r="B16" s="3">
        <v>2</v>
      </c>
      <c r="C16" s="22">
        <v>301</v>
      </c>
      <c r="D16" s="23" t="str">
        <f t="shared" si="0"/>
        <v xml:space="preserve">GARCÍA Miguel </v>
      </c>
      <c r="E16" s="24" t="str">
        <f t="shared" si="1"/>
        <v xml:space="preserve">Colono Bike Station Kolbi </v>
      </c>
      <c r="F16" s="3">
        <v>2</v>
      </c>
      <c r="G16" s="15">
        <v>9</v>
      </c>
      <c r="H16" s="3">
        <v>0</v>
      </c>
      <c r="I16" s="25">
        <v>0</v>
      </c>
      <c r="J16" s="33">
        <v>3</v>
      </c>
      <c r="K16" s="22">
        <v>8</v>
      </c>
      <c r="L16" s="22">
        <v>1</v>
      </c>
      <c r="M16" s="34">
        <v>200</v>
      </c>
      <c r="N16" s="26"/>
      <c r="O16" s="3">
        <f>IFERROR(VLOOKUP(N16,'Puntos XCC Menor'!$A$1:$B$15,2,FALSE),0)</f>
        <v>0</v>
      </c>
      <c r="P16" s="3">
        <v>2</v>
      </c>
      <c r="Q16" s="34">
        <f>IFERROR(VLOOKUP(P16,'Puntos XCO'!$A$1:$B$63,2,FALSE),0)</f>
        <v>150</v>
      </c>
      <c r="R16" s="16">
        <v>1</v>
      </c>
      <c r="S16" s="3">
        <f>IFERROR(VLOOKUP(R16,'Puntos XCC Menor'!$A$1:$B$15,2,FALSE),0)</f>
        <v>10</v>
      </c>
      <c r="T16" s="15">
        <v>3</v>
      </c>
      <c r="U16" s="39">
        <f>IFERROR(VLOOKUP(T16,'Puntos XCO'!$A$1:$B$63,2,FALSE),0)</f>
        <v>120</v>
      </c>
      <c r="V16" s="16">
        <v>1</v>
      </c>
      <c r="W16" s="15">
        <f>IFERROR(VLOOKUP(V16,'Puntos XCC Mayor'!$A$1:$B$15,2,FALSE),0)</f>
        <v>25</v>
      </c>
      <c r="X16" s="15">
        <v>4</v>
      </c>
      <c r="Y16" s="25">
        <f>IFERROR(VLOOKUP(X16,'Puntos XCO'!$A$1:$B$63,2,FALSE),0)</f>
        <v>110</v>
      </c>
      <c r="Z16" s="16">
        <f t="shared" si="2"/>
        <v>2</v>
      </c>
      <c r="AA16" s="15">
        <f>IFERROR(VLOOKUP(Z16,'Puntos XCC Mayor'!$A$1:$B$15,2,FALSE),0)</f>
        <v>20</v>
      </c>
      <c r="AB16" s="15">
        <f t="shared" si="3"/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4"/>
        <v>772</v>
      </c>
      <c r="AJ16" s="2"/>
      <c r="AK16" s="13"/>
      <c r="AL16" s="12"/>
      <c r="AM16" s="14"/>
    </row>
    <row r="17" spans="1:39" ht="24.95" customHeight="1">
      <c r="A17" s="3">
        <v>3</v>
      </c>
      <c r="B17" s="3">
        <v>6</v>
      </c>
      <c r="C17" s="22">
        <v>302</v>
      </c>
      <c r="D17" s="23" t="str">
        <f t="shared" si="0"/>
        <v>CAMPOS Isaac*</v>
      </c>
      <c r="E17" s="24" t="str">
        <f t="shared" si="1"/>
        <v xml:space="preserve">Colono Bike Station Kolbi </v>
      </c>
      <c r="F17" s="3">
        <v>1</v>
      </c>
      <c r="G17" s="15">
        <v>10</v>
      </c>
      <c r="H17" s="3">
        <v>1</v>
      </c>
      <c r="I17" s="25">
        <v>200</v>
      </c>
      <c r="J17" s="33">
        <v>1</v>
      </c>
      <c r="K17" s="22">
        <v>10</v>
      </c>
      <c r="L17" s="22">
        <v>2</v>
      </c>
      <c r="M17" s="34">
        <v>150</v>
      </c>
      <c r="N17" s="26"/>
      <c r="O17" s="3">
        <f>IFERROR(VLOOKUP(N17,'Puntos XCC Menor'!$A$1:$B$15,2,FALSE),0)</f>
        <v>0</v>
      </c>
      <c r="P17" s="3">
        <v>0</v>
      </c>
      <c r="Q17" s="34">
        <f>IFERROR(VLOOKUP(P17,'Puntos XCO'!$A$1:$B$63,2,FALSE),0)</f>
        <v>0</v>
      </c>
      <c r="R17" s="16">
        <v>2</v>
      </c>
      <c r="S17" s="3">
        <f>IFERROR(VLOOKUP(R17,'Puntos XCC Menor'!$A$1:$B$15,2,FALSE),0)</f>
        <v>9</v>
      </c>
      <c r="T17" s="15">
        <v>0</v>
      </c>
      <c r="U17" s="39">
        <f>IFERROR(VLOOKUP(T17,'Puntos XCO'!$A$1:$B$63,2,FALSE),0)</f>
        <v>0</v>
      </c>
      <c r="V17" s="16">
        <v>6</v>
      </c>
      <c r="W17" s="15">
        <f>IFERROR(VLOOKUP(V17,'Puntos XCC Mayor'!$A$1:$B$15,2,FALSE),0)</f>
        <v>10</v>
      </c>
      <c r="X17" s="15">
        <v>7</v>
      </c>
      <c r="Y17" s="25">
        <f>IFERROR(VLOOKUP(X17,'Puntos XCO'!$A$1:$B$63,2,FALSE),0)</f>
        <v>90</v>
      </c>
      <c r="Z17" s="16">
        <f t="shared" si="2"/>
        <v>3</v>
      </c>
      <c r="AA17" s="15">
        <f>IFERROR(VLOOKUP(Z17,'Puntos XCC Mayor'!$A$1:$B$15,2,FALSE),0)</f>
        <v>16</v>
      </c>
      <c r="AB17" s="15">
        <f t="shared" si="3"/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4"/>
        <v>645</v>
      </c>
      <c r="AJ17" s="2"/>
      <c r="AK17" s="13"/>
      <c r="AL17" s="12"/>
      <c r="AM17" s="14"/>
    </row>
    <row r="18" spans="1:39" ht="24.95" customHeight="1">
      <c r="A18" s="3">
        <v>4</v>
      </c>
      <c r="B18" s="3">
        <v>3</v>
      </c>
      <c r="C18" s="22">
        <v>311</v>
      </c>
      <c r="D18" s="23" t="str">
        <f t="shared" si="0"/>
        <v xml:space="preserve">SABALLOS Joshua </v>
      </c>
      <c r="E18" s="24" t="str">
        <f t="shared" si="1"/>
        <v xml:space="preserve">Ciclismo Belen </v>
      </c>
      <c r="F18" s="3">
        <v>6</v>
      </c>
      <c r="G18" s="15">
        <v>5</v>
      </c>
      <c r="H18" s="3">
        <v>17</v>
      </c>
      <c r="I18" s="25">
        <v>64</v>
      </c>
      <c r="J18" s="33">
        <v>2</v>
      </c>
      <c r="K18" s="22">
        <v>9</v>
      </c>
      <c r="L18" s="22">
        <v>3</v>
      </c>
      <c r="M18" s="34">
        <v>120</v>
      </c>
      <c r="N18" s="26"/>
      <c r="O18" s="3">
        <f>IFERROR(VLOOKUP(N18,'Puntos XCC Menor'!$A$1:$B$15,2,FALSE),0)</f>
        <v>0</v>
      </c>
      <c r="P18" s="3">
        <v>6</v>
      </c>
      <c r="Q18" s="34">
        <f>IFERROR(VLOOKUP(P18,'Puntos XCO'!$A$1:$B$63,2,FALSE),0)</f>
        <v>95</v>
      </c>
      <c r="R18" s="16">
        <v>3</v>
      </c>
      <c r="S18" s="3">
        <f>IFERROR(VLOOKUP(R18,'Puntos XCC Menor'!$A$1:$B$15,2,FALSE),0)</f>
        <v>8</v>
      </c>
      <c r="T18" s="15">
        <v>2</v>
      </c>
      <c r="U18" s="39">
        <f>IFERROR(VLOOKUP(T18,'Puntos XCO'!$A$1:$B$63,2,FALSE),0)</f>
        <v>150</v>
      </c>
      <c r="V18" s="16">
        <v>4</v>
      </c>
      <c r="W18" s="15">
        <f>IFERROR(VLOOKUP(V18,'Puntos XCC Mayor'!$A$1:$B$15,2,FALSE),0)</f>
        <v>14</v>
      </c>
      <c r="X18" s="15">
        <v>5</v>
      </c>
      <c r="Y18" s="25">
        <f>IFERROR(VLOOKUP(X18,'Puntos XCO'!$A$1:$B$63,2,FALSE),0)</f>
        <v>100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11</v>
      </c>
      <c r="AC18" s="25">
        <f>IFERROR(VLOOKUP(AB18,'Puntos XCO'!$A$1:$B$63,2,FALSE),0)</f>
        <v>76</v>
      </c>
      <c r="AD18" s="16"/>
      <c r="AE18" s="15"/>
      <c r="AF18" s="15"/>
      <c r="AG18" s="25"/>
      <c r="AH18" s="27">
        <f t="shared" si="4"/>
        <v>641</v>
      </c>
      <c r="AJ18" s="2"/>
      <c r="AK18" s="13"/>
      <c r="AL18" s="12"/>
      <c r="AM18" s="14"/>
    </row>
    <row r="19" spans="1:39" ht="24.95" customHeight="1">
      <c r="A19" s="3">
        <v>5</v>
      </c>
      <c r="B19" s="3">
        <v>5</v>
      </c>
      <c r="C19" s="22">
        <v>303</v>
      </c>
      <c r="D19" s="23" t="str">
        <f t="shared" si="0"/>
        <v>HERNÁNDEZ Walter David*</v>
      </c>
      <c r="E19" s="24" t="str">
        <f t="shared" si="1"/>
        <v xml:space="preserve">HDZ Drasanvi- Santa Ana </v>
      </c>
      <c r="F19" s="3">
        <v>7</v>
      </c>
      <c r="G19" s="15">
        <v>4</v>
      </c>
      <c r="H19" s="3">
        <v>5</v>
      </c>
      <c r="I19" s="25">
        <v>100</v>
      </c>
      <c r="J19" s="33">
        <v>8</v>
      </c>
      <c r="K19" s="22">
        <v>3</v>
      </c>
      <c r="L19" s="22">
        <v>9</v>
      </c>
      <c r="M19" s="34">
        <v>80</v>
      </c>
      <c r="N19" s="26"/>
      <c r="O19" s="3">
        <f>IFERROR(VLOOKUP(N19,'Puntos XCC Menor'!$A$1:$B$15,2,FALSE),0)</f>
        <v>0</v>
      </c>
      <c r="P19" s="3">
        <v>5</v>
      </c>
      <c r="Q19" s="34">
        <f>IFERROR(VLOOKUP(P19,'Puntos XCO'!$A$1:$B$63,2,FALSE),0)</f>
        <v>100</v>
      </c>
      <c r="R19" s="16">
        <v>6</v>
      </c>
      <c r="S19" s="3">
        <f>IFERROR(VLOOKUP(R19,'Puntos XCC Menor'!$A$1:$B$15,2,FALSE),0)</f>
        <v>5</v>
      </c>
      <c r="T19" s="15">
        <v>8</v>
      </c>
      <c r="U19" s="39">
        <f>IFERROR(VLOOKUP(T19,'Puntos XCO'!$A$1:$B$63,2,FALSE),0)</f>
        <v>85</v>
      </c>
      <c r="V19" s="16">
        <v>8</v>
      </c>
      <c r="W19" s="15">
        <f>IFERROR(VLOOKUP(V19,'Puntos XCC Mayor'!$A$1:$B$15,2,FALSE),0)</f>
        <v>8</v>
      </c>
      <c r="X19" s="15">
        <v>6</v>
      </c>
      <c r="Y19" s="25">
        <f>IFERROR(VLOOKUP(X19,'Puntos XCO'!$A$1:$B$63,2,FALSE),0)</f>
        <v>95</v>
      </c>
      <c r="Z19" s="16">
        <f t="shared" si="2"/>
        <v>8</v>
      </c>
      <c r="AA19" s="15">
        <f>IFERROR(VLOOKUP(Z19,'Puntos XCC Mayor'!$A$1:$B$15,2,FALSE),0)</f>
        <v>8</v>
      </c>
      <c r="AB19" s="15">
        <f t="shared" si="3"/>
        <v>7</v>
      </c>
      <c r="AC19" s="25">
        <f>IFERROR(VLOOKUP(AB19,'Puntos XCO'!$A$1:$B$63,2,FALSE),0)</f>
        <v>90</v>
      </c>
      <c r="AD19" s="16"/>
      <c r="AE19" s="15"/>
      <c r="AF19" s="15"/>
      <c r="AG19" s="25"/>
      <c r="AH19" s="27">
        <f t="shared" si="4"/>
        <v>578</v>
      </c>
      <c r="AJ19" s="2"/>
      <c r="AK19" s="13"/>
      <c r="AL19" s="12"/>
      <c r="AM19" s="14"/>
    </row>
    <row r="20" spans="1:39" ht="24.95" customHeight="1">
      <c r="A20" s="3">
        <v>6</v>
      </c>
      <c r="B20" s="3">
        <v>7</v>
      </c>
      <c r="C20" s="22">
        <v>304</v>
      </c>
      <c r="D20" s="23" t="str">
        <f t="shared" si="0"/>
        <v>RODRIGUEZ Esteban Marcelo*</v>
      </c>
      <c r="E20" s="24" t="str">
        <f t="shared" si="1"/>
        <v>Megamo ManzaTé La Selva</v>
      </c>
      <c r="F20" s="3">
        <v>5</v>
      </c>
      <c r="G20" s="15">
        <v>6</v>
      </c>
      <c r="H20" s="3">
        <v>3</v>
      </c>
      <c r="I20" s="25">
        <v>120</v>
      </c>
      <c r="J20" s="33">
        <v>5</v>
      </c>
      <c r="K20" s="22">
        <v>6</v>
      </c>
      <c r="L20" s="22">
        <v>8</v>
      </c>
      <c r="M20" s="34">
        <v>85</v>
      </c>
      <c r="N20" s="26"/>
      <c r="O20" s="3">
        <f>IFERROR(VLOOKUP(N20,'Puntos XCC Menor'!$A$1:$B$15,2,FALSE),0)</f>
        <v>0</v>
      </c>
      <c r="P20" s="3">
        <v>11</v>
      </c>
      <c r="Q20" s="34">
        <f>IFERROR(VLOOKUP(P20,'Puntos XCO'!$A$1:$B$63,2,FALSE),0)</f>
        <v>76</v>
      </c>
      <c r="R20" s="16">
        <v>9</v>
      </c>
      <c r="S20" s="3">
        <f>IFERROR(VLOOKUP(R20,'Puntos XCC Menor'!$A$1:$B$15,2,FALSE),0)</f>
        <v>2</v>
      </c>
      <c r="T20" s="15">
        <v>21</v>
      </c>
      <c r="U20" s="39">
        <f>IFERROR(VLOOKUP(T20,'Puntos XCO'!$A$1:$B$63,2,FALSE),0)</f>
        <v>56</v>
      </c>
      <c r="V20" s="16">
        <v>23</v>
      </c>
      <c r="W20" s="15">
        <f>IFERROR(VLOOKUP(V20,'Puntos XCC Mayor'!$A$1:$B$15,2,FALSE),0)</f>
        <v>0</v>
      </c>
      <c r="X20" s="15">
        <v>9</v>
      </c>
      <c r="Y20" s="25">
        <f>IFERROR(VLOOKUP(X20,'Puntos XCO'!$A$1:$B$63,2,FALSE),0)</f>
        <v>80</v>
      </c>
      <c r="Z20" s="16">
        <f t="shared" si="2"/>
        <v>14</v>
      </c>
      <c r="AA20" s="15">
        <f>IFERROR(VLOOKUP(Z20,'Puntos XCC Mayor'!$A$1:$B$15,2,FALSE),0)</f>
        <v>2</v>
      </c>
      <c r="AB20" s="15">
        <f t="shared" si="3"/>
        <v>5</v>
      </c>
      <c r="AC20" s="25">
        <f>IFERROR(VLOOKUP(AB20,'Puntos XCO'!$A$1:$B$63,2,FALSE),0)</f>
        <v>100</v>
      </c>
      <c r="AD20" s="16"/>
      <c r="AE20" s="15"/>
      <c r="AF20" s="15"/>
      <c r="AG20" s="25"/>
      <c r="AH20" s="27">
        <f t="shared" si="4"/>
        <v>533</v>
      </c>
      <c r="AJ20" s="2"/>
      <c r="AK20" s="13"/>
      <c r="AL20" s="12"/>
      <c r="AM20" s="14"/>
    </row>
    <row r="21" spans="1:39" ht="24.95" customHeight="1">
      <c r="A21" s="3">
        <v>7</v>
      </c>
      <c r="B21" s="3">
        <v>4</v>
      </c>
      <c r="C21" s="22">
        <v>321</v>
      </c>
      <c r="D21" s="23" t="str">
        <f t="shared" si="0"/>
        <v>AGUILAR Luciano</v>
      </c>
      <c r="E21" s="24" t="str">
        <f t="shared" si="1"/>
        <v xml:space="preserve">CODEA ALAJUELA </v>
      </c>
      <c r="F21" s="3">
        <v>3</v>
      </c>
      <c r="G21" s="15">
        <v>8</v>
      </c>
      <c r="H21" s="3">
        <v>2</v>
      </c>
      <c r="I21" s="25">
        <v>150</v>
      </c>
      <c r="J21" s="33">
        <v>4</v>
      </c>
      <c r="K21" s="22">
        <v>7</v>
      </c>
      <c r="L21" s="22">
        <v>0</v>
      </c>
      <c r="M21" s="34">
        <v>0</v>
      </c>
      <c r="N21" s="26"/>
      <c r="O21" s="3">
        <f>IFERROR(VLOOKUP(N21,'Puntos XCC Menor'!$A$1:$B$15,2,FALSE),0)</f>
        <v>0</v>
      </c>
      <c r="P21" s="3">
        <v>8</v>
      </c>
      <c r="Q21" s="34">
        <f>IFERROR(VLOOKUP(P21,'Puntos XCO'!$A$1:$B$63,2,FALSE),0)</f>
        <v>85</v>
      </c>
      <c r="R21" s="16">
        <v>5</v>
      </c>
      <c r="S21" s="3">
        <f>IFERROR(VLOOKUP(R21,'Puntos XCC Menor'!$A$1:$B$15,2,FALSE),0)</f>
        <v>6</v>
      </c>
      <c r="T21" s="15">
        <v>7</v>
      </c>
      <c r="U21" s="39">
        <f>IFERROR(VLOOKUP(T21,'Puntos XCO'!$A$1:$B$63,2,FALSE),0)</f>
        <v>90</v>
      </c>
      <c r="V21" s="16">
        <v>9</v>
      </c>
      <c r="W21" s="15">
        <f>IFERROR(VLOOKUP(V21,'Puntos XCC Mayor'!$A$1:$B$15,2,FALSE),0)</f>
        <v>7</v>
      </c>
      <c r="X21" s="15">
        <v>2</v>
      </c>
      <c r="Y21" s="25">
        <f>IFERROR(VLOOKUP(X21,'Puntos XCO'!$A$1:$B$63,2,FALSE),0)</f>
        <v>150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503</v>
      </c>
      <c r="AJ21" s="2"/>
      <c r="AK21" s="13"/>
      <c r="AL21" s="12"/>
      <c r="AM21" s="14"/>
    </row>
    <row r="22" spans="1:39" ht="24.95" customHeight="1">
      <c r="A22" s="3">
        <v>8</v>
      </c>
      <c r="B22" s="3">
        <v>8</v>
      </c>
      <c r="C22" s="22">
        <v>325</v>
      </c>
      <c r="D22" s="23" t="str">
        <f t="shared" si="0"/>
        <v>ALFARO Emmanuel</v>
      </c>
      <c r="E22" s="24" t="str">
        <f t="shared" si="1"/>
        <v>CCDR DE NARANJO</v>
      </c>
      <c r="F22" s="3">
        <v>12</v>
      </c>
      <c r="G22" s="15">
        <v>0</v>
      </c>
      <c r="H22" s="3">
        <v>8</v>
      </c>
      <c r="I22" s="25">
        <v>85</v>
      </c>
      <c r="J22" s="33">
        <v>6</v>
      </c>
      <c r="K22" s="22">
        <v>5</v>
      </c>
      <c r="L22" s="22">
        <v>4</v>
      </c>
      <c r="M22" s="34">
        <v>110</v>
      </c>
      <c r="N22" s="26"/>
      <c r="O22" s="3">
        <f>IFERROR(VLOOKUP(N22,'Puntos XCC Menor'!$A$1:$B$15,2,FALSE),0)</f>
        <v>0</v>
      </c>
      <c r="P22" s="3">
        <v>9</v>
      </c>
      <c r="Q22" s="34">
        <f>IFERROR(VLOOKUP(P22,'Puntos XCO'!$A$1:$B$63,2,FALSE),0)</f>
        <v>80</v>
      </c>
      <c r="R22" s="16">
        <v>8</v>
      </c>
      <c r="S22" s="3">
        <f>IFERROR(VLOOKUP(R22,'Puntos XCC Menor'!$A$1:$B$15,2,FALSE),0)</f>
        <v>3</v>
      </c>
      <c r="T22" s="15">
        <v>4</v>
      </c>
      <c r="U22" s="39">
        <f>IFERROR(VLOOKUP(T22,'Puntos XCO'!$A$1:$B$63,2,FALSE),0)</f>
        <v>110</v>
      </c>
      <c r="V22" s="16">
        <v>0</v>
      </c>
      <c r="W22" s="15">
        <f>IFERROR(VLOOKUP(V22,'Puntos XCC Mayor'!$A$1:$B$15,2,FALSE),0)</f>
        <v>0</v>
      </c>
      <c r="X22" s="15">
        <v>0</v>
      </c>
      <c r="Y22" s="25">
        <f>IFERROR(VLOOKUP(X22,'Puntos XCO'!$A$1:$B$63,2,FALSE),0)</f>
        <v>0</v>
      </c>
      <c r="Z22" s="16">
        <f t="shared" si="2"/>
        <v>7</v>
      </c>
      <c r="AA22" s="15">
        <f>IFERROR(VLOOKUP(Z22,'Puntos XCC Mayor'!$A$1:$B$15,2,FALSE),0)</f>
        <v>9</v>
      </c>
      <c r="AB22" s="15">
        <f t="shared" si="3"/>
        <v>6</v>
      </c>
      <c r="AC22" s="25">
        <f>IFERROR(VLOOKUP(AB22,'Puntos XCO'!$A$1:$B$63,2,FALSE),0)</f>
        <v>95</v>
      </c>
      <c r="AD22" s="16"/>
      <c r="AE22" s="15"/>
      <c r="AF22" s="15"/>
      <c r="AG22" s="25"/>
      <c r="AH22" s="27">
        <f t="shared" si="4"/>
        <v>497</v>
      </c>
      <c r="AJ22" s="2"/>
      <c r="AK22" s="13"/>
      <c r="AL22" s="12"/>
      <c r="AM22" s="14"/>
    </row>
    <row r="23" spans="1:39" ht="24.95" customHeight="1">
      <c r="A23" s="3">
        <v>9</v>
      </c>
      <c r="B23" s="3">
        <v>9</v>
      </c>
      <c r="C23" s="22">
        <v>337</v>
      </c>
      <c r="D23" s="23" t="str">
        <f t="shared" si="0"/>
        <v>CORRALES Billy</v>
      </c>
      <c r="E23" s="24" t="str">
        <f t="shared" si="1"/>
        <v xml:space="preserve">Team Numu coaching </v>
      </c>
      <c r="F23" s="3">
        <v>14</v>
      </c>
      <c r="G23" s="15">
        <v>0</v>
      </c>
      <c r="H23" s="3">
        <v>7</v>
      </c>
      <c r="I23" s="25">
        <v>90</v>
      </c>
      <c r="J23" s="33">
        <v>0</v>
      </c>
      <c r="K23" s="22">
        <v>0</v>
      </c>
      <c r="L23" s="22">
        <v>13</v>
      </c>
      <c r="M23" s="34">
        <v>72</v>
      </c>
      <c r="N23" s="26"/>
      <c r="O23" s="3">
        <f>IFERROR(VLOOKUP(N23,'Puntos XCC Menor'!$A$1:$B$15,2,FALSE),0)</f>
        <v>0</v>
      </c>
      <c r="P23" s="3">
        <v>21</v>
      </c>
      <c r="Q23" s="34">
        <f>IFERROR(VLOOKUP(P23,'Puntos XCO'!$A$1:$B$63,2,FALSE),0)</f>
        <v>56</v>
      </c>
      <c r="R23" s="16">
        <v>15</v>
      </c>
      <c r="S23" s="3">
        <f>IFERROR(VLOOKUP(R23,'Puntos XCC Menor'!$A$1:$B$15,2,FALSE),0)</f>
        <v>0</v>
      </c>
      <c r="T23" s="15">
        <v>12</v>
      </c>
      <c r="U23" s="39">
        <f>IFERROR(VLOOKUP(T23,'Puntos XCO'!$A$1:$B$63,2,FALSE),0)</f>
        <v>74</v>
      </c>
      <c r="V23" s="16">
        <v>12</v>
      </c>
      <c r="W23" s="15">
        <f>IFERROR(VLOOKUP(V23,'Puntos XCC Mayor'!$A$1:$B$15,2,FALSE),0)</f>
        <v>4</v>
      </c>
      <c r="X23" s="15">
        <v>16</v>
      </c>
      <c r="Y23" s="25">
        <f>IFERROR(VLOOKUP(X23,'Puntos XCO'!$A$1:$B$63,2,FALSE),0)</f>
        <v>66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12</v>
      </c>
      <c r="AC23" s="25">
        <f>IFERROR(VLOOKUP(AB23,'Puntos XCO'!$A$1:$B$63,2,FALSE),0)</f>
        <v>74</v>
      </c>
      <c r="AD23" s="16"/>
      <c r="AE23" s="15"/>
      <c r="AF23" s="15"/>
      <c r="AG23" s="25"/>
      <c r="AH23" s="27">
        <f t="shared" si="4"/>
        <v>436</v>
      </c>
      <c r="AJ23" s="2"/>
      <c r="AK23" s="13"/>
      <c r="AL23" s="12"/>
      <c r="AM23" s="14"/>
    </row>
    <row r="24" spans="1:39" ht="24.95" customHeight="1">
      <c r="A24" s="3">
        <v>10</v>
      </c>
      <c r="B24" s="3">
        <v>11</v>
      </c>
      <c r="C24" s="22">
        <v>333</v>
      </c>
      <c r="D24" s="23" t="str">
        <f t="shared" si="0"/>
        <v>SOTO Sebastian</v>
      </c>
      <c r="E24" s="24" t="str">
        <f t="shared" si="1"/>
        <v xml:space="preserve">Codea Alajuela </v>
      </c>
      <c r="F24" s="3">
        <v>17</v>
      </c>
      <c r="G24" s="15">
        <v>0</v>
      </c>
      <c r="H24" s="3">
        <v>12</v>
      </c>
      <c r="I24" s="25">
        <v>74</v>
      </c>
      <c r="J24" s="33">
        <v>16</v>
      </c>
      <c r="K24" s="22">
        <v>0</v>
      </c>
      <c r="L24" s="22">
        <v>22</v>
      </c>
      <c r="M24" s="34">
        <v>54</v>
      </c>
      <c r="N24" s="26"/>
      <c r="O24" s="3">
        <f>IFERROR(VLOOKUP(N24,'Puntos XCC Menor'!$A$1:$B$15,2,FALSE),0)</f>
        <v>0</v>
      </c>
      <c r="P24" s="3">
        <v>14</v>
      </c>
      <c r="Q24" s="34">
        <f>IFERROR(VLOOKUP(P24,'Puntos XCO'!$A$1:$B$63,2,FALSE),0)</f>
        <v>70</v>
      </c>
      <c r="R24" s="16">
        <v>12</v>
      </c>
      <c r="S24" s="3">
        <f>IFERROR(VLOOKUP(R24,'Puntos XCC Menor'!$A$1:$B$15,2,FALSE),0)</f>
        <v>0</v>
      </c>
      <c r="T24" s="15">
        <v>6</v>
      </c>
      <c r="U24" s="39">
        <f>IFERROR(VLOOKUP(T24,'Puntos XCO'!$A$1:$B$63,2,FALSE),0)</f>
        <v>95</v>
      </c>
      <c r="V24" s="16">
        <v>14</v>
      </c>
      <c r="W24" s="15">
        <f>IFERROR(VLOOKUP(V24,'Puntos XCC Mayor'!$A$1:$B$15,2,FALSE),0)</f>
        <v>2</v>
      </c>
      <c r="X24" s="15">
        <v>20</v>
      </c>
      <c r="Y24" s="25">
        <f>IFERROR(VLOOKUP(X24,'Puntos XCO'!$A$1:$B$63,2,FALSE),0)</f>
        <v>58</v>
      </c>
      <c r="Z24" s="16">
        <f t="shared" si="2"/>
        <v>13</v>
      </c>
      <c r="AA24" s="15">
        <f>IFERROR(VLOOKUP(Z24,'Puntos XCC Mayor'!$A$1:$B$15,2,FALSE),0)</f>
        <v>3</v>
      </c>
      <c r="AB24" s="15">
        <f t="shared" si="3"/>
        <v>9</v>
      </c>
      <c r="AC24" s="25">
        <f>IFERROR(VLOOKUP(AB24,'Puntos XCO'!$A$1:$B$63,2,FALSE),0)</f>
        <v>80</v>
      </c>
      <c r="AD24" s="16"/>
      <c r="AE24" s="15"/>
      <c r="AF24" s="15"/>
      <c r="AG24" s="25"/>
      <c r="AH24" s="27">
        <f t="shared" si="4"/>
        <v>436</v>
      </c>
      <c r="AJ24" s="2"/>
      <c r="AK24" s="13"/>
      <c r="AL24" s="12"/>
      <c r="AM24" s="14"/>
    </row>
    <row r="25" spans="1:39" ht="24.95" customHeight="1">
      <c r="A25" s="3">
        <v>11</v>
      </c>
      <c r="B25" s="3">
        <v>10</v>
      </c>
      <c r="C25" s="22">
        <v>327</v>
      </c>
      <c r="D25" s="23" t="str">
        <f t="shared" si="0"/>
        <v>ACUÑA Felipe</v>
      </c>
      <c r="E25" s="24" t="str">
        <f t="shared" si="1"/>
        <v>CCDR DE NARANJO</v>
      </c>
      <c r="F25" s="3">
        <v>23</v>
      </c>
      <c r="G25" s="15">
        <v>0</v>
      </c>
      <c r="H25" s="3">
        <v>0</v>
      </c>
      <c r="I25" s="25">
        <v>0</v>
      </c>
      <c r="J25" s="33">
        <v>20</v>
      </c>
      <c r="K25" s="22">
        <v>0</v>
      </c>
      <c r="L25" s="22">
        <v>11</v>
      </c>
      <c r="M25" s="34">
        <v>76</v>
      </c>
      <c r="N25" s="26"/>
      <c r="O25" s="3">
        <f>IFERROR(VLOOKUP(N25,'Puntos XCC Menor'!$A$1:$B$15,2,FALSE),0)</f>
        <v>0</v>
      </c>
      <c r="P25" s="3">
        <v>4</v>
      </c>
      <c r="Q25" s="34">
        <f>IFERROR(VLOOKUP(P25,'Puntos XCO'!$A$1:$B$63,2,FALSE),0)</f>
        <v>110</v>
      </c>
      <c r="R25" s="16">
        <v>11</v>
      </c>
      <c r="S25" s="3">
        <f>IFERROR(VLOOKUP(R25,'Puntos XCC Menor'!$A$1:$B$15,2,FALSE),0)</f>
        <v>0</v>
      </c>
      <c r="T25" s="15">
        <v>5</v>
      </c>
      <c r="U25" s="39">
        <f>IFERROR(VLOOKUP(T25,'Puntos XCO'!$A$1:$B$63,2,FALSE),0)</f>
        <v>100</v>
      </c>
      <c r="V25" s="16">
        <v>5</v>
      </c>
      <c r="W25" s="15">
        <f>IFERROR(VLOOKUP(V25,'Puntos XCC Mayor'!$A$1:$B$15,2,FALSE),0)</f>
        <v>12</v>
      </c>
      <c r="X25" s="15">
        <v>21</v>
      </c>
      <c r="Y25" s="25">
        <f>IFERROR(VLOOKUP(X25,'Puntos XCO'!$A$1:$B$63,2,FALSE),0)</f>
        <v>56</v>
      </c>
      <c r="Z25" s="16">
        <f t="shared" si="2"/>
        <v>30</v>
      </c>
      <c r="AA25" s="15">
        <f>IFERROR(VLOOKUP(Z25,'Puntos XCC Mayor'!$A$1:$B$15,2,FALSE),0)</f>
        <v>0</v>
      </c>
      <c r="AB25" s="15">
        <f t="shared" si="3"/>
        <v>19</v>
      </c>
      <c r="AC25" s="25">
        <f>IFERROR(VLOOKUP(AB25,'Puntos XCO'!$A$1:$B$63,2,FALSE),0)</f>
        <v>60</v>
      </c>
      <c r="AD25" s="16"/>
      <c r="AE25" s="15"/>
      <c r="AF25" s="15"/>
      <c r="AG25" s="25"/>
      <c r="AH25" s="27">
        <f t="shared" si="4"/>
        <v>414</v>
      </c>
      <c r="AJ25" s="2"/>
      <c r="AK25" s="13"/>
      <c r="AL25" s="12"/>
      <c r="AM25" s="14"/>
    </row>
    <row r="26" spans="1:39" ht="24.95" customHeight="1">
      <c r="A26" s="3">
        <v>12</v>
      </c>
      <c r="B26" s="3">
        <v>12</v>
      </c>
      <c r="C26" s="22">
        <v>314</v>
      </c>
      <c r="D26" s="23" t="str">
        <f t="shared" si="0"/>
        <v>HERRERO Josue*</v>
      </c>
      <c r="E26" s="24" t="str">
        <f t="shared" si="1"/>
        <v>Ciclismo belen</v>
      </c>
      <c r="F26" s="3">
        <v>9</v>
      </c>
      <c r="G26" s="15">
        <v>2</v>
      </c>
      <c r="H26" s="3">
        <v>11</v>
      </c>
      <c r="I26" s="25">
        <v>76</v>
      </c>
      <c r="J26" s="33">
        <v>12</v>
      </c>
      <c r="K26" s="22">
        <v>0</v>
      </c>
      <c r="L26" s="22">
        <v>26</v>
      </c>
      <c r="M26" s="34">
        <v>46</v>
      </c>
      <c r="N26" s="26"/>
      <c r="O26" s="3">
        <f>IFERROR(VLOOKUP(N26,'Puntos XCC Menor'!$A$1:$B$15,2,FALSE),0)</f>
        <v>0</v>
      </c>
      <c r="P26" s="3">
        <v>16</v>
      </c>
      <c r="Q26" s="34">
        <f>IFERROR(VLOOKUP(P26,'Puntos XCO'!$A$1:$B$63,2,FALSE),0)</f>
        <v>66</v>
      </c>
      <c r="R26" s="16">
        <v>10</v>
      </c>
      <c r="S26" s="3">
        <f>IFERROR(VLOOKUP(R26,'Puntos XCC Menor'!$A$1:$B$15,2,FALSE),0)</f>
        <v>1</v>
      </c>
      <c r="T26" s="15">
        <v>10</v>
      </c>
      <c r="U26" s="39">
        <f>IFERROR(VLOOKUP(T26,'Puntos XCO'!$A$1:$B$63,2,FALSE),0)</f>
        <v>78</v>
      </c>
      <c r="V26" s="16">
        <v>36</v>
      </c>
      <c r="W26" s="15">
        <f>IFERROR(VLOOKUP(V26,'Puntos XCC Mayor'!$A$1:$B$15,2,FALSE),0)</f>
        <v>0</v>
      </c>
      <c r="X26" s="15">
        <v>11</v>
      </c>
      <c r="Y26" s="25">
        <f>IFERROR(VLOOKUP(X26,'Puntos XCO'!$A$1:$B$63,2,FALSE),0)</f>
        <v>76</v>
      </c>
      <c r="Z26" s="16">
        <f t="shared" si="2"/>
        <v>9</v>
      </c>
      <c r="AA26" s="15">
        <f>IFERROR(VLOOKUP(Z26,'Puntos XCC Mayor'!$A$1:$B$15,2,FALSE),0)</f>
        <v>7</v>
      </c>
      <c r="AB26" s="15">
        <f t="shared" si="3"/>
        <v>20</v>
      </c>
      <c r="AC26" s="25">
        <f>IFERROR(VLOOKUP(AB26,'Puntos XCO'!$A$1:$B$63,2,FALSE),0)</f>
        <v>58</v>
      </c>
      <c r="AD26" s="16"/>
      <c r="AE26" s="15"/>
      <c r="AF26" s="15"/>
      <c r="AG26" s="25"/>
      <c r="AH26" s="27">
        <f t="shared" si="4"/>
        <v>410</v>
      </c>
      <c r="AJ26" s="2"/>
      <c r="AK26" s="13"/>
      <c r="AL26" s="12"/>
      <c r="AM26" s="14"/>
    </row>
    <row r="27" spans="1:39" ht="24.95" customHeight="1">
      <c r="A27" s="3">
        <v>13</v>
      </c>
      <c r="B27" s="3">
        <v>16</v>
      </c>
      <c r="C27" s="22">
        <v>319</v>
      </c>
      <c r="D27" s="23" t="str">
        <f t="shared" si="0"/>
        <v>GARITA Damian*</v>
      </c>
      <c r="E27" s="24" t="str">
        <f t="shared" si="1"/>
        <v xml:space="preserve">CCDR San José </v>
      </c>
      <c r="F27" s="3">
        <v>26</v>
      </c>
      <c r="G27" s="15">
        <v>0</v>
      </c>
      <c r="H27" s="3">
        <v>6</v>
      </c>
      <c r="I27" s="25">
        <v>95</v>
      </c>
      <c r="J27" s="33">
        <v>14</v>
      </c>
      <c r="K27" s="22">
        <v>0</v>
      </c>
      <c r="L27" s="22">
        <v>18</v>
      </c>
      <c r="M27" s="34">
        <v>62</v>
      </c>
      <c r="N27" s="26"/>
      <c r="O27" s="3">
        <f>IFERROR(VLOOKUP(N27,'Puntos XCC Menor'!$A$1:$B$15,2,FALSE),0)</f>
        <v>0</v>
      </c>
      <c r="P27" s="3">
        <v>0</v>
      </c>
      <c r="Q27" s="34">
        <f>IFERROR(VLOOKUP(P27,'Puntos XCO'!$A$1:$B$63,2,FALSE),0)</f>
        <v>0</v>
      </c>
      <c r="R27" s="16">
        <v>30</v>
      </c>
      <c r="S27" s="3">
        <f>IFERROR(VLOOKUP(R27,'Puntos XCC Menor'!$A$1:$B$15,2,FALSE),0)</f>
        <v>0</v>
      </c>
      <c r="T27" s="15">
        <v>13</v>
      </c>
      <c r="U27" s="39">
        <f>IFERROR(VLOOKUP(T27,'Puntos XCO'!$A$1:$B$63,2,FALSE),0)</f>
        <v>72</v>
      </c>
      <c r="V27" s="16">
        <v>13</v>
      </c>
      <c r="W27" s="15">
        <f>IFERROR(VLOOKUP(V27,'Puntos XCC Mayor'!$A$1:$B$15,2,FALSE),0)</f>
        <v>3</v>
      </c>
      <c r="X27" s="15">
        <v>14</v>
      </c>
      <c r="Y27" s="25">
        <f>IFERROR(VLOOKUP(X27,'Puntos XCO'!$A$1:$B$63,2,FALSE),0)</f>
        <v>70</v>
      </c>
      <c r="Z27" s="16">
        <f t="shared" si="2"/>
        <v>27</v>
      </c>
      <c r="AA27" s="15">
        <f>IFERROR(VLOOKUP(Z27,'Puntos XCC Mayor'!$A$1:$B$15,2,FALSE),0)</f>
        <v>0</v>
      </c>
      <c r="AB27" s="15">
        <f t="shared" si="3"/>
        <v>17</v>
      </c>
      <c r="AC27" s="25">
        <f>IFERROR(VLOOKUP(AB27,'Puntos XCO'!$A$1:$B$63,2,FALSE),0)</f>
        <v>64</v>
      </c>
      <c r="AD27" s="16"/>
      <c r="AE27" s="15"/>
      <c r="AF27" s="15"/>
      <c r="AG27" s="25"/>
      <c r="AH27" s="27">
        <f t="shared" si="4"/>
        <v>366</v>
      </c>
      <c r="AJ27" s="2"/>
      <c r="AK27" s="13"/>
      <c r="AL27" s="12"/>
      <c r="AM27" s="14"/>
    </row>
    <row r="28" spans="1:39" ht="24.95" customHeight="1">
      <c r="A28" s="3">
        <v>14</v>
      </c>
      <c r="B28" s="3">
        <v>15</v>
      </c>
      <c r="C28" s="22">
        <v>305</v>
      </c>
      <c r="D28" s="23" t="str">
        <f t="shared" si="0"/>
        <v>BRICEÑO Mike Josué*</v>
      </c>
      <c r="E28" s="24" t="str">
        <f t="shared" si="1"/>
        <v>CCDR Santa Cruz/Team Costa Frut</v>
      </c>
      <c r="F28" s="3">
        <v>18</v>
      </c>
      <c r="G28" s="15">
        <v>0</v>
      </c>
      <c r="H28" s="3">
        <v>10</v>
      </c>
      <c r="I28" s="25">
        <v>78</v>
      </c>
      <c r="J28" s="33">
        <v>24</v>
      </c>
      <c r="K28" s="22">
        <v>0</v>
      </c>
      <c r="L28" s="22">
        <v>21</v>
      </c>
      <c r="M28" s="34">
        <v>56</v>
      </c>
      <c r="N28" s="26"/>
      <c r="O28" s="3">
        <f>IFERROR(VLOOKUP(N28,'Puntos XCC Menor'!$A$1:$B$15,2,FALSE),0)</f>
        <v>0</v>
      </c>
      <c r="P28" s="3">
        <v>17</v>
      </c>
      <c r="Q28" s="34">
        <f>IFERROR(VLOOKUP(P28,'Puntos XCO'!$A$1:$B$63,2,FALSE),0)</f>
        <v>64</v>
      </c>
      <c r="R28" s="16">
        <v>14</v>
      </c>
      <c r="S28" s="3">
        <f>IFERROR(VLOOKUP(R28,'Puntos XCC Menor'!$A$1:$B$15,2,FALSE),0)</f>
        <v>0</v>
      </c>
      <c r="T28" s="15">
        <v>20</v>
      </c>
      <c r="U28" s="39">
        <f>IFERROR(VLOOKUP(T28,'Puntos XCO'!$A$1:$B$63,2,FALSE),0)</f>
        <v>58</v>
      </c>
      <c r="V28" s="16">
        <v>16</v>
      </c>
      <c r="W28" s="15">
        <f>IFERROR(VLOOKUP(V28,'Puntos XCC Mayor'!$A$1:$B$15,2,FALSE),0)</f>
        <v>0</v>
      </c>
      <c r="X28" s="15">
        <v>24</v>
      </c>
      <c r="Y28" s="25">
        <f>IFERROR(VLOOKUP(X28,'Puntos XCO'!$A$1:$B$63,2,FALSE),0)</f>
        <v>50</v>
      </c>
      <c r="Z28" s="16">
        <f t="shared" si="2"/>
        <v>26</v>
      </c>
      <c r="AA28" s="15">
        <f>IFERROR(VLOOKUP(Z28,'Puntos XCC Mayor'!$A$1:$B$15,2,FALSE),0)</f>
        <v>0</v>
      </c>
      <c r="AB28" s="15">
        <f t="shared" si="3"/>
        <v>21</v>
      </c>
      <c r="AC28" s="25">
        <f>IFERROR(VLOOKUP(AB28,'Puntos XCO'!$A$1:$B$63,2,FALSE),0)</f>
        <v>56</v>
      </c>
      <c r="AD28" s="16"/>
      <c r="AE28" s="15"/>
      <c r="AF28" s="15"/>
      <c r="AG28" s="25"/>
      <c r="AH28" s="27">
        <f t="shared" si="4"/>
        <v>362</v>
      </c>
      <c r="AJ28" s="3"/>
      <c r="AM28" s="29"/>
    </row>
    <row r="29" spans="1:39" ht="24.95" customHeight="1">
      <c r="A29" s="3">
        <v>15</v>
      </c>
      <c r="B29" s="3">
        <v>17</v>
      </c>
      <c r="C29" s="22">
        <v>309</v>
      </c>
      <c r="D29" s="23" t="str">
        <f t="shared" si="0"/>
        <v>HERNÁNDEZ Felipe</v>
      </c>
      <c r="E29" s="24" t="str">
        <f t="shared" si="1"/>
        <v xml:space="preserve">Ciclismo Belen </v>
      </c>
      <c r="F29" s="3">
        <v>13</v>
      </c>
      <c r="G29" s="15">
        <v>0</v>
      </c>
      <c r="H29" s="3">
        <v>32</v>
      </c>
      <c r="I29" s="25">
        <v>34</v>
      </c>
      <c r="J29" s="33">
        <v>33</v>
      </c>
      <c r="K29" s="22">
        <v>0</v>
      </c>
      <c r="L29" s="22">
        <v>14</v>
      </c>
      <c r="M29" s="34">
        <v>70</v>
      </c>
      <c r="N29" s="26"/>
      <c r="O29" s="3">
        <f>IFERROR(VLOOKUP(N29,'Puntos XCC Menor'!$A$1:$B$15,2,FALSE),0)</f>
        <v>0</v>
      </c>
      <c r="P29" s="3">
        <v>12</v>
      </c>
      <c r="Q29" s="34">
        <f>IFERROR(VLOOKUP(P29,'Puntos XCO'!$A$1:$B$63,2,FALSE),0)</f>
        <v>74</v>
      </c>
      <c r="R29" s="16">
        <v>13</v>
      </c>
      <c r="S29" s="3">
        <f>IFERROR(VLOOKUP(R29,'Puntos XCC Menor'!$A$1:$B$15,2,FALSE),0)</f>
        <v>0</v>
      </c>
      <c r="T29" s="15">
        <v>17</v>
      </c>
      <c r="U29" s="39">
        <f>IFERROR(VLOOKUP(T29,'Puntos XCO'!$A$1:$B$63,2,FALSE),0)</f>
        <v>64</v>
      </c>
      <c r="V29" s="16">
        <v>25</v>
      </c>
      <c r="W29" s="15">
        <f>IFERROR(VLOOKUP(V29,'Puntos XCC Mayor'!$A$1:$B$15,2,FALSE),0)</f>
        <v>0</v>
      </c>
      <c r="X29" s="15">
        <v>22</v>
      </c>
      <c r="Y29" s="25">
        <f>IFERROR(VLOOKUP(X29,'Puntos XCO'!$A$1:$B$63,2,FALSE),0)</f>
        <v>54</v>
      </c>
      <c r="Z29" s="16">
        <f t="shared" si="2"/>
        <v>15</v>
      </c>
      <c r="AA29" s="15">
        <f>IFERROR(VLOOKUP(Z29,'Puntos XCC Mayor'!$A$1:$B$15,2,FALSE),0)</f>
        <v>1</v>
      </c>
      <c r="AB29" s="15">
        <f t="shared" si="3"/>
        <v>22</v>
      </c>
      <c r="AC29" s="25">
        <f>IFERROR(VLOOKUP(AB29,'Puntos XCO'!$A$1:$B$63,2,FALSE),0)</f>
        <v>54</v>
      </c>
      <c r="AD29" s="16"/>
      <c r="AE29" s="15"/>
      <c r="AF29" s="15"/>
      <c r="AG29" s="25"/>
      <c r="AH29" s="27">
        <f t="shared" si="4"/>
        <v>351</v>
      </c>
      <c r="AJ29" s="3"/>
    </row>
    <row r="30" spans="1:39" ht="24.95" customHeight="1">
      <c r="A30" s="3">
        <v>16</v>
      </c>
      <c r="B30" s="3">
        <v>23</v>
      </c>
      <c r="C30" s="22">
        <v>346</v>
      </c>
      <c r="D30" s="23" t="str">
        <f t="shared" si="0"/>
        <v xml:space="preserve">NUÑEZ Lorenzo </v>
      </c>
      <c r="E30" s="24" t="str">
        <f t="shared" si="1"/>
        <v>Team- Tierniticos- Elky Ferretería- BIORACER</v>
      </c>
      <c r="F30" s="3"/>
      <c r="G30" s="15"/>
      <c r="H30" s="3"/>
      <c r="I30" s="25"/>
      <c r="J30" s="33">
        <v>10</v>
      </c>
      <c r="K30" s="22">
        <v>1</v>
      </c>
      <c r="L30" s="22">
        <v>7</v>
      </c>
      <c r="M30" s="34">
        <v>90</v>
      </c>
      <c r="N30" s="26"/>
      <c r="O30" s="3">
        <f>IFERROR(VLOOKUP(N30,'Puntos XCC Menor'!$A$1:$B$15,2,FALSE),0)</f>
        <v>0</v>
      </c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3</v>
      </c>
      <c r="W30" s="15">
        <f>IFERROR(VLOOKUP(V30,'Puntos XCC Mayor'!$A$1:$B$15,2,FALSE),0)</f>
        <v>16</v>
      </c>
      <c r="X30" s="15">
        <v>3</v>
      </c>
      <c r="Y30" s="25">
        <f>IFERROR(VLOOKUP(X30,'Puntos XCO'!$A$1:$B$63,2,FALSE),0)</f>
        <v>120</v>
      </c>
      <c r="Z30" s="16">
        <f t="shared" si="2"/>
        <v>4</v>
      </c>
      <c r="AA30" s="15">
        <f>IFERROR(VLOOKUP(Z30,'Puntos XCC Mayor'!$A$1:$B$15,2,FALSE),0)</f>
        <v>14</v>
      </c>
      <c r="AB30" s="15">
        <f t="shared" si="3"/>
        <v>4</v>
      </c>
      <c r="AC30" s="25">
        <f>IFERROR(VLOOKUP(AB30,'Puntos XCO'!$A$1:$B$63,2,FALSE),0)</f>
        <v>110</v>
      </c>
      <c r="AD30" s="16"/>
      <c r="AE30" s="15"/>
      <c r="AF30" s="15"/>
      <c r="AG30" s="25"/>
      <c r="AH30" s="27">
        <f t="shared" si="4"/>
        <v>351</v>
      </c>
      <c r="AJ30" s="3"/>
    </row>
    <row r="31" spans="1:39" ht="24.95" customHeight="1">
      <c r="A31" s="3">
        <v>17</v>
      </c>
      <c r="B31" s="3">
        <v>20</v>
      </c>
      <c r="C31" s="22">
        <v>310</v>
      </c>
      <c r="D31" s="23" t="str">
        <f t="shared" si="0"/>
        <v xml:space="preserve">SEGURA Thomas </v>
      </c>
      <c r="E31" s="24" t="str">
        <f t="shared" si="1"/>
        <v xml:space="preserve">Ciclismo Belen </v>
      </c>
      <c r="F31" s="3">
        <v>21</v>
      </c>
      <c r="G31" s="15">
        <v>0</v>
      </c>
      <c r="H31" s="3">
        <v>14</v>
      </c>
      <c r="I31" s="25">
        <v>70</v>
      </c>
      <c r="J31" s="33">
        <v>23</v>
      </c>
      <c r="K31" s="22">
        <v>0</v>
      </c>
      <c r="L31" s="22">
        <v>32</v>
      </c>
      <c r="M31" s="34">
        <v>34</v>
      </c>
      <c r="N31" s="26"/>
      <c r="O31" s="3">
        <f>IFERROR(VLOOKUP(N31,'Puntos XCC Menor'!$A$1:$B$15,2,FALSE),0)</f>
        <v>0</v>
      </c>
      <c r="P31" s="3">
        <v>15</v>
      </c>
      <c r="Q31" s="34">
        <f>IFERROR(VLOOKUP(P31,'Puntos XCO'!$A$1:$B$63,2,FALSE),0)</f>
        <v>68</v>
      </c>
      <c r="R31" s="16">
        <v>17</v>
      </c>
      <c r="S31" s="3">
        <f>IFERROR(VLOOKUP(R31,'Puntos XCC Menor'!$A$1:$B$15,2,FALSE),0)</f>
        <v>0</v>
      </c>
      <c r="T31" s="15">
        <v>27</v>
      </c>
      <c r="U31" s="39">
        <f>IFERROR(VLOOKUP(T31,'Puntos XCO'!$A$1:$B$63,2,FALSE),0)</f>
        <v>44</v>
      </c>
      <c r="V31" s="16">
        <v>19</v>
      </c>
      <c r="W31" s="15">
        <f>IFERROR(VLOOKUP(V31,'Puntos XCC Mayor'!$A$1:$B$15,2,FALSE),0)</f>
        <v>0</v>
      </c>
      <c r="X31" s="15">
        <v>23</v>
      </c>
      <c r="Y31" s="25">
        <f>IFERROR(VLOOKUP(X31,'Puntos XCO'!$A$1:$B$63,2,FALSE),0)</f>
        <v>52</v>
      </c>
      <c r="Z31" s="16">
        <f t="shared" si="2"/>
        <v>12</v>
      </c>
      <c r="AA31" s="15">
        <f>IFERROR(VLOOKUP(Z31,'Puntos XCC Mayor'!$A$1:$B$15,2,FALSE),0)</f>
        <v>4</v>
      </c>
      <c r="AB31" s="15">
        <f t="shared" si="3"/>
        <v>10</v>
      </c>
      <c r="AC31" s="25">
        <f>IFERROR(VLOOKUP(AB31,'Puntos XCO'!$A$1:$B$63,2,FALSE),0)</f>
        <v>78</v>
      </c>
      <c r="AD31" s="16"/>
      <c r="AE31" s="15"/>
      <c r="AF31" s="15"/>
      <c r="AG31" s="25"/>
      <c r="AH31" s="27">
        <f t="shared" si="4"/>
        <v>350</v>
      </c>
      <c r="AJ31" s="3"/>
    </row>
    <row r="32" spans="1:39" ht="24.95" customHeight="1">
      <c r="A32" s="3">
        <v>18</v>
      </c>
      <c r="B32" s="3">
        <v>13</v>
      </c>
      <c r="C32" s="22">
        <v>323</v>
      </c>
      <c r="D32" s="23" t="str">
        <f t="shared" si="0"/>
        <v>CRUZ Denzell Alberto</v>
      </c>
      <c r="E32" s="24" t="str">
        <f t="shared" si="1"/>
        <v>ESCUELA GUIDO BLANCO/CCDRL</v>
      </c>
      <c r="F32" s="3">
        <v>19</v>
      </c>
      <c r="G32" s="15">
        <v>0</v>
      </c>
      <c r="H32" s="3">
        <v>4</v>
      </c>
      <c r="I32" s="25">
        <v>110</v>
      </c>
      <c r="J32" s="33">
        <v>9</v>
      </c>
      <c r="K32" s="22">
        <v>2</v>
      </c>
      <c r="L32" s="22">
        <v>15</v>
      </c>
      <c r="M32" s="34">
        <v>68</v>
      </c>
      <c r="N32" s="26"/>
      <c r="O32" s="3">
        <f>IFERROR(VLOOKUP(N32,'Puntos XCC Menor'!$A$1:$B$15,2,FALSE),0)</f>
        <v>0</v>
      </c>
      <c r="P32" s="3">
        <v>13</v>
      </c>
      <c r="Q32" s="34">
        <f>IFERROR(VLOOKUP(P32,'Puntos XCO'!$A$1:$B$63,2,FALSE),0)</f>
        <v>72</v>
      </c>
      <c r="R32" s="16">
        <v>7</v>
      </c>
      <c r="S32" s="3">
        <f>IFERROR(VLOOKUP(R32,'Puntos XCC Menor'!$A$1:$B$15,2,FALSE),0)</f>
        <v>4</v>
      </c>
      <c r="T32" s="15">
        <v>11</v>
      </c>
      <c r="U32" s="39">
        <f>IFERROR(VLOOKUP(T32,'Puntos XCO'!$A$1:$B$63,2,FALSE),0)</f>
        <v>76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332</v>
      </c>
      <c r="AJ32" s="3"/>
    </row>
    <row r="33" spans="1:36" ht="24.95" customHeight="1">
      <c r="A33" s="3">
        <v>19</v>
      </c>
      <c r="B33" s="3">
        <v>14</v>
      </c>
      <c r="C33" s="22">
        <v>326</v>
      </c>
      <c r="D33" s="23" t="str">
        <f t="shared" si="0"/>
        <v>MEDINA Anders</v>
      </c>
      <c r="E33" s="24" t="str">
        <f t="shared" si="1"/>
        <v>CCDRESCAZU</v>
      </c>
      <c r="F33" s="3">
        <v>8</v>
      </c>
      <c r="G33" s="15">
        <v>3</v>
      </c>
      <c r="H33" s="3">
        <v>0</v>
      </c>
      <c r="I33" s="25">
        <v>0</v>
      </c>
      <c r="J33" s="33">
        <v>11</v>
      </c>
      <c r="K33" s="22">
        <v>0</v>
      </c>
      <c r="L33" s="22">
        <v>10</v>
      </c>
      <c r="M33" s="34">
        <v>78</v>
      </c>
      <c r="N33" s="26"/>
      <c r="O33" s="3">
        <f>IFERROR(VLOOKUP(N33,'Puntos XCC Menor'!$A$1:$B$15,2,FALSE),0)</f>
        <v>0</v>
      </c>
      <c r="P33" s="3">
        <v>10</v>
      </c>
      <c r="Q33" s="34">
        <f>IFERROR(VLOOKUP(P33,'Puntos XCO'!$A$1:$B$63,2,FALSE),0)</f>
        <v>78</v>
      </c>
      <c r="R33" s="16">
        <v>22</v>
      </c>
      <c r="S33" s="3">
        <f>IFERROR(VLOOKUP(R33,'Puntos XCC Menor'!$A$1:$B$15,2,FALSE),0)</f>
        <v>0</v>
      </c>
      <c r="T33" s="15">
        <v>16</v>
      </c>
      <c r="U33" s="39">
        <f>IFERROR(VLOOKUP(T33,'Puntos XCO'!$A$1:$B$63,2,FALSE),0)</f>
        <v>66</v>
      </c>
      <c r="V33" s="16">
        <v>7</v>
      </c>
      <c r="W33" s="15">
        <f>IFERROR(VLOOKUP(V33,'Puntos XCC Mayor'!$A$1:$B$15,2,FALSE),0)</f>
        <v>9</v>
      </c>
      <c r="X33" s="15">
        <v>8</v>
      </c>
      <c r="Y33" s="25">
        <f>IFERROR(VLOOKUP(X33,'Puntos XCO'!$A$1:$B$63,2,FALSE),0)</f>
        <v>85</v>
      </c>
      <c r="Z33" s="16">
        <f t="shared" si="2"/>
        <v>5</v>
      </c>
      <c r="AA33" s="15">
        <f>IFERROR(VLOOKUP(Z33,'Puntos XCC Mayor'!$A$1:$B$15,2,FALSE),0)</f>
        <v>12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331</v>
      </c>
      <c r="AJ33" s="3"/>
    </row>
    <row r="34" spans="1:36" ht="24.95" customHeight="1">
      <c r="A34" s="3">
        <v>20</v>
      </c>
      <c r="B34" s="3">
        <v>21</v>
      </c>
      <c r="C34" s="22">
        <v>342</v>
      </c>
      <c r="D34" s="23" t="str">
        <f t="shared" si="0"/>
        <v>RODRÍGUEZ Dylan Fabian*</v>
      </c>
      <c r="E34" s="24" t="str">
        <f t="shared" si="1"/>
        <v xml:space="preserve">CODEA </v>
      </c>
      <c r="F34" s="3"/>
      <c r="G34" s="15"/>
      <c r="H34" s="3"/>
      <c r="I34" s="25"/>
      <c r="J34" s="33">
        <v>18</v>
      </c>
      <c r="K34" s="22">
        <v>0</v>
      </c>
      <c r="L34" s="22">
        <v>20</v>
      </c>
      <c r="M34" s="34">
        <v>58</v>
      </c>
      <c r="N34" s="26"/>
      <c r="O34" s="3">
        <f>IFERROR(VLOOKUP(N34,'Puntos XCC Menor'!$A$1:$B$15,2,FALSE),0)</f>
        <v>0</v>
      </c>
      <c r="P34" s="3">
        <v>18</v>
      </c>
      <c r="Q34" s="34">
        <f>IFERROR(VLOOKUP(P34,'Puntos XCO'!$A$1:$B$63,2,FALSE),0)</f>
        <v>62</v>
      </c>
      <c r="R34" s="16">
        <v>21</v>
      </c>
      <c r="S34" s="3">
        <f>IFERROR(VLOOKUP(R34,'Puntos XCC Menor'!$A$1:$B$15,2,FALSE),0)</f>
        <v>0</v>
      </c>
      <c r="T34" s="15">
        <v>19</v>
      </c>
      <c r="U34" s="39">
        <f>IFERROR(VLOOKUP(T34,'Puntos XCO'!$A$1:$B$63,2,FALSE),0)</f>
        <v>60</v>
      </c>
      <c r="V34" s="16">
        <v>17</v>
      </c>
      <c r="W34" s="15">
        <f>IFERROR(VLOOKUP(V34,'Puntos XCC Mayor'!$A$1:$B$15,2,FALSE),0)</f>
        <v>0</v>
      </c>
      <c r="X34" s="15">
        <v>10</v>
      </c>
      <c r="Y34" s="25">
        <f>IFERROR(VLOOKUP(X34,'Puntos XCO'!$A$1:$B$63,2,FALSE),0)</f>
        <v>78</v>
      </c>
      <c r="Z34" s="16">
        <f t="shared" si="2"/>
        <v>16</v>
      </c>
      <c r="AA34" s="15">
        <f>IFERROR(VLOOKUP(Z34,'Puntos XCC Mayor'!$A$1:$B$15,2,FALSE),0)</f>
        <v>0</v>
      </c>
      <c r="AB34" s="15">
        <f t="shared" si="3"/>
        <v>15</v>
      </c>
      <c r="AC34" s="25">
        <f>IFERROR(VLOOKUP(AB34,'Puntos XCO'!$A$1:$B$63,2,FALSE),0)</f>
        <v>68</v>
      </c>
      <c r="AD34" s="16"/>
      <c r="AE34" s="15"/>
      <c r="AF34" s="15"/>
      <c r="AG34" s="25"/>
      <c r="AH34" s="27">
        <f t="shared" si="4"/>
        <v>326</v>
      </c>
      <c r="AJ34" s="3"/>
    </row>
    <row r="35" spans="1:36" ht="24.95" customHeight="1">
      <c r="A35" s="3">
        <v>21</v>
      </c>
      <c r="B35" s="3">
        <v>19</v>
      </c>
      <c r="C35" s="22">
        <v>332</v>
      </c>
      <c r="D35" s="23" t="str">
        <f t="shared" si="0"/>
        <v>SEGURA Isaac*</v>
      </c>
      <c r="E35" s="24" t="str">
        <f t="shared" si="1"/>
        <v>CODEA ALAJUELA</v>
      </c>
      <c r="F35" s="3">
        <v>24</v>
      </c>
      <c r="G35" s="15">
        <v>0</v>
      </c>
      <c r="H35" s="3">
        <v>30</v>
      </c>
      <c r="I35" s="25">
        <v>38</v>
      </c>
      <c r="J35" s="33">
        <v>25</v>
      </c>
      <c r="K35" s="22">
        <v>0</v>
      </c>
      <c r="L35" s="22">
        <v>36</v>
      </c>
      <c r="M35" s="34">
        <v>28</v>
      </c>
      <c r="N35" s="26"/>
      <c r="O35" s="3">
        <f>IFERROR(VLOOKUP(N35,'Puntos XCC Menor'!$A$1:$B$15,2,FALSE),0)</f>
        <v>0</v>
      </c>
      <c r="P35" s="3">
        <v>19</v>
      </c>
      <c r="Q35" s="34">
        <f>IFERROR(VLOOKUP(P35,'Puntos XCO'!$A$1:$B$63,2,FALSE),0)</f>
        <v>60</v>
      </c>
      <c r="R35" s="16">
        <v>23</v>
      </c>
      <c r="S35" s="3">
        <f>IFERROR(VLOOKUP(R35,'Puntos XCC Menor'!$A$1:$B$15,2,FALSE),0)</f>
        <v>0</v>
      </c>
      <c r="T35" s="15">
        <v>18</v>
      </c>
      <c r="U35" s="39">
        <f>IFERROR(VLOOKUP(T35,'Puntos XCO'!$A$1:$B$63,2,FALSE),0)</f>
        <v>62</v>
      </c>
      <c r="V35" s="16">
        <v>10</v>
      </c>
      <c r="W35" s="15">
        <f>IFERROR(VLOOKUP(V35,'Puntos XCC Mayor'!$A$1:$B$15,2,FALSE),0)</f>
        <v>6</v>
      </c>
      <c r="X35" s="15">
        <v>12</v>
      </c>
      <c r="Y35" s="25">
        <f>IFERROR(VLOOKUP(X35,'Puntos XCO'!$A$1:$B$63,2,FALSE),0)</f>
        <v>74</v>
      </c>
      <c r="Z35" s="16">
        <f t="shared" si="2"/>
        <v>18</v>
      </c>
      <c r="AA35" s="15">
        <f>IFERROR(VLOOKUP(Z35,'Puntos XCC Mayor'!$A$1:$B$15,2,FALSE),0)</f>
        <v>0</v>
      </c>
      <c r="AB35" s="15">
        <f t="shared" si="3"/>
        <v>28</v>
      </c>
      <c r="AC35" s="25">
        <f>IFERROR(VLOOKUP(AB35,'Puntos XCO'!$A$1:$B$63,2,FALSE),0)</f>
        <v>42</v>
      </c>
      <c r="AD35" s="16"/>
      <c r="AE35" s="15"/>
      <c r="AF35" s="15"/>
      <c r="AG35" s="25"/>
      <c r="AH35" s="27">
        <f t="shared" si="4"/>
        <v>310</v>
      </c>
      <c r="AJ35" s="3"/>
    </row>
    <row r="36" spans="1:36" ht="24.95" customHeight="1">
      <c r="A36" s="3">
        <v>22</v>
      </c>
      <c r="B36" s="3">
        <v>22</v>
      </c>
      <c r="C36" s="22">
        <v>306</v>
      </c>
      <c r="D36" s="23" t="str">
        <f t="shared" si="0"/>
        <v xml:space="preserve">VARELA Mathias </v>
      </c>
      <c r="E36" s="24" t="str">
        <f t="shared" si="1"/>
        <v>Ciclismo Belen</v>
      </c>
      <c r="F36" s="3">
        <v>27</v>
      </c>
      <c r="G36" s="15">
        <v>0</v>
      </c>
      <c r="H36" s="3">
        <v>24</v>
      </c>
      <c r="I36" s="25">
        <v>50</v>
      </c>
      <c r="J36" s="33">
        <v>19</v>
      </c>
      <c r="K36" s="22">
        <v>0</v>
      </c>
      <c r="L36" s="22">
        <v>25</v>
      </c>
      <c r="M36" s="34">
        <v>48</v>
      </c>
      <c r="N36" s="26"/>
      <c r="O36" s="3">
        <f>IFERROR(VLOOKUP(N36,'Puntos XCC Menor'!$A$1:$B$15,2,FALSE),0)</f>
        <v>0</v>
      </c>
      <c r="P36" s="3">
        <v>20</v>
      </c>
      <c r="Q36" s="34">
        <f>IFERROR(VLOOKUP(P36,'Puntos XCO'!$A$1:$B$63,2,FALSE),0)</f>
        <v>58</v>
      </c>
      <c r="R36" s="16">
        <v>18</v>
      </c>
      <c r="S36" s="3">
        <f>IFERROR(VLOOKUP(R36,'Puntos XCC Menor'!$A$1:$B$15,2,FALSE),0)</f>
        <v>0</v>
      </c>
      <c r="T36" s="15">
        <v>22</v>
      </c>
      <c r="U36" s="39">
        <f>IFERROR(VLOOKUP(T36,'Puntos XCO'!$A$1:$B$63,2,FALSE),0)</f>
        <v>54</v>
      </c>
      <c r="V36" s="16">
        <v>27</v>
      </c>
      <c r="W36" s="15">
        <f>IFERROR(VLOOKUP(V36,'Puntos XCC Mayor'!$A$1:$B$15,2,FALSE),0)</f>
        <v>0</v>
      </c>
      <c r="X36" s="15">
        <v>27</v>
      </c>
      <c r="Y36" s="25">
        <f>IFERROR(VLOOKUP(X36,'Puntos XCO'!$A$1:$B$63,2,FALSE),0)</f>
        <v>44</v>
      </c>
      <c r="Z36" s="16">
        <f t="shared" si="2"/>
        <v>28</v>
      </c>
      <c r="AA36" s="15">
        <f>IFERROR(VLOOKUP(Z36,'Puntos XCC Mayor'!$A$1:$B$15,2,FALSE),0)</f>
        <v>0</v>
      </c>
      <c r="AB36" s="15">
        <f t="shared" si="3"/>
        <v>29</v>
      </c>
      <c r="AC36" s="25">
        <f>IFERROR(VLOOKUP(AB36,'Puntos XCO'!$A$1:$B$63,2,FALSE),0)</f>
        <v>40</v>
      </c>
      <c r="AD36" s="16"/>
      <c r="AE36" s="15"/>
      <c r="AF36" s="15"/>
      <c r="AG36" s="25"/>
      <c r="AH36" s="27">
        <f t="shared" si="4"/>
        <v>294</v>
      </c>
      <c r="AJ36" s="3"/>
    </row>
    <row r="37" spans="1:36" ht="24.95" customHeight="1">
      <c r="A37" s="3">
        <v>23</v>
      </c>
      <c r="B37" s="3">
        <v>18</v>
      </c>
      <c r="C37" s="22">
        <v>336</v>
      </c>
      <c r="D37" s="23" t="str">
        <f t="shared" si="0"/>
        <v xml:space="preserve">ALFARO  Yahel </v>
      </c>
      <c r="E37" s="24" t="str">
        <f t="shared" si="1"/>
        <v xml:space="preserve">CCDR GUÁCIMO </v>
      </c>
      <c r="F37" s="3">
        <v>10</v>
      </c>
      <c r="G37" s="15">
        <v>1</v>
      </c>
      <c r="H37" s="3">
        <v>9</v>
      </c>
      <c r="I37" s="25">
        <v>80</v>
      </c>
      <c r="J37" s="33">
        <v>15</v>
      </c>
      <c r="K37" s="22">
        <v>0</v>
      </c>
      <c r="L37" s="22">
        <v>19</v>
      </c>
      <c r="M37" s="34">
        <v>60</v>
      </c>
      <c r="N37" s="26"/>
      <c r="O37" s="3">
        <f>IFERROR(VLOOKUP(N37,'Puntos XCC Menor'!$A$1:$B$15,2,FALSE),0)</f>
        <v>0</v>
      </c>
      <c r="P37" s="3">
        <v>0</v>
      </c>
      <c r="Q37" s="34">
        <f>IFERROR(VLOOKUP(P37,'Puntos XCO'!$A$1:$B$63,2,FALSE),0)</f>
        <v>0</v>
      </c>
      <c r="R37" s="16">
        <v>16</v>
      </c>
      <c r="S37" s="3">
        <f>IFERROR(VLOOKUP(R37,'Puntos XCC Menor'!$A$1:$B$15,2,FALSE),0)</f>
        <v>0</v>
      </c>
      <c r="T37" s="15">
        <v>14</v>
      </c>
      <c r="U37" s="39">
        <f>IFERROR(VLOOKUP(T37,'Puntos XCO'!$A$1:$B$63,2,FALSE),0)</f>
        <v>70</v>
      </c>
      <c r="V37" s="16">
        <v>15</v>
      </c>
      <c r="W37" s="15">
        <f>IFERROR(VLOOKUP(V37,'Puntos XCC Mayor'!$A$1:$B$15,2,FALSE),0)</f>
        <v>1</v>
      </c>
      <c r="X37" s="15">
        <v>19</v>
      </c>
      <c r="Y37" s="25">
        <f>IFERROR(VLOOKUP(X37,'Puntos XCO'!$A$1:$B$63,2,FALSE),0)</f>
        <v>60</v>
      </c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4"/>
        <v>272</v>
      </c>
      <c r="AJ37" s="3"/>
    </row>
    <row r="38" spans="1:36" ht="24.95" customHeight="1">
      <c r="A38" s="3">
        <v>24</v>
      </c>
      <c r="B38" s="3">
        <v>26</v>
      </c>
      <c r="C38" s="22">
        <v>343</v>
      </c>
      <c r="D38" s="23" t="str">
        <f t="shared" si="0"/>
        <v xml:space="preserve">VARGAS David </v>
      </c>
      <c r="E38" s="24" t="str">
        <f t="shared" si="1"/>
        <v xml:space="preserve">ACISA SARAPIQUÍ </v>
      </c>
      <c r="F38" s="3"/>
      <c r="G38" s="15"/>
      <c r="H38" s="3"/>
      <c r="I38" s="25"/>
      <c r="J38" s="33">
        <v>34</v>
      </c>
      <c r="K38" s="22">
        <v>0</v>
      </c>
      <c r="L38" s="22">
        <v>28</v>
      </c>
      <c r="M38" s="34">
        <v>42</v>
      </c>
      <c r="N38" s="26"/>
      <c r="O38" s="3">
        <f>IFERROR(VLOOKUP(N38,'Puntos XCC Menor'!$A$1:$B$15,2,FALSE),0)</f>
        <v>0</v>
      </c>
      <c r="P38" s="3">
        <v>0</v>
      </c>
      <c r="Q38" s="34">
        <f>IFERROR(VLOOKUP(P38,'Puntos XCO'!$A$1:$B$63,2,FALSE),0)</f>
        <v>0</v>
      </c>
      <c r="R38" s="16">
        <v>19</v>
      </c>
      <c r="S38" s="3">
        <f>IFERROR(VLOOKUP(R38,'Puntos XCC Menor'!$A$1:$B$15,2,FALSE),0)</f>
        <v>0</v>
      </c>
      <c r="T38" s="15">
        <v>9</v>
      </c>
      <c r="U38" s="39">
        <f>IFERROR(VLOOKUP(T38,'Puntos XCO'!$A$1:$B$63,2,FALSE),0)</f>
        <v>80</v>
      </c>
      <c r="V38" s="16">
        <v>18</v>
      </c>
      <c r="W38" s="15">
        <f>IFERROR(VLOOKUP(V38,'Puntos XCC Mayor'!$A$1:$B$15,2,FALSE),0)</f>
        <v>0</v>
      </c>
      <c r="X38" s="15">
        <v>17</v>
      </c>
      <c r="Y38" s="25">
        <f>IFERROR(VLOOKUP(X38,'Puntos XCO'!$A$1:$B$63,2,FALSE),0)</f>
        <v>64</v>
      </c>
      <c r="Z38" s="16">
        <f t="shared" si="2"/>
        <v>32</v>
      </c>
      <c r="AA38" s="15">
        <f>IFERROR(VLOOKUP(Z38,'Puntos XCC Mayor'!$A$1:$B$15,2,FALSE),0)</f>
        <v>0</v>
      </c>
      <c r="AB38" s="15">
        <f t="shared" si="3"/>
        <v>13</v>
      </c>
      <c r="AC38" s="25">
        <f>IFERROR(VLOOKUP(AB38,'Puntos XCO'!$A$1:$B$63,2,FALSE),0)</f>
        <v>72</v>
      </c>
      <c r="AD38" s="16"/>
      <c r="AE38" s="15"/>
      <c r="AF38" s="15"/>
      <c r="AG38" s="25"/>
      <c r="AH38" s="27">
        <f t="shared" si="4"/>
        <v>258</v>
      </c>
      <c r="AJ38" s="3"/>
    </row>
    <row r="39" spans="1:36" ht="24.95" customHeight="1">
      <c r="A39" s="3">
        <v>25</v>
      </c>
      <c r="B39" s="3">
        <v>25</v>
      </c>
      <c r="C39" s="22">
        <v>348</v>
      </c>
      <c r="D39" s="23" t="str">
        <f t="shared" si="0"/>
        <v>FERNÁNDEZ Sebastián*</v>
      </c>
      <c r="E39" s="24" t="str">
        <f t="shared" si="1"/>
        <v xml:space="preserve">Asociación ciclistica de Turrialba </v>
      </c>
      <c r="F39" s="3"/>
      <c r="G39" s="15"/>
      <c r="H39" s="3"/>
      <c r="I39" s="25"/>
      <c r="J39" s="33">
        <v>0</v>
      </c>
      <c r="K39" s="22">
        <v>0</v>
      </c>
      <c r="L39" s="22">
        <v>16</v>
      </c>
      <c r="M39" s="34">
        <v>66</v>
      </c>
      <c r="N39" s="26"/>
      <c r="O39" s="3">
        <f>IFERROR(VLOOKUP(N39,'Puntos XCC Menor'!$A$1:$B$15,2,FALSE),0)</f>
        <v>0</v>
      </c>
      <c r="P39" s="3">
        <v>22</v>
      </c>
      <c r="Q39" s="34">
        <f>IFERROR(VLOOKUP(P39,'Puntos XCO'!$A$1:$B$63,2,FALSE),0)</f>
        <v>54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11</v>
      </c>
      <c r="W39" s="15">
        <f>IFERROR(VLOOKUP(V39,'Puntos XCC Mayor'!$A$1:$B$15,2,FALSE),0)</f>
        <v>5</v>
      </c>
      <c r="X39" s="15">
        <v>15</v>
      </c>
      <c r="Y39" s="25">
        <f>IFERROR(VLOOKUP(X39,'Puntos XCO'!$A$1:$B$63,2,FALSE),0)</f>
        <v>68</v>
      </c>
      <c r="Z39" s="16">
        <f t="shared" si="2"/>
        <v>21</v>
      </c>
      <c r="AA39" s="15">
        <f>IFERROR(VLOOKUP(Z39,'Puntos XCC Mayor'!$A$1:$B$15,2,FALSE),0)</f>
        <v>0</v>
      </c>
      <c r="AB39" s="15">
        <f t="shared" si="3"/>
        <v>23</v>
      </c>
      <c r="AC39" s="25">
        <f>IFERROR(VLOOKUP(AB39,'Puntos XCO'!$A$1:$B$63,2,FALSE),0)</f>
        <v>52</v>
      </c>
      <c r="AD39" s="16"/>
      <c r="AE39" s="15"/>
      <c r="AF39" s="15"/>
      <c r="AG39" s="25"/>
      <c r="AH39" s="27">
        <f t="shared" si="4"/>
        <v>245</v>
      </c>
      <c r="AJ39" s="3"/>
    </row>
    <row r="40" spans="1:36" ht="24.95" customHeight="1">
      <c r="A40" s="3">
        <v>26</v>
      </c>
      <c r="B40" s="3">
        <v>32</v>
      </c>
      <c r="C40" s="22">
        <v>316</v>
      </c>
      <c r="D40" s="23" t="str">
        <f t="shared" si="0"/>
        <v xml:space="preserve">CHAVES Emanuel </v>
      </c>
      <c r="E40" s="24" t="str">
        <f t="shared" si="1"/>
        <v xml:space="preserve">CCDR PARAÍSO </v>
      </c>
      <c r="F40" s="3">
        <v>32</v>
      </c>
      <c r="G40" s="15">
        <v>0</v>
      </c>
      <c r="H40" s="3">
        <v>29</v>
      </c>
      <c r="I40" s="25">
        <v>40</v>
      </c>
      <c r="J40" s="33">
        <v>7</v>
      </c>
      <c r="K40" s="22">
        <v>4</v>
      </c>
      <c r="L40" s="22">
        <v>5</v>
      </c>
      <c r="M40" s="34">
        <v>100</v>
      </c>
      <c r="N40" s="26"/>
      <c r="O40" s="3">
        <f>IFERROR(VLOOKUP(N40,'Puntos XCC Menor'!$A$1:$B$15,2,FALSE),0)</f>
        <v>0</v>
      </c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v>20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17</v>
      </c>
      <c r="AA40" s="15">
        <f>IFERROR(VLOOKUP(Z40,'Puntos XCC Mayor'!$A$1:$B$15,2,FALSE),0)</f>
        <v>0</v>
      </c>
      <c r="AB40" s="15">
        <f t="shared" si="3"/>
        <v>14</v>
      </c>
      <c r="AC40" s="25">
        <f>IFERROR(VLOOKUP(AB40,'Puntos XCO'!$A$1:$B$63,2,FALSE),0)</f>
        <v>70</v>
      </c>
      <c r="AD40" s="16"/>
      <c r="AE40" s="15"/>
      <c r="AF40" s="15"/>
      <c r="AG40" s="25"/>
      <c r="AH40" s="27">
        <f t="shared" si="4"/>
        <v>214</v>
      </c>
      <c r="AJ40" s="3"/>
    </row>
    <row r="41" spans="1:36" ht="24.95" customHeight="1">
      <c r="A41" s="3">
        <v>27</v>
      </c>
      <c r="B41" s="3">
        <v>31</v>
      </c>
      <c r="C41" s="22">
        <v>341</v>
      </c>
      <c r="D41" s="23" t="str">
        <f t="shared" si="0"/>
        <v>ZUMBADO Yaikel</v>
      </c>
      <c r="E41" s="24" t="str">
        <f t="shared" si="1"/>
        <v xml:space="preserve">Codea Alajuela </v>
      </c>
      <c r="F41" s="3"/>
      <c r="G41" s="15"/>
      <c r="H41" s="3"/>
      <c r="I41" s="25"/>
      <c r="J41" s="33">
        <v>27</v>
      </c>
      <c r="K41" s="22">
        <v>0</v>
      </c>
      <c r="L41" s="22">
        <v>0</v>
      </c>
      <c r="M41" s="34">
        <v>0</v>
      </c>
      <c r="N41" s="26"/>
      <c r="O41" s="3">
        <f>IFERROR(VLOOKUP(N41,'Puntos XCC Menor'!$A$1:$B$15,2,FALSE),0)</f>
        <v>0</v>
      </c>
      <c r="P41" s="3">
        <v>24</v>
      </c>
      <c r="Q41" s="34">
        <f>IFERROR(VLOOKUP(P41,'Puntos XCO'!$A$1:$B$63,2,FALSE),0)</f>
        <v>50</v>
      </c>
      <c r="R41" s="16">
        <v>26</v>
      </c>
      <c r="S41" s="3">
        <f>IFERROR(VLOOKUP(R41,'Puntos XCC Menor'!$A$1:$B$15,2,FALSE),0)</f>
        <v>0</v>
      </c>
      <c r="T41" s="15">
        <v>24</v>
      </c>
      <c r="U41" s="39">
        <f>IFERROR(VLOOKUP(T41,'Puntos XCO'!$A$1:$B$63,2,FALSE),0)</f>
        <v>50</v>
      </c>
      <c r="V41" s="16">
        <v>21</v>
      </c>
      <c r="W41" s="15">
        <f>IFERROR(VLOOKUP(V41,'Puntos XCC Mayor'!$A$1:$B$15,2,FALSE),0)</f>
        <v>0</v>
      </c>
      <c r="X41" s="15">
        <v>26</v>
      </c>
      <c r="Y41" s="25">
        <f>IFERROR(VLOOKUP(X41,'Puntos XCO'!$A$1:$B$63,2,FALSE),0)</f>
        <v>46</v>
      </c>
      <c r="Z41" s="16">
        <f t="shared" si="2"/>
        <v>19</v>
      </c>
      <c r="AA41" s="15">
        <f>IFERROR(VLOOKUP(Z41,'Puntos XCC Mayor'!$A$1:$B$15,2,FALSE),0)</f>
        <v>0</v>
      </c>
      <c r="AB41" s="15">
        <f t="shared" si="3"/>
        <v>18</v>
      </c>
      <c r="AC41" s="25">
        <f>IFERROR(VLOOKUP(AB41,'Puntos XCO'!$A$1:$B$63,2,FALSE),0)</f>
        <v>62</v>
      </c>
      <c r="AD41" s="16"/>
      <c r="AE41" s="15"/>
      <c r="AF41" s="15"/>
      <c r="AG41" s="25"/>
      <c r="AH41" s="27">
        <f t="shared" si="4"/>
        <v>208</v>
      </c>
      <c r="AJ41" s="3"/>
    </row>
    <row r="42" spans="1:36" ht="24.95" customHeight="1">
      <c r="A42" s="3">
        <v>28</v>
      </c>
      <c r="B42" s="3">
        <v>29</v>
      </c>
      <c r="C42" s="22">
        <v>329</v>
      </c>
      <c r="D42" s="23" t="str">
        <f t="shared" si="0"/>
        <v xml:space="preserve">RAMIREZ Adrián </v>
      </c>
      <c r="E42" s="24" t="str">
        <f t="shared" si="1"/>
        <v xml:space="preserve">CCDR San José </v>
      </c>
      <c r="F42" s="3">
        <v>16</v>
      </c>
      <c r="G42" s="15">
        <v>0</v>
      </c>
      <c r="H42" s="3">
        <v>0</v>
      </c>
      <c r="I42" s="25">
        <v>0</v>
      </c>
      <c r="J42" s="33">
        <v>28</v>
      </c>
      <c r="K42" s="22">
        <v>0</v>
      </c>
      <c r="L42" s="22">
        <v>29</v>
      </c>
      <c r="M42" s="34">
        <v>40</v>
      </c>
      <c r="N42" s="26"/>
      <c r="O42" s="3">
        <f>IFERROR(VLOOKUP(N42,'Puntos XCC Menor'!$A$1:$B$15,2,FALSE),0)</f>
        <v>0</v>
      </c>
      <c r="P42" s="3">
        <v>0</v>
      </c>
      <c r="Q42" s="34">
        <f>IFERROR(VLOOKUP(P42,'Puntos XCO'!$A$1:$B$63,2,FALSE),0)</f>
        <v>0</v>
      </c>
      <c r="R42" s="16">
        <v>28</v>
      </c>
      <c r="S42" s="3">
        <f>IFERROR(VLOOKUP(R42,'Puntos XCC Menor'!$A$1:$B$15,2,FALSE),0)</f>
        <v>0</v>
      </c>
      <c r="T42" s="15">
        <v>26</v>
      </c>
      <c r="U42" s="39">
        <f>IFERROR(VLOOKUP(T42,'Puntos XCO'!$A$1:$B$63,2,FALSE),0)</f>
        <v>46</v>
      </c>
      <c r="V42" s="16">
        <v>22</v>
      </c>
      <c r="W42" s="15">
        <f>IFERROR(VLOOKUP(V42,'Puntos XCC Mayor'!$A$1:$B$15,2,FALSE),0)</f>
        <v>0</v>
      </c>
      <c r="X42" s="15">
        <v>18</v>
      </c>
      <c r="Y42" s="25">
        <f>IFERROR(VLOOKUP(X42,'Puntos XCO'!$A$1:$B$63,2,FALSE),0)</f>
        <v>62</v>
      </c>
      <c r="Z42" s="16">
        <f t="shared" si="2"/>
        <v>11</v>
      </c>
      <c r="AA42" s="15">
        <f>IFERROR(VLOOKUP(Z42,'Puntos XCC Mayor'!$A$1:$B$15,2,FALSE),0)</f>
        <v>5</v>
      </c>
      <c r="AB42" s="15">
        <f t="shared" si="3"/>
        <v>24</v>
      </c>
      <c r="AC42" s="25">
        <f>IFERROR(VLOOKUP(AB42,'Puntos XCO'!$A$1:$B$63,2,FALSE),0)</f>
        <v>50</v>
      </c>
      <c r="AD42" s="16"/>
      <c r="AE42" s="15"/>
      <c r="AF42" s="15"/>
      <c r="AG42" s="25"/>
      <c r="AH42" s="27">
        <f t="shared" si="4"/>
        <v>203</v>
      </c>
      <c r="AJ42" s="3"/>
    </row>
    <row r="43" spans="1:36" ht="24.95" customHeight="1">
      <c r="A43" s="3">
        <v>29</v>
      </c>
      <c r="B43" s="3">
        <v>24</v>
      </c>
      <c r="C43" s="22">
        <v>349</v>
      </c>
      <c r="D43" s="23" t="str">
        <f t="shared" si="0"/>
        <v>PAREDES  Miguel</v>
      </c>
      <c r="E43" s="24" t="str">
        <f t="shared" si="1"/>
        <v xml:space="preserve">ASTRANOVA BIKE HOUSE TREK </v>
      </c>
      <c r="F43" s="3"/>
      <c r="G43" s="15"/>
      <c r="H43" s="3"/>
      <c r="I43" s="25"/>
      <c r="J43" s="33"/>
      <c r="K43" s="22"/>
      <c r="L43" s="22"/>
      <c r="M43" s="34"/>
      <c r="N43" s="26"/>
      <c r="O43" s="3">
        <f>IFERROR(VLOOKUP(N43,'Puntos XCC Menor'!$A$1:$B$15,2,FALSE),0)</f>
        <v>0</v>
      </c>
      <c r="P43" s="3">
        <v>1</v>
      </c>
      <c r="Q43" s="34">
        <f>IFERROR(VLOOKUP(P43,'Puntos XCO'!$A$1:$B$63,2,FALSE),0)</f>
        <v>200</v>
      </c>
      <c r="R43" s="16">
        <v>0</v>
      </c>
      <c r="S43" s="3">
        <f>IFERROR(VLOOKUP(R43,'Puntos XCC Menor'!$A$1:$B$15,2,FALSE),0)</f>
        <v>0</v>
      </c>
      <c r="T43" s="15">
        <v>0</v>
      </c>
      <c r="U43" s="39">
        <f>IFERROR(VLOOKUP(T43,'Puntos XCO'!$A$1:$B$63,2,FALSE),0)</f>
        <v>0</v>
      </c>
      <c r="V43" s="16">
        <v>0</v>
      </c>
      <c r="W43" s="15">
        <f>IFERROR(VLOOKUP(V43,'Puntos XCC Mayor'!$A$1:$B$15,2,FALSE),0)</f>
        <v>0</v>
      </c>
      <c r="X43" s="15">
        <v>0</v>
      </c>
      <c r="Y43" s="25">
        <f>IFERROR(VLOOKUP(X43,'Puntos XCO'!$A$1:$B$63,2,FALSE),0)</f>
        <v>0</v>
      </c>
      <c r="Z43" s="16">
        <f t="shared" si="2"/>
        <v>0</v>
      </c>
      <c r="AA43" s="15">
        <f>IFERROR(VLOOKUP(Z43,'Puntos XCC Mayor'!$A$1:$B$15,2,FALSE),0)</f>
        <v>0</v>
      </c>
      <c r="AB43" s="15">
        <f t="shared" si="3"/>
        <v>0</v>
      </c>
      <c r="AC43" s="25">
        <f>IFERROR(VLOOKUP(AB43,'Puntos XCO'!$A$1:$B$63,2,FALSE),0)</f>
        <v>0</v>
      </c>
      <c r="AD43" s="16"/>
      <c r="AE43" s="15"/>
      <c r="AF43" s="15"/>
      <c r="AG43" s="25"/>
      <c r="AH43" s="27">
        <f t="shared" si="4"/>
        <v>200</v>
      </c>
      <c r="AJ43" s="3"/>
    </row>
    <row r="44" spans="1:36" ht="24.95" customHeight="1">
      <c r="A44" s="3">
        <v>30</v>
      </c>
      <c r="B44" s="3">
        <v>33</v>
      </c>
      <c r="C44" s="22">
        <v>315</v>
      </c>
      <c r="D44" s="23" t="str">
        <f t="shared" si="0"/>
        <v>MALDONADO Franco</v>
      </c>
      <c r="E44" s="24" t="str">
        <f t="shared" si="1"/>
        <v xml:space="preserve">Team desamparados </v>
      </c>
      <c r="F44" s="3">
        <v>0</v>
      </c>
      <c r="G44" s="15">
        <v>0</v>
      </c>
      <c r="H44" s="3">
        <v>21</v>
      </c>
      <c r="I44" s="25">
        <v>56</v>
      </c>
      <c r="J44" s="33">
        <v>21</v>
      </c>
      <c r="K44" s="22">
        <v>0</v>
      </c>
      <c r="L44" s="22">
        <v>30</v>
      </c>
      <c r="M44" s="34">
        <v>38</v>
      </c>
      <c r="N44" s="26"/>
      <c r="O44" s="3">
        <f>IFERROR(VLOOKUP(N44,'Puntos XCC Menor'!$A$1:$B$15,2,FALSE),0)</f>
        <v>0</v>
      </c>
      <c r="P44" s="3">
        <v>0</v>
      </c>
      <c r="Q44" s="34">
        <f>IFERROR(VLOOKUP(P44,'Puntos XCO'!$A$1:$B$63,2,FALSE),0)</f>
        <v>0</v>
      </c>
      <c r="R44" s="16">
        <v>24</v>
      </c>
      <c r="S44" s="3">
        <f>IFERROR(VLOOKUP(R44,'Puntos XCC Menor'!$A$1:$B$15,2,FALSE),0)</f>
        <v>0</v>
      </c>
      <c r="T44" s="15">
        <v>25</v>
      </c>
      <c r="U44" s="39">
        <f>IFERROR(VLOOKUP(T44,'Puntos XCO'!$A$1:$B$63,2,FALSE),0)</f>
        <v>48</v>
      </c>
      <c r="V44" s="16">
        <v>0</v>
      </c>
      <c r="W44" s="15">
        <f>IFERROR(VLOOKUP(V44,'Puntos XCC Mayor'!$A$1:$B$15,2,FALSE),0)</f>
        <v>0</v>
      </c>
      <c r="X44" s="15">
        <v>0</v>
      </c>
      <c r="Y44" s="25">
        <f>IFERROR(VLOOKUP(X44,'Puntos XCO'!$A$1:$B$63,2,FALSE),0)</f>
        <v>0</v>
      </c>
      <c r="Z44" s="16">
        <f t="shared" si="2"/>
        <v>22</v>
      </c>
      <c r="AA44" s="15">
        <f>IFERROR(VLOOKUP(Z44,'Puntos XCC Mayor'!$A$1:$B$15,2,FALSE),0)</f>
        <v>0</v>
      </c>
      <c r="AB44" s="15">
        <f t="shared" si="3"/>
        <v>32</v>
      </c>
      <c r="AC44" s="25">
        <f>IFERROR(VLOOKUP(AB44,'Puntos XCO'!$A$1:$B$63,2,FALSE),0)</f>
        <v>34</v>
      </c>
      <c r="AD44" s="16"/>
      <c r="AE44" s="15"/>
      <c r="AF44" s="15"/>
      <c r="AG44" s="25"/>
      <c r="AH44" s="27">
        <f t="shared" si="4"/>
        <v>176</v>
      </c>
      <c r="AJ44" s="3"/>
    </row>
    <row r="45" spans="1:36" ht="24.95" customHeight="1">
      <c r="A45" s="3">
        <v>31</v>
      </c>
      <c r="B45" s="3">
        <v>35</v>
      </c>
      <c r="C45" s="22">
        <v>335</v>
      </c>
      <c r="D45" s="23" t="str">
        <f t="shared" si="0"/>
        <v>BARRANTES Thomas*</v>
      </c>
      <c r="E45" s="24" t="str">
        <f t="shared" si="1"/>
        <v xml:space="preserve">MECATRONICS  /  MCT Componets </v>
      </c>
      <c r="F45" s="3">
        <v>22</v>
      </c>
      <c r="G45" s="15">
        <v>0</v>
      </c>
      <c r="H45" s="3">
        <v>18</v>
      </c>
      <c r="I45" s="25">
        <v>62</v>
      </c>
      <c r="J45" s="33">
        <v>22</v>
      </c>
      <c r="K45" s="22">
        <v>0</v>
      </c>
      <c r="L45" s="22">
        <v>17</v>
      </c>
      <c r="M45" s="34">
        <v>64</v>
      </c>
      <c r="N45" s="26"/>
      <c r="O45" s="3">
        <f>IFERROR(VLOOKUP(N45,'Puntos XCC Menor'!$A$1:$B$15,2,FALSE),0)</f>
        <v>0</v>
      </c>
      <c r="P45" s="3">
        <v>0</v>
      </c>
      <c r="Q45" s="34">
        <f>IFERROR(VLOOKUP(P45,'Puntos XCO'!$A$1:$B$63,2,FALSE),0)</f>
        <v>0</v>
      </c>
      <c r="R45" s="16">
        <v>0</v>
      </c>
      <c r="S45" s="3">
        <f>IFERROR(VLOOKUP(R45,'Puntos XCC Menor'!$A$1:$B$15,2,FALSE),0)</f>
        <v>0</v>
      </c>
      <c r="T45" s="15">
        <v>0</v>
      </c>
      <c r="U45" s="39">
        <f>IFERROR(VLOOKUP(T45,'Puntos XCO'!$A$1:$B$63,2,FALSE),0)</f>
        <v>0</v>
      </c>
      <c r="V45" s="16">
        <v>0</v>
      </c>
      <c r="W45" s="15">
        <f>IFERROR(VLOOKUP(V45,'Puntos XCC Mayor'!$A$1:$B$15,2,FALSE),0)</f>
        <v>0</v>
      </c>
      <c r="X45" s="15">
        <v>0</v>
      </c>
      <c r="Y45" s="25">
        <f>IFERROR(VLOOKUP(X45,'Puntos XCO'!$A$1:$B$63,2,FALSE),0)</f>
        <v>0</v>
      </c>
      <c r="Z45" s="16">
        <f t="shared" si="2"/>
        <v>24</v>
      </c>
      <c r="AA45" s="15">
        <f>IFERROR(VLOOKUP(Z45,'Puntos XCC Mayor'!$A$1:$B$15,2,FALSE),0)</f>
        <v>0</v>
      </c>
      <c r="AB45" s="15">
        <f t="shared" si="3"/>
        <v>25</v>
      </c>
      <c r="AC45" s="25">
        <f>IFERROR(VLOOKUP(AB45,'Puntos XCO'!$A$1:$B$63,2,FALSE),0)</f>
        <v>48</v>
      </c>
      <c r="AD45" s="16"/>
      <c r="AE45" s="15"/>
      <c r="AF45" s="15"/>
      <c r="AG45" s="25"/>
      <c r="AH45" s="27">
        <f t="shared" si="4"/>
        <v>174</v>
      </c>
      <c r="AJ45" s="3"/>
    </row>
    <row r="46" spans="1:36" ht="24.95" customHeight="1">
      <c r="A46" s="3">
        <v>32</v>
      </c>
      <c r="B46" s="3">
        <v>27</v>
      </c>
      <c r="C46" s="22">
        <v>320</v>
      </c>
      <c r="D46" s="23" t="str">
        <f t="shared" si="0"/>
        <v xml:space="preserve">SUNSIN Eithan </v>
      </c>
      <c r="E46" s="24" t="str">
        <f t="shared" si="1"/>
        <v xml:space="preserve">ACiSA Sarapiqui </v>
      </c>
      <c r="F46" s="3">
        <v>25</v>
      </c>
      <c r="G46" s="15">
        <v>0</v>
      </c>
      <c r="H46" s="3">
        <v>20</v>
      </c>
      <c r="I46" s="25">
        <v>58</v>
      </c>
      <c r="J46" s="33">
        <v>29</v>
      </c>
      <c r="K46" s="22">
        <v>0</v>
      </c>
      <c r="L46" s="22">
        <v>23</v>
      </c>
      <c r="M46" s="34">
        <v>52</v>
      </c>
      <c r="N46" s="26"/>
      <c r="O46" s="3">
        <f>IFERROR(VLOOKUP(N46,'Puntos XCC Menor'!$A$1:$B$15,2,FALSE),0)</f>
        <v>0</v>
      </c>
      <c r="P46" s="3">
        <v>0</v>
      </c>
      <c r="Q46" s="34">
        <f>IFERROR(VLOOKUP(P46,'Puntos XCO'!$A$1:$B$63,2,FALSE),0)</f>
        <v>0</v>
      </c>
      <c r="R46" s="16">
        <v>25</v>
      </c>
      <c r="S46" s="3">
        <f>IFERROR(VLOOKUP(R46,'Puntos XCC Menor'!$A$1:$B$15,2,FALSE),0)</f>
        <v>0</v>
      </c>
      <c r="T46" s="15">
        <v>0</v>
      </c>
      <c r="U46" s="39">
        <f>IFERROR(VLOOKUP(T46,'Puntos XCO'!$A$1:$B$63,2,FALSE),0)</f>
        <v>0</v>
      </c>
      <c r="V46" s="16">
        <v>26</v>
      </c>
      <c r="W46" s="15">
        <f>IFERROR(VLOOKUP(V46,'Puntos XCC Mayor'!$A$1:$B$15,2,FALSE),0)</f>
        <v>0</v>
      </c>
      <c r="X46" s="15">
        <v>25</v>
      </c>
      <c r="Y46" s="25">
        <f>IFERROR(VLOOKUP(X46,'Puntos XCO'!$A$1:$B$63,2,FALSE),0)</f>
        <v>48</v>
      </c>
      <c r="Z46" s="16">
        <f t="shared" si="2"/>
        <v>20</v>
      </c>
      <c r="AA46" s="15">
        <f>IFERROR(VLOOKUP(Z46,'Puntos XCC Mayor'!$A$1:$B$15,2,FALSE),0)</f>
        <v>0</v>
      </c>
      <c r="AB46" s="15">
        <f t="shared" si="3"/>
        <v>0</v>
      </c>
      <c r="AC46" s="25">
        <f>IFERROR(VLOOKUP(AB46,'Puntos XCO'!$A$1:$B$63,2,FALSE),0)</f>
        <v>0</v>
      </c>
      <c r="AD46" s="16"/>
      <c r="AE46" s="15"/>
      <c r="AF46" s="15"/>
      <c r="AG46" s="25"/>
      <c r="AH46" s="27">
        <f t="shared" si="4"/>
        <v>158</v>
      </c>
      <c r="AJ46" s="3"/>
    </row>
    <row r="47" spans="1:36" ht="24.95" customHeight="1">
      <c r="A47" s="3">
        <v>33</v>
      </c>
      <c r="B47" s="3">
        <v>36</v>
      </c>
      <c r="C47" s="22">
        <v>317</v>
      </c>
      <c r="D47" s="23" t="str">
        <f t="shared" ref="D47:D72" si="5">VLOOKUP(C47,PLANILLA,2,FALSE)</f>
        <v>MOYA Santiago*</v>
      </c>
      <c r="E47" s="24" t="str">
        <f t="shared" ref="E47:E72" si="6">VLOOKUP(C47,PLANILLA,4,FALSE)</f>
        <v xml:space="preserve">CCDR PARAÍSO </v>
      </c>
      <c r="F47" s="3">
        <v>31</v>
      </c>
      <c r="G47" s="15">
        <v>0</v>
      </c>
      <c r="H47" s="3">
        <v>22</v>
      </c>
      <c r="I47" s="25">
        <v>54</v>
      </c>
      <c r="J47" s="33">
        <v>30</v>
      </c>
      <c r="K47" s="22">
        <v>0</v>
      </c>
      <c r="L47" s="22">
        <v>34</v>
      </c>
      <c r="M47" s="34">
        <v>30</v>
      </c>
      <c r="N47" s="26"/>
      <c r="O47" s="3">
        <f>IFERROR(VLOOKUP(N47,'Puntos XCC Menor'!$A$1:$B$15,2,FALSE),0)</f>
        <v>0</v>
      </c>
      <c r="P47" s="3">
        <v>0</v>
      </c>
      <c r="Q47" s="34">
        <f>IFERROR(VLOOKUP(P47,'Puntos XCO'!$A$1:$B$63,2,FALSE),0)</f>
        <v>0</v>
      </c>
      <c r="R47" s="16">
        <v>0</v>
      </c>
      <c r="S47" s="3">
        <f>IFERROR(VLOOKUP(R47,'Puntos XCC Menor'!$A$1:$B$15,2,FALSE),0)</f>
        <v>0</v>
      </c>
      <c r="T47" s="15">
        <v>0</v>
      </c>
      <c r="U47" s="39">
        <f>IFERROR(VLOOKUP(T47,'Puntos XCO'!$A$1:$B$63,2,FALSE),0)</f>
        <v>0</v>
      </c>
      <c r="V47" s="16">
        <v>30</v>
      </c>
      <c r="W47" s="15">
        <f>IFERROR(VLOOKUP(V47,'Puntos XCC Mayor'!$A$1:$B$15,2,FALSE),0)</f>
        <v>0</v>
      </c>
      <c r="X47" s="15">
        <v>31</v>
      </c>
      <c r="Y47" s="25">
        <f>IFERROR(VLOOKUP(X47,'Puntos XCO'!$A$1:$B$63,2,FALSE),0)</f>
        <v>36</v>
      </c>
      <c r="Z47" s="16">
        <f t="shared" ref="Z47:Z72" si="7">IFERROR(VLOOKUP($C47,RESXCC_1,9,FALSE),0)</f>
        <v>34</v>
      </c>
      <c r="AA47" s="15">
        <f>IFERROR(VLOOKUP(Z47,'Puntos XCC Mayor'!$A$1:$B$15,2,FALSE),0)</f>
        <v>0</v>
      </c>
      <c r="AB47" s="15">
        <f t="shared" ref="AB47:AB72" si="8">IFERROR(VLOOKUP($C47,RESXCO,9,FALSE),0)</f>
        <v>30</v>
      </c>
      <c r="AC47" s="25">
        <f>IFERROR(VLOOKUP(AB47,'Puntos XCO'!$A$1:$B$63,2,FALSE),0)</f>
        <v>38</v>
      </c>
      <c r="AD47" s="16"/>
      <c r="AE47" s="15"/>
      <c r="AF47" s="15"/>
      <c r="AG47" s="25"/>
      <c r="AH47" s="27">
        <f t="shared" ref="AH47:AH72" si="9">G47+I47+K47+M47+O47+Q47+S47+U47+W47+Y47+AA47+AC47+AE47+AG47</f>
        <v>158</v>
      </c>
      <c r="AJ47" s="3"/>
    </row>
    <row r="48" spans="1:36" ht="24.95" customHeight="1">
      <c r="A48" s="3">
        <v>34</v>
      </c>
      <c r="B48" s="3">
        <v>28</v>
      </c>
      <c r="C48" s="22">
        <v>328</v>
      </c>
      <c r="D48" s="23" t="str">
        <f t="shared" si="5"/>
        <v>CISNEROS  Ian Felipe*</v>
      </c>
      <c r="E48" s="24" t="str">
        <f t="shared" si="6"/>
        <v xml:space="preserve">TEAM CQ PZ </v>
      </c>
      <c r="F48" s="3">
        <v>30</v>
      </c>
      <c r="G48" s="15">
        <v>0</v>
      </c>
      <c r="H48" s="3">
        <v>15</v>
      </c>
      <c r="I48" s="25">
        <v>68</v>
      </c>
      <c r="J48" s="33">
        <v>37</v>
      </c>
      <c r="K48" s="22">
        <v>0</v>
      </c>
      <c r="L48" s="22">
        <v>33</v>
      </c>
      <c r="M48" s="34">
        <v>32</v>
      </c>
      <c r="N48" s="26"/>
      <c r="O48" s="3">
        <f>IFERROR(VLOOKUP(N48,'Puntos XCC Menor'!$A$1:$B$15,2,FALSE),0)</f>
        <v>0</v>
      </c>
      <c r="P48" s="3">
        <v>25</v>
      </c>
      <c r="Q48" s="34">
        <f>IFERROR(VLOOKUP(P48,'Puntos XCO'!$A$1:$B$63,2,FALSE),0)</f>
        <v>48</v>
      </c>
      <c r="R48" s="16">
        <v>0</v>
      </c>
      <c r="S48" s="3">
        <f>IFERROR(VLOOKUP(R48,'Puntos XCC Menor'!$A$1:$B$15,2,FALSE),0)</f>
        <v>0</v>
      </c>
      <c r="T48" s="15">
        <v>0</v>
      </c>
      <c r="U48" s="39">
        <f>IFERROR(VLOOKUP(T48,'Puntos XCO'!$A$1:$B$63,2,FALSE),0)</f>
        <v>0</v>
      </c>
      <c r="V48" s="16">
        <v>0</v>
      </c>
      <c r="W48" s="15">
        <f>IFERROR(VLOOKUP(V48,'Puntos XCC Mayor'!$A$1:$B$15,2,FALSE),0)</f>
        <v>0</v>
      </c>
      <c r="X48" s="15">
        <v>0</v>
      </c>
      <c r="Y48" s="25">
        <f>IFERROR(VLOOKUP(X48,'Puntos XCO'!$A$1:$B$63,2,FALSE),0)</f>
        <v>0</v>
      </c>
      <c r="Z48" s="16">
        <f t="shared" si="7"/>
        <v>0</v>
      </c>
      <c r="AA48" s="15">
        <f>IFERROR(VLOOKUP(Z48,'Puntos XCC Mayor'!$A$1:$B$15,2,FALSE),0)</f>
        <v>0</v>
      </c>
      <c r="AB48" s="15">
        <f t="shared" si="8"/>
        <v>0</v>
      </c>
      <c r="AC48" s="25">
        <f>IFERROR(VLOOKUP(AB48,'Puntos XCO'!$A$1:$B$63,2,FALSE),0)</f>
        <v>0</v>
      </c>
      <c r="AD48" s="16"/>
      <c r="AE48" s="15"/>
      <c r="AF48" s="15"/>
      <c r="AG48" s="25"/>
      <c r="AH48" s="27">
        <f t="shared" si="9"/>
        <v>148</v>
      </c>
      <c r="AJ48" s="3"/>
    </row>
    <row r="49" spans="1:36" ht="24.95" customHeight="1">
      <c r="A49" s="3">
        <v>35</v>
      </c>
      <c r="B49" s="3">
        <v>30</v>
      </c>
      <c r="C49" s="22">
        <v>331</v>
      </c>
      <c r="D49" s="23" t="str">
        <f t="shared" si="5"/>
        <v xml:space="preserve">PRENDAS  Santiago </v>
      </c>
      <c r="E49" s="24" t="str">
        <f t="shared" si="6"/>
        <v xml:space="preserve">CCDRCARTAGO </v>
      </c>
      <c r="F49" s="3">
        <v>11</v>
      </c>
      <c r="G49" s="15">
        <v>0</v>
      </c>
      <c r="H49" s="3">
        <v>13</v>
      </c>
      <c r="I49" s="25">
        <v>72</v>
      </c>
      <c r="J49" s="33">
        <v>17</v>
      </c>
      <c r="K49" s="22">
        <v>0</v>
      </c>
      <c r="L49" s="22">
        <v>12</v>
      </c>
      <c r="M49" s="34">
        <v>74</v>
      </c>
      <c r="N49" s="26"/>
      <c r="O49" s="3">
        <f>IFERROR(VLOOKUP(N49,'Puntos XCC Menor'!$A$1:$B$15,2,FALSE),0)</f>
        <v>0</v>
      </c>
      <c r="P49" s="3">
        <v>0</v>
      </c>
      <c r="Q49" s="34">
        <f>IFERROR(VLOOKUP(P49,'Puntos XCO'!$A$1:$B$63,2,FALSE),0)</f>
        <v>0</v>
      </c>
      <c r="R49" s="16">
        <v>0</v>
      </c>
      <c r="S49" s="3">
        <f>IFERROR(VLOOKUP(R49,'Puntos XCC Menor'!$A$1:$B$15,2,FALSE),0)</f>
        <v>0</v>
      </c>
      <c r="T49" s="15">
        <v>0</v>
      </c>
      <c r="U49" s="39">
        <f>IFERROR(VLOOKUP(T49,'Puntos XCO'!$A$1:$B$63,2,FALSE),0)</f>
        <v>0</v>
      </c>
      <c r="V49" s="16">
        <v>0</v>
      </c>
      <c r="W49" s="15">
        <f>IFERROR(VLOOKUP(V49,'Puntos XCC Mayor'!$A$1:$B$15,2,FALSE),0)</f>
        <v>0</v>
      </c>
      <c r="X49" s="15">
        <v>0</v>
      </c>
      <c r="Y49" s="25">
        <f>IFERROR(VLOOKUP(X49,'Puntos XCO'!$A$1:$B$63,2,FALSE),0)</f>
        <v>0</v>
      </c>
      <c r="Z49" s="16">
        <f t="shared" si="7"/>
        <v>0</v>
      </c>
      <c r="AA49" s="15">
        <f>IFERROR(VLOOKUP(Z49,'Puntos XCC Mayor'!$A$1:$B$15,2,FALSE),0)</f>
        <v>0</v>
      </c>
      <c r="AB49" s="15">
        <f t="shared" si="8"/>
        <v>0</v>
      </c>
      <c r="AC49" s="25">
        <f>IFERROR(VLOOKUP(AB49,'Puntos XCO'!$A$1:$B$63,2,FALSE),0)</f>
        <v>0</v>
      </c>
      <c r="AD49" s="16"/>
      <c r="AE49" s="15"/>
      <c r="AF49" s="15"/>
      <c r="AG49" s="25"/>
      <c r="AH49" s="27">
        <f t="shared" si="9"/>
        <v>146</v>
      </c>
      <c r="AJ49" s="3"/>
    </row>
    <row r="50" spans="1:36" ht="24.95" customHeight="1">
      <c r="A50" s="3">
        <v>36</v>
      </c>
      <c r="B50" s="3">
        <v>45</v>
      </c>
      <c r="C50" s="22">
        <v>312</v>
      </c>
      <c r="D50" s="23" t="str">
        <f t="shared" si="5"/>
        <v>VARGAS Saul*</v>
      </c>
      <c r="E50" s="24" t="str">
        <f t="shared" si="6"/>
        <v>ULTIMATE TEAM</v>
      </c>
      <c r="F50" s="3">
        <v>0</v>
      </c>
      <c r="G50" s="15">
        <v>0</v>
      </c>
      <c r="H50" s="3">
        <v>0</v>
      </c>
      <c r="I50" s="25">
        <v>0</v>
      </c>
      <c r="J50" s="33">
        <v>0</v>
      </c>
      <c r="K50" s="22">
        <v>0</v>
      </c>
      <c r="L50" s="22">
        <v>0</v>
      </c>
      <c r="M50" s="34">
        <v>0</v>
      </c>
      <c r="N50" s="26"/>
      <c r="O50" s="3">
        <f>IFERROR(VLOOKUP(N50,'Puntos XCC Menor'!$A$1:$B$15,2,FALSE),0)</f>
        <v>0</v>
      </c>
      <c r="P50" s="3">
        <v>0</v>
      </c>
      <c r="Q50" s="34">
        <f>IFERROR(VLOOKUP(P50,'Puntos XCO'!$A$1:$B$63,2,FALSE),0)</f>
        <v>0</v>
      </c>
      <c r="R50" s="16">
        <v>0</v>
      </c>
      <c r="S50" s="3">
        <f>IFERROR(VLOOKUP(R50,'Puntos XCC Menor'!$A$1:$B$15,2,FALSE),0)</f>
        <v>0</v>
      </c>
      <c r="T50" s="15">
        <v>0</v>
      </c>
      <c r="U50" s="39">
        <f>IFERROR(VLOOKUP(T50,'Puntos XCO'!$A$1:$B$63,2,FALSE),0)</f>
        <v>0</v>
      </c>
      <c r="V50" s="16">
        <v>28</v>
      </c>
      <c r="W50" s="15">
        <f>IFERROR(VLOOKUP(V50,'Puntos XCC Mayor'!$A$1:$B$15,2,FALSE),0)</f>
        <v>0</v>
      </c>
      <c r="X50" s="15">
        <v>13</v>
      </c>
      <c r="Y50" s="25">
        <f>IFERROR(VLOOKUP(X50,'Puntos XCO'!$A$1:$B$63,2,FALSE),0)</f>
        <v>72</v>
      </c>
      <c r="Z50" s="16">
        <f t="shared" si="7"/>
        <v>23</v>
      </c>
      <c r="AA50" s="15">
        <f>IFERROR(VLOOKUP(Z50,'Puntos XCC Mayor'!$A$1:$B$15,2,FALSE),0)</f>
        <v>0</v>
      </c>
      <c r="AB50" s="15">
        <f t="shared" si="8"/>
        <v>16</v>
      </c>
      <c r="AC50" s="25">
        <f>IFERROR(VLOOKUP(AB50,'Puntos XCO'!$A$1:$B$63,2,FALSE),0)</f>
        <v>66</v>
      </c>
      <c r="AD50" s="16"/>
      <c r="AE50" s="15"/>
      <c r="AF50" s="15"/>
      <c r="AG50" s="25"/>
      <c r="AH50" s="27">
        <f t="shared" si="9"/>
        <v>138</v>
      </c>
      <c r="AJ50" s="3"/>
    </row>
    <row r="51" spans="1:36" ht="24.95" customHeight="1">
      <c r="A51" s="3">
        <v>37</v>
      </c>
      <c r="B51" s="3">
        <v>39</v>
      </c>
      <c r="C51" s="22">
        <v>351</v>
      </c>
      <c r="D51" s="23" t="str">
        <f t="shared" si="5"/>
        <v xml:space="preserve">SALAS Matías </v>
      </c>
      <c r="E51" s="24" t="str">
        <f t="shared" si="6"/>
        <v xml:space="preserve">Codea Alajuela </v>
      </c>
      <c r="F51" s="3"/>
      <c r="G51" s="15"/>
      <c r="H51" s="3"/>
      <c r="I51" s="25"/>
      <c r="J51" s="33"/>
      <c r="K51" s="22"/>
      <c r="L51" s="22"/>
      <c r="M51" s="34"/>
      <c r="N51" s="26"/>
      <c r="O51" s="3"/>
      <c r="P51" s="3"/>
      <c r="Q51" s="34"/>
      <c r="R51" s="16">
        <v>29</v>
      </c>
      <c r="S51" s="3">
        <f>IFERROR(VLOOKUP(R51,'Puntos XCC Menor'!$A$1:$B$15,2,FALSE),0)</f>
        <v>0</v>
      </c>
      <c r="T51" s="15">
        <v>23</v>
      </c>
      <c r="U51" s="39">
        <f>IFERROR(VLOOKUP(T51,'Puntos XCO'!$A$1:$B$63,2,FALSE),0)</f>
        <v>52</v>
      </c>
      <c r="V51" s="16">
        <v>35</v>
      </c>
      <c r="W51" s="15">
        <f>IFERROR(VLOOKUP(V51,'Puntos XCC Mayor'!$A$1:$B$15,2,FALSE),0)</f>
        <v>0</v>
      </c>
      <c r="X51" s="15">
        <v>29</v>
      </c>
      <c r="Y51" s="25">
        <f>IFERROR(VLOOKUP(X51,'Puntos XCO'!$A$1:$B$63,2,FALSE),0)</f>
        <v>40</v>
      </c>
      <c r="Z51" s="16">
        <f t="shared" si="7"/>
        <v>31</v>
      </c>
      <c r="AA51" s="15">
        <f>IFERROR(VLOOKUP(Z51,'Puntos XCC Mayor'!$A$1:$B$15,2,FALSE),0)</f>
        <v>0</v>
      </c>
      <c r="AB51" s="15">
        <f t="shared" si="8"/>
        <v>27</v>
      </c>
      <c r="AC51" s="25">
        <f>IFERROR(VLOOKUP(AB51,'Puntos XCO'!$A$1:$B$63,2,FALSE),0)</f>
        <v>44</v>
      </c>
      <c r="AD51" s="16"/>
      <c r="AE51" s="15"/>
      <c r="AF51" s="15"/>
      <c r="AG51" s="25"/>
      <c r="AH51" s="27">
        <f t="shared" si="9"/>
        <v>136</v>
      </c>
      <c r="AJ51" s="3"/>
    </row>
    <row r="52" spans="1:36" ht="24.95" customHeight="1">
      <c r="A52" s="3">
        <v>38</v>
      </c>
      <c r="B52" s="3">
        <v>34</v>
      </c>
      <c r="C52" s="22">
        <v>322</v>
      </c>
      <c r="D52" s="23" t="str">
        <f t="shared" si="5"/>
        <v>DUARTE Luis Andrés*</v>
      </c>
      <c r="E52" s="24" t="str">
        <f t="shared" si="6"/>
        <v xml:space="preserve">ESCUELA GUIDO BLANCO CCDRLIBERIA </v>
      </c>
      <c r="F52" s="3">
        <v>0</v>
      </c>
      <c r="G52" s="15">
        <v>0</v>
      </c>
      <c r="H52" s="3">
        <v>27</v>
      </c>
      <c r="I52" s="25">
        <v>44</v>
      </c>
      <c r="J52" s="33">
        <v>31</v>
      </c>
      <c r="K52" s="22">
        <v>0</v>
      </c>
      <c r="L52" s="22">
        <v>31</v>
      </c>
      <c r="M52" s="34">
        <v>36</v>
      </c>
      <c r="N52" s="26"/>
      <c r="O52" s="3">
        <f>IFERROR(VLOOKUP(N52,'Puntos XCC Menor'!$A$1:$B$15,2,FALSE),0)</f>
        <v>0</v>
      </c>
      <c r="P52" s="3">
        <v>23</v>
      </c>
      <c r="Q52" s="34">
        <f>IFERROR(VLOOKUP(P52,'Puntos XCO'!$A$1:$B$63,2,FALSE),0)</f>
        <v>52</v>
      </c>
      <c r="R52" s="16">
        <v>27</v>
      </c>
      <c r="S52" s="3">
        <f>IFERROR(VLOOKUP(R52,'Puntos XCC Menor'!$A$1:$B$15,2,FALSE),0)</f>
        <v>0</v>
      </c>
      <c r="T52" s="15">
        <v>0</v>
      </c>
      <c r="U52" s="39">
        <f>IFERROR(VLOOKUP(T52,'Puntos XCO'!$A$1:$B$63,2,FALSE),0)</f>
        <v>0</v>
      </c>
      <c r="V52" s="16">
        <v>0</v>
      </c>
      <c r="W52" s="15">
        <f>IFERROR(VLOOKUP(V52,'Puntos XCC Mayor'!$A$1:$B$15,2,FALSE),0)</f>
        <v>0</v>
      </c>
      <c r="X52" s="15">
        <v>0</v>
      </c>
      <c r="Y52" s="25">
        <f>IFERROR(VLOOKUP(X52,'Puntos XCO'!$A$1:$B$63,2,FALSE),0)</f>
        <v>0</v>
      </c>
      <c r="Z52" s="16">
        <f t="shared" si="7"/>
        <v>0</v>
      </c>
      <c r="AA52" s="15">
        <f>IFERROR(VLOOKUP(Z52,'Puntos XCC Mayor'!$A$1:$B$15,2,FALSE),0)</f>
        <v>0</v>
      </c>
      <c r="AB52" s="15">
        <f t="shared" si="8"/>
        <v>0</v>
      </c>
      <c r="AC52" s="25">
        <f>IFERROR(VLOOKUP(AB52,'Puntos XCO'!$A$1:$B$63,2,FALSE),0)</f>
        <v>0</v>
      </c>
      <c r="AD52" s="16"/>
      <c r="AE52" s="15"/>
      <c r="AF52" s="15"/>
      <c r="AG52" s="25"/>
      <c r="AH52" s="27">
        <f t="shared" si="9"/>
        <v>132</v>
      </c>
      <c r="AJ52" s="3"/>
    </row>
    <row r="53" spans="1:36" ht="24.95" customHeight="1">
      <c r="A53" s="3">
        <v>39</v>
      </c>
      <c r="B53" s="3">
        <v>40</v>
      </c>
      <c r="C53" s="22">
        <v>340</v>
      </c>
      <c r="D53" s="23" t="str">
        <f t="shared" si="5"/>
        <v>GUEVARA Esteban Mauricio*</v>
      </c>
      <c r="E53" s="24" t="str">
        <f t="shared" si="6"/>
        <v xml:space="preserve">CCDR SANTA CRUZ </v>
      </c>
      <c r="F53" s="3">
        <v>29</v>
      </c>
      <c r="G53" s="15">
        <v>0</v>
      </c>
      <c r="H53" s="3">
        <v>19</v>
      </c>
      <c r="I53" s="25">
        <v>60</v>
      </c>
      <c r="J53" s="33">
        <v>0</v>
      </c>
      <c r="K53" s="22">
        <v>0</v>
      </c>
      <c r="L53" s="22">
        <v>0</v>
      </c>
      <c r="M53" s="34">
        <v>0</v>
      </c>
      <c r="N53" s="26"/>
      <c r="O53" s="3">
        <f>IFERROR(VLOOKUP(N53,'Puntos XCC Menor'!$A$1:$B$15,2,FALSE),0)</f>
        <v>0</v>
      </c>
      <c r="P53" s="3">
        <v>0</v>
      </c>
      <c r="Q53" s="34">
        <f>IFERROR(VLOOKUP(P53,'Puntos XCO'!$A$1:$B$63,2,FALSE),0)</f>
        <v>0</v>
      </c>
      <c r="R53" s="16">
        <v>0</v>
      </c>
      <c r="S53" s="3">
        <f>IFERROR(VLOOKUP(R53,'Puntos XCC Menor'!$A$1:$B$15,2,FALSE),0)</f>
        <v>0</v>
      </c>
      <c r="T53" s="15">
        <v>0</v>
      </c>
      <c r="U53" s="39">
        <f>IFERROR(VLOOKUP(T53,'Puntos XCO'!$A$1:$B$63,2,FALSE),0)</f>
        <v>0</v>
      </c>
      <c r="V53" s="16">
        <v>29</v>
      </c>
      <c r="W53" s="15">
        <f>IFERROR(VLOOKUP(V53,'Puntos XCC Mayor'!$A$1:$B$15,2,FALSE),0)</f>
        <v>0</v>
      </c>
      <c r="X53" s="15">
        <v>33</v>
      </c>
      <c r="Y53" s="25">
        <f>IFERROR(VLOOKUP(X53,'Puntos XCO'!$A$1:$B$63,2,FALSE),0)</f>
        <v>32</v>
      </c>
      <c r="Z53" s="16">
        <f t="shared" si="7"/>
        <v>36</v>
      </c>
      <c r="AA53" s="15">
        <f>IFERROR(VLOOKUP(Z53,'Puntos XCC Mayor'!$A$1:$B$15,2,FALSE),0)</f>
        <v>0</v>
      </c>
      <c r="AB53" s="15">
        <f t="shared" si="8"/>
        <v>33</v>
      </c>
      <c r="AC53" s="25">
        <f>IFERROR(VLOOKUP(AB53,'Puntos XCO'!$A$1:$B$63,2,FALSE),0)</f>
        <v>32</v>
      </c>
      <c r="AD53" s="16"/>
      <c r="AE53" s="15"/>
      <c r="AF53" s="15"/>
      <c r="AG53" s="25"/>
      <c r="AH53" s="27">
        <f t="shared" si="9"/>
        <v>124</v>
      </c>
      <c r="AJ53" s="3"/>
    </row>
    <row r="54" spans="1:36" ht="24.95" customHeight="1">
      <c r="A54" s="3">
        <v>40</v>
      </c>
      <c r="B54" s="3">
        <v>37</v>
      </c>
      <c r="C54" s="22">
        <v>344</v>
      </c>
      <c r="D54" s="23" t="str">
        <f t="shared" si="5"/>
        <v xml:space="preserve">ACOSTA  Jakob </v>
      </c>
      <c r="E54" s="24" t="str">
        <f t="shared" si="6"/>
        <v xml:space="preserve">CCDR SAN JOSÉ </v>
      </c>
      <c r="F54" s="3"/>
      <c r="G54" s="15"/>
      <c r="H54" s="3"/>
      <c r="I54" s="25"/>
      <c r="J54" s="33">
        <v>13</v>
      </c>
      <c r="K54" s="22">
        <v>0</v>
      </c>
      <c r="L54" s="22">
        <v>24</v>
      </c>
      <c r="M54" s="34">
        <v>50</v>
      </c>
      <c r="N54" s="26"/>
      <c r="O54" s="3">
        <f>IFERROR(VLOOKUP(N54,'Puntos XCC Menor'!$A$1:$B$15,2,FALSE),0)</f>
        <v>0</v>
      </c>
      <c r="P54" s="3">
        <v>0</v>
      </c>
      <c r="Q54" s="34">
        <f>IFERROR(VLOOKUP(P54,'Puntos XCO'!$A$1:$B$63,2,FALSE),0)</f>
        <v>0</v>
      </c>
      <c r="R54" s="16">
        <v>20</v>
      </c>
      <c r="S54" s="3">
        <f>IFERROR(VLOOKUP(R54,'Puntos XCC Menor'!$A$1:$B$15,2,FALSE),0)</f>
        <v>0</v>
      </c>
      <c r="T54" s="15">
        <v>15</v>
      </c>
      <c r="U54" s="39">
        <f>IFERROR(VLOOKUP(T54,'Puntos XCO'!$A$1:$B$63,2,FALSE),0)</f>
        <v>68</v>
      </c>
      <c r="V54" s="16">
        <v>0</v>
      </c>
      <c r="W54" s="15">
        <f>IFERROR(VLOOKUP(V54,'Puntos XCC Mayor'!$A$1:$B$15,2,FALSE),0)</f>
        <v>0</v>
      </c>
      <c r="X54" s="15">
        <v>0</v>
      </c>
      <c r="Y54" s="25">
        <f>IFERROR(VLOOKUP(X54,'Puntos XCO'!$A$1:$B$63,2,FALSE),0)</f>
        <v>0</v>
      </c>
      <c r="Z54" s="16">
        <f t="shared" si="7"/>
        <v>0</v>
      </c>
      <c r="AA54" s="15">
        <f>IFERROR(VLOOKUP(Z54,'Puntos XCC Mayor'!$A$1:$B$15,2,FALSE),0)</f>
        <v>0</v>
      </c>
      <c r="AB54" s="15">
        <f t="shared" si="8"/>
        <v>0</v>
      </c>
      <c r="AC54" s="25">
        <f>IFERROR(VLOOKUP(AB54,'Puntos XCO'!$A$1:$B$63,2,FALSE),0)</f>
        <v>0</v>
      </c>
      <c r="AD54" s="16"/>
      <c r="AE54" s="15"/>
      <c r="AF54" s="15"/>
      <c r="AG54" s="25"/>
      <c r="AH54" s="27">
        <f t="shared" si="9"/>
        <v>118</v>
      </c>
      <c r="AJ54" s="3"/>
    </row>
    <row r="55" spans="1:36" ht="24.95" customHeight="1">
      <c r="A55" s="3">
        <v>41</v>
      </c>
      <c r="B55" s="3">
        <v>38</v>
      </c>
      <c r="C55" s="22">
        <v>324</v>
      </c>
      <c r="D55" s="23" t="str">
        <f t="shared" si="5"/>
        <v>ALVAREZ Mateo*</v>
      </c>
      <c r="E55" s="24" t="str">
        <f t="shared" si="6"/>
        <v>C.C.D.R.ESCAZU.</v>
      </c>
      <c r="F55" s="3">
        <v>0</v>
      </c>
      <c r="G55" s="15">
        <v>0</v>
      </c>
      <c r="H55" s="3">
        <v>28</v>
      </c>
      <c r="I55" s="25">
        <v>42</v>
      </c>
      <c r="J55" s="33">
        <v>32</v>
      </c>
      <c r="K55" s="22">
        <v>0</v>
      </c>
      <c r="L55" s="22">
        <v>0</v>
      </c>
      <c r="M55" s="34">
        <v>0</v>
      </c>
      <c r="N55" s="26"/>
      <c r="O55" s="3">
        <f>IFERROR(VLOOKUP(N55,'Puntos XCC Menor'!$A$1:$B$15,2,FALSE),0)</f>
        <v>0</v>
      </c>
      <c r="P55" s="3">
        <v>0</v>
      </c>
      <c r="Q55" s="34">
        <f>IFERROR(VLOOKUP(P55,'Puntos XCO'!$A$1:$B$63,2,FALSE),0)</f>
        <v>0</v>
      </c>
      <c r="R55" s="16">
        <v>31</v>
      </c>
      <c r="S55" s="3">
        <f>IFERROR(VLOOKUP(R55,'Puntos XCC Menor'!$A$1:$B$15,2,FALSE),0)</f>
        <v>0</v>
      </c>
      <c r="T55" s="15">
        <v>28</v>
      </c>
      <c r="U55" s="39">
        <f>IFERROR(VLOOKUP(T55,'Puntos XCO'!$A$1:$B$63,2,FALSE),0)</f>
        <v>42</v>
      </c>
      <c r="V55" s="16">
        <v>32</v>
      </c>
      <c r="W55" s="15">
        <f>IFERROR(VLOOKUP(V55,'Puntos XCC Mayor'!$A$1:$B$15,2,FALSE),0)</f>
        <v>0</v>
      </c>
      <c r="X55" s="15">
        <v>34</v>
      </c>
      <c r="Y55" s="25">
        <f>IFERROR(VLOOKUP(X55,'Puntos XCO'!$A$1:$B$63,2,FALSE),0)</f>
        <v>30</v>
      </c>
      <c r="Z55" s="16">
        <f t="shared" si="7"/>
        <v>33</v>
      </c>
      <c r="AA55" s="15">
        <f>IFERROR(VLOOKUP(Z55,'Puntos XCC Mayor'!$A$1:$B$15,2,FALSE),0)</f>
        <v>0</v>
      </c>
      <c r="AB55" s="15">
        <f t="shared" si="8"/>
        <v>0</v>
      </c>
      <c r="AC55" s="25">
        <f>IFERROR(VLOOKUP(AB55,'Puntos XCO'!$A$1:$B$63,2,FALSE),0)</f>
        <v>0</v>
      </c>
      <c r="AD55" s="16"/>
      <c r="AE55" s="15"/>
      <c r="AF55" s="15"/>
      <c r="AG55" s="25"/>
      <c r="AH55" s="27">
        <f t="shared" si="9"/>
        <v>114</v>
      </c>
      <c r="AJ55" s="3"/>
    </row>
    <row r="56" spans="1:36" ht="24.95" customHeight="1">
      <c r="A56" s="3">
        <v>42</v>
      </c>
      <c r="B56" s="3"/>
      <c r="C56" s="107">
        <v>359</v>
      </c>
      <c r="D56" s="23" t="str">
        <f t="shared" si="5"/>
        <v>CUBERO Ruben*</v>
      </c>
      <c r="E56" s="24" t="str">
        <f t="shared" si="6"/>
        <v>Team Betel Moana Edus</v>
      </c>
      <c r="F56" s="3"/>
      <c r="G56" s="15"/>
      <c r="H56" s="3"/>
      <c r="I56" s="25"/>
      <c r="J56" s="33"/>
      <c r="K56" s="22"/>
      <c r="L56" s="22"/>
      <c r="M56" s="34"/>
      <c r="N56" s="26"/>
      <c r="O56" s="3"/>
      <c r="P56" s="3"/>
      <c r="Q56" s="34"/>
      <c r="R56" s="32"/>
      <c r="S56" s="30"/>
      <c r="T56" s="3"/>
      <c r="U56" s="39"/>
      <c r="V56" s="16"/>
      <c r="W56" s="15"/>
      <c r="X56" s="15"/>
      <c r="Y56" s="25"/>
      <c r="Z56" s="16">
        <f t="shared" si="7"/>
        <v>10</v>
      </c>
      <c r="AA56" s="15">
        <f>IFERROR(VLOOKUP(Z56,'Puntos XCC Mayor'!$A$1:$B$15,2,FALSE),0)</f>
        <v>6</v>
      </c>
      <c r="AB56" s="15">
        <f t="shared" si="8"/>
        <v>8</v>
      </c>
      <c r="AC56" s="25">
        <f>IFERROR(VLOOKUP(AB56,'Puntos XCO'!$A$1:$B$63,2,FALSE),0)</f>
        <v>85</v>
      </c>
      <c r="AD56" s="16"/>
      <c r="AE56" s="15"/>
      <c r="AF56" s="15"/>
      <c r="AG56" s="25"/>
      <c r="AH56" s="27">
        <f t="shared" si="9"/>
        <v>91</v>
      </c>
      <c r="AJ56" s="3"/>
    </row>
    <row r="57" spans="1:36" ht="24.95" customHeight="1">
      <c r="A57" s="3">
        <v>43</v>
      </c>
      <c r="B57" s="3">
        <v>41</v>
      </c>
      <c r="C57" s="22">
        <v>350</v>
      </c>
      <c r="D57" s="23" t="str">
        <f t="shared" si="5"/>
        <v>CARBALLO Bryan*</v>
      </c>
      <c r="E57" s="24" t="str">
        <f t="shared" si="6"/>
        <v>BIKERS RACING TEAM</v>
      </c>
      <c r="F57" s="3"/>
      <c r="G57" s="15"/>
      <c r="H57" s="3"/>
      <c r="I57" s="25"/>
      <c r="J57" s="33"/>
      <c r="K57" s="22"/>
      <c r="L57" s="22"/>
      <c r="M57" s="34"/>
      <c r="N57" s="26"/>
      <c r="O57" s="3">
        <f>IFERROR(VLOOKUP(N57,'Puntos XCC Menor'!$A$1:$B$15,2,FALSE),0)</f>
        <v>0</v>
      </c>
      <c r="P57" s="3">
        <v>7</v>
      </c>
      <c r="Q57" s="34">
        <f>IFERROR(VLOOKUP(P57,'Puntos XCO'!$A$1:$B$63,2,FALSE),0)</f>
        <v>90</v>
      </c>
      <c r="R57" s="16">
        <v>0</v>
      </c>
      <c r="S57" s="3">
        <f>IFERROR(VLOOKUP(R57,'Puntos XCC Menor'!$A$1:$B$15,2,FALSE),0)</f>
        <v>0</v>
      </c>
      <c r="T57" s="15">
        <v>0</v>
      </c>
      <c r="U57" s="39">
        <f>IFERROR(VLOOKUP(T57,'Puntos XCO'!$A$1:$B$63,2,FALSE),0)</f>
        <v>0</v>
      </c>
      <c r="V57" s="16">
        <v>0</v>
      </c>
      <c r="W57" s="15">
        <f>IFERROR(VLOOKUP(V57,'Puntos XCC Mayor'!$A$1:$B$15,2,FALSE),0)</f>
        <v>0</v>
      </c>
      <c r="X57" s="15">
        <v>0</v>
      </c>
      <c r="Y57" s="25">
        <f>IFERROR(VLOOKUP(X57,'Puntos XCO'!$A$1:$B$63,2,FALSE),0)</f>
        <v>0</v>
      </c>
      <c r="Z57" s="16">
        <f t="shared" si="7"/>
        <v>0</v>
      </c>
      <c r="AA57" s="15">
        <f>IFERROR(VLOOKUP(Z57,'Puntos XCC Mayor'!$A$1:$B$15,2,FALSE),0)</f>
        <v>0</v>
      </c>
      <c r="AB57" s="15">
        <f t="shared" si="8"/>
        <v>0</v>
      </c>
      <c r="AC57" s="25">
        <f>IFERROR(VLOOKUP(AB57,'Puntos XCO'!$A$1:$B$63,2,FALSE),0)</f>
        <v>0</v>
      </c>
      <c r="AD57" s="16"/>
      <c r="AE57" s="15"/>
      <c r="AF57" s="15"/>
      <c r="AG57" s="25"/>
      <c r="AH57" s="27">
        <f t="shared" si="9"/>
        <v>90</v>
      </c>
      <c r="AJ57" s="3"/>
    </row>
    <row r="58" spans="1:36" ht="24.95" customHeight="1">
      <c r="A58" s="3">
        <v>44</v>
      </c>
      <c r="B58" s="3">
        <v>42</v>
      </c>
      <c r="C58" s="22">
        <v>318</v>
      </c>
      <c r="D58" s="23" t="str">
        <f t="shared" si="5"/>
        <v>CAMPOS  Moisés*</v>
      </c>
      <c r="E58" s="24" t="str">
        <f t="shared" si="6"/>
        <v xml:space="preserve">CCDR PARAÍSO </v>
      </c>
      <c r="F58" s="3">
        <v>28</v>
      </c>
      <c r="G58" s="15">
        <v>0</v>
      </c>
      <c r="H58" s="3">
        <v>25</v>
      </c>
      <c r="I58" s="25">
        <v>48</v>
      </c>
      <c r="J58" s="33">
        <v>35</v>
      </c>
      <c r="K58" s="22">
        <v>0</v>
      </c>
      <c r="L58" s="22">
        <v>0</v>
      </c>
      <c r="M58" s="34">
        <v>0</v>
      </c>
      <c r="N58" s="26"/>
      <c r="O58" s="3">
        <f>IFERROR(VLOOKUP(N58,'Puntos XCC Menor'!$A$1:$B$15,2,FALSE),0)</f>
        <v>0</v>
      </c>
      <c r="P58" s="3">
        <v>0</v>
      </c>
      <c r="Q58" s="34">
        <f>IFERROR(VLOOKUP(P58,'Puntos XCO'!$A$1:$B$63,2,FALSE),0)</f>
        <v>0</v>
      </c>
      <c r="R58" s="16">
        <v>0</v>
      </c>
      <c r="S58" s="3">
        <f>IFERROR(VLOOKUP(R58,'Puntos XCC Menor'!$A$1:$B$15,2,FALSE),0)</f>
        <v>0</v>
      </c>
      <c r="T58" s="15">
        <v>29</v>
      </c>
      <c r="U58" s="39">
        <f>IFERROR(VLOOKUP(T58,'Puntos XCO'!$A$1:$B$63,2,FALSE),0)</f>
        <v>40</v>
      </c>
      <c r="V58" s="16">
        <v>0</v>
      </c>
      <c r="W58" s="15">
        <f>IFERROR(VLOOKUP(V58,'Puntos XCC Mayor'!$A$1:$B$15,2,FALSE),0)</f>
        <v>0</v>
      </c>
      <c r="X58" s="15">
        <v>0</v>
      </c>
      <c r="Y58" s="25">
        <f>IFERROR(VLOOKUP(X58,'Puntos XCO'!$A$1:$B$63,2,FALSE),0)</f>
        <v>0</v>
      </c>
      <c r="Z58" s="16">
        <f t="shared" si="7"/>
        <v>0</v>
      </c>
      <c r="AA58" s="15">
        <f>IFERROR(VLOOKUP(Z58,'Puntos XCC Mayor'!$A$1:$B$15,2,FALSE),0)</f>
        <v>0</v>
      </c>
      <c r="AB58" s="15">
        <f t="shared" si="8"/>
        <v>0</v>
      </c>
      <c r="AC58" s="25">
        <f>IFERROR(VLOOKUP(AB58,'Puntos XCO'!$A$1:$B$63,2,FALSE),0)</f>
        <v>0</v>
      </c>
      <c r="AD58" s="16"/>
      <c r="AE58" s="15"/>
      <c r="AF58" s="15"/>
      <c r="AG58" s="25"/>
      <c r="AH58" s="27">
        <f t="shared" si="9"/>
        <v>88</v>
      </c>
      <c r="AJ58" s="3"/>
    </row>
    <row r="59" spans="1:36" ht="24.95" customHeight="1">
      <c r="A59" s="3">
        <v>45</v>
      </c>
      <c r="B59" s="3">
        <v>48</v>
      </c>
      <c r="C59" s="22">
        <v>355</v>
      </c>
      <c r="D59" s="23" t="str">
        <f t="shared" si="5"/>
        <v>ALVAREZ Deyler*</v>
      </c>
      <c r="E59" s="24" t="str">
        <f t="shared" si="6"/>
        <v>Ccdr matina-ciclo salas bataan</v>
      </c>
      <c r="F59" s="3"/>
      <c r="G59" s="15"/>
      <c r="H59" s="3"/>
      <c r="I59" s="25"/>
      <c r="J59" s="33"/>
      <c r="K59" s="22"/>
      <c r="L59" s="22"/>
      <c r="M59" s="34"/>
      <c r="N59" s="26"/>
      <c r="O59" s="3"/>
      <c r="P59" s="3"/>
      <c r="Q59" s="34"/>
      <c r="R59" s="16"/>
      <c r="S59" s="3"/>
      <c r="T59" s="15"/>
      <c r="U59" s="39"/>
      <c r="V59" s="16">
        <v>24</v>
      </c>
      <c r="W59" s="15">
        <f>IFERROR(VLOOKUP(V59,'Puntos XCC Mayor'!$A$1:$B$15,2,FALSE),0)</f>
        <v>0</v>
      </c>
      <c r="X59" s="15">
        <v>28</v>
      </c>
      <c r="Y59" s="25">
        <f>IFERROR(VLOOKUP(X59,'Puntos XCO'!$A$1:$B$63,2,FALSE),0)</f>
        <v>42</v>
      </c>
      <c r="Z59" s="16">
        <f t="shared" si="7"/>
        <v>25</v>
      </c>
      <c r="AA59" s="15">
        <f>IFERROR(VLOOKUP(Z59,'Puntos XCC Mayor'!$A$1:$B$15,2,FALSE),0)</f>
        <v>0</v>
      </c>
      <c r="AB59" s="15">
        <f t="shared" si="8"/>
        <v>26</v>
      </c>
      <c r="AC59" s="25">
        <f>IFERROR(VLOOKUP(AB59,'Puntos XCO'!$A$1:$B$63,2,FALSE),0)</f>
        <v>46</v>
      </c>
      <c r="AD59" s="16"/>
      <c r="AE59" s="15"/>
      <c r="AF59" s="15"/>
      <c r="AG59" s="25"/>
      <c r="AH59" s="27">
        <f t="shared" si="9"/>
        <v>88</v>
      </c>
      <c r="AJ59" s="3"/>
    </row>
    <row r="60" spans="1:36" ht="24.95" customHeight="1">
      <c r="A60" s="3">
        <v>46</v>
      </c>
      <c r="B60" s="3">
        <v>43</v>
      </c>
      <c r="C60" s="22">
        <v>352</v>
      </c>
      <c r="D60" s="23" t="str">
        <f t="shared" si="5"/>
        <v>PORTUGUÉS Mathias*</v>
      </c>
      <c r="E60" s="24" t="str">
        <f t="shared" si="6"/>
        <v xml:space="preserve">CCDR PARAÍSO </v>
      </c>
      <c r="F60" s="3"/>
      <c r="G60" s="15"/>
      <c r="H60" s="3"/>
      <c r="I60" s="25"/>
      <c r="J60" s="33"/>
      <c r="K60" s="22"/>
      <c r="L60" s="22"/>
      <c r="M60" s="34"/>
      <c r="N60" s="26"/>
      <c r="O60" s="3"/>
      <c r="P60" s="3"/>
      <c r="Q60" s="34"/>
      <c r="R60" s="16">
        <v>0</v>
      </c>
      <c r="S60" s="3">
        <f>IFERROR(VLOOKUP(R60,'Puntos XCC Menor'!$A$1:$B$15,2,FALSE),0)</f>
        <v>0</v>
      </c>
      <c r="T60" s="15">
        <v>30</v>
      </c>
      <c r="U60" s="39">
        <f>IFERROR(VLOOKUP(T60,'Puntos XCO'!$A$1:$B$63,2,FALSE),0)</f>
        <v>38</v>
      </c>
      <c r="V60" s="16">
        <v>31</v>
      </c>
      <c r="W60" s="15">
        <f>IFERROR(VLOOKUP(V60,'Puntos XCC Mayor'!$A$1:$B$15,2,FALSE),0)</f>
        <v>0</v>
      </c>
      <c r="X60" s="15">
        <v>30</v>
      </c>
      <c r="Y60" s="25">
        <f>IFERROR(VLOOKUP(X60,'Puntos XCO'!$A$1:$B$63,2,FALSE),0)</f>
        <v>38</v>
      </c>
      <c r="Z60" s="16">
        <f t="shared" si="7"/>
        <v>35</v>
      </c>
      <c r="AA60" s="15">
        <f>IFERROR(VLOOKUP(Z60,'Puntos XCC Mayor'!$A$1:$B$15,2,FALSE),0)</f>
        <v>0</v>
      </c>
      <c r="AB60" s="15">
        <f t="shared" si="8"/>
        <v>0</v>
      </c>
      <c r="AC60" s="25">
        <f>IFERROR(VLOOKUP(AB60,'Puntos XCO'!$A$1:$B$63,2,FALSE),0)</f>
        <v>0</v>
      </c>
      <c r="AD60" s="16"/>
      <c r="AE60" s="15"/>
      <c r="AF60" s="15"/>
      <c r="AG60" s="25"/>
      <c r="AH60" s="27">
        <f t="shared" si="9"/>
        <v>76</v>
      </c>
      <c r="AJ60" s="3"/>
    </row>
    <row r="61" spans="1:36" ht="24.95" customHeight="1">
      <c r="A61" s="3">
        <v>47</v>
      </c>
      <c r="B61" s="3">
        <v>44</v>
      </c>
      <c r="C61" s="22">
        <v>338</v>
      </c>
      <c r="D61" s="23" t="str">
        <f t="shared" si="5"/>
        <v>PICADO Emiliano</v>
      </c>
      <c r="E61" s="24" t="str">
        <f t="shared" si="6"/>
        <v>DONDE LANDA</v>
      </c>
      <c r="F61" s="3">
        <v>0</v>
      </c>
      <c r="G61" s="15">
        <v>0</v>
      </c>
      <c r="H61" s="3">
        <v>26</v>
      </c>
      <c r="I61" s="25">
        <v>46</v>
      </c>
      <c r="J61" s="33">
        <v>0</v>
      </c>
      <c r="K61" s="22">
        <v>0</v>
      </c>
      <c r="L61" s="22">
        <v>35</v>
      </c>
      <c r="M61" s="34">
        <v>29</v>
      </c>
      <c r="N61" s="26"/>
      <c r="O61" s="3">
        <f>IFERROR(VLOOKUP(N61,'Puntos XCC Menor'!$A$1:$B$15,2,FALSE),0)</f>
        <v>0</v>
      </c>
      <c r="P61" s="3">
        <v>0</v>
      </c>
      <c r="Q61" s="34">
        <f>IFERROR(VLOOKUP(P61,'Puntos XCO'!$A$1:$B$63,2,FALSE),0)</f>
        <v>0</v>
      </c>
      <c r="R61" s="16">
        <v>0</v>
      </c>
      <c r="S61" s="3">
        <f>IFERROR(VLOOKUP(R61,'Puntos XCC Menor'!$A$1:$B$15,2,FALSE),0)</f>
        <v>0</v>
      </c>
      <c r="T61" s="15">
        <v>0</v>
      </c>
      <c r="U61" s="39">
        <f>IFERROR(VLOOKUP(T61,'Puntos XCO'!$A$1:$B$63,2,FALSE),0)</f>
        <v>0</v>
      </c>
      <c r="V61" s="16">
        <v>0</v>
      </c>
      <c r="W61" s="15">
        <f>IFERROR(VLOOKUP(V61,'Puntos XCC Mayor'!$A$1:$B$15,2,FALSE),0)</f>
        <v>0</v>
      </c>
      <c r="X61" s="15">
        <v>0</v>
      </c>
      <c r="Y61" s="25">
        <f>IFERROR(VLOOKUP(X61,'Puntos XCO'!$A$1:$B$63,2,FALSE),0)</f>
        <v>0</v>
      </c>
      <c r="Z61" s="16">
        <f t="shared" si="7"/>
        <v>0</v>
      </c>
      <c r="AA61" s="15">
        <f>IFERROR(VLOOKUP(Z61,'Puntos XCC Mayor'!$A$1:$B$15,2,FALSE),0)</f>
        <v>0</v>
      </c>
      <c r="AB61" s="15">
        <f t="shared" si="8"/>
        <v>0</v>
      </c>
      <c r="AC61" s="25">
        <f>IFERROR(VLOOKUP(AB61,'Puntos XCO'!$A$1:$B$63,2,FALSE),0)</f>
        <v>0</v>
      </c>
      <c r="AD61" s="16"/>
      <c r="AE61" s="15"/>
      <c r="AF61" s="15"/>
      <c r="AG61" s="25"/>
      <c r="AH61" s="27">
        <f t="shared" si="9"/>
        <v>75</v>
      </c>
      <c r="AJ61" s="3"/>
    </row>
    <row r="62" spans="1:36" ht="24.95" customHeight="1">
      <c r="A62" s="3">
        <v>48</v>
      </c>
      <c r="B62" s="3">
        <v>53</v>
      </c>
      <c r="C62" s="22">
        <v>345</v>
      </c>
      <c r="D62" s="23" t="str">
        <f t="shared" si="5"/>
        <v>MONGE MATHIAS*</v>
      </c>
      <c r="E62" s="24" t="str">
        <f t="shared" si="6"/>
        <v>MECATRONICS / MCT COMPONENTS</v>
      </c>
      <c r="F62" s="3"/>
      <c r="G62" s="15"/>
      <c r="H62" s="3"/>
      <c r="I62" s="25"/>
      <c r="J62" s="33">
        <v>36</v>
      </c>
      <c r="K62" s="22">
        <v>0</v>
      </c>
      <c r="L62" s="22">
        <v>37</v>
      </c>
      <c r="M62" s="34">
        <v>27</v>
      </c>
      <c r="N62" s="26"/>
      <c r="O62" s="3">
        <f>IFERROR(VLOOKUP(N62,'Puntos XCC Menor'!$A$1:$B$15,2,FALSE),0)</f>
        <v>0</v>
      </c>
      <c r="P62" s="3">
        <v>0</v>
      </c>
      <c r="Q62" s="34">
        <f>IFERROR(VLOOKUP(P62,'Puntos XCO'!$A$1:$B$63,2,FALSE),0)</f>
        <v>0</v>
      </c>
      <c r="R62" s="16">
        <v>0</v>
      </c>
      <c r="S62" s="3">
        <f>IFERROR(VLOOKUP(R62,'Puntos XCC Menor'!$A$1:$B$15,2,FALSE),0)</f>
        <v>0</v>
      </c>
      <c r="T62" s="15">
        <v>0</v>
      </c>
      <c r="U62" s="39">
        <f>IFERROR(VLOOKUP(T62,'Puntos XCO'!$A$1:$B$63,2,FALSE),0)</f>
        <v>0</v>
      </c>
      <c r="V62" s="16">
        <v>0</v>
      </c>
      <c r="W62" s="15">
        <f>IFERROR(VLOOKUP(V62,'Puntos XCC Mayor'!$A$1:$B$15,2,FALSE),0)</f>
        <v>0</v>
      </c>
      <c r="X62" s="15">
        <v>0</v>
      </c>
      <c r="Y62" s="25">
        <f>IFERROR(VLOOKUP(X62,'Puntos XCO'!$A$1:$B$63,2,FALSE),0)</f>
        <v>0</v>
      </c>
      <c r="Z62" s="16">
        <f t="shared" si="7"/>
        <v>37</v>
      </c>
      <c r="AA62" s="15">
        <f>IFERROR(VLOOKUP(Z62,'Puntos XCC Mayor'!$A$1:$B$15,2,FALSE),0)</f>
        <v>0</v>
      </c>
      <c r="AB62" s="15">
        <f t="shared" si="8"/>
        <v>34</v>
      </c>
      <c r="AC62" s="25">
        <f>IFERROR(VLOOKUP(AB62,'Puntos XCO'!$A$1:$B$63,2,FALSE),0)</f>
        <v>30</v>
      </c>
      <c r="AD62" s="16"/>
      <c r="AE62" s="15"/>
      <c r="AF62" s="15"/>
      <c r="AG62" s="25"/>
      <c r="AH62" s="27">
        <f t="shared" si="9"/>
        <v>57</v>
      </c>
      <c r="AJ62" s="3"/>
    </row>
    <row r="63" spans="1:36" ht="24.95" customHeight="1">
      <c r="A63" s="3">
        <v>49</v>
      </c>
      <c r="B63" s="3">
        <v>46</v>
      </c>
      <c r="C63" s="22">
        <v>339</v>
      </c>
      <c r="D63" s="23" t="str">
        <f t="shared" si="5"/>
        <v>BRENES Tayron Fabián*</v>
      </c>
      <c r="E63" s="24" t="str">
        <f t="shared" si="6"/>
        <v>CCDR CARTAGO</v>
      </c>
      <c r="F63" s="3">
        <v>0</v>
      </c>
      <c r="G63" s="15">
        <v>0</v>
      </c>
      <c r="H63" s="3">
        <v>23</v>
      </c>
      <c r="I63" s="25">
        <v>52</v>
      </c>
      <c r="J63" s="33">
        <v>0</v>
      </c>
      <c r="K63" s="22">
        <v>0</v>
      </c>
      <c r="L63" s="22">
        <v>0</v>
      </c>
      <c r="M63" s="34">
        <v>0</v>
      </c>
      <c r="N63" s="26"/>
      <c r="O63" s="3">
        <f>IFERROR(VLOOKUP(N63,'Puntos XCC Menor'!$A$1:$B$15,2,FALSE),0)</f>
        <v>0</v>
      </c>
      <c r="P63" s="3">
        <v>0</v>
      </c>
      <c r="Q63" s="34">
        <f>IFERROR(VLOOKUP(P63,'Puntos XCO'!$A$1:$B$63,2,FALSE),0)</f>
        <v>0</v>
      </c>
      <c r="R63" s="16">
        <v>0</v>
      </c>
      <c r="S63" s="3">
        <f>IFERROR(VLOOKUP(R63,'Puntos XCC Menor'!$A$1:$B$15,2,FALSE),0)</f>
        <v>0</v>
      </c>
      <c r="T63" s="15">
        <v>0</v>
      </c>
      <c r="U63" s="39">
        <f>IFERROR(VLOOKUP(T63,'Puntos XCO'!$A$1:$B$63,2,FALSE),0)</f>
        <v>0</v>
      </c>
      <c r="V63" s="16">
        <v>0</v>
      </c>
      <c r="W63" s="15">
        <f>IFERROR(VLOOKUP(V63,'Puntos XCC Mayor'!$A$1:$B$15,2,FALSE),0)</f>
        <v>0</v>
      </c>
      <c r="X63" s="15">
        <v>0</v>
      </c>
      <c r="Y63" s="25">
        <f>IFERROR(VLOOKUP(X63,'Puntos XCO'!$A$1:$B$63,2,FALSE),0)</f>
        <v>0</v>
      </c>
      <c r="Z63" s="16">
        <f t="shared" si="7"/>
        <v>0</v>
      </c>
      <c r="AA63" s="15">
        <f>IFERROR(VLOOKUP(Z63,'Puntos XCC Mayor'!$A$1:$B$15,2,FALSE),0)</f>
        <v>0</v>
      </c>
      <c r="AB63" s="15">
        <f t="shared" si="8"/>
        <v>0</v>
      </c>
      <c r="AC63" s="25">
        <f>IFERROR(VLOOKUP(AB63,'Puntos XCO'!$A$1:$B$63,2,FALSE),0)</f>
        <v>0</v>
      </c>
      <c r="AD63" s="16"/>
      <c r="AE63" s="15"/>
      <c r="AF63" s="15"/>
      <c r="AG63" s="25"/>
      <c r="AH63" s="27">
        <f t="shared" si="9"/>
        <v>52</v>
      </c>
      <c r="AJ63" s="3"/>
    </row>
    <row r="64" spans="1:36" ht="24.95" customHeight="1">
      <c r="A64" s="3">
        <v>50</v>
      </c>
      <c r="B64" s="3">
        <v>47</v>
      </c>
      <c r="C64" s="22">
        <v>347</v>
      </c>
      <c r="D64" s="23" t="str">
        <f t="shared" si="5"/>
        <v>SALAZAR Adriel*</v>
      </c>
      <c r="E64" s="24" t="str">
        <f t="shared" si="6"/>
        <v xml:space="preserve">CCDR SAN JOSÉ </v>
      </c>
      <c r="F64" s="3"/>
      <c r="G64" s="15"/>
      <c r="H64" s="3"/>
      <c r="I64" s="25"/>
      <c r="J64" s="33">
        <v>26</v>
      </c>
      <c r="K64" s="22">
        <v>0</v>
      </c>
      <c r="L64" s="22">
        <v>27</v>
      </c>
      <c r="M64" s="34">
        <v>44</v>
      </c>
      <c r="N64" s="26"/>
      <c r="O64" s="3">
        <f>IFERROR(VLOOKUP(N64,'Puntos XCC Menor'!$A$1:$B$15,2,FALSE),0)</f>
        <v>0</v>
      </c>
      <c r="P64" s="3">
        <v>0</v>
      </c>
      <c r="Q64" s="34">
        <f>IFERROR(VLOOKUP(P64,'Puntos XCO'!$A$1:$B$63,2,FALSE),0)</f>
        <v>0</v>
      </c>
      <c r="R64" s="16">
        <v>0</v>
      </c>
      <c r="S64" s="3">
        <f>IFERROR(VLOOKUP(R64,'Puntos XCC Menor'!$A$1:$B$15,2,FALSE),0)</f>
        <v>0</v>
      </c>
      <c r="T64" s="15">
        <v>0</v>
      </c>
      <c r="U64" s="39">
        <f>IFERROR(VLOOKUP(T64,'Puntos XCO'!$A$1:$B$63,2,FALSE),0)</f>
        <v>0</v>
      </c>
      <c r="V64" s="16">
        <v>0</v>
      </c>
      <c r="W64" s="15">
        <f>IFERROR(VLOOKUP(V64,'Puntos XCC Mayor'!$A$1:$B$15,2,FALSE),0)</f>
        <v>0</v>
      </c>
      <c r="X64" s="15">
        <v>0</v>
      </c>
      <c r="Y64" s="25">
        <f>IFERROR(VLOOKUP(X64,'Puntos XCO'!$A$1:$B$63,2,FALSE),0)</f>
        <v>0</v>
      </c>
      <c r="Z64" s="16">
        <f t="shared" si="7"/>
        <v>0</v>
      </c>
      <c r="AA64" s="15">
        <f>IFERROR(VLOOKUP(Z64,'Puntos XCC Mayor'!$A$1:$B$15,2,FALSE),0)</f>
        <v>0</v>
      </c>
      <c r="AB64" s="15">
        <f t="shared" si="8"/>
        <v>0</v>
      </c>
      <c r="AC64" s="25">
        <f>IFERROR(VLOOKUP(AB64,'Puntos XCO'!$A$1:$B$63,2,FALSE),0)</f>
        <v>0</v>
      </c>
      <c r="AD64" s="16"/>
      <c r="AE64" s="15"/>
      <c r="AF64" s="15"/>
      <c r="AG64" s="25"/>
      <c r="AH64" s="27">
        <f t="shared" si="9"/>
        <v>44</v>
      </c>
      <c r="AJ64" s="3"/>
    </row>
    <row r="65" spans="1:36" ht="24.95" customHeight="1">
      <c r="A65" s="3">
        <v>51</v>
      </c>
      <c r="B65" s="3">
        <v>49</v>
      </c>
      <c r="C65" s="22">
        <v>330</v>
      </c>
      <c r="D65" s="23" t="str">
        <f t="shared" si="5"/>
        <v xml:space="preserve">CASTRO Juandavid </v>
      </c>
      <c r="E65" s="24" t="str">
        <f t="shared" si="6"/>
        <v/>
      </c>
      <c r="F65" s="3">
        <v>20</v>
      </c>
      <c r="G65" s="15">
        <v>0</v>
      </c>
      <c r="H65" s="3">
        <v>31</v>
      </c>
      <c r="I65" s="25">
        <v>36</v>
      </c>
      <c r="J65" s="33">
        <v>0</v>
      </c>
      <c r="K65" s="22">
        <v>0</v>
      </c>
      <c r="L65" s="22">
        <v>0</v>
      </c>
      <c r="M65" s="34">
        <v>0</v>
      </c>
      <c r="N65" s="26"/>
      <c r="O65" s="3">
        <f>IFERROR(VLOOKUP(N65,'Puntos XCC Menor'!$A$1:$B$15,2,FALSE),0)</f>
        <v>0</v>
      </c>
      <c r="P65" s="3">
        <v>0</v>
      </c>
      <c r="Q65" s="34">
        <f>IFERROR(VLOOKUP(P65,'Puntos XCO'!$A$1:$B$63,2,FALSE),0)</f>
        <v>0</v>
      </c>
      <c r="R65" s="16">
        <v>0</v>
      </c>
      <c r="S65" s="3">
        <f>IFERROR(VLOOKUP(R65,'Puntos XCC Menor'!$A$1:$B$15,2,FALSE),0)</f>
        <v>0</v>
      </c>
      <c r="T65" s="15">
        <v>0</v>
      </c>
      <c r="U65" s="39">
        <f>IFERROR(VLOOKUP(T65,'Puntos XCO'!$A$1:$B$63,2,FALSE),0)</f>
        <v>0</v>
      </c>
      <c r="V65" s="16">
        <v>0</v>
      </c>
      <c r="W65" s="15">
        <f>IFERROR(VLOOKUP(V65,'Puntos XCC Mayor'!$A$1:$B$15,2,FALSE),0)</f>
        <v>0</v>
      </c>
      <c r="X65" s="15">
        <v>0</v>
      </c>
      <c r="Y65" s="25">
        <f>IFERROR(VLOOKUP(X65,'Puntos XCO'!$A$1:$B$63,2,FALSE),0)</f>
        <v>0</v>
      </c>
      <c r="Z65" s="16">
        <f t="shared" si="7"/>
        <v>0</v>
      </c>
      <c r="AA65" s="15">
        <f>IFERROR(VLOOKUP(Z65,'Puntos XCC Mayor'!$A$1:$B$15,2,FALSE),0)</f>
        <v>0</v>
      </c>
      <c r="AB65" s="15">
        <f t="shared" si="8"/>
        <v>0</v>
      </c>
      <c r="AC65" s="25">
        <f>IFERROR(VLOOKUP(AB65,'Puntos XCO'!$A$1:$B$63,2,FALSE),0)</f>
        <v>0</v>
      </c>
      <c r="AD65" s="16"/>
      <c r="AE65" s="15"/>
      <c r="AF65" s="15"/>
      <c r="AG65" s="25"/>
      <c r="AH65" s="27">
        <f t="shared" si="9"/>
        <v>36</v>
      </c>
      <c r="AJ65" s="3"/>
    </row>
    <row r="66" spans="1:36" ht="24.95" customHeight="1">
      <c r="A66" s="3">
        <v>52</v>
      </c>
      <c r="B66" s="3"/>
      <c r="C66" s="107">
        <v>358</v>
      </c>
      <c r="D66" s="23" t="str">
        <f t="shared" si="5"/>
        <v>MOLINA Mathias</v>
      </c>
      <c r="E66" s="24" t="str">
        <f t="shared" si="6"/>
        <v xml:space="preserve">CCDR SAN JOSÉ </v>
      </c>
      <c r="F66" s="3"/>
      <c r="G66" s="15"/>
      <c r="H66" s="3"/>
      <c r="I66" s="25"/>
      <c r="J66" s="33"/>
      <c r="K66" s="22"/>
      <c r="L66" s="22"/>
      <c r="M66" s="34"/>
      <c r="N66" s="26"/>
      <c r="O66" s="3"/>
      <c r="P66" s="3"/>
      <c r="Q66" s="34"/>
      <c r="R66" s="32"/>
      <c r="S66" s="30"/>
      <c r="T66" s="3"/>
      <c r="U66" s="39"/>
      <c r="V66" s="16"/>
      <c r="W66" s="15"/>
      <c r="X66" s="15"/>
      <c r="Y66" s="25"/>
      <c r="Z66" s="16">
        <f t="shared" si="7"/>
        <v>29</v>
      </c>
      <c r="AA66" s="15">
        <f>IFERROR(VLOOKUP(Z66,'Puntos XCC Mayor'!$A$1:$B$15,2,FALSE),0)</f>
        <v>0</v>
      </c>
      <c r="AB66" s="15">
        <f t="shared" si="8"/>
        <v>31</v>
      </c>
      <c r="AC66" s="25">
        <f>IFERROR(VLOOKUP(AB66,'Puntos XCO'!$A$1:$B$63,2,FALSE),0)</f>
        <v>36</v>
      </c>
      <c r="AD66" s="16"/>
      <c r="AE66" s="15"/>
      <c r="AF66" s="15"/>
      <c r="AG66" s="25"/>
      <c r="AH66" s="27">
        <f t="shared" si="9"/>
        <v>36</v>
      </c>
      <c r="AJ66" s="3"/>
    </row>
    <row r="67" spans="1:36" ht="24.95" customHeight="1">
      <c r="A67" s="3">
        <v>53</v>
      </c>
      <c r="B67" s="3">
        <v>50</v>
      </c>
      <c r="C67" s="22">
        <v>353</v>
      </c>
      <c r="D67" s="23" t="str">
        <f t="shared" si="5"/>
        <v xml:space="preserve">CUBERO Sebastián </v>
      </c>
      <c r="E67" s="24" t="str">
        <f t="shared" si="6"/>
        <v>CCDR CARTAGO</v>
      </c>
      <c r="F67" s="3"/>
      <c r="G67" s="15"/>
      <c r="H67" s="3"/>
      <c r="I67" s="25"/>
      <c r="J67" s="33"/>
      <c r="K67" s="22"/>
      <c r="L67" s="22"/>
      <c r="M67" s="34"/>
      <c r="N67" s="26"/>
      <c r="O67" s="3"/>
      <c r="P67" s="3"/>
      <c r="Q67" s="34"/>
      <c r="R67" s="16"/>
      <c r="S67" s="3"/>
      <c r="T67" s="15"/>
      <c r="U67" s="39"/>
      <c r="V67" s="16">
        <v>33</v>
      </c>
      <c r="W67" s="15">
        <f>IFERROR(VLOOKUP(V67,'Puntos XCC Mayor'!$A$1:$B$15,2,FALSE),0)</f>
        <v>0</v>
      </c>
      <c r="X67" s="15">
        <v>32</v>
      </c>
      <c r="Y67" s="25">
        <f>IFERROR(VLOOKUP(X67,'Puntos XCO'!$A$1:$B$63,2,FALSE),0)</f>
        <v>34</v>
      </c>
      <c r="Z67" s="16">
        <f t="shared" si="7"/>
        <v>0</v>
      </c>
      <c r="AA67" s="15">
        <f>IFERROR(VLOOKUP(Z67,'Puntos XCC Mayor'!$A$1:$B$15,2,FALSE),0)</f>
        <v>0</v>
      </c>
      <c r="AB67" s="15">
        <f t="shared" si="8"/>
        <v>0</v>
      </c>
      <c r="AC67" s="25">
        <f>IFERROR(VLOOKUP(AB67,'Puntos XCO'!$A$1:$B$63,2,FALSE),0)</f>
        <v>0</v>
      </c>
      <c r="AD67" s="16"/>
      <c r="AE67" s="15"/>
      <c r="AF67" s="15"/>
      <c r="AG67" s="25"/>
      <c r="AH67" s="27">
        <f t="shared" si="9"/>
        <v>34</v>
      </c>
      <c r="AJ67" s="3"/>
    </row>
    <row r="68" spans="1:36" ht="24.95" customHeight="1">
      <c r="A68" s="3">
        <v>54</v>
      </c>
      <c r="B68" s="3">
        <v>51</v>
      </c>
      <c r="C68" s="22">
        <v>354</v>
      </c>
      <c r="D68" s="23" t="str">
        <f t="shared" si="5"/>
        <v>PIZARRO  Jose Alejandro*</v>
      </c>
      <c r="E68" s="24" t="str">
        <f t="shared" si="6"/>
        <v xml:space="preserve">CCDR SANTA CRUZ </v>
      </c>
      <c r="F68" s="3"/>
      <c r="G68" s="15"/>
      <c r="H68" s="3"/>
      <c r="I68" s="25"/>
      <c r="J68" s="33"/>
      <c r="K68" s="22"/>
      <c r="L68" s="22"/>
      <c r="M68" s="34"/>
      <c r="N68" s="26"/>
      <c r="O68" s="3"/>
      <c r="P68" s="3"/>
      <c r="Q68" s="34"/>
      <c r="R68" s="16"/>
      <c r="S68" s="3"/>
      <c r="T68" s="15"/>
      <c r="U68" s="39"/>
      <c r="V68" s="16">
        <v>34</v>
      </c>
      <c r="W68" s="15">
        <f>IFERROR(VLOOKUP(V68,'Puntos XCC Mayor'!$A$1:$B$15,2,FALSE),0)</f>
        <v>0</v>
      </c>
      <c r="X68" s="15">
        <v>35</v>
      </c>
      <c r="Y68" s="25">
        <f>IFERROR(VLOOKUP(X68,'Puntos XCO'!$A$1:$B$63,2,FALSE),0)</f>
        <v>29</v>
      </c>
      <c r="Z68" s="16">
        <f t="shared" si="7"/>
        <v>0</v>
      </c>
      <c r="AA68" s="15">
        <f>IFERROR(VLOOKUP(Z68,'Puntos XCC Mayor'!$A$1:$B$15,2,FALSE),0)</f>
        <v>0</v>
      </c>
      <c r="AB68" s="15">
        <f t="shared" si="8"/>
        <v>0</v>
      </c>
      <c r="AC68" s="25">
        <f>IFERROR(VLOOKUP(AB68,'Puntos XCO'!$A$1:$B$63,2,FALSE),0)</f>
        <v>0</v>
      </c>
      <c r="AD68" s="16"/>
      <c r="AE68" s="15"/>
      <c r="AF68" s="15"/>
      <c r="AG68" s="25"/>
      <c r="AH68" s="27">
        <f t="shared" si="9"/>
        <v>29</v>
      </c>
      <c r="AJ68" s="3"/>
    </row>
    <row r="69" spans="1:36" ht="24.95" customHeight="1">
      <c r="A69" s="3">
        <v>55</v>
      </c>
      <c r="B69" s="3">
        <v>52</v>
      </c>
      <c r="C69" s="22">
        <v>356</v>
      </c>
      <c r="D69" s="23" t="str">
        <f t="shared" si="5"/>
        <v>GUIDO  Sebastián Manuel*</v>
      </c>
      <c r="E69" s="24" t="str">
        <f t="shared" si="6"/>
        <v xml:space="preserve">CCDR SANTA CRUZ </v>
      </c>
      <c r="F69" s="3"/>
      <c r="G69" s="15"/>
      <c r="H69" s="3"/>
      <c r="I69" s="25"/>
      <c r="J69" s="33"/>
      <c r="K69" s="22"/>
      <c r="L69" s="22"/>
      <c r="M69" s="34"/>
      <c r="N69" s="26"/>
      <c r="O69" s="3"/>
      <c r="P69" s="3"/>
      <c r="Q69" s="34"/>
      <c r="R69" s="16"/>
      <c r="S69" s="3"/>
      <c r="T69" s="15"/>
      <c r="U69" s="39"/>
      <c r="V69" s="16">
        <v>37</v>
      </c>
      <c r="W69" s="15">
        <f>IFERROR(VLOOKUP(V69,'Puntos XCC Mayor'!$A$1:$B$15,2,FALSE),0)</f>
        <v>0</v>
      </c>
      <c r="X69" s="15">
        <v>36</v>
      </c>
      <c r="Y69" s="25">
        <f>IFERROR(VLOOKUP(X69,'Puntos XCO'!$A$1:$B$63,2,FALSE),0)</f>
        <v>28</v>
      </c>
      <c r="Z69" s="16">
        <f t="shared" si="7"/>
        <v>0</v>
      </c>
      <c r="AA69" s="15">
        <f>IFERROR(VLOOKUP(Z69,'Puntos XCC Mayor'!$A$1:$B$15,2,FALSE),0)</f>
        <v>0</v>
      </c>
      <c r="AB69" s="15">
        <f t="shared" si="8"/>
        <v>0</v>
      </c>
      <c r="AC69" s="25">
        <f>IFERROR(VLOOKUP(AB69,'Puntos XCO'!$A$1:$B$63,2,FALSE),0)</f>
        <v>0</v>
      </c>
      <c r="AD69" s="16"/>
      <c r="AE69" s="15"/>
      <c r="AF69" s="15"/>
      <c r="AG69" s="25"/>
      <c r="AH69" s="27">
        <f t="shared" si="9"/>
        <v>28</v>
      </c>
      <c r="AJ69" s="3"/>
    </row>
    <row r="70" spans="1:36" ht="24.95" customHeight="1">
      <c r="A70" s="3">
        <v>56</v>
      </c>
      <c r="B70" s="3"/>
      <c r="C70" s="22">
        <v>334</v>
      </c>
      <c r="D70" s="23" t="str">
        <f t="shared" si="5"/>
        <v>SOLIS Santiago*</v>
      </c>
      <c r="E70" s="24" t="str">
        <f t="shared" si="6"/>
        <v xml:space="preserve">Betel Moana </v>
      </c>
      <c r="F70" s="3">
        <v>15</v>
      </c>
      <c r="G70" s="15">
        <v>0</v>
      </c>
      <c r="H70" s="3">
        <v>0</v>
      </c>
      <c r="I70" s="25">
        <v>0</v>
      </c>
      <c r="J70" s="33">
        <v>38</v>
      </c>
      <c r="K70" s="22">
        <v>0</v>
      </c>
      <c r="L70" s="22">
        <v>0</v>
      </c>
      <c r="M70" s="34">
        <v>0</v>
      </c>
      <c r="N70" s="26"/>
      <c r="O70" s="3">
        <f>IFERROR(VLOOKUP(N70,'Puntos XCC Menor'!$A$1:$B$15,2,FALSE),0)</f>
        <v>0</v>
      </c>
      <c r="P70" s="3">
        <v>0</v>
      </c>
      <c r="Q70" s="34">
        <f>IFERROR(VLOOKUP(P70,'Puntos XCO'!$A$1:$B$63,2,FALSE),0)</f>
        <v>0</v>
      </c>
      <c r="R70" s="16">
        <v>0</v>
      </c>
      <c r="S70" s="3">
        <f>IFERROR(VLOOKUP(R70,'Puntos XCC Menor'!$A$1:$B$15,2,FALSE),0)</f>
        <v>0</v>
      </c>
      <c r="T70" s="15">
        <v>0</v>
      </c>
      <c r="U70" s="39">
        <f>IFERROR(VLOOKUP(T70,'Puntos XCO'!$A$1:$B$63,2,FALSE),0)</f>
        <v>0</v>
      </c>
      <c r="V70" s="16">
        <v>0</v>
      </c>
      <c r="W70" s="15">
        <f>IFERROR(VLOOKUP(V70,'Puntos XCC Mayor'!$A$1:$B$15,2,FALSE),0)</f>
        <v>0</v>
      </c>
      <c r="X70" s="15">
        <v>0</v>
      </c>
      <c r="Y70" s="25">
        <f>IFERROR(VLOOKUP(X70,'Puntos XCO'!$A$1:$B$63,2,FALSE),0)</f>
        <v>0</v>
      </c>
      <c r="Z70" s="16">
        <f t="shared" si="7"/>
        <v>6</v>
      </c>
      <c r="AA70" s="15">
        <f>IFERROR(VLOOKUP(Z70,'Puntos XCC Mayor'!$A$1:$B$15,2,FALSE),0)</f>
        <v>10</v>
      </c>
      <c r="AB70" s="15">
        <f t="shared" si="8"/>
        <v>0</v>
      </c>
      <c r="AC70" s="25">
        <f>IFERROR(VLOOKUP(AB70,'Puntos XCO'!$A$1:$B$63,2,FALSE),0)</f>
        <v>0</v>
      </c>
      <c r="AD70" s="16"/>
      <c r="AE70" s="15"/>
      <c r="AF70" s="15"/>
      <c r="AG70" s="25"/>
      <c r="AH70" s="27">
        <f t="shared" si="9"/>
        <v>10</v>
      </c>
      <c r="AJ70" s="3"/>
    </row>
    <row r="71" spans="1:36" ht="24.95" customHeight="1">
      <c r="A71" s="3"/>
      <c r="B71" s="3"/>
      <c r="C71" s="22">
        <v>308</v>
      </c>
      <c r="D71" s="23" t="str">
        <f t="shared" si="5"/>
        <v>HERRERO Josué*</v>
      </c>
      <c r="E71" s="24" t="str">
        <f t="shared" si="6"/>
        <v xml:space="preserve">CICLISMO BELÉN </v>
      </c>
      <c r="F71" s="3">
        <v>0</v>
      </c>
      <c r="G71" s="15">
        <v>0</v>
      </c>
      <c r="H71" s="3">
        <v>0</v>
      </c>
      <c r="I71" s="25">
        <v>0</v>
      </c>
      <c r="J71" s="33">
        <v>0</v>
      </c>
      <c r="K71" s="22">
        <v>0</v>
      </c>
      <c r="L71" s="22">
        <v>0</v>
      </c>
      <c r="M71" s="34">
        <v>0</v>
      </c>
      <c r="N71" s="26"/>
      <c r="O71" s="3">
        <f>IFERROR(VLOOKUP(N71,'Puntos XCC Menor'!$A$1:$B$15,2,FALSE),0)</f>
        <v>0</v>
      </c>
      <c r="P71" s="3">
        <v>0</v>
      </c>
      <c r="Q71" s="34">
        <f>IFERROR(VLOOKUP(P71,'Puntos XCO'!$A$1:$B$63,2,FALSE),0)</f>
        <v>0</v>
      </c>
      <c r="R71" s="16">
        <v>0</v>
      </c>
      <c r="S71" s="3">
        <f>IFERROR(VLOOKUP(R71,'Puntos XCC Menor'!$A$1:$B$15,2,FALSE),0)</f>
        <v>0</v>
      </c>
      <c r="T71" s="15">
        <v>0</v>
      </c>
      <c r="U71" s="39">
        <f>IFERROR(VLOOKUP(T71,'Puntos XCO'!$A$1:$B$63,2,FALSE),0)</f>
        <v>0</v>
      </c>
      <c r="V71" s="16">
        <v>0</v>
      </c>
      <c r="W71" s="15">
        <f>IFERROR(VLOOKUP(V71,'Puntos XCC Mayor'!$A$1:$B$15,2,FALSE),0)</f>
        <v>0</v>
      </c>
      <c r="X71" s="15">
        <v>0</v>
      </c>
      <c r="Y71" s="25">
        <f>IFERROR(VLOOKUP(X71,'Puntos XCO'!$A$1:$B$63,2,FALSE),0)</f>
        <v>0</v>
      </c>
      <c r="Z71" s="16">
        <f t="shared" si="7"/>
        <v>0</v>
      </c>
      <c r="AA71" s="15">
        <f>IFERROR(VLOOKUP(Z71,'Puntos XCC Mayor'!$A$1:$B$15,2,FALSE),0)</f>
        <v>0</v>
      </c>
      <c r="AB71" s="15">
        <f t="shared" si="8"/>
        <v>0</v>
      </c>
      <c r="AC71" s="25">
        <f>IFERROR(VLOOKUP(AB71,'Puntos XCO'!$A$1:$B$63,2,FALSE),0)</f>
        <v>0</v>
      </c>
      <c r="AD71" s="16"/>
      <c r="AE71" s="15"/>
      <c r="AF71" s="15"/>
      <c r="AG71" s="25"/>
      <c r="AH71" s="27">
        <f t="shared" si="9"/>
        <v>0</v>
      </c>
      <c r="AJ71" s="3"/>
    </row>
    <row r="72" spans="1:36" ht="24.95" customHeight="1">
      <c r="A72" s="3"/>
      <c r="B72" s="3"/>
      <c r="C72" s="22">
        <v>357</v>
      </c>
      <c r="D72" s="23" t="str">
        <f t="shared" si="5"/>
        <v xml:space="preserve">CASTRO  Carlos Isaac </v>
      </c>
      <c r="E72" s="24" t="str">
        <f t="shared" si="6"/>
        <v xml:space="preserve">COMITÉ DE DEPORTES DE ACOSTA </v>
      </c>
      <c r="F72" s="3"/>
      <c r="G72" s="15"/>
      <c r="H72" s="3"/>
      <c r="I72" s="25"/>
      <c r="J72" s="33"/>
      <c r="K72" s="22"/>
      <c r="L72" s="22"/>
      <c r="M72" s="34"/>
      <c r="N72" s="26"/>
      <c r="O72" s="3"/>
      <c r="P72" s="3"/>
      <c r="Q72" s="34"/>
      <c r="R72" s="32"/>
      <c r="S72" s="30"/>
      <c r="T72" s="3"/>
      <c r="U72" s="39"/>
      <c r="V72" s="16">
        <v>0</v>
      </c>
      <c r="W72" s="15">
        <f>IFERROR(VLOOKUP(V72,'Puntos XCC Mayor'!$A$1:$B$15,2,FALSE),0)</f>
        <v>0</v>
      </c>
      <c r="X72" s="15">
        <v>0</v>
      </c>
      <c r="Y72" s="25">
        <f>IFERROR(VLOOKUP(X72,'Puntos XCO'!$A$1:$B$63,2,FALSE),0)</f>
        <v>0</v>
      </c>
      <c r="Z72" s="16">
        <f t="shared" si="7"/>
        <v>0</v>
      </c>
      <c r="AA72" s="15">
        <f>IFERROR(VLOOKUP(Z72,'Puntos XCC Mayor'!$A$1:$B$15,2,FALSE),0)</f>
        <v>0</v>
      </c>
      <c r="AB72" s="15">
        <f t="shared" si="8"/>
        <v>0</v>
      </c>
      <c r="AC72" s="25">
        <f>IFERROR(VLOOKUP(AB72,'Puntos XCO'!$A$1:$B$63,2,FALSE),0)</f>
        <v>0</v>
      </c>
      <c r="AD72" s="16"/>
      <c r="AE72" s="15"/>
      <c r="AF72" s="15"/>
      <c r="AG72" s="25"/>
      <c r="AH72" s="27">
        <f t="shared" si="9"/>
        <v>0</v>
      </c>
      <c r="AJ72" s="3"/>
    </row>
    <row r="73" spans="1:36" ht="24.95" customHeight="1">
      <c r="A73" s="3"/>
      <c r="B73" s="3"/>
      <c r="C73" s="28"/>
      <c r="D73" s="23"/>
      <c r="E73" s="24"/>
      <c r="F73" s="3"/>
      <c r="G73" s="15"/>
      <c r="H73" s="15"/>
      <c r="I73" s="25"/>
      <c r="J73" s="33"/>
      <c r="K73" s="22"/>
      <c r="L73" s="22"/>
      <c r="M73" s="34"/>
      <c r="N73" s="26"/>
      <c r="O73" s="3"/>
      <c r="P73" s="3"/>
      <c r="Q73" s="34"/>
      <c r="R73" s="32"/>
      <c r="S73" s="30"/>
      <c r="T73" s="3"/>
      <c r="U73" s="39"/>
      <c r="V73" s="16"/>
      <c r="W73" s="15"/>
      <c r="X73" s="15"/>
      <c r="Y73" s="25"/>
      <c r="Z73" s="16"/>
      <c r="AA73" s="15"/>
      <c r="AB73" s="15"/>
      <c r="AC73" s="25"/>
      <c r="AD73" s="16"/>
      <c r="AE73" s="15"/>
      <c r="AF73" s="15"/>
      <c r="AG73" s="25"/>
      <c r="AH73" s="27"/>
      <c r="AJ73" s="3"/>
    </row>
    <row r="74" spans="1:36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6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</row>
    <row r="75" spans="1:36">
      <c r="M75" s="9"/>
      <c r="N75" s="9"/>
      <c r="O75" s="9"/>
      <c r="P75" s="10"/>
      <c r="Q75" s="9"/>
      <c r="R75" s="9"/>
      <c r="S75" s="9"/>
      <c r="T75" s="9"/>
      <c r="U75" s="9"/>
    </row>
    <row r="76" spans="1:36" ht="105" customHeight="1"/>
    <row r="77" spans="1:36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74"/>
      <c r="Q77" s="65"/>
      <c r="R77" s="65"/>
      <c r="S77" s="65"/>
      <c r="T77" s="65"/>
      <c r="U77" s="65"/>
      <c r="V77" s="65"/>
      <c r="W77" s="65"/>
      <c r="X77" s="65"/>
      <c r="Y77" s="65"/>
      <c r="Z77" s="119"/>
      <c r="AA77" s="119"/>
      <c r="AB77" s="119"/>
      <c r="AC77" s="119"/>
      <c r="AD77" s="119"/>
      <c r="AE77" s="119"/>
      <c r="AF77" s="119"/>
      <c r="AG77" s="119"/>
      <c r="AH77" s="65"/>
    </row>
  </sheetData>
  <sortState ref="B15:AH72">
    <sortCondition descending="1" ref="AH15:AH72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74:C65552 C1:C9 C12:C14">
    <cfRule type="duplicateValues" dxfId="500" priority="66" stopIfTrue="1"/>
  </conditionalFormatting>
  <conditionalFormatting sqref="F73">
    <cfRule type="duplicateValues" dxfId="499" priority="67" stopIfTrue="1"/>
  </conditionalFormatting>
  <conditionalFormatting sqref="B73">
    <cfRule type="duplicateValues" dxfId="498" priority="68" stopIfTrue="1"/>
  </conditionalFormatting>
  <conditionalFormatting sqref="C15:C65">
    <cfRule type="duplicateValues" dxfId="497" priority="7875"/>
  </conditionalFormatting>
  <conditionalFormatting sqref="AJ15:AJ73">
    <cfRule type="duplicateValues" dxfId="496" priority="7877"/>
  </conditionalFormatting>
  <conditionalFormatting sqref="C66:C70">
    <cfRule type="duplicateValues" dxfId="495" priority="7"/>
  </conditionalFormatting>
  <conditionalFormatting sqref="C71">
    <cfRule type="duplicateValues" dxfId="494" priority="6"/>
  </conditionalFormatting>
  <conditionalFormatting sqref="C11">
    <cfRule type="duplicateValues" dxfId="493" priority="4" stopIfTrue="1"/>
  </conditionalFormatting>
  <conditionalFormatting sqref="C11">
    <cfRule type="duplicateValues" dxfId="492" priority="5" stopIfTrue="1"/>
  </conditionalFormatting>
  <conditionalFormatting sqref="D11">
    <cfRule type="duplicateValues" dxfId="491" priority="3" stopIfTrue="1"/>
  </conditionalFormatting>
  <conditionalFormatting sqref="C10">
    <cfRule type="duplicateValues" dxfId="490" priority="1" stopIfTrue="1"/>
  </conditionalFormatting>
  <conditionalFormatting sqref="C10">
    <cfRule type="duplicateValues" dxfId="489" priority="2" stopIfTrue="1"/>
  </conditionalFormatting>
  <pageMargins left="0.70866141732283472" right="0.70866141732283472" top="0.74803149606299213" bottom="0.74803149606299213" header="0.31496062992125984" footer="0.31496062992125984"/>
  <pageSetup paperSize="9" scale="41" fitToHeight="1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pageSetUpPr fitToPage="1"/>
  </sheetPr>
  <dimension ref="A8:AM29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3.285156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55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3">
        <v>1</v>
      </c>
      <c r="B15" s="3">
        <v>1</v>
      </c>
      <c r="C15" s="22">
        <v>381</v>
      </c>
      <c r="D15" s="23" t="str">
        <f t="shared" ref="D15:D24" si="0">VLOOKUP(C15,PLANILLA,2,FALSE)</f>
        <v xml:space="preserve">JIMÉNEZ Briana </v>
      </c>
      <c r="E15" s="24" t="str">
        <f t="shared" ref="E15:E24" si="1">VLOOKUP(C15,PLANILLA,4,FALSE)</f>
        <v xml:space="preserve"> Bobbys cycling team codea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1</v>
      </c>
      <c r="Q15" s="34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1</v>
      </c>
      <c r="W15" s="15">
        <f>IFERROR(VLOOKUP(V15,'Puntos XCC Mayor'!$A$1:$B$15,2,FALSE),0)</f>
        <v>25</v>
      </c>
      <c r="X15" s="15">
        <v>2</v>
      </c>
      <c r="Y15" s="25">
        <f>IFERROR(VLOOKUP(X15,'Puntos XCO'!$A$1:$B$63,2,FALSE),0)</f>
        <v>150</v>
      </c>
      <c r="Z15" s="16">
        <f t="shared" ref="Z15:Z24" si="2">IFERROR(VLOOKUP($C15,RESXCC_1,9,FALSE),0)</f>
        <v>1</v>
      </c>
      <c r="AA15" s="15">
        <f>IFERROR(VLOOKUP(Z15,'Puntos XCC Mayor'!$A$1:$B$15,2,FALSE),0)</f>
        <v>25</v>
      </c>
      <c r="AB15" s="15">
        <f t="shared" ref="AB15:AB24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4" si="4">G15+I15+K15+M15+O15+Q15+S15+U15+W15+Y15+AA15+AC15+AE15+AG15</f>
        <v>1230</v>
      </c>
      <c r="AJ15" s="2"/>
      <c r="AK15" s="13"/>
      <c r="AL15" s="12"/>
      <c r="AM15" s="14"/>
    </row>
    <row r="16" spans="1:39" ht="24.95" customHeight="1">
      <c r="A16" s="3">
        <v>2</v>
      </c>
      <c r="B16" s="3">
        <v>2</v>
      </c>
      <c r="C16" s="22">
        <v>387</v>
      </c>
      <c r="D16" s="23" t="str">
        <f t="shared" si="0"/>
        <v>AZOFEIFA SOFIA*</v>
      </c>
      <c r="E16" s="24" t="str">
        <f t="shared" si="1"/>
        <v>BOBBYS CYCLING TEAM</v>
      </c>
      <c r="F16" s="3">
        <v>2</v>
      </c>
      <c r="G16" s="15">
        <v>9</v>
      </c>
      <c r="H16" s="3">
        <v>2</v>
      </c>
      <c r="I16" s="25">
        <v>150</v>
      </c>
      <c r="J16" s="33">
        <v>2</v>
      </c>
      <c r="K16" s="22">
        <v>9</v>
      </c>
      <c r="L16" s="22">
        <v>3</v>
      </c>
      <c r="M16" s="34">
        <v>120</v>
      </c>
      <c r="N16" s="26"/>
      <c r="O16" s="3">
        <f>IFERROR(VLOOKUP(N16,'Puntos XCC Menor'!$A$1:$B$15,2,FALSE),0)</f>
        <v>0</v>
      </c>
      <c r="P16" s="3">
        <v>0</v>
      </c>
      <c r="Q16" s="34">
        <f>IFERROR(VLOOKUP(P16,'Puntos XCO'!$A$1:$B$63,2,FALSE),0)</f>
        <v>0</v>
      </c>
      <c r="R16" s="16">
        <v>3</v>
      </c>
      <c r="S16" s="3">
        <f>IFERROR(VLOOKUP(R16,'Puntos XCC Menor'!$A$1:$B$15,2,FALSE),0)</f>
        <v>8</v>
      </c>
      <c r="T16" s="15">
        <v>2</v>
      </c>
      <c r="U16" s="39">
        <f>IFERROR(VLOOKUP(T16,'Puntos XCO'!$A$1:$B$63,2,FALSE),0)</f>
        <v>150</v>
      </c>
      <c r="V16" s="16">
        <v>2</v>
      </c>
      <c r="W16" s="15">
        <f>IFERROR(VLOOKUP(V16,'Puntos XCC Mayor'!$A$1:$B$15,2,FALSE),0)</f>
        <v>20</v>
      </c>
      <c r="X16" s="15">
        <v>3</v>
      </c>
      <c r="Y16" s="25">
        <f>IFERROR(VLOOKUP(X16,'Puntos XCO'!$A$1:$B$63,2,FALSE),0)</f>
        <v>120</v>
      </c>
      <c r="Z16" s="16">
        <f t="shared" si="2"/>
        <v>2</v>
      </c>
      <c r="AA16" s="15">
        <f>IFERROR(VLOOKUP(Z16,'Puntos XCC Mayor'!$A$1:$B$15,2,FALSE),0)</f>
        <v>20</v>
      </c>
      <c r="AB16" s="15">
        <f t="shared" si="3"/>
        <v>4</v>
      </c>
      <c r="AC16" s="25">
        <f>IFERROR(VLOOKUP(AB16,'Puntos XCO'!$A$1:$B$63,2,FALSE),0)</f>
        <v>110</v>
      </c>
      <c r="AD16" s="16"/>
      <c r="AE16" s="15"/>
      <c r="AF16" s="15"/>
      <c r="AG16" s="25"/>
      <c r="AH16" s="27">
        <f t="shared" si="4"/>
        <v>716</v>
      </c>
      <c r="AJ16" s="2"/>
      <c r="AK16" s="13"/>
      <c r="AL16" s="12"/>
      <c r="AM16" s="14"/>
    </row>
    <row r="17" spans="1:39" ht="24.95" customHeight="1">
      <c r="A17" s="3">
        <v>3</v>
      </c>
      <c r="B17" s="3">
        <v>4</v>
      </c>
      <c r="C17" s="22">
        <v>382</v>
      </c>
      <c r="D17" s="23" t="str">
        <f t="shared" si="0"/>
        <v xml:space="preserve">CASTRO Camila </v>
      </c>
      <c r="E17" s="24" t="str">
        <f t="shared" si="1"/>
        <v xml:space="preserve">CCDR Santa Ana </v>
      </c>
      <c r="F17" s="3">
        <v>3</v>
      </c>
      <c r="G17" s="15">
        <v>8</v>
      </c>
      <c r="H17" s="3">
        <v>4</v>
      </c>
      <c r="I17" s="25">
        <v>110</v>
      </c>
      <c r="J17" s="33">
        <v>3</v>
      </c>
      <c r="K17" s="22">
        <v>8</v>
      </c>
      <c r="L17" s="22">
        <v>2</v>
      </c>
      <c r="M17" s="34">
        <v>150</v>
      </c>
      <c r="N17" s="26"/>
      <c r="O17" s="3">
        <f>IFERROR(VLOOKUP(N17,'Puntos XCC Menor'!$A$1:$B$15,2,FALSE),0)</f>
        <v>0</v>
      </c>
      <c r="P17" s="3">
        <v>0</v>
      </c>
      <c r="Q17" s="34">
        <f>IFERROR(VLOOKUP(P17,'Puntos XCO'!$A$1:$B$63,2,FALSE),0)</f>
        <v>0</v>
      </c>
      <c r="R17" s="16">
        <v>5</v>
      </c>
      <c r="S17" s="3">
        <f>IFERROR(VLOOKUP(R17,'Puntos XCC Menor'!$A$1:$B$15,2,FALSE),0)</f>
        <v>6</v>
      </c>
      <c r="T17" s="15">
        <v>0</v>
      </c>
      <c r="U17" s="39">
        <f>IFERROR(VLOOKUP(T17,'Puntos XCO'!$A$1:$B$63,2,FALSE),0)</f>
        <v>0</v>
      </c>
      <c r="V17" s="16">
        <v>3</v>
      </c>
      <c r="W17" s="15">
        <f>IFERROR(VLOOKUP(V17,'Puntos XCC Mayor'!$A$1:$B$15,2,FALSE),0)</f>
        <v>16</v>
      </c>
      <c r="X17" s="15">
        <v>1</v>
      </c>
      <c r="Y17" s="25">
        <f>IFERROR(VLOOKUP(X17,'Puntos XCO'!$A$1:$B$63,2,FALSE),0)</f>
        <v>200</v>
      </c>
      <c r="Z17" s="16">
        <f t="shared" si="2"/>
        <v>3</v>
      </c>
      <c r="AA17" s="15">
        <f>IFERROR(VLOOKUP(Z17,'Puntos XCC Mayor'!$A$1:$B$15,2,FALSE),0)</f>
        <v>16</v>
      </c>
      <c r="AB17" s="15">
        <f t="shared" si="3"/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4"/>
        <v>664</v>
      </c>
      <c r="AJ17" s="2"/>
      <c r="AK17" s="13"/>
      <c r="AL17" s="12"/>
      <c r="AM17" s="14"/>
    </row>
    <row r="18" spans="1:39" ht="24.95" customHeight="1">
      <c r="A18" s="3">
        <v>4</v>
      </c>
      <c r="B18" s="3">
        <v>3</v>
      </c>
      <c r="C18" s="22">
        <v>384</v>
      </c>
      <c r="D18" s="23" t="str">
        <f t="shared" si="0"/>
        <v>SOLIS Nathalia Fabiana*</v>
      </c>
      <c r="E18" s="24" t="str">
        <f t="shared" si="1"/>
        <v xml:space="preserve">CCDR ALAJUELA </v>
      </c>
      <c r="F18" s="3">
        <v>0</v>
      </c>
      <c r="G18" s="15">
        <v>0</v>
      </c>
      <c r="H18" s="3">
        <v>8</v>
      </c>
      <c r="I18" s="25">
        <v>85</v>
      </c>
      <c r="J18" s="33">
        <v>8</v>
      </c>
      <c r="K18" s="22">
        <v>3</v>
      </c>
      <c r="L18" s="22">
        <v>6</v>
      </c>
      <c r="M18" s="34">
        <v>95</v>
      </c>
      <c r="N18" s="26"/>
      <c r="O18" s="3">
        <f>IFERROR(VLOOKUP(N18,'Puntos XCC Menor'!$A$1:$B$15,2,FALSE),0)</f>
        <v>0</v>
      </c>
      <c r="P18" s="3">
        <v>3</v>
      </c>
      <c r="Q18" s="34">
        <f>IFERROR(VLOOKUP(P18,'Puntos XCO'!$A$1:$B$63,2,FALSE),0)</f>
        <v>120</v>
      </c>
      <c r="R18" s="16">
        <v>6</v>
      </c>
      <c r="S18" s="3">
        <f>IFERROR(VLOOKUP(R18,'Puntos XCC Menor'!$A$1:$B$15,2,FALSE),0)</f>
        <v>5</v>
      </c>
      <c r="T18" s="15">
        <v>4</v>
      </c>
      <c r="U18" s="39">
        <f>IFERROR(VLOOKUP(T18,'Puntos XCO'!$A$1:$B$63,2,FALSE),0)</f>
        <v>110</v>
      </c>
      <c r="V18" s="16">
        <v>7</v>
      </c>
      <c r="W18" s="15">
        <f>IFERROR(VLOOKUP(V18,'Puntos XCC Mayor'!$A$1:$B$15,2,FALSE),0)</f>
        <v>9</v>
      </c>
      <c r="X18" s="15">
        <v>6</v>
      </c>
      <c r="Y18" s="25">
        <f>IFERROR(VLOOKUP(X18,'Puntos XCO'!$A$1:$B$63,2,FALSE),0)</f>
        <v>95</v>
      </c>
      <c r="Z18" s="16">
        <f t="shared" si="2"/>
        <v>6</v>
      </c>
      <c r="AA18" s="15">
        <f>IFERROR(VLOOKUP(Z18,'Puntos XCC Mayor'!$A$1:$B$15,2,FALSE),0)</f>
        <v>10</v>
      </c>
      <c r="AB18" s="15">
        <f t="shared" si="3"/>
        <v>6</v>
      </c>
      <c r="AC18" s="25">
        <f>IFERROR(VLOOKUP(AB18,'Puntos XCO'!$A$1:$B$63,2,FALSE),0)</f>
        <v>95</v>
      </c>
      <c r="AD18" s="16"/>
      <c r="AE18" s="15"/>
      <c r="AF18" s="15"/>
      <c r="AG18" s="25"/>
      <c r="AH18" s="27">
        <f t="shared" si="4"/>
        <v>627</v>
      </c>
      <c r="AJ18" s="2"/>
      <c r="AK18" s="13"/>
      <c r="AL18" s="12"/>
      <c r="AM18" s="14"/>
    </row>
    <row r="19" spans="1:39" ht="24.95" customHeight="1">
      <c r="A19" s="3">
        <v>5</v>
      </c>
      <c r="B19" s="3">
        <v>6</v>
      </c>
      <c r="C19" s="22">
        <v>386</v>
      </c>
      <c r="D19" s="23" t="str">
        <f t="shared" si="0"/>
        <v>LIZANO Nicole Daniela</v>
      </c>
      <c r="E19" s="24" t="str">
        <f t="shared" si="1"/>
        <v>Megamo ManzaTé La Selva</v>
      </c>
      <c r="F19" s="3">
        <v>4</v>
      </c>
      <c r="G19" s="15">
        <v>7</v>
      </c>
      <c r="H19" s="3">
        <v>3</v>
      </c>
      <c r="I19" s="25">
        <v>120</v>
      </c>
      <c r="J19" s="33">
        <v>5</v>
      </c>
      <c r="K19" s="22">
        <v>6</v>
      </c>
      <c r="L19" s="22">
        <v>5</v>
      </c>
      <c r="M19" s="34">
        <v>100</v>
      </c>
      <c r="N19" s="26"/>
      <c r="O19" s="3">
        <f>IFERROR(VLOOKUP(N19,'Puntos XCC Menor'!$A$1:$B$15,2,FALSE),0)</f>
        <v>0</v>
      </c>
      <c r="P19" s="3">
        <v>0</v>
      </c>
      <c r="Q19" s="34">
        <f>IFERROR(VLOOKUP(P19,'Puntos XCO'!$A$1:$B$63,2,FALSE),0)</f>
        <v>0</v>
      </c>
      <c r="R19" s="16">
        <v>2</v>
      </c>
      <c r="S19" s="3">
        <f>IFERROR(VLOOKUP(R19,'Puntos XCC Menor'!$A$1:$B$15,2,FALSE),0)</f>
        <v>9</v>
      </c>
      <c r="T19" s="15">
        <v>5</v>
      </c>
      <c r="U19" s="39">
        <f>IFERROR(VLOOKUP(T19,'Puntos XCO'!$A$1:$B$63,2,FALSE),0)</f>
        <v>100</v>
      </c>
      <c r="V19" s="16">
        <v>4</v>
      </c>
      <c r="W19" s="15">
        <f>IFERROR(VLOOKUP(V19,'Puntos XCC Mayor'!$A$1:$B$15,2,FALSE),0)</f>
        <v>14</v>
      </c>
      <c r="X19" s="15">
        <v>4</v>
      </c>
      <c r="Y19" s="25">
        <f>IFERROR(VLOOKUP(X19,'Puntos XCO'!$A$1:$B$63,2,FALSE),0)</f>
        <v>110</v>
      </c>
      <c r="Z19" s="16">
        <f t="shared" si="2"/>
        <v>4</v>
      </c>
      <c r="AA19" s="15">
        <f>IFERROR(VLOOKUP(Z19,'Puntos XCC Mayor'!$A$1:$B$15,2,FALSE),0)</f>
        <v>14</v>
      </c>
      <c r="AB19" s="15">
        <f t="shared" si="3"/>
        <v>3</v>
      </c>
      <c r="AC19" s="25">
        <f>IFERROR(VLOOKUP(AB19,'Puntos XCO'!$A$1:$B$63,2,FALSE),0)</f>
        <v>120</v>
      </c>
      <c r="AD19" s="16"/>
      <c r="AE19" s="15"/>
      <c r="AF19" s="15"/>
      <c r="AG19" s="25"/>
      <c r="AH19" s="27">
        <f t="shared" si="4"/>
        <v>600</v>
      </c>
      <c r="AJ19" s="2"/>
      <c r="AK19" s="13"/>
      <c r="AL19" s="12"/>
      <c r="AM19" s="14"/>
    </row>
    <row r="20" spans="1:39" ht="24.95" customHeight="1">
      <c r="A20" s="3">
        <v>6</v>
      </c>
      <c r="B20" s="3">
        <v>7</v>
      </c>
      <c r="C20" s="22">
        <v>385</v>
      </c>
      <c r="D20" s="23" t="str">
        <f t="shared" si="0"/>
        <v xml:space="preserve">OVIEDO  Camila </v>
      </c>
      <c r="E20" s="24" t="str">
        <f t="shared" si="1"/>
        <v xml:space="preserve">Ciclismo Belen </v>
      </c>
      <c r="F20" s="3">
        <v>5</v>
      </c>
      <c r="G20" s="15">
        <v>6</v>
      </c>
      <c r="H20" s="3">
        <v>5</v>
      </c>
      <c r="I20" s="25">
        <v>100</v>
      </c>
      <c r="J20" s="33">
        <v>4</v>
      </c>
      <c r="K20" s="22">
        <v>7</v>
      </c>
      <c r="L20" s="22">
        <v>7</v>
      </c>
      <c r="M20" s="34">
        <v>90</v>
      </c>
      <c r="N20" s="26"/>
      <c r="O20" s="3">
        <f>IFERROR(VLOOKUP(N20,'Puntos XCC Menor'!$A$1:$B$15,2,FALSE),0)</f>
        <v>0</v>
      </c>
      <c r="P20" s="3">
        <v>0</v>
      </c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6</v>
      </c>
      <c r="U20" s="39">
        <f>IFERROR(VLOOKUP(T20,'Puntos XCO'!$A$1:$B$63,2,FALSE),0)</f>
        <v>95</v>
      </c>
      <c r="V20" s="16">
        <v>8</v>
      </c>
      <c r="W20" s="15">
        <f>IFERROR(VLOOKUP(V20,'Puntos XCC Mayor'!$A$1:$B$15,2,FALSE),0)</f>
        <v>8</v>
      </c>
      <c r="X20" s="15">
        <v>8</v>
      </c>
      <c r="Y20" s="25">
        <f>IFERROR(VLOOKUP(X20,'Puntos XCO'!$A$1:$B$63,2,FALSE),0)</f>
        <v>85</v>
      </c>
      <c r="Z20" s="16">
        <f t="shared" si="2"/>
        <v>5</v>
      </c>
      <c r="AA20" s="15">
        <f>IFERROR(VLOOKUP(Z20,'Puntos XCC Mayor'!$A$1:$B$15,2,FALSE),0)</f>
        <v>12</v>
      </c>
      <c r="AB20" s="15">
        <f t="shared" si="3"/>
        <v>5</v>
      </c>
      <c r="AC20" s="25">
        <f>IFERROR(VLOOKUP(AB20,'Puntos XCO'!$A$1:$B$63,2,FALSE),0)</f>
        <v>100</v>
      </c>
      <c r="AD20" s="16"/>
      <c r="AE20" s="15"/>
      <c r="AF20" s="15"/>
      <c r="AG20" s="25"/>
      <c r="AH20" s="27">
        <f t="shared" si="4"/>
        <v>503</v>
      </c>
      <c r="AJ20" s="2"/>
      <c r="AK20" s="13"/>
      <c r="AL20" s="12"/>
      <c r="AM20" s="14"/>
    </row>
    <row r="21" spans="1:39" ht="24.95" customHeight="1">
      <c r="A21" s="3">
        <v>7</v>
      </c>
      <c r="B21" s="3">
        <v>5</v>
      </c>
      <c r="C21" s="22">
        <v>388</v>
      </c>
      <c r="D21" s="23" t="str">
        <f t="shared" si="0"/>
        <v>CÉSPEDES  Isabella Jazlene*</v>
      </c>
      <c r="E21" s="24" t="str">
        <f t="shared" si="1"/>
        <v xml:space="preserve">SKALA MONTEVERDE/ CCDR MONTEVERDE </v>
      </c>
      <c r="F21" s="3">
        <v>7</v>
      </c>
      <c r="G21" s="15">
        <v>4</v>
      </c>
      <c r="H21" s="3">
        <v>6</v>
      </c>
      <c r="I21" s="25">
        <v>95</v>
      </c>
      <c r="J21" s="33">
        <v>7</v>
      </c>
      <c r="K21" s="22">
        <v>4</v>
      </c>
      <c r="L21" s="22">
        <v>0</v>
      </c>
      <c r="M21" s="34">
        <v>0</v>
      </c>
      <c r="N21" s="26"/>
      <c r="O21" s="3">
        <f>IFERROR(VLOOKUP(N21,'Puntos XCC Menor'!$A$1:$B$15,2,FALSE),0)</f>
        <v>0</v>
      </c>
      <c r="P21" s="3">
        <v>2</v>
      </c>
      <c r="Q21" s="34">
        <f>IFERROR(VLOOKUP(P21,'Puntos XCO'!$A$1:$B$63,2,FALSE),0)</f>
        <v>150</v>
      </c>
      <c r="R21" s="16">
        <v>4</v>
      </c>
      <c r="S21" s="3">
        <f>IFERROR(VLOOKUP(R21,'Puntos XCC Menor'!$A$1:$B$15,2,FALSE),0)</f>
        <v>7</v>
      </c>
      <c r="T21" s="15">
        <v>3</v>
      </c>
      <c r="U21" s="39">
        <f>IFERROR(VLOOKUP(T21,'Puntos XCO'!$A$1:$B$63,2,FALSE),0)</f>
        <v>120</v>
      </c>
      <c r="V21" s="16">
        <v>6</v>
      </c>
      <c r="W21" s="15">
        <f>IFERROR(VLOOKUP(V21,'Puntos XCC Mayor'!$A$1:$B$15,2,FALSE),0)</f>
        <v>10</v>
      </c>
      <c r="X21" s="15">
        <v>7</v>
      </c>
      <c r="Y21" s="25">
        <f>IFERROR(VLOOKUP(X21,'Puntos XCO'!$A$1:$B$63,2,FALSE),0)</f>
        <v>90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480</v>
      </c>
      <c r="AJ21" s="2"/>
      <c r="AK21" s="13"/>
      <c r="AL21" s="12"/>
      <c r="AM21" s="14"/>
    </row>
    <row r="22" spans="1:39" ht="24.95" customHeight="1">
      <c r="A22" s="3">
        <v>8</v>
      </c>
      <c r="B22" s="3">
        <v>8</v>
      </c>
      <c r="C22" s="22">
        <v>383</v>
      </c>
      <c r="D22" s="23" t="str">
        <f t="shared" si="0"/>
        <v>ALFARO María Isabella*</v>
      </c>
      <c r="E22" s="24" t="str">
        <f t="shared" si="1"/>
        <v>CCDR SANTA ANA</v>
      </c>
      <c r="F22" s="3">
        <v>6</v>
      </c>
      <c r="G22" s="15">
        <v>5</v>
      </c>
      <c r="H22" s="3">
        <v>7</v>
      </c>
      <c r="I22" s="25">
        <v>90</v>
      </c>
      <c r="J22" s="33">
        <v>6</v>
      </c>
      <c r="K22" s="22">
        <v>5</v>
      </c>
      <c r="L22" s="22">
        <v>4</v>
      </c>
      <c r="M22" s="34">
        <v>110</v>
      </c>
      <c r="N22" s="26"/>
      <c r="O22" s="3">
        <f>IFERROR(VLOOKUP(N22,'Puntos XCC Menor'!$A$1:$B$15,2,FALSE),0)</f>
        <v>0</v>
      </c>
      <c r="P22" s="3">
        <v>0</v>
      </c>
      <c r="Q22" s="34">
        <f>IFERROR(VLOOKUP(P22,'Puntos XCO'!$A$1:$B$63,2,FALSE),0)</f>
        <v>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v>5</v>
      </c>
      <c r="W22" s="15">
        <f>IFERROR(VLOOKUP(V22,'Puntos XCC Mayor'!$A$1:$B$15,2,FALSE),0)</f>
        <v>12</v>
      </c>
      <c r="X22" s="15">
        <v>5</v>
      </c>
      <c r="Y22" s="25">
        <f>IFERROR(VLOOKUP(X22,'Puntos XCO'!$A$1:$B$63,2,FALSE),0)</f>
        <v>100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322</v>
      </c>
      <c r="AJ22" s="2"/>
      <c r="AK22" s="13"/>
      <c r="AL22" s="12"/>
      <c r="AM22" s="14"/>
    </row>
    <row r="23" spans="1:39" ht="24.95" customHeight="1">
      <c r="A23" s="3">
        <v>9</v>
      </c>
      <c r="B23" s="3">
        <v>9</v>
      </c>
      <c r="C23" s="22">
        <v>390</v>
      </c>
      <c r="D23" s="23" t="str">
        <f t="shared" si="0"/>
        <v>GUTIÉRREZ Gaele Sofia*</v>
      </c>
      <c r="E23" s="24" t="str">
        <f t="shared" si="1"/>
        <v xml:space="preserve">CCDR Santa Cruz/Numu Coaching </v>
      </c>
      <c r="F23" s="3"/>
      <c r="G23" s="15"/>
      <c r="H23" s="15"/>
      <c r="I23" s="25"/>
      <c r="J23" s="33">
        <v>9</v>
      </c>
      <c r="K23" s="22">
        <v>2</v>
      </c>
      <c r="L23" s="22">
        <v>8</v>
      </c>
      <c r="M23" s="34">
        <v>85</v>
      </c>
      <c r="N23" s="26"/>
      <c r="O23" s="3">
        <f>IFERROR(VLOOKUP(N23,'Puntos XCC Menor'!$A$1:$B$15,2,FALSE),0)</f>
        <v>0</v>
      </c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0</v>
      </c>
      <c r="W23" s="15">
        <f>IFERROR(VLOOKUP(V23,'Puntos XCC Mayor'!$A$1:$B$15,2,FALSE),0)</f>
        <v>0</v>
      </c>
      <c r="X23" s="15">
        <v>9</v>
      </c>
      <c r="Y23" s="25">
        <f>IFERROR(VLOOKUP(X23,'Puntos XCO'!$A$1:$B$63,2,FALSE),0)</f>
        <v>80</v>
      </c>
      <c r="Z23" s="16">
        <f t="shared" si="2"/>
        <v>7</v>
      </c>
      <c r="AA23" s="15">
        <f>IFERROR(VLOOKUP(Z23,'Puntos XCC Mayor'!$A$1:$B$15,2,FALSE),0)</f>
        <v>9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176</v>
      </c>
      <c r="AJ23" s="3"/>
    </row>
    <row r="24" spans="1:39" ht="24.95" customHeight="1">
      <c r="A24" s="3"/>
      <c r="B24" s="3"/>
      <c r="C24" s="22">
        <v>389</v>
      </c>
      <c r="D24" s="23" t="str">
        <f t="shared" si="0"/>
        <v xml:space="preserve">PÉREZ  Alexa </v>
      </c>
      <c r="E24" s="24" t="str">
        <f t="shared" si="1"/>
        <v xml:space="preserve">CICLISMO TURRIALBA </v>
      </c>
      <c r="F24" s="3">
        <v>0</v>
      </c>
      <c r="G24" s="15">
        <v>0</v>
      </c>
      <c r="H24" s="3">
        <v>0</v>
      </c>
      <c r="I24" s="63">
        <v>0</v>
      </c>
      <c r="J24" s="33">
        <v>0</v>
      </c>
      <c r="K24" s="22">
        <v>0</v>
      </c>
      <c r="L24" s="22">
        <v>0</v>
      </c>
      <c r="M24" s="34">
        <v>0</v>
      </c>
      <c r="N24" s="26"/>
      <c r="O24" s="3">
        <f>IFERROR(VLOOKUP(N24,'Puntos XCC Menor'!$A$1:$B$15,2,FALSE),0)</f>
        <v>0</v>
      </c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0</v>
      </c>
      <c r="W24" s="15">
        <f>IFERROR(VLOOKUP(V24,'Puntos XCC Mayor'!$A$1:$B$15,2,FALSE),0)</f>
        <v>0</v>
      </c>
      <c r="X24" s="15">
        <v>0</v>
      </c>
      <c r="Y24" s="25">
        <f>IFERROR(VLOOKUP(X24,'Puntos XCO'!$A$1:$B$63,2,FALSE),0)</f>
        <v>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0</v>
      </c>
      <c r="AJ24" s="3"/>
    </row>
    <row r="25" spans="1:39" ht="24.95" customHeight="1">
      <c r="A25" s="3"/>
      <c r="B25" s="3"/>
      <c r="C25" s="22"/>
      <c r="D25" s="23"/>
      <c r="E25" s="62"/>
      <c r="F25" s="3"/>
      <c r="G25" s="15"/>
      <c r="H25" s="3"/>
      <c r="I25" s="63"/>
      <c r="J25" s="106"/>
      <c r="K25" s="22"/>
      <c r="L25" s="22"/>
      <c r="M25" s="106"/>
      <c r="N25" s="64"/>
      <c r="O25" s="3"/>
      <c r="P25" s="3"/>
      <c r="Q25" s="106"/>
      <c r="R25" s="112"/>
      <c r="S25" s="30"/>
      <c r="T25" s="3"/>
      <c r="U25" s="64"/>
      <c r="V25" s="63"/>
      <c r="W25" s="15"/>
      <c r="X25" s="15"/>
      <c r="Y25" s="63"/>
      <c r="Z25" s="63"/>
      <c r="AA25" s="15"/>
      <c r="AB25" s="15"/>
      <c r="AC25" s="63"/>
      <c r="AD25" s="63"/>
      <c r="AE25" s="15"/>
      <c r="AF25" s="15"/>
      <c r="AG25" s="63"/>
      <c r="AH25" s="27"/>
      <c r="AJ25" s="3"/>
    </row>
    <row r="26" spans="1:39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74"/>
      <c r="Q26" s="65"/>
      <c r="R26" s="65"/>
      <c r="S26" s="65"/>
      <c r="T26" s="65"/>
      <c r="U26" s="65"/>
      <c r="V26" s="65"/>
      <c r="W26" s="65"/>
      <c r="X26" s="65"/>
      <c r="Y26" s="65"/>
      <c r="Z26" s="119"/>
      <c r="AA26" s="119"/>
      <c r="AB26" s="119"/>
      <c r="AC26" s="119"/>
      <c r="AD26" s="119"/>
      <c r="AE26" s="119"/>
      <c r="AF26" s="119"/>
      <c r="AG26" s="119"/>
      <c r="AH26" s="65"/>
    </row>
    <row r="27" spans="1:39">
      <c r="M27" s="9"/>
      <c r="N27" s="9"/>
      <c r="O27" s="9"/>
      <c r="P27" s="10"/>
      <c r="Q27" s="9"/>
      <c r="R27" s="9"/>
      <c r="S27" s="9"/>
      <c r="T27" s="9"/>
      <c r="U27" s="9"/>
    </row>
    <row r="28" spans="1:39" ht="127.5" customHeight="1"/>
    <row r="29" spans="1:3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4"/>
      <c r="Q29" s="65"/>
      <c r="R29" s="65"/>
      <c r="S29" s="65"/>
      <c r="T29" s="65"/>
      <c r="U29" s="65"/>
      <c r="V29" s="65"/>
      <c r="W29" s="65"/>
      <c r="X29" s="65"/>
      <c r="Y29" s="65"/>
      <c r="Z29" s="119"/>
      <c r="AA29" s="119"/>
      <c r="AB29" s="119"/>
      <c r="AC29" s="119"/>
      <c r="AD29" s="119"/>
      <c r="AE29" s="119"/>
      <c r="AF29" s="119"/>
      <c r="AG29" s="119"/>
      <c r="AH29" s="65"/>
    </row>
  </sheetData>
  <sortState ref="B15:AH24">
    <sortCondition descending="1" ref="AH15:AH24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6:C65504 C1:C9 C12:C14">
    <cfRule type="duplicateValues" dxfId="488" priority="49" stopIfTrue="1"/>
  </conditionalFormatting>
  <conditionalFormatting sqref="F23:F25">
    <cfRule type="duplicateValues" dxfId="487" priority="7845" stopIfTrue="1"/>
  </conditionalFormatting>
  <conditionalFormatting sqref="B24:B25">
    <cfRule type="duplicateValues" dxfId="486" priority="7846" stopIfTrue="1"/>
  </conditionalFormatting>
  <conditionalFormatting sqref="AJ15:AJ25">
    <cfRule type="duplicateValues" dxfId="485" priority="7847"/>
  </conditionalFormatting>
  <conditionalFormatting sqref="C11">
    <cfRule type="duplicateValues" dxfId="484" priority="4" stopIfTrue="1"/>
  </conditionalFormatting>
  <conditionalFormatting sqref="C11">
    <cfRule type="duplicateValues" dxfId="483" priority="5" stopIfTrue="1"/>
  </conditionalFormatting>
  <conditionalFormatting sqref="D11">
    <cfRule type="duplicateValues" dxfId="482" priority="3" stopIfTrue="1"/>
  </conditionalFormatting>
  <conditionalFormatting sqref="C10">
    <cfRule type="duplicateValues" dxfId="481" priority="1" stopIfTrue="1"/>
  </conditionalFormatting>
  <conditionalFormatting sqref="C10">
    <cfRule type="duplicateValues" dxfId="480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pageSetUpPr fitToPage="1"/>
  </sheetPr>
  <dimension ref="A8:AM63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42578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56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510</v>
      </c>
      <c r="D15" s="23" t="str">
        <f t="shared" ref="D15:D58" si="0">VLOOKUP(C15,PLANILLA,2,FALSE)</f>
        <v xml:space="preserve">RODRÍGUEZ Joaquín </v>
      </c>
      <c r="E15" s="24" t="str">
        <f t="shared" ref="E15:E58" si="1">VLOOKUP(C15,PLANILLA,4,FALSE)</f>
        <v xml:space="preserve">CCDR SAN JOSÉ </v>
      </c>
      <c r="F15" s="3">
        <v>6</v>
      </c>
      <c r="G15" s="15">
        <v>5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>
        <f>IFERROR(VLOOKUP(C15,RESXCC_1,9,FALSE),0)</f>
        <v>4</v>
      </c>
      <c r="O15" s="3">
        <f>IFERROR(VLOOKUP(N15,'Puntos XCC Menor'!$A$1:$B$15,2,FALSE),0)</f>
        <v>7</v>
      </c>
      <c r="P15" s="3">
        <v>1</v>
      </c>
      <c r="Q15" s="39">
        <f>IFERROR(VLOOKUP(P15,'Puntos XCO'!$A$1:$B$63,2,FALSE),0)</f>
        <v>200</v>
      </c>
      <c r="R15" s="16">
        <v>6</v>
      </c>
      <c r="S15" s="3">
        <f>IFERROR(VLOOKUP(R15,'Puntos XCC Menor'!$A$1:$B$15,2,FALSE),0)</f>
        <v>5</v>
      </c>
      <c r="T15" s="15">
        <v>7</v>
      </c>
      <c r="U15" s="39">
        <f>IFERROR(VLOOKUP(T15,'Puntos XCO'!$A$1:$B$63,2,FALSE),0)</f>
        <v>90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>
        <f t="shared" ref="Z15:Z58" si="2">IFERROR(VLOOKUP($C15,RESXCC_1,9,FALSE),0)</f>
        <v>4</v>
      </c>
      <c r="AA15" s="15">
        <f>IFERROR(VLOOKUP(Z15,'Puntos XCC Mayor'!$A$1:$B$15,2,FALSE),0)</f>
        <v>14</v>
      </c>
      <c r="AB15" s="15">
        <f t="shared" ref="AB15:AB58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58" si="4">G15+I15+K15+M15+O15+Q15+S15+U15+W15+Y15+AA15+AC15+AE15+AG15</f>
        <v>1156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518</v>
      </c>
      <c r="D16" s="23" t="str">
        <f t="shared" si="0"/>
        <v>VALVERDE Liam</v>
      </c>
      <c r="E16" s="24" t="str">
        <f t="shared" si="1"/>
        <v xml:space="preserve">Asociación Ciclística Turrialbeña </v>
      </c>
      <c r="F16" s="3">
        <v>5</v>
      </c>
      <c r="G16" s="15">
        <v>6</v>
      </c>
      <c r="H16" s="3">
        <v>3</v>
      </c>
      <c r="I16" s="25">
        <v>120</v>
      </c>
      <c r="J16" s="33">
        <v>3</v>
      </c>
      <c r="K16" s="22">
        <v>8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2</v>
      </c>
      <c r="Q16" s="39">
        <f>IFERROR(VLOOKUP(P16,'Puntos XCO'!$A$1:$B$63,2,FALSE),0)</f>
        <v>150</v>
      </c>
      <c r="R16" s="16">
        <v>1</v>
      </c>
      <c r="S16" s="3">
        <f>IFERROR(VLOOKUP(R16,'Puntos XCC Menor'!$A$1:$B$15,2,FALSE),0)</f>
        <v>10</v>
      </c>
      <c r="T16" s="15">
        <v>4</v>
      </c>
      <c r="U16" s="39">
        <f>IFERROR(VLOOKUP(T16,'Puntos XCO'!$A$1:$B$63,2,FALSE),0)</f>
        <v>110</v>
      </c>
      <c r="V16" s="16">
        <v>2</v>
      </c>
      <c r="W16" s="15">
        <f>IFERROR(VLOOKUP(V16,'Puntos XCC Mayor'!$A$1:$B$15,2,FALSE),0)</f>
        <v>20</v>
      </c>
      <c r="X16" s="15">
        <v>2</v>
      </c>
      <c r="Y16" s="25">
        <f>IFERROR(VLOOKUP(X16,'Puntos XCO'!$A$1:$B$63,2,FALSE),0)</f>
        <v>150</v>
      </c>
      <c r="Z16" s="16">
        <f t="shared" si="2"/>
        <v>4</v>
      </c>
      <c r="AA16" s="15">
        <f>IFERROR(VLOOKUP(Z16,'Puntos XCC Mayor'!$A$1:$B$15,2,FALSE),0)</f>
        <v>14</v>
      </c>
      <c r="AB16" s="15">
        <f t="shared" si="3"/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4"/>
        <v>858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5</v>
      </c>
      <c r="C17" s="22">
        <v>505</v>
      </c>
      <c r="D17" s="23" t="str">
        <f t="shared" si="0"/>
        <v xml:space="preserve">CORDERO Iker Mattias </v>
      </c>
      <c r="E17" s="24" t="str">
        <f t="shared" si="1"/>
        <v>PZ CYCLING TEAM</v>
      </c>
      <c r="F17" s="3">
        <v>7</v>
      </c>
      <c r="G17" s="15">
        <v>4</v>
      </c>
      <c r="H17" s="3">
        <v>4</v>
      </c>
      <c r="I17" s="25">
        <v>110</v>
      </c>
      <c r="J17" s="33">
        <v>6</v>
      </c>
      <c r="K17" s="22">
        <v>5</v>
      </c>
      <c r="L17" s="22">
        <v>5</v>
      </c>
      <c r="M17" s="34">
        <v>100</v>
      </c>
      <c r="N17" s="26"/>
      <c r="O17" s="3">
        <f>IFERROR(VLOOKUP(N17,'Puntos XCC Menor'!$A$1:$B$15,2,FALSE),0)</f>
        <v>0</v>
      </c>
      <c r="P17" s="3">
        <v>3</v>
      </c>
      <c r="Q17" s="39">
        <f>IFERROR(VLOOKUP(P17,'Puntos XCO'!$A$1:$B$63,2,FALSE),0)</f>
        <v>120</v>
      </c>
      <c r="R17" s="16">
        <v>3</v>
      </c>
      <c r="S17" s="3">
        <f>IFERROR(VLOOKUP(R17,'Puntos XCC Menor'!$A$1:$B$15,2,FALSE),0)</f>
        <v>8</v>
      </c>
      <c r="T17" s="15">
        <v>6</v>
      </c>
      <c r="U17" s="39">
        <f>IFERROR(VLOOKUP(T17,'Puntos XCO'!$A$1:$B$63,2,FALSE),0)</f>
        <v>95</v>
      </c>
      <c r="V17" s="16">
        <v>6</v>
      </c>
      <c r="W17" s="15">
        <f>IFERROR(VLOOKUP(V17,'Puntos XCC Mayor'!$A$1:$B$15,2,FALSE),0)</f>
        <v>10</v>
      </c>
      <c r="X17" s="15">
        <v>7</v>
      </c>
      <c r="Y17" s="25">
        <f>IFERROR(VLOOKUP(X17,'Puntos XCO'!$A$1:$B$63,2,FALSE),0)</f>
        <v>90</v>
      </c>
      <c r="Z17" s="16">
        <f t="shared" si="2"/>
        <v>3</v>
      </c>
      <c r="AA17" s="15">
        <f>IFERROR(VLOOKUP(Z17,'Puntos XCC Mayor'!$A$1:$B$15,2,FALSE),0)</f>
        <v>16</v>
      </c>
      <c r="AB17" s="15">
        <f t="shared" si="3"/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4"/>
        <v>708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3</v>
      </c>
      <c r="C18" s="22">
        <v>502</v>
      </c>
      <c r="D18" s="23" t="str">
        <f t="shared" si="0"/>
        <v xml:space="preserve">ARCE Mathew </v>
      </c>
      <c r="E18" s="24" t="str">
        <f t="shared" si="1"/>
        <v xml:space="preserve">CCDR PARAÍSO </v>
      </c>
      <c r="F18" s="3">
        <v>1</v>
      </c>
      <c r="G18" s="15">
        <v>10</v>
      </c>
      <c r="H18" s="3">
        <v>5</v>
      </c>
      <c r="I18" s="25">
        <v>100</v>
      </c>
      <c r="J18" s="33">
        <v>2</v>
      </c>
      <c r="K18" s="22">
        <v>9</v>
      </c>
      <c r="L18" s="22">
        <v>3</v>
      </c>
      <c r="M18" s="34">
        <v>120</v>
      </c>
      <c r="N18" s="26"/>
      <c r="O18" s="3">
        <f>IFERROR(VLOOKUP(N18,'Puntos XCC Menor'!$A$1:$B$15,2,FALSE),0)</f>
        <v>0</v>
      </c>
      <c r="P18" s="3">
        <v>5</v>
      </c>
      <c r="Q18" s="39">
        <f>IFERROR(VLOOKUP(P18,'Puntos XCO'!$A$1:$B$63,2,FALSE),0)</f>
        <v>100</v>
      </c>
      <c r="R18" s="16">
        <v>0</v>
      </c>
      <c r="S18" s="3">
        <f>IFERROR(VLOOKUP(R18,'Puntos XCC Menor'!$A$1:$B$15,2,FALSE),0)</f>
        <v>0</v>
      </c>
      <c r="T18" s="15">
        <v>5</v>
      </c>
      <c r="U18" s="39">
        <f>IFERROR(VLOOKUP(T18,'Puntos XCO'!$A$1:$B$63,2,FALSE),0)</f>
        <v>100</v>
      </c>
      <c r="V18" s="16">
        <v>5</v>
      </c>
      <c r="W18" s="15">
        <f>IFERROR(VLOOKUP(V18,'Puntos XCC Mayor'!$A$1:$B$15,2,FALSE),0)</f>
        <v>12</v>
      </c>
      <c r="X18" s="15">
        <v>4</v>
      </c>
      <c r="Y18" s="25">
        <f>IFERROR(VLOOKUP(X18,'Puntos XCO'!$A$1:$B$63,2,FALSE),0)</f>
        <v>110</v>
      </c>
      <c r="Z18" s="16">
        <f t="shared" si="2"/>
        <v>1</v>
      </c>
      <c r="AA18" s="15">
        <f>IFERROR(VLOOKUP(Z18,'Puntos XCC Mayor'!$A$1:$B$15,2,FALSE),0)</f>
        <v>25</v>
      </c>
      <c r="AB18" s="15">
        <f t="shared" si="3"/>
        <v>5</v>
      </c>
      <c r="AC18" s="25">
        <f>IFERROR(VLOOKUP(AB18,'Puntos XCO'!$A$1:$B$63,2,FALSE),0)</f>
        <v>100</v>
      </c>
      <c r="AD18" s="16"/>
      <c r="AE18" s="15"/>
      <c r="AF18" s="15"/>
      <c r="AG18" s="25"/>
      <c r="AH18" s="27">
        <f t="shared" si="4"/>
        <v>686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6</v>
      </c>
      <c r="C19" s="22">
        <v>512</v>
      </c>
      <c r="D19" s="23" t="str">
        <f t="shared" si="0"/>
        <v xml:space="preserve">SANDI Derek Ivan </v>
      </c>
      <c r="E19" s="24" t="str">
        <f t="shared" si="1"/>
        <v xml:space="preserve">CCDR ESCAZÚ </v>
      </c>
      <c r="F19" s="3">
        <v>3</v>
      </c>
      <c r="G19" s="15">
        <v>8</v>
      </c>
      <c r="H19" s="3">
        <v>2</v>
      </c>
      <c r="I19" s="25">
        <v>150</v>
      </c>
      <c r="J19" s="33">
        <v>7</v>
      </c>
      <c r="K19" s="22">
        <v>4</v>
      </c>
      <c r="L19" s="22">
        <v>0</v>
      </c>
      <c r="M19" s="34">
        <v>0</v>
      </c>
      <c r="N19" s="26"/>
      <c r="O19" s="3">
        <f>IFERROR(VLOOKUP(N19,'Puntos XCC Menor'!$A$1:$B$15,2,FALSE),0)</f>
        <v>0</v>
      </c>
      <c r="P19" s="3">
        <v>6</v>
      </c>
      <c r="Q19" s="39">
        <f>IFERROR(VLOOKUP(P19,'Puntos XCO'!$A$1:$B$63,2,FALSE),0)</f>
        <v>95</v>
      </c>
      <c r="R19" s="16">
        <v>2</v>
      </c>
      <c r="S19" s="3">
        <f>IFERROR(VLOOKUP(R19,'Puntos XCC Menor'!$A$1:$B$15,2,FALSE),0)</f>
        <v>9</v>
      </c>
      <c r="T19" s="15">
        <v>2</v>
      </c>
      <c r="U19" s="39">
        <f>IFERROR(VLOOKUP(T19,'Puntos XCO'!$A$1:$B$63,2,FALSE),0)</f>
        <v>150</v>
      </c>
      <c r="V19" s="16">
        <v>7</v>
      </c>
      <c r="W19" s="15">
        <f>IFERROR(VLOOKUP(V19,'Puntos XCC Mayor'!$A$1:$B$15,2,FALSE),0)</f>
        <v>9</v>
      </c>
      <c r="X19" s="15">
        <v>5</v>
      </c>
      <c r="Y19" s="25">
        <f>IFERROR(VLOOKUP(X19,'Puntos XCO'!$A$1:$B$63,2,FALSE),0)</f>
        <v>100</v>
      </c>
      <c r="Z19" s="16">
        <f t="shared" si="2"/>
        <v>8</v>
      </c>
      <c r="AA19" s="15">
        <f>IFERROR(VLOOKUP(Z19,'Puntos XCC Mayor'!$A$1:$B$15,2,FALSE),0)</f>
        <v>8</v>
      </c>
      <c r="AB19" s="15">
        <f t="shared" si="3"/>
        <v>7</v>
      </c>
      <c r="AC19" s="25">
        <f>IFERROR(VLOOKUP(AB19,'Puntos XCO'!$A$1:$B$63,2,FALSE),0)</f>
        <v>90</v>
      </c>
      <c r="AD19" s="16"/>
      <c r="AE19" s="15"/>
      <c r="AF19" s="15"/>
      <c r="AG19" s="25"/>
      <c r="AH19" s="27">
        <f t="shared" si="4"/>
        <v>623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4</v>
      </c>
      <c r="C20" s="22">
        <v>501</v>
      </c>
      <c r="D20" s="23" t="str">
        <f t="shared" si="0"/>
        <v xml:space="preserve">DURAN Emanuel </v>
      </c>
      <c r="E20" s="24" t="str">
        <f t="shared" si="1"/>
        <v>Zarcero Betel Mohana Edus Ceci</v>
      </c>
      <c r="F20" s="3">
        <v>2</v>
      </c>
      <c r="G20" s="15">
        <v>9</v>
      </c>
      <c r="H20" s="3">
        <v>6</v>
      </c>
      <c r="I20" s="25">
        <v>95</v>
      </c>
      <c r="J20" s="33">
        <v>8</v>
      </c>
      <c r="K20" s="22">
        <v>3</v>
      </c>
      <c r="L20" s="22">
        <v>4</v>
      </c>
      <c r="M20" s="34">
        <v>110</v>
      </c>
      <c r="N20" s="26"/>
      <c r="O20" s="3">
        <f>IFERROR(VLOOKUP(N20,'Puntos XCC Menor'!$A$1:$B$15,2,FALSE),0)</f>
        <v>0</v>
      </c>
      <c r="P20" s="3">
        <v>0</v>
      </c>
      <c r="Q20" s="39">
        <f>IFERROR(VLOOKUP(P20,'Puntos XCO'!$A$1:$B$63,2,FALSE),0)</f>
        <v>0</v>
      </c>
      <c r="R20" s="16">
        <v>4</v>
      </c>
      <c r="S20" s="3">
        <f>IFERROR(VLOOKUP(R20,'Puntos XCC Menor'!$A$1:$B$15,2,FALSE),0)</f>
        <v>7</v>
      </c>
      <c r="T20" s="15">
        <v>1</v>
      </c>
      <c r="U20" s="39">
        <f>IFERROR(VLOOKUP(T20,'Puntos XCO'!$A$1:$B$63,2,FALSE),0)</f>
        <v>200</v>
      </c>
      <c r="V20" s="16">
        <v>0</v>
      </c>
      <c r="W20" s="15">
        <f>IFERROR(VLOOKUP(V20,'Puntos XCC Mayor'!$A$1:$B$15,2,FALSE),0)</f>
        <v>0</v>
      </c>
      <c r="X20" s="15">
        <v>3</v>
      </c>
      <c r="Y20" s="25">
        <f>IFERROR(VLOOKUP(X20,'Puntos XCO'!$A$1:$B$63,2,FALSE),0)</f>
        <v>120</v>
      </c>
      <c r="Z20" s="16">
        <f t="shared" si="2"/>
        <v>2</v>
      </c>
      <c r="AA20" s="15">
        <f>IFERROR(VLOOKUP(Z20,'Puntos XCC Mayor'!$A$1:$B$15,2,FALSE),0)</f>
        <v>20</v>
      </c>
      <c r="AB20" s="15">
        <f t="shared" si="3"/>
        <v>23</v>
      </c>
      <c r="AC20" s="25">
        <f>IFERROR(VLOOKUP(AB20,'Puntos XCO'!$A$1:$B$63,2,FALSE),0)</f>
        <v>52</v>
      </c>
      <c r="AD20" s="16"/>
      <c r="AE20" s="15"/>
      <c r="AF20" s="15"/>
      <c r="AG20" s="25"/>
      <c r="AH20" s="27">
        <f t="shared" si="4"/>
        <v>616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7</v>
      </c>
      <c r="C21" s="22">
        <v>507</v>
      </c>
      <c r="D21" s="23" t="str">
        <f t="shared" si="0"/>
        <v>MARÍN  Isaac José</v>
      </c>
      <c r="E21" s="24" t="str">
        <f t="shared" si="1"/>
        <v xml:space="preserve">ACISA SARAPIQUI </v>
      </c>
      <c r="F21" s="3">
        <v>4</v>
      </c>
      <c r="G21" s="15">
        <v>7</v>
      </c>
      <c r="H21" s="3">
        <v>11</v>
      </c>
      <c r="I21" s="25">
        <v>76</v>
      </c>
      <c r="J21" s="33">
        <v>5</v>
      </c>
      <c r="K21" s="22">
        <v>6</v>
      </c>
      <c r="L21" s="22">
        <v>7</v>
      </c>
      <c r="M21" s="34">
        <v>90</v>
      </c>
      <c r="N21" s="26"/>
      <c r="O21" s="3">
        <f>IFERROR(VLOOKUP(N21,'Puntos XCC Menor'!$A$1:$B$15,2,FALSE),0)</f>
        <v>0</v>
      </c>
      <c r="P21" s="3">
        <v>8</v>
      </c>
      <c r="Q21" s="39">
        <f>IFERROR(VLOOKUP(P21,'Puntos XCO'!$A$1:$B$63,2,FALSE),0)</f>
        <v>85</v>
      </c>
      <c r="R21" s="16">
        <v>5</v>
      </c>
      <c r="S21" s="3">
        <f>IFERROR(VLOOKUP(R21,'Puntos XCC Menor'!$A$1:$B$15,2,FALSE),0)</f>
        <v>6</v>
      </c>
      <c r="T21" s="15">
        <v>3</v>
      </c>
      <c r="U21" s="39">
        <f>IFERROR(VLOOKUP(T21,'Puntos XCO'!$A$1:$B$63,2,FALSE),0)</f>
        <v>120</v>
      </c>
      <c r="V21" s="16">
        <v>3</v>
      </c>
      <c r="W21" s="15">
        <f>IFERROR(VLOOKUP(V21,'Puntos XCC Mayor'!$A$1:$B$15,2,FALSE),0)</f>
        <v>16</v>
      </c>
      <c r="X21" s="15">
        <v>6</v>
      </c>
      <c r="Y21" s="25">
        <f>IFERROR(VLOOKUP(X21,'Puntos XCO'!$A$1:$B$63,2,FALSE),0)</f>
        <v>95</v>
      </c>
      <c r="Z21" s="16">
        <f t="shared" si="2"/>
        <v>7</v>
      </c>
      <c r="AA21" s="15">
        <f>IFERROR(VLOOKUP(Z21,'Puntos XCC Mayor'!$A$1:$B$15,2,FALSE),0)</f>
        <v>9</v>
      </c>
      <c r="AB21" s="15">
        <f t="shared" si="3"/>
        <v>6</v>
      </c>
      <c r="AC21" s="25">
        <f>IFERROR(VLOOKUP(AB21,'Puntos XCO'!$A$1:$B$63,2,FALSE),0)</f>
        <v>95</v>
      </c>
      <c r="AD21" s="16"/>
      <c r="AE21" s="15"/>
      <c r="AF21" s="15"/>
      <c r="AG21" s="25"/>
      <c r="AH21" s="27">
        <f t="shared" si="4"/>
        <v>605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8</v>
      </c>
      <c r="C22" s="22">
        <v>503</v>
      </c>
      <c r="D22" s="23" t="str">
        <f t="shared" si="0"/>
        <v>CAMPOS Angelo Samuel*</v>
      </c>
      <c r="E22" s="24" t="str">
        <f t="shared" si="1"/>
        <v xml:space="preserve">TEAM CQ.PZ </v>
      </c>
      <c r="F22" s="3">
        <v>13</v>
      </c>
      <c r="G22" s="15">
        <v>0</v>
      </c>
      <c r="H22" s="3">
        <v>10</v>
      </c>
      <c r="I22" s="25">
        <v>78</v>
      </c>
      <c r="J22" s="33">
        <v>13</v>
      </c>
      <c r="K22" s="22">
        <v>0</v>
      </c>
      <c r="L22" s="22">
        <v>10</v>
      </c>
      <c r="M22" s="34">
        <v>78</v>
      </c>
      <c r="N22" s="26"/>
      <c r="O22" s="3">
        <f>IFERROR(VLOOKUP(N22,'Puntos XCC Menor'!$A$1:$B$15,2,FALSE),0)</f>
        <v>0</v>
      </c>
      <c r="P22" s="3">
        <v>10</v>
      </c>
      <c r="Q22" s="39">
        <f>IFERROR(VLOOKUP(P22,'Puntos XCO'!$A$1:$B$63,2,FALSE),0)</f>
        <v>78</v>
      </c>
      <c r="R22" s="16">
        <v>10</v>
      </c>
      <c r="S22" s="3">
        <f>IFERROR(VLOOKUP(R22,'Puntos XCC Menor'!$A$1:$B$15,2,FALSE),0)</f>
        <v>1</v>
      </c>
      <c r="T22" s="15">
        <v>11</v>
      </c>
      <c r="U22" s="39">
        <f>IFERROR(VLOOKUP(T22,'Puntos XCO'!$A$1:$B$63,2,FALSE),0)</f>
        <v>76</v>
      </c>
      <c r="V22" s="16">
        <v>12</v>
      </c>
      <c r="W22" s="15">
        <f>IFERROR(VLOOKUP(V22,'Puntos XCC Mayor'!$A$1:$B$15,2,FALSE),0)</f>
        <v>4</v>
      </c>
      <c r="X22" s="15">
        <v>11</v>
      </c>
      <c r="Y22" s="25">
        <f>IFERROR(VLOOKUP(X22,'Puntos XCO'!$A$1:$B$63,2,FALSE),0)</f>
        <v>76</v>
      </c>
      <c r="Z22" s="16">
        <f t="shared" si="2"/>
        <v>11</v>
      </c>
      <c r="AA22" s="15">
        <f>IFERROR(VLOOKUP(Z22,'Puntos XCC Mayor'!$A$1:$B$15,2,FALSE),0)</f>
        <v>5</v>
      </c>
      <c r="AB22" s="15">
        <f t="shared" si="3"/>
        <v>11</v>
      </c>
      <c r="AC22" s="25">
        <f>IFERROR(VLOOKUP(AB22,'Puntos XCO'!$A$1:$B$63,2,FALSE),0)</f>
        <v>76</v>
      </c>
      <c r="AD22" s="16"/>
      <c r="AE22" s="15"/>
      <c r="AF22" s="15"/>
      <c r="AG22" s="25"/>
      <c r="AH22" s="27">
        <f t="shared" si="4"/>
        <v>472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10</v>
      </c>
      <c r="C23" s="22">
        <v>521</v>
      </c>
      <c r="D23" s="23" t="str">
        <f t="shared" si="0"/>
        <v>RAMIREZ David</v>
      </c>
      <c r="E23" s="24" t="str">
        <f t="shared" si="1"/>
        <v xml:space="preserve">CCDR San José </v>
      </c>
      <c r="F23" s="3">
        <v>8</v>
      </c>
      <c r="G23" s="15">
        <v>3</v>
      </c>
      <c r="H23" s="3">
        <v>7</v>
      </c>
      <c r="I23" s="25">
        <v>90</v>
      </c>
      <c r="J23" s="33">
        <v>4</v>
      </c>
      <c r="K23" s="22">
        <v>7</v>
      </c>
      <c r="L23" s="22">
        <v>6</v>
      </c>
      <c r="M23" s="34">
        <v>95</v>
      </c>
      <c r="N23" s="26"/>
      <c r="O23" s="3">
        <f>IFERROR(VLOOKUP(N23,'Puntos XCC Menor'!$A$1:$B$15,2,FALSE),0)</f>
        <v>0</v>
      </c>
      <c r="P23" s="3">
        <v>12</v>
      </c>
      <c r="Q23" s="39">
        <f>IFERROR(VLOOKUP(P23,'Puntos XCO'!$A$1:$B$63,2,FALSE),0)</f>
        <v>74</v>
      </c>
      <c r="R23" s="16">
        <v>9</v>
      </c>
      <c r="S23" s="3">
        <f>IFERROR(VLOOKUP(R23,'Puntos XCC Menor'!$A$1:$B$15,2,FALSE),0)</f>
        <v>2</v>
      </c>
      <c r="T23" s="15">
        <v>0</v>
      </c>
      <c r="U23" s="39">
        <f>IFERROR(VLOOKUP(T23,'Puntos XCO'!$A$1:$B$63,2,FALSE),0)</f>
        <v>0</v>
      </c>
      <c r="V23" s="16">
        <v>4</v>
      </c>
      <c r="W23" s="15">
        <f>IFERROR(VLOOKUP(V23,'Puntos XCC Mayor'!$A$1:$B$15,2,FALSE),0)</f>
        <v>14</v>
      </c>
      <c r="X23" s="15">
        <v>21</v>
      </c>
      <c r="Y23" s="25">
        <f>IFERROR(VLOOKUP(X23,'Puntos XCO'!$A$1:$B$63,2,FALSE),0)</f>
        <v>56</v>
      </c>
      <c r="Z23" s="16">
        <f t="shared" si="2"/>
        <v>6</v>
      </c>
      <c r="AA23" s="15">
        <f>IFERROR(VLOOKUP(Z23,'Puntos XCC Mayor'!$A$1:$B$15,2,FALSE),0)</f>
        <v>10</v>
      </c>
      <c r="AB23" s="15">
        <f t="shared" si="3"/>
        <v>4</v>
      </c>
      <c r="AC23" s="25">
        <f>IFERROR(VLOOKUP(AB23,'Puntos XCO'!$A$1:$B$63,2,FALSE),0)</f>
        <v>110</v>
      </c>
      <c r="AD23" s="16"/>
      <c r="AE23" s="15"/>
      <c r="AF23" s="15"/>
      <c r="AG23" s="25"/>
      <c r="AH23" s="27">
        <f t="shared" si="4"/>
        <v>461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11</v>
      </c>
      <c r="C24" s="22">
        <v>504</v>
      </c>
      <c r="D24" s="23" t="str">
        <f t="shared" si="0"/>
        <v>BONILLA Keyshmer*</v>
      </c>
      <c r="E24" s="24" t="str">
        <f t="shared" si="1"/>
        <v xml:space="preserve">CCDRESCAZU </v>
      </c>
      <c r="F24" s="3">
        <v>15</v>
      </c>
      <c r="G24" s="15">
        <v>0</v>
      </c>
      <c r="H24" s="3">
        <v>14</v>
      </c>
      <c r="I24" s="25">
        <v>70</v>
      </c>
      <c r="J24" s="33">
        <v>17</v>
      </c>
      <c r="K24" s="22">
        <v>0</v>
      </c>
      <c r="L24" s="22">
        <v>19</v>
      </c>
      <c r="M24" s="34">
        <v>60</v>
      </c>
      <c r="N24" s="26"/>
      <c r="O24" s="3">
        <f>IFERROR(VLOOKUP(N24,'Puntos XCC Menor'!$A$1:$B$15,2,FALSE),0)</f>
        <v>0</v>
      </c>
      <c r="P24" s="3">
        <v>18</v>
      </c>
      <c r="Q24" s="39">
        <f>IFERROR(VLOOKUP(P24,'Puntos XCO'!$A$1:$B$63,2,FALSE),0)</f>
        <v>62</v>
      </c>
      <c r="R24" s="16">
        <v>11</v>
      </c>
      <c r="S24" s="3">
        <f>IFERROR(VLOOKUP(R24,'Puntos XCC Menor'!$A$1:$B$15,2,FALSE),0)</f>
        <v>0</v>
      </c>
      <c r="T24" s="15">
        <v>12</v>
      </c>
      <c r="U24" s="39">
        <f>IFERROR(VLOOKUP(T24,'Puntos XCO'!$A$1:$B$63,2,FALSE),0)</f>
        <v>74</v>
      </c>
      <c r="V24" s="16">
        <v>18</v>
      </c>
      <c r="W24" s="15">
        <f>IFERROR(VLOOKUP(V24,'Puntos XCC Mayor'!$A$1:$B$15,2,FALSE),0)</f>
        <v>0</v>
      </c>
      <c r="X24" s="15">
        <v>16</v>
      </c>
      <c r="Y24" s="25">
        <f>IFERROR(VLOOKUP(X24,'Puntos XCO'!$A$1:$B$63,2,FALSE),0)</f>
        <v>66</v>
      </c>
      <c r="Z24" s="16">
        <f t="shared" si="2"/>
        <v>20</v>
      </c>
      <c r="AA24" s="15">
        <f>IFERROR(VLOOKUP(Z24,'Puntos XCC Mayor'!$A$1:$B$15,2,FALSE),0)</f>
        <v>0</v>
      </c>
      <c r="AB24" s="15">
        <f t="shared" si="3"/>
        <v>13</v>
      </c>
      <c r="AC24" s="25">
        <f>IFERROR(VLOOKUP(AB24,'Puntos XCO'!$A$1:$B$63,2,FALSE),0)</f>
        <v>72</v>
      </c>
      <c r="AD24" s="16"/>
      <c r="AE24" s="15"/>
      <c r="AF24" s="15"/>
      <c r="AG24" s="25"/>
      <c r="AH24" s="27">
        <f t="shared" si="4"/>
        <v>404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12</v>
      </c>
      <c r="C25" s="22">
        <v>514</v>
      </c>
      <c r="D25" s="23" t="str">
        <f t="shared" si="0"/>
        <v xml:space="preserve">JEREZ Gabriel </v>
      </c>
      <c r="E25" s="24" t="str">
        <f t="shared" si="1"/>
        <v>CCDR Liberia / FST</v>
      </c>
      <c r="F25" s="3">
        <v>11</v>
      </c>
      <c r="G25" s="15">
        <v>0</v>
      </c>
      <c r="H25" s="3">
        <v>9</v>
      </c>
      <c r="I25" s="25">
        <v>80</v>
      </c>
      <c r="J25" s="33">
        <v>12</v>
      </c>
      <c r="K25" s="22">
        <v>0</v>
      </c>
      <c r="L25" s="22">
        <v>12</v>
      </c>
      <c r="M25" s="34">
        <v>74</v>
      </c>
      <c r="N25" s="26"/>
      <c r="O25" s="3">
        <f>IFERROR(VLOOKUP(N25,'Puntos XCC Menor'!$A$1:$B$15,2,FALSE),0)</f>
        <v>0</v>
      </c>
      <c r="P25" s="3">
        <v>16</v>
      </c>
      <c r="Q25" s="39">
        <f>IFERROR(VLOOKUP(P25,'Puntos XCO'!$A$1:$B$63,2,FALSE),0)</f>
        <v>66</v>
      </c>
      <c r="R25" s="16">
        <v>8</v>
      </c>
      <c r="S25" s="3">
        <f>IFERROR(VLOOKUP(R25,'Puntos XCC Menor'!$A$1:$B$15,2,FALSE),0)</f>
        <v>3</v>
      </c>
      <c r="T25" s="15">
        <v>8</v>
      </c>
      <c r="U25" s="39">
        <f>IFERROR(VLOOKUP(T25,'Puntos XCO'!$A$1:$B$63,2,FALSE),0)</f>
        <v>85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2"/>
        <v>16</v>
      </c>
      <c r="AA25" s="15">
        <f>IFERROR(VLOOKUP(Z25,'Puntos XCC Mayor'!$A$1:$B$15,2,FALSE),0)</f>
        <v>0</v>
      </c>
      <c r="AB25" s="15">
        <f t="shared" si="3"/>
        <v>10</v>
      </c>
      <c r="AC25" s="25">
        <f>IFERROR(VLOOKUP(AB25,'Puntos XCO'!$A$1:$B$63,2,FALSE),0)</f>
        <v>78</v>
      </c>
      <c r="AD25" s="16"/>
      <c r="AE25" s="15"/>
      <c r="AF25" s="15"/>
      <c r="AG25" s="25"/>
      <c r="AH25" s="27">
        <f t="shared" si="4"/>
        <v>386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9</v>
      </c>
      <c r="C26" s="22">
        <v>524</v>
      </c>
      <c r="D26" s="23" t="str">
        <f t="shared" si="0"/>
        <v xml:space="preserve">GARCÍA  Danny Armando </v>
      </c>
      <c r="E26" s="24" t="str">
        <f t="shared" si="1"/>
        <v xml:space="preserve">ROES CENTELA </v>
      </c>
      <c r="F26" s="3">
        <v>9</v>
      </c>
      <c r="G26" s="15">
        <v>2</v>
      </c>
      <c r="H26" s="3">
        <v>8</v>
      </c>
      <c r="I26" s="25">
        <v>85</v>
      </c>
      <c r="J26" s="33">
        <v>10</v>
      </c>
      <c r="K26" s="22">
        <v>1</v>
      </c>
      <c r="L26" s="22">
        <v>9</v>
      </c>
      <c r="M26" s="34">
        <v>80</v>
      </c>
      <c r="N26" s="26"/>
      <c r="O26" s="3">
        <f>IFERROR(VLOOKUP(N26,'Puntos XCC Menor'!$A$1:$B$15,2,FALSE),0)</f>
        <v>0</v>
      </c>
      <c r="P26" s="3">
        <v>7</v>
      </c>
      <c r="Q26" s="39">
        <f>IFERROR(VLOOKUP(P26,'Puntos XCO'!$A$1:$B$63,2,FALSE),0)</f>
        <v>90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v>9</v>
      </c>
      <c r="W26" s="15">
        <f>IFERROR(VLOOKUP(V26,'Puntos XCC Mayor'!$A$1:$B$15,2,FALSE),0)</f>
        <v>7</v>
      </c>
      <c r="X26" s="15">
        <v>8</v>
      </c>
      <c r="Y26" s="25">
        <f>IFERROR(VLOOKUP(X26,'Puntos XCO'!$A$1:$B$63,2,FALSE),0)</f>
        <v>85</v>
      </c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0</v>
      </c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4"/>
        <v>350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13</v>
      </c>
      <c r="C27" s="22">
        <v>516</v>
      </c>
      <c r="D27" s="23" t="str">
        <f t="shared" si="0"/>
        <v>MATA Antuan*</v>
      </c>
      <c r="E27" s="24" t="str">
        <f t="shared" si="1"/>
        <v xml:space="preserve">CCDR PARAÍSO </v>
      </c>
      <c r="F27" s="3">
        <v>21</v>
      </c>
      <c r="G27" s="15">
        <v>0</v>
      </c>
      <c r="H27" s="3">
        <v>18</v>
      </c>
      <c r="I27" s="25">
        <v>62</v>
      </c>
      <c r="J27" s="33">
        <v>21</v>
      </c>
      <c r="K27" s="22">
        <v>0</v>
      </c>
      <c r="L27" s="22">
        <v>8</v>
      </c>
      <c r="M27" s="34">
        <v>85</v>
      </c>
      <c r="N27" s="26"/>
      <c r="O27" s="3">
        <f>IFERROR(VLOOKUP(N27,'Puntos XCC Menor'!$A$1:$B$15,2,FALSE),0)</f>
        <v>0</v>
      </c>
      <c r="P27" s="3">
        <v>0</v>
      </c>
      <c r="Q27" s="39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14</v>
      </c>
      <c r="U27" s="39">
        <f>IFERROR(VLOOKUP(T27,'Puntos XCO'!$A$1:$B$63,2,FALSE),0)</f>
        <v>70</v>
      </c>
      <c r="V27" s="16">
        <v>17</v>
      </c>
      <c r="W27" s="15">
        <f>IFERROR(VLOOKUP(V27,'Puntos XCC Mayor'!$A$1:$B$15,2,FALSE),0)</f>
        <v>0</v>
      </c>
      <c r="X27" s="15">
        <v>22</v>
      </c>
      <c r="Y27" s="25">
        <f>IFERROR(VLOOKUP(X27,'Puntos XCO'!$A$1:$B$63,2,FALSE),0)</f>
        <v>54</v>
      </c>
      <c r="Z27" s="16">
        <f t="shared" si="2"/>
        <v>19</v>
      </c>
      <c r="AA27" s="15">
        <f>IFERROR(VLOOKUP(Z27,'Puntos XCC Mayor'!$A$1:$B$15,2,FALSE),0)</f>
        <v>0</v>
      </c>
      <c r="AB27" s="15">
        <f t="shared" si="3"/>
        <v>16</v>
      </c>
      <c r="AC27" s="25">
        <f>IFERROR(VLOOKUP(AB27,'Puntos XCO'!$A$1:$B$63,2,FALSE),0)</f>
        <v>66</v>
      </c>
      <c r="AD27" s="16"/>
      <c r="AE27" s="15"/>
      <c r="AF27" s="15"/>
      <c r="AG27" s="25"/>
      <c r="AH27" s="27">
        <f t="shared" si="4"/>
        <v>337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16</v>
      </c>
      <c r="C28" s="22">
        <v>509</v>
      </c>
      <c r="D28" s="23" t="str">
        <f t="shared" si="0"/>
        <v xml:space="preserve">VILLALOBOS Mathias </v>
      </c>
      <c r="E28" s="24" t="str">
        <f t="shared" si="1"/>
        <v>CODEA Alajuela</v>
      </c>
      <c r="F28" s="3">
        <v>10</v>
      </c>
      <c r="G28" s="15">
        <v>1</v>
      </c>
      <c r="H28" s="3">
        <v>0</v>
      </c>
      <c r="I28" s="25">
        <v>0</v>
      </c>
      <c r="J28" s="33">
        <v>0</v>
      </c>
      <c r="K28" s="22">
        <v>0</v>
      </c>
      <c r="L28" s="22">
        <v>0</v>
      </c>
      <c r="M28" s="34">
        <v>0</v>
      </c>
      <c r="N28" s="26"/>
      <c r="O28" s="3">
        <f>IFERROR(VLOOKUP(N28,'Puntos XCC Menor'!$A$1:$B$15,2,FALSE),0)</f>
        <v>0</v>
      </c>
      <c r="P28" s="3">
        <v>13</v>
      </c>
      <c r="Q28" s="39">
        <f>IFERROR(VLOOKUP(P28,'Puntos XCO'!$A$1:$B$63,2,FALSE),0)</f>
        <v>72</v>
      </c>
      <c r="R28" s="16">
        <v>7</v>
      </c>
      <c r="S28" s="3">
        <f>IFERROR(VLOOKUP(R28,'Puntos XCC Menor'!$A$1:$B$15,2,FALSE),0)</f>
        <v>4</v>
      </c>
      <c r="T28" s="15">
        <v>9</v>
      </c>
      <c r="U28" s="39">
        <f>IFERROR(VLOOKUP(T28,'Puntos XCO'!$A$1:$B$63,2,FALSE),0)</f>
        <v>80</v>
      </c>
      <c r="V28" s="16">
        <v>11</v>
      </c>
      <c r="W28" s="15">
        <f>IFERROR(VLOOKUP(V28,'Puntos XCC Mayor'!$A$1:$B$15,2,FALSE),0)</f>
        <v>5</v>
      </c>
      <c r="X28" s="15">
        <v>10</v>
      </c>
      <c r="Y28" s="25">
        <f>IFERROR(VLOOKUP(X28,'Puntos XCO'!$A$1:$B$63,2,FALSE),0)</f>
        <v>78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9</v>
      </c>
      <c r="AC28" s="25">
        <f>IFERROR(VLOOKUP(AB28,'Puntos XCO'!$A$1:$B$63,2,FALSE),0)</f>
        <v>80</v>
      </c>
      <c r="AD28" s="16"/>
      <c r="AE28" s="15"/>
      <c r="AF28" s="15"/>
      <c r="AG28" s="25"/>
      <c r="AH28" s="27">
        <f t="shared" si="4"/>
        <v>320</v>
      </c>
      <c r="AJ28" s="3"/>
      <c r="AM28" s="29"/>
    </row>
    <row r="29" spans="1:39" ht="24.95" customHeight="1">
      <c r="A29" s="22">
        <v>15</v>
      </c>
      <c r="B29" s="22">
        <v>14</v>
      </c>
      <c r="C29" s="22">
        <v>506</v>
      </c>
      <c r="D29" s="23" t="str">
        <f t="shared" si="0"/>
        <v>CASTILLO Santiago*</v>
      </c>
      <c r="E29" s="24" t="str">
        <f t="shared" si="1"/>
        <v>Ciclismo Belen</v>
      </c>
      <c r="F29" s="3">
        <v>22</v>
      </c>
      <c r="G29" s="15">
        <v>0</v>
      </c>
      <c r="H29" s="3">
        <v>20</v>
      </c>
      <c r="I29" s="25">
        <v>58</v>
      </c>
      <c r="J29" s="33">
        <v>22</v>
      </c>
      <c r="K29" s="22">
        <v>0</v>
      </c>
      <c r="L29" s="22">
        <v>16</v>
      </c>
      <c r="M29" s="34">
        <v>66</v>
      </c>
      <c r="N29" s="26"/>
      <c r="O29" s="3">
        <f>IFERROR(VLOOKUP(N29,'Puntos XCC Menor'!$A$1:$B$15,2,FALSE),0)</f>
        <v>0</v>
      </c>
      <c r="P29" s="3">
        <v>17</v>
      </c>
      <c r="Q29" s="39">
        <f>IFERROR(VLOOKUP(P29,'Puntos XCO'!$A$1:$B$63,2,FALSE),0)</f>
        <v>64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v>20</v>
      </c>
      <c r="W29" s="15">
        <f>IFERROR(VLOOKUP(V29,'Puntos XCC Mayor'!$A$1:$B$15,2,FALSE),0)</f>
        <v>0</v>
      </c>
      <c r="X29" s="15">
        <v>18</v>
      </c>
      <c r="Y29" s="25">
        <f>IFERROR(VLOOKUP(X29,'Puntos XCO'!$A$1:$B$63,2,FALSE),0)</f>
        <v>62</v>
      </c>
      <c r="Z29" s="16">
        <f t="shared" si="2"/>
        <v>21</v>
      </c>
      <c r="AA29" s="15">
        <f>IFERROR(VLOOKUP(Z29,'Puntos XCC Mayor'!$A$1:$B$15,2,FALSE),0)</f>
        <v>0</v>
      </c>
      <c r="AB29" s="15">
        <f t="shared" si="3"/>
        <v>18</v>
      </c>
      <c r="AC29" s="25">
        <f>IFERROR(VLOOKUP(AB29,'Puntos XCO'!$A$1:$B$63,2,FALSE),0)</f>
        <v>62</v>
      </c>
      <c r="AD29" s="16"/>
      <c r="AE29" s="15"/>
      <c r="AF29" s="15"/>
      <c r="AG29" s="25"/>
      <c r="AH29" s="27">
        <f t="shared" si="4"/>
        <v>312</v>
      </c>
      <c r="AJ29" s="3"/>
    </row>
    <row r="30" spans="1:39" ht="24.95" customHeight="1">
      <c r="A30" s="22">
        <v>16</v>
      </c>
      <c r="B30" s="22">
        <v>17</v>
      </c>
      <c r="C30" s="22">
        <v>523</v>
      </c>
      <c r="D30" s="23" t="str">
        <f t="shared" si="0"/>
        <v>PÉREZ Keyleb*</v>
      </c>
      <c r="E30" s="24" t="str">
        <f t="shared" si="1"/>
        <v xml:space="preserve">CCDR San José </v>
      </c>
      <c r="F30" s="3">
        <v>17</v>
      </c>
      <c r="G30" s="15">
        <v>0</v>
      </c>
      <c r="H30" s="3">
        <v>15</v>
      </c>
      <c r="I30" s="25">
        <v>68</v>
      </c>
      <c r="J30" s="33">
        <v>15</v>
      </c>
      <c r="K30" s="22">
        <v>0</v>
      </c>
      <c r="L30" s="22">
        <v>13</v>
      </c>
      <c r="M30" s="34">
        <v>72</v>
      </c>
      <c r="N30" s="26"/>
      <c r="O30" s="3">
        <f>IFERROR(VLOOKUP(N30,'Puntos XCC Menor'!$A$1:$B$15,2,FALSE),0)</f>
        <v>0</v>
      </c>
      <c r="P30" s="3">
        <v>0</v>
      </c>
      <c r="Q30" s="39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13</v>
      </c>
      <c r="W30" s="15">
        <f>IFERROR(VLOOKUP(V30,'Puntos XCC Mayor'!$A$1:$B$15,2,FALSE),0)</f>
        <v>3</v>
      </c>
      <c r="X30" s="15">
        <v>14</v>
      </c>
      <c r="Y30" s="25">
        <f>IFERROR(VLOOKUP(X30,'Puntos XCO'!$A$1:$B$63,2,FALSE),0)</f>
        <v>70</v>
      </c>
      <c r="Z30" s="16">
        <f t="shared" si="2"/>
        <v>17</v>
      </c>
      <c r="AA30" s="15">
        <f>IFERROR(VLOOKUP(Z30,'Puntos XCC Mayor'!$A$1:$B$15,2,FALSE),0)</f>
        <v>0</v>
      </c>
      <c r="AB30" s="15">
        <f t="shared" si="3"/>
        <v>19</v>
      </c>
      <c r="AC30" s="25">
        <f>IFERROR(VLOOKUP(AB30,'Puntos XCO'!$A$1:$B$63,2,FALSE),0)</f>
        <v>60</v>
      </c>
      <c r="AD30" s="16"/>
      <c r="AE30" s="15"/>
      <c r="AF30" s="15"/>
      <c r="AG30" s="25"/>
      <c r="AH30" s="27">
        <f t="shared" si="4"/>
        <v>273</v>
      </c>
      <c r="AJ30" s="3"/>
    </row>
    <row r="31" spans="1:39" ht="24.95" customHeight="1">
      <c r="A31" s="22">
        <v>17</v>
      </c>
      <c r="B31" s="22">
        <v>15</v>
      </c>
      <c r="C31" s="22">
        <v>515</v>
      </c>
      <c r="D31" s="23" t="str">
        <f t="shared" si="0"/>
        <v xml:space="preserve">ARAYA Samuel </v>
      </c>
      <c r="E31" s="24" t="str">
        <f t="shared" si="1"/>
        <v>CCDRESCAZU</v>
      </c>
      <c r="F31" s="3">
        <v>20</v>
      </c>
      <c r="G31" s="15">
        <v>0</v>
      </c>
      <c r="H31" s="3">
        <v>21</v>
      </c>
      <c r="I31" s="25">
        <v>56</v>
      </c>
      <c r="J31" s="33">
        <v>20</v>
      </c>
      <c r="K31" s="22">
        <v>0</v>
      </c>
      <c r="L31" s="22">
        <v>23</v>
      </c>
      <c r="M31" s="34">
        <v>52</v>
      </c>
      <c r="N31" s="26"/>
      <c r="O31" s="3">
        <f>IFERROR(VLOOKUP(N31,'Puntos XCC Menor'!$A$1:$B$15,2,FALSE),0)</f>
        <v>0</v>
      </c>
      <c r="P31" s="3">
        <v>0</v>
      </c>
      <c r="Q31" s="39">
        <f>IFERROR(VLOOKUP(P31,'Puntos XCO'!$A$1:$B$63,2,FALSE),0)</f>
        <v>0</v>
      </c>
      <c r="R31" s="16">
        <v>14</v>
      </c>
      <c r="S31" s="3">
        <f>IFERROR(VLOOKUP(R31,'Puntos XCC Menor'!$A$1:$B$15,2,FALSE),0)</f>
        <v>0</v>
      </c>
      <c r="T31" s="15">
        <v>15</v>
      </c>
      <c r="U31" s="39">
        <f>IFERROR(VLOOKUP(T31,'Puntos XCO'!$A$1:$B$63,2,FALSE),0)</f>
        <v>68</v>
      </c>
      <c r="V31" s="16">
        <v>15</v>
      </c>
      <c r="W31" s="15">
        <f>IFERROR(VLOOKUP(V31,'Puntos XCC Mayor'!$A$1:$B$15,2,FALSE),0)</f>
        <v>1</v>
      </c>
      <c r="X31" s="15">
        <v>17</v>
      </c>
      <c r="Y31" s="25">
        <f>IFERROR(VLOOKUP(X31,'Puntos XCO'!$A$1:$B$63,2,FALSE),0)</f>
        <v>64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241</v>
      </c>
      <c r="AJ31" s="3"/>
    </row>
    <row r="32" spans="1:39" ht="24.95" customHeight="1">
      <c r="A32" s="22">
        <v>18</v>
      </c>
      <c r="B32" s="22">
        <v>19</v>
      </c>
      <c r="C32" s="22">
        <v>508</v>
      </c>
      <c r="D32" s="23" t="str">
        <f t="shared" si="0"/>
        <v>BONILLA Mattew</v>
      </c>
      <c r="E32" s="24" t="str">
        <f t="shared" si="1"/>
        <v xml:space="preserve">Ciclismo Belen </v>
      </c>
      <c r="F32" s="3">
        <v>23</v>
      </c>
      <c r="G32" s="15">
        <v>0</v>
      </c>
      <c r="H32" s="3">
        <v>23</v>
      </c>
      <c r="I32" s="25">
        <v>52</v>
      </c>
      <c r="J32" s="33">
        <v>0</v>
      </c>
      <c r="K32" s="22">
        <v>0</v>
      </c>
      <c r="L32" s="22">
        <v>18</v>
      </c>
      <c r="M32" s="34">
        <v>62</v>
      </c>
      <c r="N32" s="26"/>
      <c r="O32" s="3">
        <f>IFERROR(VLOOKUP(N32,'Puntos XCC Menor'!$A$1:$B$15,2,FALSE),0)</f>
        <v>0</v>
      </c>
      <c r="P32" s="3">
        <v>0</v>
      </c>
      <c r="Q32" s="39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v>21</v>
      </c>
      <c r="W32" s="15">
        <f>IFERROR(VLOOKUP(V32,'Puntos XCC Mayor'!$A$1:$B$15,2,FALSE),0)</f>
        <v>0</v>
      </c>
      <c r="X32" s="15">
        <v>23</v>
      </c>
      <c r="Y32" s="25">
        <f>IFERROR(VLOOKUP(X32,'Puntos XCO'!$A$1:$B$63,2,FALSE),0)</f>
        <v>52</v>
      </c>
      <c r="Z32" s="16">
        <f t="shared" si="2"/>
        <v>22</v>
      </c>
      <c r="AA32" s="15">
        <f>IFERROR(VLOOKUP(Z32,'Puntos XCC Mayor'!$A$1:$B$15,2,FALSE),0)</f>
        <v>0</v>
      </c>
      <c r="AB32" s="15">
        <f t="shared" si="3"/>
        <v>21</v>
      </c>
      <c r="AC32" s="25">
        <f>IFERROR(VLOOKUP(AB32,'Puntos XCO'!$A$1:$B$63,2,FALSE),0)</f>
        <v>56</v>
      </c>
      <c r="AD32" s="16"/>
      <c r="AE32" s="15"/>
      <c r="AF32" s="15"/>
      <c r="AG32" s="25"/>
      <c r="AH32" s="27">
        <f t="shared" si="4"/>
        <v>222</v>
      </c>
      <c r="AJ32" s="3"/>
    </row>
    <row r="33" spans="1:36" ht="24.95" customHeight="1">
      <c r="A33" s="22">
        <v>19</v>
      </c>
      <c r="B33" s="22">
        <v>23</v>
      </c>
      <c r="C33" s="22">
        <v>529</v>
      </c>
      <c r="D33" s="23" t="str">
        <f t="shared" si="0"/>
        <v xml:space="preserve">MOLINA Bayron </v>
      </c>
      <c r="E33" s="24" t="str">
        <f t="shared" si="1"/>
        <v xml:space="preserve">CCDR SAN JOSÉ </v>
      </c>
      <c r="F33" s="3"/>
      <c r="G33" s="15"/>
      <c r="H33" s="3"/>
      <c r="I33" s="25"/>
      <c r="J33" s="33">
        <v>27</v>
      </c>
      <c r="K33" s="22">
        <v>0</v>
      </c>
      <c r="L33" s="22">
        <v>0</v>
      </c>
      <c r="M33" s="34">
        <v>0</v>
      </c>
      <c r="N33" s="26"/>
      <c r="O33" s="3">
        <f>IFERROR(VLOOKUP(N33,'Puntos XCC Menor'!$A$1:$B$15,2,FALSE),0)</f>
        <v>0</v>
      </c>
      <c r="P33" s="3">
        <v>15</v>
      </c>
      <c r="Q33" s="39">
        <f>IFERROR(VLOOKUP(P33,'Puntos XCO'!$A$1:$B$63,2,FALSE),0)</f>
        <v>68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10</v>
      </c>
      <c r="W33" s="15">
        <f>IFERROR(VLOOKUP(V33,'Puntos XCC Mayor'!$A$1:$B$15,2,FALSE),0)</f>
        <v>6</v>
      </c>
      <c r="X33" s="15">
        <v>13</v>
      </c>
      <c r="Y33" s="25">
        <f>IFERROR(VLOOKUP(X33,'Puntos XCO'!$A$1:$B$63,2,FALSE),0)</f>
        <v>72</v>
      </c>
      <c r="Z33" s="16">
        <f t="shared" si="2"/>
        <v>10</v>
      </c>
      <c r="AA33" s="15">
        <f>IFERROR(VLOOKUP(Z33,'Puntos XCC Mayor'!$A$1:$B$15,2,FALSE),0)</f>
        <v>6</v>
      </c>
      <c r="AB33" s="15">
        <f t="shared" si="3"/>
        <v>20</v>
      </c>
      <c r="AC33" s="25">
        <f>IFERROR(VLOOKUP(AB33,'Puntos XCO'!$A$1:$B$63,2,FALSE),0)</f>
        <v>58</v>
      </c>
      <c r="AD33" s="16"/>
      <c r="AE33" s="15"/>
      <c r="AF33" s="15"/>
      <c r="AG33" s="25"/>
      <c r="AH33" s="27">
        <f t="shared" si="4"/>
        <v>210</v>
      </c>
      <c r="AJ33" s="3"/>
    </row>
    <row r="34" spans="1:36" ht="24.95" customHeight="1">
      <c r="A34" s="22">
        <v>20</v>
      </c>
      <c r="B34" s="22">
        <v>18</v>
      </c>
      <c r="C34" s="22">
        <v>513</v>
      </c>
      <c r="D34" s="23" t="str">
        <f t="shared" si="0"/>
        <v>GUTIERREZ SIMAO</v>
      </c>
      <c r="E34" s="24" t="str">
        <f t="shared" si="1"/>
        <v>CCDRESCAZU</v>
      </c>
      <c r="F34" s="3">
        <v>19</v>
      </c>
      <c r="G34" s="15">
        <v>0</v>
      </c>
      <c r="H34" s="3">
        <v>17</v>
      </c>
      <c r="I34" s="25">
        <v>64</v>
      </c>
      <c r="J34" s="33">
        <v>19</v>
      </c>
      <c r="K34" s="22">
        <v>0</v>
      </c>
      <c r="L34" s="22">
        <v>17</v>
      </c>
      <c r="M34" s="34">
        <v>64</v>
      </c>
      <c r="N34" s="26"/>
      <c r="O34" s="3">
        <f>IFERROR(VLOOKUP(N34,'Puntos XCC Menor'!$A$1:$B$15,2,FALSE),0)</f>
        <v>0</v>
      </c>
      <c r="P34" s="3">
        <v>0</v>
      </c>
      <c r="Q34" s="39">
        <f>IFERROR(VLOOKUP(P34,'Puntos XCO'!$A$1:$B$63,2,FALSE),0)</f>
        <v>0</v>
      </c>
      <c r="R34" s="16">
        <v>13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16</v>
      </c>
      <c r="W34" s="15">
        <f>IFERROR(VLOOKUP(V34,'Puntos XCC Mayor'!$A$1:$B$15,2,FALSE),0)</f>
        <v>0</v>
      </c>
      <c r="X34" s="15">
        <v>12</v>
      </c>
      <c r="Y34" s="25">
        <f>IFERROR(VLOOKUP(X34,'Puntos XCO'!$A$1:$B$63,2,FALSE),0)</f>
        <v>74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202</v>
      </c>
      <c r="AJ34" s="3"/>
    </row>
    <row r="35" spans="1:36" ht="24.95" customHeight="1">
      <c r="A35" s="22">
        <v>21</v>
      </c>
      <c r="B35" s="22">
        <v>25</v>
      </c>
      <c r="C35" s="22">
        <v>538</v>
      </c>
      <c r="D35" s="23" t="str">
        <f t="shared" si="0"/>
        <v>CASTRO Camil</v>
      </c>
      <c r="E35" s="24" t="str">
        <f t="shared" si="1"/>
        <v xml:space="preserve">CCdr Matina ciclo salas batán </v>
      </c>
      <c r="F35" s="3"/>
      <c r="G35" s="15"/>
      <c r="H35" s="3"/>
      <c r="I35" s="25"/>
      <c r="J35" s="33"/>
      <c r="K35" s="22"/>
      <c r="L35" s="22"/>
      <c r="M35" s="34"/>
      <c r="N35" s="26"/>
      <c r="O35" s="3"/>
      <c r="P35" s="3"/>
      <c r="Q35" s="39"/>
      <c r="R35" s="16">
        <v>16</v>
      </c>
      <c r="S35" s="3">
        <f>IFERROR(VLOOKUP(R35,'Puntos XCC Menor'!$A$1:$B$15,2,FALSE),0)</f>
        <v>0</v>
      </c>
      <c r="T35" s="15">
        <v>13</v>
      </c>
      <c r="U35" s="39">
        <f>IFERROR(VLOOKUP(T35,'Puntos XCO'!$A$1:$B$63,2,FALSE),0)</f>
        <v>72</v>
      </c>
      <c r="V35" s="16">
        <v>0</v>
      </c>
      <c r="W35" s="15">
        <f>IFERROR(VLOOKUP(V35,'Puntos XCC Mayor'!$A$1:$B$15,2,FALSE),0)</f>
        <v>0</v>
      </c>
      <c r="X35" s="15">
        <v>20</v>
      </c>
      <c r="Y35" s="25">
        <f>IFERROR(VLOOKUP(X35,'Puntos XCO'!$A$1:$B$63,2,FALSE),0)</f>
        <v>58</v>
      </c>
      <c r="Z35" s="16">
        <f t="shared" si="2"/>
        <v>23</v>
      </c>
      <c r="AA35" s="15">
        <f>IFERROR(VLOOKUP(Z35,'Puntos XCC Mayor'!$A$1:$B$15,2,FALSE),0)</f>
        <v>0</v>
      </c>
      <c r="AB35" s="15">
        <f t="shared" si="3"/>
        <v>15</v>
      </c>
      <c r="AC35" s="25">
        <f>IFERROR(VLOOKUP(AB35,'Puntos XCO'!$A$1:$B$63,2,FALSE),0)</f>
        <v>68</v>
      </c>
      <c r="AD35" s="16"/>
      <c r="AE35" s="15"/>
      <c r="AF35" s="15"/>
      <c r="AG35" s="25"/>
      <c r="AH35" s="27">
        <f t="shared" si="4"/>
        <v>198</v>
      </c>
      <c r="AJ35" s="3"/>
    </row>
    <row r="36" spans="1:36" ht="24.95" customHeight="1">
      <c r="A36" s="22">
        <v>22</v>
      </c>
      <c r="B36" s="22">
        <v>26</v>
      </c>
      <c r="C36" s="22">
        <v>531</v>
      </c>
      <c r="D36" s="23" t="str">
        <f t="shared" si="0"/>
        <v>SALAS Santiago</v>
      </c>
      <c r="E36" s="24" t="str">
        <f t="shared" si="1"/>
        <v>Ccdr san jose</v>
      </c>
      <c r="F36" s="3"/>
      <c r="G36" s="15"/>
      <c r="H36" s="3"/>
      <c r="I36" s="25"/>
      <c r="J36" s="33">
        <v>25</v>
      </c>
      <c r="K36" s="22">
        <v>0</v>
      </c>
      <c r="L36" s="22">
        <v>21</v>
      </c>
      <c r="M36" s="34">
        <v>56</v>
      </c>
      <c r="N36" s="26"/>
      <c r="O36" s="3">
        <f>IFERROR(VLOOKUP(N36,'Puntos XCC Menor'!$A$1:$B$15,2,FALSE),0)</f>
        <v>0</v>
      </c>
      <c r="P36" s="3">
        <v>0</v>
      </c>
      <c r="Q36" s="39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v>14</v>
      </c>
      <c r="W36" s="15">
        <f>IFERROR(VLOOKUP(V36,'Puntos XCC Mayor'!$A$1:$B$15,2,FALSE),0)</f>
        <v>2</v>
      </c>
      <c r="X36" s="15">
        <v>15</v>
      </c>
      <c r="Y36" s="25">
        <f>IFERROR(VLOOKUP(X36,'Puntos XCO'!$A$1:$B$63,2,FALSE),0)</f>
        <v>68</v>
      </c>
      <c r="Z36" s="16">
        <f t="shared" si="2"/>
        <v>15</v>
      </c>
      <c r="AA36" s="15">
        <f>IFERROR(VLOOKUP(Z36,'Puntos XCC Mayor'!$A$1:$B$15,2,FALSE),0)</f>
        <v>1</v>
      </c>
      <c r="AB36" s="15">
        <f t="shared" si="3"/>
        <v>14</v>
      </c>
      <c r="AC36" s="25">
        <f>IFERROR(VLOOKUP(AB36,'Puntos XCO'!$A$1:$B$63,2,FALSE),0)</f>
        <v>70</v>
      </c>
      <c r="AD36" s="16"/>
      <c r="AE36" s="15"/>
      <c r="AF36" s="15"/>
      <c r="AG36" s="25"/>
      <c r="AH36" s="27">
        <f t="shared" si="4"/>
        <v>197</v>
      </c>
      <c r="AJ36" s="3"/>
    </row>
    <row r="37" spans="1:36" ht="24.95" customHeight="1">
      <c r="A37" s="22">
        <v>23</v>
      </c>
      <c r="B37" s="22">
        <v>29</v>
      </c>
      <c r="C37" s="22">
        <v>539</v>
      </c>
      <c r="D37" s="23" t="str">
        <f t="shared" si="0"/>
        <v xml:space="preserve">SOLÍS Jafet </v>
      </c>
      <c r="E37" s="24" t="str">
        <f t="shared" si="1"/>
        <v xml:space="preserve">Asociación Ciclística Turrialbeña </v>
      </c>
      <c r="F37" s="3"/>
      <c r="G37" s="15"/>
      <c r="H37" s="3"/>
      <c r="I37" s="25"/>
      <c r="J37" s="33"/>
      <c r="K37" s="22"/>
      <c r="L37" s="22"/>
      <c r="M37" s="34"/>
      <c r="N37" s="26"/>
      <c r="O37" s="3"/>
      <c r="P37" s="3"/>
      <c r="Q37" s="39"/>
      <c r="R37" s="16"/>
      <c r="S37" s="3"/>
      <c r="T37" s="15"/>
      <c r="U37" s="39"/>
      <c r="V37" s="16">
        <v>8</v>
      </c>
      <c r="W37" s="15">
        <f>IFERROR(VLOOKUP(V37,'Puntos XCC Mayor'!$A$1:$B$15,2,FALSE),0)</f>
        <v>8</v>
      </c>
      <c r="X37" s="15">
        <v>9</v>
      </c>
      <c r="Y37" s="25">
        <f>IFERROR(VLOOKUP(X37,'Puntos XCO'!$A$1:$B$63,2,FALSE),0)</f>
        <v>80</v>
      </c>
      <c r="Z37" s="16">
        <f t="shared" si="2"/>
        <v>9</v>
      </c>
      <c r="AA37" s="15">
        <f>IFERROR(VLOOKUP(Z37,'Puntos XCC Mayor'!$A$1:$B$15,2,FALSE),0)</f>
        <v>7</v>
      </c>
      <c r="AB37" s="15">
        <f t="shared" si="3"/>
        <v>8</v>
      </c>
      <c r="AC37" s="25">
        <f>IFERROR(VLOOKUP(AB37,'Puntos XCO'!$A$1:$B$63,2,FALSE),0)</f>
        <v>85</v>
      </c>
      <c r="AD37" s="16"/>
      <c r="AE37" s="15"/>
      <c r="AF37" s="15"/>
      <c r="AG37" s="25"/>
      <c r="AH37" s="27">
        <f t="shared" si="4"/>
        <v>180</v>
      </c>
      <c r="AJ37" s="3"/>
    </row>
    <row r="38" spans="1:36" ht="24.95" customHeight="1">
      <c r="A38" s="22">
        <v>24</v>
      </c>
      <c r="B38" s="22">
        <v>21</v>
      </c>
      <c r="C38" s="22">
        <v>530</v>
      </c>
      <c r="D38" s="23" t="str">
        <f t="shared" si="0"/>
        <v xml:space="preserve">GARRO Andrey </v>
      </c>
      <c r="E38" s="24" t="str">
        <f t="shared" si="1"/>
        <v>Distribuidora cruz tecnocfores CCDR POCOCI</v>
      </c>
      <c r="F38" s="3"/>
      <c r="G38" s="15"/>
      <c r="H38" s="3"/>
      <c r="I38" s="25"/>
      <c r="J38" s="33">
        <v>9</v>
      </c>
      <c r="K38" s="22">
        <v>2</v>
      </c>
      <c r="L38" s="22">
        <v>11</v>
      </c>
      <c r="M38" s="34">
        <v>76</v>
      </c>
      <c r="N38" s="26"/>
      <c r="O38" s="3">
        <f>IFERROR(VLOOKUP(N38,'Puntos XCC Menor'!$A$1:$B$15,2,FALSE),0)</f>
        <v>0</v>
      </c>
      <c r="P38" s="3">
        <v>11</v>
      </c>
      <c r="Q38" s="39">
        <f>IFERROR(VLOOKUP(P38,'Puntos XCO'!$A$1:$B$63,2,FALSE),0)</f>
        <v>76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2"/>
        <v>12</v>
      </c>
      <c r="AA38" s="15">
        <f>IFERROR(VLOOKUP(Z38,'Puntos XCC Mayor'!$A$1:$B$15,2,FALSE),0)</f>
        <v>4</v>
      </c>
      <c r="AB38" s="15">
        <f t="shared" si="3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4"/>
        <v>158</v>
      </c>
      <c r="AJ38" s="3"/>
    </row>
    <row r="39" spans="1:36" ht="24.95" customHeight="1">
      <c r="A39" s="22">
        <v>25</v>
      </c>
      <c r="B39" s="22">
        <v>20</v>
      </c>
      <c r="C39" s="22">
        <v>520</v>
      </c>
      <c r="D39" s="23" t="str">
        <f t="shared" si="0"/>
        <v>MORERA Derrick</v>
      </c>
      <c r="E39" s="24" t="str">
        <f t="shared" si="1"/>
        <v>CCDR MATINA-CICLO SALAS BATAAN</v>
      </c>
      <c r="F39" s="3">
        <v>12</v>
      </c>
      <c r="G39" s="15">
        <v>0</v>
      </c>
      <c r="H39" s="3">
        <v>12</v>
      </c>
      <c r="I39" s="25">
        <v>74</v>
      </c>
      <c r="J39" s="33">
        <v>14</v>
      </c>
      <c r="K39" s="22">
        <v>0</v>
      </c>
      <c r="L39" s="22">
        <v>0</v>
      </c>
      <c r="M39" s="34">
        <v>0</v>
      </c>
      <c r="N39" s="26"/>
      <c r="O39" s="3">
        <f>IFERROR(VLOOKUP(N39,'Puntos XCC Menor'!$A$1:$B$15,2,FALSE),0)</f>
        <v>0</v>
      </c>
      <c r="P39" s="3">
        <v>9</v>
      </c>
      <c r="Q39" s="39">
        <f>IFERROR(VLOOKUP(P39,'Puntos XCO'!$A$1:$B$63,2,FALSE),0)</f>
        <v>80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2"/>
        <v>0</v>
      </c>
      <c r="AA39" s="15">
        <f>IFERROR(VLOOKUP(Z39,'Puntos XCC Mayor'!$A$1:$B$15,2,FALSE),0)</f>
        <v>0</v>
      </c>
      <c r="AB39" s="15">
        <f t="shared" si="3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4"/>
        <v>154</v>
      </c>
      <c r="AJ39" s="3"/>
    </row>
    <row r="40" spans="1:36" ht="24.95" customHeight="1">
      <c r="A40" s="22">
        <v>26</v>
      </c>
      <c r="B40" s="22">
        <v>22</v>
      </c>
      <c r="C40" s="22">
        <v>537</v>
      </c>
      <c r="D40" s="23" t="str">
        <f t="shared" si="0"/>
        <v xml:space="preserve">RODRIGUEZ Damian </v>
      </c>
      <c r="E40" s="24" t="str">
        <f t="shared" si="1"/>
        <v>Bethel Mohana Edus Ceci CCDR</v>
      </c>
      <c r="F40" s="3"/>
      <c r="G40" s="15"/>
      <c r="H40" s="3"/>
      <c r="I40" s="25"/>
      <c r="J40" s="33"/>
      <c r="K40" s="22"/>
      <c r="L40" s="22"/>
      <c r="M40" s="34"/>
      <c r="N40" s="26"/>
      <c r="O40" s="3"/>
      <c r="P40" s="3">
        <v>14</v>
      </c>
      <c r="Q40" s="39">
        <f>IFERROR(VLOOKUP(P40,'Puntos XCO'!$A$1:$B$63,2,FALSE),0)</f>
        <v>70</v>
      </c>
      <c r="R40" s="16">
        <v>12</v>
      </c>
      <c r="S40" s="3">
        <f>IFERROR(VLOOKUP(R40,'Puntos XCC Menor'!$A$1:$B$15,2,FALSE),0)</f>
        <v>0</v>
      </c>
      <c r="T40" s="15">
        <v>10</v>
      </c>
      <c r="U40" s="39">
        <f>IFERROR(VLOOKUP(T40,'Puntos XCO'!$A$1:$B$63,2,FALSE),0)</f>
        <v>78</v>
      </c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0</v>
      </c>
      <c r="AA40" s="15">
        <f>IFERROR(VLOOKUP(Z40,'Puntos XCC Mayor'!$A$1:$B$15,2,FALSE),0)</f>
        <v>0</v>
      </c>
      <c r="AB40" s="15">
        <f t="shared" si="3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4"/>
        <v>148</v>
      </c>
      <c r="AJ40" s="3"/>
    </row>
    <row r="41" spans="1:36" ht="24.95" customHeight="1">
      <c r="A41" s="22">
        <v>27</v>
      </c>
      <c r="B41" s="22">
        <v>24</v>
      </c>
      <c r="C41" s="22">
        <v>522</v>
      </c>
      <c r="D41" s="23" t="str">
        <f t="shared" si="0"/>
        <v>FERNÁNDEZ  Heydan</v>
      </c>
      <c r="E41" s="24" t="str">
        <f t="shared" si="1"/>
        <v xml:space="preserve">CCDR CARTAGO </v>
      </c>
      <c r="F41" s="3">
        <v>14</v>
      </c>
      <c r="G41" s="15">
        <v>0</v>
      </c>
      <c r="H41" s="3">
        <v>16</v>
      </c>
      <c r="I41" s="25">
        <v>66</v>
      </c>
      <c r="J41" s="33">
        <v>11</v>
      </c>
      <c r="K41" s="22">
        <v>0</v>
      </c>
      <c r="L41" s="22">
        <v>14</v>
      </c>
      <c r="M41" s="34">
        <v>70</v>
      </c>
      <c r="N41" s="26"/>
      <c r="O41" s="3">
        <f>IFERROR(VLOOKUP(N41,'Puntos XCC Menor'!$A$1:$B$15,2,FALSE),0)</f>
        <v>0</v>
      </c>
      <c r="P41" s="3">
        <v>0</v>
      </c>
      <c r="Q41" s="39">
        <f>IFERROR(VLOOKUP(P41,'Puntos XCO'!$A$1:$B$63,2,FALSE),0)</f>
        <v>0</v>
      </c>
      <c r="R41" s="16">
        <v>0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v>0</v>
      </c>
      <c r="W41" s="15">
        <f>IFERROR(VLOOKUP(V41,'Puntos XCC Mayor'!$A$1:$B$15,2,FALSE),0)</f>
        <v>0</v>
      </c>
      <c r="X41" s="15">
        <v>0</v>
      </c>
      <c r="Y41" s="25">
        <f>IFERROR(VLOOKUP(X41,'Puntos XCO'!$A$1:$B$63,2,FALSE),0)</f>
        <v>0</v>
      </c>
      <c r="Z41" s="16">
        <f t="shared" si="2"/>
        <v>0</v>
      </c>
      <c r="AA41" s="15">
        <f>IFERROR(VLOOKUP(Z41,'Puntos XCC Mayor'!$A$1:$B$15,2,FALSE),0)</f>
        <v>0</v>
      </c>
      <c r="AB41" s="15">
        <f t="shared" si="3"/>
        <v>0</v>
      </c>
      <c r="AC41" s="25">
        <f>IFERROR(VLOOKUP(AB41,'Puntos XCO'!$A$1:$B$63,2,FALSE),0)</f>
        <v>0</v>
      </c>
      <c r="AD41" s="16"/>
      <c r="AE41" s="15"/>
      <c r="AF41" s="15"/>
      <c r="AG41" s="25"/>
      <c r="AH41" s="27">
        <f t="shared" si="4"/>
        <v>136</v>
      </c>
      <c r="AJ41" s="3"/>
    </row>
    <row r="42" spans="1:36" ht="24.95" customHeight="1">
      <c r="A42" s="22">
        <v>28</v>
      </c>
      <c r="B42" s="22">
        <v>32</v>
      </c>
      <c r="C42" s="22">
        <v>519</v>
      </c>
      <c r="D42" s="23" t="str">
        <f t="shared" si="0"/>
        <v>RUIZ Randy Joan</v>
      </c>
      <c r="E42" s="24" t="str">
        <f t="shared" si="1"/>
        <v xml:space="preserve">CCDR Santa Cruz / KidsTeam Villarreal </v>
      </c>
      <c r="F42" s="3">
        <v>0</v>
      </c>
      <c r="G42" s="15">
        <v>0</v>
      </c>
      <c r="H42" s="3">
        <v>19</v>
      </c>
      <c r="I42" s="25">
        <v>60</v>
      </c>
      <c r="J42" s="33">
        <v>0</v>
      </c>
      <c r="K42" s="22">
        <v>0</v>
      </c>
      <c r="L42" s="22">
        <v>0</v>
      </c>
      <c r="M42" s="34">
        <v>0</v>
      </c>
      <c r="N42" s="26"/>
      <c r="O42" s="3">
        <f>IFERROR(VLOOKUP(N42,'Puntos XCC Menor'!$A$1:$B$15,2,FALSE),0)</f>
        <v>0</v>
      </c>
      <c r="P42" s="3">
        <v>0</v>
      </c>
      <c r="Q42" s="39">
        <f>IFERROR(VLOOKUP(P42,'Puntos XCO'!$A$1:$B$63,2,FALSE),0)</f>
        <v>0</v>
      </c>
      <c r="R42" s="16">
        <v>0</v>
      </c>
      <c r="S42" s="3">
        <f>IFERROR(VLOOKUP(R42,'Puntos XCC Menor'!$A$1:$B$15,2,FALSE),0)</f>
        <v>0</v>
      </c>
      <c r="T42" s="15">
        <v>0</v>
      </c>
      <c r="U42" s="39">
        <f>IFERROR(VLOOKUP(T42,'Puntos XCO'!$A$1:$B$63,2,FALSE),0)</f>
        <v>0</v>
      </c>
      <c r="V42" s="16">
        <v>0</v>
      </c>
      <c r="W42" s="15">
        <f>IFERROR(VLOOKUP(V42,'Puntos XCC Mayor'!$A$1:$B$15,2,FALSE),0)</f>
        <v>0</v>
      </c>
      <c r="X42" s="15">
        <v>0</v>
      </c>
      <c r="Y42" s="25">
        <f>IFERROR(VLOOKUP(X42,'Puntos XCO'!$A$1:$B$63,2,FALSE),0)</f>
        <v>0</v>
      </c>
      <c r="Z42" s="16">
        <f t="shared" si="2"/>
        <v>18</v>
      </c>
      <c r="AA42" s="15">
        <f>IFERROR(VLOOKUP(Z42,'Puntos XCC Mayor'!$A$1:$B$15,2,FALSE),0)</f>
        <v>0</v>
      </c>
      <c r="AB42" s="15">
        <f t="shared" si="3"/>
        <v>12</v>
      </c>
      <c r="AC42" s="25">
        <f>IFERROR(VLOOKUP(AB42,'Puntos XCO'!$A$1:$B$63,2,FALSE),0)</f>
        <v>74</v>
      </c>
      <c r="AD42" s="16"/>
      <c r="AE42" s="15"/>
      <c r="AF42" s="15"/>
      <c r="AG42" s="25"/>
      <c r="AH42" s="27">
        <f t="shared" si="4"/>
        <v>134</v>
      </c>
      <c r="AJ42" s="3"/>
    </row>
    <row r="43" spans="1:36" ht="24.95" customHeight="1">
      <c r="A43" s="22">
        <v>29</v>
      </c>
      <c r="B43" s="22">
        <v>33</v>
      </c>
      <c r="C43" s="22">
        <v>540</v>
      </c>
      <c r="D43" s="23" t="str">
        <f t="shared" si="0"/>
        <v>RUBÍ Ian Caleb*</v>
      </c>
      <c r="E43" s="24" t="str">
        <f t="shared" si="1"/>
        <v>CODEA ALAJUELA</v>
      </c>
      <c r="F43" s="3"/>
      <c r="G43" s="15"/>
      <c r="H43" s="3"/>
      <c r="I43" s="25"/>
      <c r="J43" s="33"/>
      <c r="K43" s="22"/>
      <c r="L43" s="22"/>
      <c r="M43" s="34"/>
      <c r="N43" s="26"/>
      <c r="O43" s="3"/>
      <c r="P43" s="3"/>
      <c r="Q43" s="39"/>
      <c r="R43" s="16"/>
      <c r="S43" s="3"/>
      <c r="T43" s="15"/>
      <c r="U43" s="39"/>
      <c r="V43" s="16">
        <v>19</v>
      </c>
      <c r="W43" s="15">
        <f>IFERROR(VLOOKUP(V43,'Puntos XCC Mayor'!$A$1:$B$15,2,FALSE),0)</f>
        <v>0</v>
      </c>
      <c r="X43" s="15">
        <v>19</v>
      </c>
      <c r="Y43" s="25">
        <f>IFERROR(VLOOKUP(X43,'Puntos XCO'!$A$1:$B$63,2,FALSE),0)</f>
        <v>60</v>
      </c>
      <c r="Z43" s="16">
        <f t="shared" si="2"/>
        <v>14</v>
      </c>
      <c r="AA43" s="15">
        <f>IFERROR(VLOOKUP(Z43,'Puntos XCC Mayor'!$A$1:$B$15,2,FALSE),0)</f>
        <v>2</v>
      </c>
      <c r="AB43" s="15">
        <f t="shared" si="3"/>
        <v>17</v>
      </c>
      <c r="AC43" s="25">
        <f>IFERROR(VLOOKUP(AB43,'Puntos XCO'!$A$1:$B$63,2,FALSE),0)</f>
        <v>64</v>
      </c>
      <c r="AD43" s="16"/>
      <c r="AE43" s="15"/>
      <c r="AF43" s="15"/>
      <c r="AG43" s="25"/>
      <c r="AH43" s="27">
        <f t="shared" si="4"/>
        <v>126</v>
      </c>
      <c r="AJ43" s="3"/>
    </row>
    <row r="44" spans="1:36" ht="24.95" customHeight="1">
      <c r="A44" s="22">
        <v>30</v>
      </c>
      <c r="B44" s="22">
        <v>27</v>
      </c>
      <c r="C44" s="22">
        <v>535</v>
      </c>
      <c r="D44" s="23" t="str">
        <f t="shared" si="0"/>
        <v>CARBALLO Abraham</v>
      </c>
      <c r="E44" s="24" t="str">
        <f t="shared" si="1"/>
        <v>BIKERS RACING TEAM</v>
      </c>
      <c r="F44" s="3"/>
      <c r="G44" s="15"/>
      <c r="H44" s="3"/>
      <c r="I44" s="25"/>
      <c r="J44" s="33"/>
      <c r="K44" s="22"/>
      <c r="L44" s="22"/>
      <c r="M44" s="34"/>
      <c r="N44" s="26"/>
      <c r="O44" s="3"/>
      <c r="P44" s="3">
        <v>4</v>
      </c>
      <c r="Q44" s="39">
        <f>IFERROR(VLOOKUP(P44,'Puntos XCO'!$A$1:$B$63,2,FALSE),0)</f>
        <v>110</v>
      </c>
      <c r="R44" s="16">
        <v>0</v>
      </c>
      <c r="S44" s="3">
        <f>IFERROR(VLOOKUP(R44,'Puntos XCC Menor'!$A$1:$B$15,2,FALSE),0)</f>
        <v>0</v>
      </c>
      <c r="T44" s="15">
        <v>0</v>
      </c>
      <c r="U44" s="39">
        <f>IFERROR(VLOOKUP(T44,'Puntos XCO'!$A$1:$B$63,2,FALSE),0)</f>
        <v>0</v>
      </c>
      <c r="V44" s="16">
        <v>0</v>
      </c>
      <c r="W44" s="15">
        <f>IFERROR(VLOOKUP(V44,'Puntos XCC Mayor'!$A$1:$B$15,2,FALSE),0)</f>
        <v>0</v>
      </c>
      <c r="X44" s="15">
        <v>0</v>
      </c>
      <c r="Y44" s="25">
        <f>IFERROR(VLOOKUP(X44,'Puntos XCO'!$A$1:$B$63,2,FALSE),0)</f>
        <v>0</v>
      </c>
      <c r="Z44" s="16">
        <f t="shared" si="2"/>
        <v>0</v>
      </c>
      <c r="AA44" s="15">
        <f>IFERROR(VLOOKUP(Z44,'Puntos XCC Mayor'!$A$1:$B$15,2,FALSE),0)</f>
        <v>0</v>
      </c>
      <c r="AB44" s="15">
        <f t="shared" si="3"/>
        <v>0</v>
      </c>
      <c r="AC44" s="25">
        <f>IFERROR(VLOOKUP(AB44,'Puntos XCO'!$A$1:$B$63,2,FALSE),0)</f>
        <v>0</v>
      </c>
      <c r="AD44" s="16"/>
      <c r="AE44" s="15"/>
      <c r="AF44" s="15"/>
      <c r="AG44" s="25"/>
      <c r="AH44" s="27">
        <f t="shared" si="4"/>
        <v>110</v>
      </c>
      <c r="AJ44" s="3"/>
    </row>
    <row r="45" spans="1:36" ht="24.95" customHeight="1">
      <c r="A45" s="22">
        <v>31</v>
      </c>
      <c r="B45" s="22">
        <v>28</v>
      </c>
      <c r="C45" s="22">
        <v>517</v>
      </c>
      <c r="D45" s="23" t="str">
        <f t="shared" si="0"/>
        <v>ARAYA Alejandro*</v>
      </c>
      <c r="E45" s="24" t="str">
        <f t="shared" si="1"/>
        <v>CCDR DE NARANJO</v>
      </c>
      <c r="F45" s="3">
        <v>18</v>
      </c>
      <c r="G45" s="15">
        <v>0</v>
      </c>
      <c r="H45" s="3">
        <v>22</v>
      </c>
      <c r="I45" s="25">
        <v>54</v>
      </c>
      <c r="J45" s="33">
        <v>23</v>
      </c>
      <c r="K45" s="22">
        <v>0</v>
      </c>
      <c r="L45" s="22">
        <v>22</v>
      </c>
      <c r="M45" s="34">
        <v>54</v>
      </c>
      <c r="N45" s="26"/>
      <c r="O45" s="3">
        <f>IFERROR(VLOOKUP(N45,'Puntos XCC Menor'!$A$1:$B$15,2,FALSE),0)</f>
        <v>0</v>
      </c>
      <c r="P45" s="3">
        <v>0</v>
      </c>
      <c r="Q45" s="39">
        <f>IFERROR(VLOOKUP(P45,'Puntos XCO'!$A$1:$B$63,2,FALSE),0)</f>
        <v>0</v>
      </c>
      <c r="R45" s="16">
        <v>17</v>
      </c>
      <c r="S45" s="3">
        <f>IFERROR(VLOOKUP(R45,'Puntos XCC Menor'!$A$1:$B$15,2,FALSE),0)</f>
        <v>0</v>
      </c>
      <c r="T45" s="15">
        <v>0</v>
      </c>
      <c r="U45" s="39">
        <f>IFERROR(VLOOKUP(T45,'Puntos XCO'!$A$1:$B$63,2,FALSE),0)</f>
        <v>0</v>
      </c>
      <c r="V45" s="16">
        <v>0</v>
      </c>
      <c r="W45" s="15">
        <f>IFERROR(VLOOKUP(V45,'Puntos XCC Mayor'!$A$1:$B$15,2,FALSE),0)</f>
        <v>0</v>
      </c>
      <c r="X45" s="15">
        <v>0</v>
      </c>
      <c r="Y45" s="25">
        <f>IFERROR(VLOOKUP(X45,'Puntos XCO'!$A$1:$B$63,2,FALSE),0)</f>
        <v>0</v>
      </c>
      <c r="Z45" s="16">
        <f t="shared" si="2"/>
        <v>0</v>
      </c>
      <c r="AA45" s="15">
        <f>IFERROR(VLOOKUP(Z45,'Puntos XCC Mayor'!$A$1:$B$15,2,FALSE),0)</f>
        <v>0</v>
      </c>
      <c r="AB45" s="15">
        <f t="shared" si="3"/>
        <v>0</v>
      </c>
      <c r="AC45" s="25">
        <f>IFERROR(VLOOKUP(AB45,'Puntos XCO'!$A$1:$B$63,2,FALSE),0)</f>
        <v>0</v>
      </c>
      <c r="AD45" s="16"/>
      <c r="AE45" s="15"/>
      <c r="AF45" s="15"/>
      <c r="AG45" s="25"/>
      <c r="AH45" s="27">
        <f t="shared" si="4"/>
        <v>108</v>
      </c>
      <c r="AJ45" s="3"/>
    </row>
    <row r="46" spans="1:36" ht="24.95" customHeight="1">
      <c r="A46" s="22">
        <v>32</v>
      </c>
      <c r="B46" s="22">
        <v>30</v>
      </c>
      <c r="C46" s="22">
        <v>511</v>
      </c>
      <c r="D46" s="23" t="str">
        <f t="shared" si="0"/>
        <v xml:space="preserve">VASQUEZ  Yariel </v>
      </c>
      <c r="E46" s="24" t="str">
        <f t="shared" si="1"/>
        <v xml:space="preserve">CCDR PARAÍSO </v>
      </c>
      <c r="F46" s="3">
        <v>16</v>
      </c>
      <c r="G46" s="15">
        <v>0</v>
      </c>
      <c r="H46" s="3">
        <v>13</v>
      </c>
      <c r="I46" s="25">
        <v>72</v>
      </c>
      <c r="J46" s="33">
        <v>0</v>
      </c>
      <c r="K46" s="22">
        <v>0</v>
      </c>
      <c r="L46" s="22">
        <v>0</v>
      </c>
      <c r="M46" s="34">
        <v>0</v>
      </c>
      <c r="N46" s="26"/>
      <c r="O46" s="3">
        <f>IFERROR(VLOOKUP(N46,'Puntos XCC Menor'!$A$1:$B$15,2,FALSE),0)</f>
        <v>0</v>
      </c>
      <c r="P46" s="3">
        <v>0</v>
      </c>
      <c r="Q46" s="39">
        <f>IFERROR(VLOOKUP(P46,'Puntos XCO'!$A$1:$B$63,2,FALSE),0)</f>
        <v>0</v>
      </c>
      <c r="R46" s="16">
        <v>0</v>
      </c>
      <c r="S46" s="3">
        <f>IFERROR(VLOOKUP(R46,'Puntos XCC Menor'!$A$1:$B$15,2,FALSE),0)</f>
        <v>0</v>
      </c>
      <c r="T46" s="15">
        <v>0</v>
      </c>
      <c r="U46" s="39">
        <f>IFERROR(VLOOKUP(T46,'Puntos XCO'!$A$1:$B$63,2,FALSE),0)</f>
        <v>0</v>
      </c>
      <c r="V46" s="16">
        <v>0</v>
      </c>
      <c r="W46" s="15">
        <f>IFERROR(VLOOKUP(V46,'Puntos XCC Mayor'!$A$1:$B$15,2,FALSE),0)</f>
        <v>0</v>
      </c>
      <c r="X46" s="15">
        <v>0</v>
      </c>
      <c r="Y46" s="25">
        <f>IFERROR(VLOOKUP(X46,'Puntos XCO'!$A$1:$B$63,2,FALSE),0)</f>
        <v>0</v>
      </c>
      <c r="Z46" s="16">
        <f t="shared" si="2"/>
        <v>0</v>
      </c>
      <c r="AA46" s="15">
        <f>IFERROR(VLOOKUP(Z46,'Puntos XCC Mayor'!$A$1:$B$15,2,FALSE),0)</f>
        <v>0</v>
      </c>
      <c r="AB46" s="15">
        <f t="shared" si="3"/>
        <v>0</v>
      </c>
      <c r="AC46" s="25">
        <f>IFERROR(VLOOKUP(AB46,'Puntos XCO'!$A$1:$B$63,2,FALSE),0)</f>
        <v>0</v>
      </c>
      <c r="AD46" s="16"/>
      <c r="AE46" s="15"/>
      <c r="AF46" s="15"/>
      <c r="AG46" s="25"/>
      <c r="AH46" s="27">
        <f t="shared" si="4"/>
        <v>72</v>
      </c>
      <c r="AJ46" s="3"/>
    </row>
    <row r="47" spans="1:36" ht="24.95" customHeight="1">
      <c r="A47" s="22">
        <v>33</v>
      </c>
      <c r="B47" s="22">
        <v>31</v>
      </c>
      <c r="C47" s="22">
        <v>527</v>
      </c>
      <c r="D47" s="23" t="str">
        <f t="shared" si="0"/>
        <v>QUIROZ  Leyser Noel *</v>
      </c>
      <c r="E47" s="24" t="str">
        <f t="shared" si="1"/>
        <v>ACIPAL CMS</v>
      </c>
      <c r="F47" s="3"/>
      <c r="G47" s="15"/>
      <c r="H47" s="3"/>
      <c r="I47" s="25"/>
      <c r="J47" s="33">
        <v>18</v>
      </c>
      <c r="K47" s="22">
        <v>0</v>
      </c>
      <c r="L47" s="22">
        <v>15</v>
      </c>
      <c r="M47" s="34">
        <v>68</v>
      </c>
      <c r="N47" s="26"/>
      <c r="O47" s="3">
        <f>IFERROR(VLOOKUP(N47,'Puntos XCC Menor'!$A$1:$B$15,2,FALSE),0)</f>
        <v>0</v>
      </c>
      <c r="P47" s="3">
        <v>0</v>
      </c>
      <c r="Q47" s="39">
        <f>IFERROR(VLOOKUP(P47,'Puntos XCO'!$A$1:$B$63,2,FALSE),0)</f>
        <v>0</v>
      </c>
      <c r="R47" s="16">
        <v>0</v>
      </c>
      <c r="S47" s="3">
        <f>IFERROR(VLOOKUP(R47,'Puntos XCC Menor'!$A$1:$B$15,2,FALSE),0)</f>
        <v>0</v>
      </c>
      <c r="T47" s="15">
        <v>0</v>
      </c>
      <c r="U47" s="39">
        <f>IFERROR(VLOOKUP(T47,'Puntos XCO'!$A$1:$B$63,2,FALSE),0)</f>
        <v>0</v>
      </c>
      <c r="V47" s="16">
        <v>0</v>
      </c>
      <c r="W47" s="15">
        <f>IFERROR(VLOOKUP(V47,'Puntos XCC Mayor'!$A$1:$B$15,2,FALSE),0)</f>
        <v>0</v>
      </c>
      <c r="X47" s="15">
        <v>0</v>
      </c>
      <c r="Y47" s="25">
        <f>IFERROR(VLOOKUP(X47,'Puntos XCO'!$A$1:$B$63,2,FALSE),0)</f>
        <v>0</v>
      </c>
      <c r="Z47" s="16">
        <f t="shared" si="2"/>
        <v>0</v>
      </c>
      <c r="AA47" s="15">
        <f>IFERROR(VLOOKUP(Z47,'Puntos XCC Mayor'!$A$1:$B$15,2,FALSE),0)</f>
        <v>0</v>
      </c>
      <c r="AB47" s="15">
        <f t="shared" si="3"/>
        <v>0</v>
      </c>
      <c r="AC47" s="25">
        <f>IFERROR(VLOOKUP(AB47,'Puntos XCO'!$A$1:$B$63,2,FALSE),0)</f>
        <v>0</v>
      </c>
      <c r="AD47" s="16"/>
      <c r="AE47" s="15"/>
      <c r="AF47" s="15"/>
      <c r="AG47" s="25"/>
      <c r="AH47" s="27">
        <f t="shared" si="4"/>
        <v>68</v>
      </c>
      <c r="AJ47" s="3"/>
    </row>
    <row r="48" spans="1:36" ht="24.95" customHeight="1">
      <c r="A48" s="22">
        <v>34</v>
      </c>
      <c r="B48" s="22"/>
      <c r="C48" s="107">
        <v>544</v>
      </c>
      <c r="D48" s="23" t="str">
        <f t="shared" si="0"/>
        <v>WRAY Yhan Ricardo*</v>
      </c>
      <c r="E48" s="24" t="str">
        <f t="shared" si="1"/>
        <v xml:space="preserve">CCDR Santa Cruz / Kids Team Villarreal </v>
      </c>
      <c r="F48" s="3"/>
      <c r="G48" s="15"/>
      <c r="H48" s="3"/>
      <c r="I48" s="63"/>
      <c r="J48" s="33"/>
      <c r="K48" s="22"/>
      <c r="L48" s="22"/>
      <c r="M48" s="106"/>
      <c r="N48" s="26"/>
      <c r="O48" s="3"/>
      <c r="P48" s="3"/>
      <c r="Q48" s="39"/>
      <c r="R48" s="16"/>
      <c r="S48" s="3"/>
      <c r="T48" s="15"/>
      <c r="U48" s="39"/>
      <c r="V48" s="16"/>
      <c r="W48" s="15"/>
      <c r="X48" s="15"/>
      <c r="Y48" s="25"/>
      <c r="Z48" s="16">
        <f t="shared" si="2"/>
        <v>24</v>
      </c>
      <c r="AA48" s="15">
        <f>IFERROR(VLOOKUP(Z48,'Puntos XCC Mayor'!$A$1:$B$15,2,FALSE),0)</f>
        <v>0</v>
      </c>
      <c r="AB48" s="15">
        <f t="shared" si="3"/>
        <v>22</v>
      </c>
      <c r="AC48" s="25">
        <f>IFERROR(VLOOKUP(AB48,'Puntos XCO'!$A$1:$B$63,2,FALSE),0)</f>
        <v>54</v>
      </c>
      <c r="AD48" s="16"/>
      <c r="AE48" s="15"/>
      <c r="AF48" s="15"/>
      <c r="AG48" s="25"/>
      <c r="AH48" s="27">
        <f t="shared" si="4"/>
        <v>54</v>
      </c>
      <c r="AJ48" s="3"/>
    </row>
    <row r="49" spans="1:36" ht="24.95" customHeight="1">
      <c r="A49" s="22">
        <v>35</v>
      </c>
      <c r="B49" s="22">
        <v>36</v>
      </c>
      <c r="C49" s="22">
        <v>526</v>
      </c>
      <c r="D49" s="23" t="str">
        <f t="shared" si="0"/>
        <v>QUIRÓS Alejandro Martín</v>
      </c>
      <c r="E49" s="24" t="str">
        <f t="shared" si="1"/>
        <v>Gavia 88 Academy</v>
      </c>
      <c r="F49" s="3"/>
      <c r="G49" s="15"/>
      <c r="H49" s="3"/>
      <c r="I49" s="63"/>
      <c r="J49" s="33">
        <v>16</v>
      </c>
      <c r="K49" s="22">
        <v>0</v>
      </c>
      <c r="L49" s="22">
        <v>25</v>
      </c>
      <c r="M49" s="106">
        <v>48</v>
      </c>
      <c r="N49" s="26"/>
      <c r="O49" s="3">
        <f>IFERROR(VLOOKUP(N49,'Puntos XCC Menor'!$A$1:$B$15,2,FALSE),0)</f>
        <v>0</v>
      </c>
      <c r="P49" s="3">
        <v>0</v>
      </c>
      <c r="Q49" s="39">
        <f>IFERROR(VLOOKUP(P49,'Puntos XCO'!$A$1:$B$63,2,FALSE),0)</f>
        <v>0</v>
      </c>
      <c r="R49" s="16">
        <v>0</v>
      </c>
      <c r="S49" s="3">
        <f>IFERROR(VLOOKUP(R49,'Puntos XCC Menor'!$A$1:$B$15,2,FALSE),0)</f>
        <v>0</v>
      </c>
      <c r="T49" s="15">
        <v>0</v>
      </c>
      <c r="U49" s="39">
        <f>IFERROR(VLOOKUP(T49,'Puntos XCO'!$A$1:$B$63,2,FALSE),0)</f>
        <v>0</v>
      </c>
      <c r="V49" s="16">
        <v>0</v>
      </c>
      <c r="W49" s="15">
        <f>IFERROR(VLOOKUP(V49,'Puntos XCC Mayor'!$A$1:$B$15,2,FALSE),0)</f>
        <v>0</v>
      </c>
      <c r="X49" s="15">
        <v>0</v>
      </c>
      <c r="Y49" s="25">
        <f>IFERROR(VLOOKUP(X49,'Puntos XCO'!$A$1:$B$63,2,FALSE),0)</f>
        <v>0</v>
      </c>
      <c r="Z49" s="16">
        <f t="shared" si="2"/>
        <v>13</v>
      </c>
      <c r="AA49" s="15">
        <f>IFERROR(VLOOKUP(Z49,'Puntos XCC Mayor'!$A$1:$B$15,2,FALSE),0)</f>
        <v>3</v>
      </c>
      <c r="AB49" s="15">
        <f t="shared" si="3"/>
        <v>0</v>
      </c>
      <c r="AC49" s="25">
        <f>IFERROR(VLOOKUP(AB49,'Puntos XCO'!$A$1:$B$63,2,FALSE),0)</f>
        <v>0</v>
      </c>
      <c r="AD49" s="16"/>
      <c r="AE49" s="15"/>
      <c r="AF49" s="15"/>
      <c r="AG49" s="25"/>
      <c r="AH49" s="27">
        <f t="shared" si="4"/>
        <v>51</v>
      </c>
      <c r="AJ49" s="3"/>
    </row>
    <row r="50" spans="1:36" ht="24.95" customHeight="1">
      <c r="A50" s="22">
        <v>36</v>
      </c>
      <c r="B50" s="22">
        <v>34</v>
      </c>
      <c r="C50" s="22">
        <v>528</v>
      </c>
      <c r="D50" s="23" t="str">
        <f t="shared" si="0"/>
        <v>CALDERON  Jaden</v>
      </c>
      <c r="E50" s="24" t="str">
        <f t="shared" si="1"/>
        <v xml:space="preserve">CCDR SAN JOSÉ </v>
      </c>
      <c r="F50" s="3"/>
      <c r="G50" s="15"/>
      <c r="H50" s="3"/>
      <c r="I50" s="63"/>
      <c r="J50" s="33">
        <v>26</v>
      </c>
      <c r="K50" s="22">
        <v>0</v>
      </c>
      <c r="L50" s="22">
        <v>24</v>
      </c>
      <c r="M50" s="106">
        <v>50</v>
      </c>
      <c r="N50" s="26"/>
      <c r="O50" s="3">
        <f>IFERROR(VLOOKUP(N50,'Puntos XCC Menor'!$A$1:$B$15,2,FALSE),0)</f>
        <v>0</v>
      </c>
      <c r="P50" s="3">
        <v>0</v>
      </c>
      <c r="Q50" s="39">
        <f>IFERROR(VLOOKUP(P50,'Puntos XCO'!$A$1:$B$63,2,FALSE),0)</f>
        <v>0</v>
      </c>
      <c r="R50" s="16">
        <v>0</v>
      </c>
      <c r="S50" s="3">
        <f>IFERROR(VLOOKUP(R50,'Puntos XCC Menor'!$A$1:$B$15,2,FALSE),0)</f>
        <v>0</v>
      </c>
      <c r="T50" s="15">
        <v>0</v>
      </c>
      <c r="U50" s="39">
        <f>IFERROR(VLOOKUP(T50,'Puntos XCO'!$A$1:$B$63,2,FALSE),0)</f>
        <v>0</v>
      </c>
      <c r="V50" s="16">
        <v>0</v>
      </c>
      <c r="W50" s="15">
        <f>IFERROR(VLOOKUP(V50,'Puntos XCC Mayor'!$A$1:$B$15,2,FALSE),0)</f>
        <v>0</v>
      </c>
      <c r="X50" s="15">
        <v>0</v>
      </c>
      <c r="Y50" s="25">
        <f>IFERROR(VLOOKUP(X50,'Puntos XCO'!$A$1:$B$63,2,FALSE),0)</f>
        <v>0</v>
      </c>
      <c r="Z50" s="16">
        <f t="shared" si="2"/>
        <v>0</v>
      </c>
      <c r="AA50" s="15">
        <f>IFERROR(VLOOKUP(Z50,'Puntos XCC Mayor'!$A$1:$B$15,2,FALSE),0)</f>
        <v>0</v>
      </c>
      <c r="AB50" s="15">
        <f t="shared" si="3"/>
        <v>0</v>
      </c>
      <c r="AC50" s="25">
        <f>IFERROR(VLOOKUP(AB50,'Puntos XCO'!$A$1:$B$63,2,FALSE),0)</f>
        <v>0</v>
      </c>
      <c r="AD50" s="16"/>
      <c r="AE50" s="15"/>
      <c r="AF50" s="15"/>
      <c r="AG50" s="25"/>
      <c r="AH50" s="27">
        <f t="shared" si="4"/>
        <v>50</v>
      </c>
      <c r="AJ50" s="3"/>
    </row>
    <row r="51" spans="1:36" ht="24.95" customHeight="1">
      <c r="A51" s="22">
        <v>37</v>
      </c>
      <c r="B51" s="22">
        <v>35</v>
      </c>
      <c r="C51" s="22">
        <v>542</v>
      </c>
      <c r="D51" s="23" t="str">
        <f t="shared" si="0"/>
        <v>SEGURA  Francisco Javier</v>
      </c>
      <c r="E51" s="24" t="str">
        <f t="shared" si="1"/>
        <v xml:space="preserve">COMITÉ DE DEPORTES DE ACOSTA </v>
      </c>
      <c r="F51" s="3"/>
      <c r="G51" s="15"/>
      <c r="H51" s="3"/>
      <c r="I51" s="63"/>
      <c r="J51" s="33"/>
      <c r="K51" s="22"/>
      <c r="L51" s="22"/>
      <c r="M51" s="106"/>
      <c r="N51" s="26"/>
      <c r="O51" s="3"/>
      <c r="P51" s="3"/>
      <c r="Q51" s="39"/>
      <c r="R51" s="16"/>
      <c r="S51" s="3"/>
      <c r="T51" s="15"/>
      <c r="U51" s="39"/>
      <c r="V51" s="16">
        <v>0</v>
      </c>
      <c r="W51" s="15">
        <f>IFERROR(VLOOKUP(V51,'Puntos XCC Mayor'!$A$1:$B$15,2,FALSE),0)</f>
        <v>0</v>
      </c>
      <c r="X51" s="15">
        <v>24</v>
      </c>
      <c r="Y51" s="25">
        <f>IFERROR(VLOOKUP(X51,'Puntos XCO'!$A$1:$B$63,2,FALSE),0)</f>
        <v>50</v>
      </c>
      <c r="Z51" s="16">
        <f t="shared" si="2"/>
        <v>0</v>
      </c>
      <c r="AA51" s="15">
        <f>IFERROR(VLOOKUP(Z51,'Puntos XCC Mayor'!$A$1:$B$15,2,FALSE),0)</f>
        <v>0</v>
      </c>
      <c r="AB51" s="15">
        <f t="shared" si="3"/>
        <v>0</v>
      </c>
      <c r="AC51" s="25">
        <f>IFERROR(VLOOKUP(AB51,'Puntos XCO'!$A$1:$B$63,2,FALSE),0)</f>
        <v>0</v>
      </c>
      <c r="AD51" s="16"/>
      <c r="AE51" s="15"/>
      <c r="AF51" s="15"/>
      <c r="AG51" s="25"/>
      <c r="AH51" s="27">
        <f t="shared" si="4"/>
        <v>50</v>
      </c>
      <c r="AJ51" s="3"/>
    </row>
    <row r="52" spans="1:36" ht="24.95" customHeight="1">
      <c r="A52" s="22">
        <v>38</v>
      </c>
      <c r="B52" s="22"/>
      <c r="C52" s="107">
        <v>545</v>
      </c>
      <c r="D52" s="23" t="str">
        <f t="shared" si="0"/>
        <v>MORA David</v>
      </c>
      <c r="E52" s="24" t="str">
        <f t="shared" si="1"/>
        <v>Desamparados</v>
      </c>
      <c r="F52" s="3"/>
      <c r="G52" s="15"/>
      <c r="H52" s="3"/>
      <c r="I52" s="63"/>
      <c r="J52" s="33"/>
      <c r="K52" s="22"/>
      <c r="L52" s="22"/>
      <c r="M52" s="106"/>
      <c r="N52" s="26"/>
      <c r="O52" s="3"/>
      <c r="P52" s="3"/>
      <c r="Q52" s="39"/>
      <c r="R52" s="16"/>
      <c r="S52" s="3"/>
      <c r="T52" s="15"/>
      <c r="U52" s="39"/>
      <c r="V52" s="16"/>
      <c r="W52" s="15"/>
      <c r="X52" s="15"/>
      <c r="Y52" s="25"/>
      <c r="Z52" s="16">
        <f t="shared" si="2"/>
        <v>0</v>
      </c>
      <c r="AA52" s="15">
        <f>IFERROR(VLOOKUP(Z52,'Puntos XCC Mayor'!$A$1:$B$15,2,FALSE),0)</f>
        <v>0</v>
      </c>
      <c r="AB52" s="15">
        <f t="shared" si="3"/>
        <v>24</v>
      </c>
      <c r="AC52" s="25">
        <f>IFERROR(VLOOKUP(AB52,'Puntos XCO'!$A$1:$B$63,2,FALSE),0)</f>
        <v>50</v>
      </c>
      <c r="AD52" s="16"/>
      <c r="AE52" s="15"/>
      <c r="AF52" s="15"/>
      <c r="AG52" s="25"/>
      <c r="AH52" s="27">
        <f t="shared" si="4"/>
        <v>50</v>
      </c>
      <c r="AJ52" s="3"/>
    </row>
    <row r="53" spans="1:36" ht="24.95" customHeight="1">
      <c r="A53" s="22">
        <v>39</v>
      </c>
      <c r="B53" s="22">
        <v>37</v>
      </c>
      <c r="C53" s="22">
        <v>541</v>
      </c>
      <c r="D53" s="23" t="str">
        <f t="shared" si="0"/>
        <v>HERNÁNDEZ  Axel Steve*</v>
      </c>
      <c r="E53" s="24" t="str">
        <f t="shared" si="1"/>
        <v>COMITÉ DE DEPORTES ACOSTA</v>
      </c>
      <c r="F53" s="3"/>
      <c r="G53" s="15"/>
      <c r="H53" s="3"/>
      <c r="I53" s="63"/>
      <c r="J53" s="33"/>
      <c r="K53" s="22"/>
      <c r="L53" s="22"/>
      <c r="M53" s="106"/>
      <c r="N53" s="26"/>
      <c r="O53" s="3"/>
      <c r="P53" s="3"/>
      <c r="Q53" s="39"/>
      <c r="R53" s="16"/>
      <c r="S53" s="3"/>
      <c r="T53" s="15"/>
      <c r="U53" s="39"/>
      <c r="V53" s="16">
        <v>0</v>
      </c>
      <c r="W53" s="15">
        <f>IFERROR(VLOOKUP(V53,'Puntos XCC Mayor'!$A$1:$B$15,2,FALSE),0)</f>
        <v>0</v>
      </c>
      <c r="X53" s="15">
        <v>25</v>
      </c>
      <c r="Y53" s="25">
        <f>IFERROR(VLOOKUP(X53,'Puntos XCO'!$A$1:$B$63,2,FALSE),0)</f>
        <v>48</v>
      </c>
      <c r="Z53" s="16">
        <f t="shared" si="2"/>
        <v>0</v>
      </c>
      <c r="AA53" s="15">
        <f>IFERROR(VLOOKUP(Z53,'Puntos XCC Mayor'!$A$1:$B$15,2,FALSE),0)</f>
        <v>0</v>
      </c>
      <c r="AB53" s="15">
        <f t="shared" si="3"/>
        <v>0</v>
      </c>
      <c r="AC53" s="25">
        <f>IFERROR(VLOOKUP(AB53,'Puntos XCO'!$A$1:$B$63,2,FALSE),0)</f>
        <v>0</v>
      </c>
      <c r="AD53" s="16"/>
      <c r="AE53" s="15"/>
      <c r="AF53" s="15"/>
      <c r="AG53" s="25"/>
      <c r="AH53" s="27">
        <f t="shared" si="4"/>
        <v>48</v>
      </c>
      <c r="AJ53" s="3"/>
    </row>
    <row r="54" spans="1:36" ht="24.95" customHeight="1">
      <c r="A54" s="22">
        <v>40</v>
      </c>
      <c r="B54" s="22">
        <v>38</v>
      </c>
      <c r="C54" s="22">
        <v>532</v>
      </c>
      <c r="D54" s="23" t="str">
        <f t="shared" si="0"/>
        <v>QUESADA Juan Diego*</v>
      </c>
      <c r="E54" s="24" t="str">
        <f t="shared" si="1"/>
        <v>POWER KIDS</v>
      </c>
      <c r="F54" s="3"/>
      <c r="G54" s="15"/>
      <c r="H54" s="3"/>
      <c r="I54" s="63"/>
      <c r="J54" s="33">
        <v>0</v>
      </c>
      <c r="K54" s="22">
        <v>0</v>
      </c>
      <c r="L54" s="22">
        <v>26</v>
      </c>
      <c r="M54" s="106">
        <v>46</v>
      </c>
      <c r="N54" s="26"/>
      <c r="O54" s="3">
        <f>IFERROR(VLOOKUP(N54,'Puntos XCC Menor'!$A$1:$B$15,2,FALSE),0)</f>
        <v>0</v>
      </c>
      <c r="P54" s="3">
        <v>0</v>
      </c>
      <c r="Q54" s="39">
        <f>IFERROR(VLOOKUP(P54,'Puntos XCO'!$A$1:$B$63,2,FALSE),0)</f>
        <v>0</v>
      </c>
      <c r="R54" s="16">
        <v>18</v>
      </c>
      <c r="S54" s="3">
        <f>IFERROR(VLOOKUP(R54,'Puntos XCC Menor'!$A$1:$B$15,2,FALSE),0)</f>
        <v>0</v>
      </c>
      <c r="T54" s="15">
        <v>0</v>
      </c>
      <c r="U54" s="39">
        <f>IFERROR(VLOOKUP(T54,'Puntos XCO'!$A$1:$B$63,2,FALSE),0)</f>
        <v>0</v>
      </c>
      <c r="V54" s="16">
        <v>0</v>
      </c>
      <c r="W54" s="15">
        <f>IFERROR(VLOOKUP(V54,'Puntos XCC Mayor'!$A$1:$B$15,2,FALSE),0)</f>
        <v>0</v>
      </c>
      <c r="X54" s="15">
        <v>0</v>
      </c>
      <c r="Y54" s="25">
        <f>IFERROR(VLOOKUP(X54,'Puntos XCO'!$A$1:$B$63,2,FALSE),0)</f>
        <v>0</v>
      </c>
      <c r="Z54" s="16">
        <f t="shared" si="2"/>
        <v>0</v>
      </c>
      <c r="AA54" s="15">
        <f>IFERROR(VLOOKUP(Z54,'Puntos XCC Mayor'!$A$1:$B$15,2,FALSE),0)</f>
        <v>0</v>
      </c>
      <c r="AB54" s="15">
        <f t="shared" si="3"/>
        <v>0</v>
      </c>
      <c r="AC54" s="25">
        <f>IFERROR(VLOOKUP(AB54,'Puntos XCO'!$A$1:$B$63,2,FALSE),0)</f>
        <v>0</v>
      </c>
      <c r="AD54" s="16"/>
      <c r="AE54" s="15"/>
      <c r="AF54" s="15"/>
      <c r="AG54" s="25"/>
      <c r="AH54" s="27">
        <f t="shared" si="4"/>
        <v>46</v>
      </c>
      <c r="AJ54" s="3"/>
    </row>
    <row r="55" spans="1:36" ht="24.95" customHeight="1">
      <c r="A55" s="22"/>
      <c r="B55" s="22"/>
      <c r="C55" s="22">
        <v>525</v>
      </c>
      <c r="D55" s="23" t="str">
        <f t="shared" si="0"/>
        <v>FERNÁNDEZ  Owen Mathias *</v>
      </c>
      <c r="E55" s="24" t="str">
        <f t="shared" si="1"/>
        <v>VELOZ CYCLING</v>
      </c>
      <c r="F55" s="3"/>
      <c r="G55" s="15"/>
      <c r="H55" s="3"/>
      <c r="I55" s="63"/>
      <c r="J55" s="33">
        <v>24</v>
      </c>
      <c r="K55" s="22">
        <v>0</v>
      </c>
      <c r="L55" s="22">
        <v>0</v>
      </c>
      <c r="M55" s="106">
        <v>0</v>
      </c>
      <c r="N55" s="26"/>
      <c r="O55" s="3">
        <f>IFERROR(VLOOKUP(N55,'Puntos XCC Menor'!$A$1:$B$15,2,FALSE),0)</f>
        <v>0</v>
      </c>
      <c r="P55" s="3">
        <v>0</v>
      </c>
      <c r="Q55" s="39">
        <f>IFERROR(VLOOKUP(P55,'Puntos XCO'!$A$1:$B$63,2,FALSE),0)</f>
        <v>0</v>
      </c>
      <c r="R55" s="16">
        <v>0</v>
      </c>
      <c r="S55" s="3">
        <f>IFERROR(VLOOKUP(R55,'Puntos XCC Menor'!$A$1:$B$15,2,FALSE),0)</f>
        <v>0</v>
      </c>
      <c r="T55" s="15">
        <v>0</v>
      </c>
      <c r="U55" s="39">
        <f>IFERROR(VLOOKUP(T55,'Puntos XCO'!$A$1:$B$63,2,FALSE),0)</f>
        <v>0</v>
      </c>
      <c r="V55" s="16">
        <v>0</v>
      </c>
      <c r="W55" s="15">
        <f>IFERROR(VLOOKUP(V55,'Puntos XCC Mayor'!$A$1:$B$15,2,FALSE),0)</f>
        <v>0</v>
      </c>
      <c r="X55" s="15">
        <v>0</v>
      </c>
      <c r="Y55" s="25">
        <f>IFERROR(VLOOKUP(X55,'Puntos XCO'!$A$1:$B$63,2,FALSE),0)</f>
        <v>0</v>
      </c>
      <c r="Z55" s="16">
        <f t="shared" si="2"/>
        <v>0</v>
      </c>
      <c r="AA55" s="15">
        <f>IFERROR(VLOOKUP(Z55,'Puntos XCC Mayor'!$A$1:$B$15,2,FALSE),0)</f>
        <v>0</v>
      </c>
      <c r="AB55" s="15">
        <f t="shared" si="3"/>
        <v>0</v>
      </c>
      <c r="AC55" s="25">
        <f>IFERROR(VLOOKUP(AB55,'Puntos XCO'!$A$1:$B$63,2,FALSE),0)</f>
        <v>0</v>
      </c>
      <c r="AD55" s="16"/>
      <c r="AE55" s="15"/>
      <c r="AF55" s="15"/>
      <c r="AG55" s="25"/>
      <c r="AH55" s="27">
        <f t="shared" si="4"/>
        <v>0</v>
      </c>
      <c r="AJ55" s="3"/>
    </row>
    <row r="56" spans="1:36" ht="24.95" customHeight="1">
      <c r="A56" s="22"/>
      <c r="B56" s="22"/>
      <c r="C56" s="22">
        <v>533</v>
      </c>
      <c r="D56" s="23" t="str">
        <f t="shared" si="0"/>
        <v>CARMONA Ian Josue</v>
      </c>
      <c r="E56" s="24" t="str">
        <f t="shared" si="1"/>
        <v>CCDR SAN JOSE</v>
      </c>
      <c r="F56" s="3"/>
      <c r="G56" s="15"/>
      <c r="H56" s="3"/>
      <c r="I56" s="63"/>
      <c r="J56" s="33">
        <v>28</v>
      </c>
      <c r="K56" s="22">
        <v>0</v>
      </c>
      <c r="L56" s="22">
        <v>0</v>
      </c>
      <c r="M56" s="106">
        <v>0</v>
      </c>
      <c r="N56" s="26"/>
      <c r="O56" s="3">
        <f>IFERROR(VLOOKUP(N56,'Puntos XCC Menor'!$A$1:$B$15,2,FALSE),0)</f>
        <v>0</v>
      </c>
      <c r="P56" s="3">
        <v>0</v>
      </c>
      <c r="Q56" s="39">
        <f>IFERROR(VLOOKUP(P56,'Puntos XCO'!$A$1:$B$63,2,FALSE),0)</f>
        <v>0</v>
      </c>
      <c r="R56" s="16">
        <v>0</v>
      </c>
      <c r="S56" s="3">
        <f>IFERROR(VLOOKUP(R56,'Puntos XCC Menor'!$A$1:$B$15,2,FALSE),0)</f>
        <v>0</v>
      </c>
      <c r="T56" s="15">
        <v>0</v>
      </c>
      <c r="U56" s="39">
        <f>IFERROR(VLOOKUP(T56,'Puntos XCO'!$A$1:$B$63,2,FALSE),0)</f>
        <v>0</v>
      </c>
      <c r="V56" s="16">
        <v>0</v>
      </c>
      <c r="W56" s="15">
        <f>IFERROR(VLOOKUP(V56,'Puntos XCC Mayor'!$A$1:$B$15,2,FALSE),0)</f>
        <v>0</v>
      </c>
      <c r="X56" s="15">
        <v>0</v>
      </c>
      <c r="Y56" s="25">
        <f>IFERROR(VLOOKUP(X56,'Puntos XCO'!$A$1:$B$63,2,FALSE),0)</f>
        <v>0</v>
      </c>
      <c r="Z56" s="16">
        <f t="shared" si="2"/>
        <v>0</v>
      </c>
      <c r="AA56" s="15">
        <f>IFERROR(VLOOKUP(Z56,'Puntos XCC Mayor'!$A$1:$B$15,2,FALSE),0)</f>
        <v>0</v>
      </c>
      <c r="AB56" s="15">
        <f t="shared" si="3"/>
        <v>0</v>
      </c>
      <c r="AC56" s="25">
        <f>IFERROR(VLOOKUP(AB56,'Puntos XCO'!$A$1:$B$63,2,FALSE),0)</f>
        <v>0</v>
      </c>
      <c r="AD56" s="16"/>
      <c r="AE56" s="15"/>
      <c r="AF56" s="15"/>
      <c r="AG56" s="25"/>
      <c r="AH56" s="27">
        <f t="shared" si="4"/>
        <v>0</v>
      </c>
      <c r="AJ56" s="3"/>
    </row>
    <row r="57" spans="1:36" ht="24.95" customHeight="1">
      <c r="A57" s="22"/>
      <c r="B57" s="22"/>
      <c r="C57" s="22">
        <v>536</v>
      </c>
      <c r="D57" s="23" t="str">
        <f t="shared" si="0"/>
        <v>ROJAS Pedro</v>
      </c>
      <c r="E57" s="24" t="str">
        <f t="shared" si="1"/>
        <v>CODEA</v>
      </c>
      <c r="F57" s="3"/>
      <c r="G57" s="15"/>
      <c r="H57" s="3"/>
      <c r="I57" s="63"/>
      <c r="J57" s="33"/>
      <c r="K57" s="22"/>
      <c r="L57" s="22"/>
      <c r="M57" s="106"/>
      <c r="N57" s="26"/>
      <c r="O57" s="3"/>
      <c r="P57" s="3"/>
      <c r="Q57" s="39"/>
      <c r="R57" s="16"/>
      <c r="S57" s="3"/>
      <c r="T57" s="15"/>
      <c r="U57" s="39"/>
      <c r="V57" s="16"/>
      <c r="W57" s="15"/>
      <c r="X57" s="15"/>
      <c r="Y57" s="25"/>
      <c r="Z57" s="16">
        <f t="shared" si="2"/>
        <v>0</v>
      </c>
      <c r="AA57" s="15">
        <f>IFERROR(VLOOKUP(Z57,'Puntos XCC Mayor'!$A$1:$B$15,2,FALSE),0)</f>
        <v>0</v>
      </c>
      <c r="AB57" s="15">
        <f t="shared" si="3"/>
        <v>0</v>
      </c>
      <c r="AC57" s="25">
        <f>IFERROR(VLOOKUP(AB57,'Puntos XCO'!$A$1:$B$63,2,FALSE),0)</f>
        <v>0</v>
      </c>
      <c r="AD57" s="16"/>
      <c r="AE57" s="15"/>
      <c r="AF57" s="15"/>
      <c r="AG57" s="25"/>
      <c r="AH57" s="27">
        <f t="shared" si="4"/>
        <v>0</v>
      </c>
      <c r="AJ57" s="3"/>
    </row>
    <row r="58" spans="1:36" ht="24.95" customHeight="1">
      <c r="A58" s="22"/>
      <c r="B58" s="22"/>
      <c r="C58" s="107">
        <v>543</v>
      </c>
      <c r="D58" s="23" t="str">
        <f t="shared" si="0"/>
        <v>CORTES Johan*</v>
      </c>
      <c r="E58" s="24" t="str">
        <f t="shared" si="1"/>
        <v>Cocer escazu</v>
      </c>
      <c r="F58" s="3"/>
      <c r="G58" s="15"/>
      <c r="H58" s="3"/>
      <c r="I58" s="63"/>
      <c r="J58" s="33"/>
      <c r="K58" s="22"/>
      <c r="L58" s="22"/>
      <c r="M58" s="106"/>
      <c r="N58" s="26"/>
      <c r="O58" s="3"/>
      <c r="P58" s="3"/>
      <c r="Q58" s="39"/>
      <c r="R58" s="16"/>
      <c r="S58" s="3"/>
      <c r="T58" s="15"/>
      <c r="U58" s="39"/>
      <c r="V58" s="16"/>
      <c r="W58" s="15"/>
      <c r="X58" s="15"/>
      <c r="Y58" s="25"/>
      <c r="Z58" s="16">
        <f t="shared" si="2"/>
        <v>25</v>
      </c>
      <c r="AA58" s="15">
        <f>IFERROR(VLOOKUP(Z58,'Puntos XCC Mayor'!$A$1:$B$15,2,FALSE),0)</f>
        <v>0</v>
      </c>
      <c r="AB58" s="15">
        <f t="shared" si="3"/>
        <v>0</v>
      </c>
      <c r="AC58" s="25">
        <f>IFERROR(VLOOKUP(AB58,'Puntos XCO'!$A$1:$B$63,2,FALSE),0)</f>
        <v>0</v>
      </c>
      <c r="AD58" s="16"/>
      <c r="AE58" s="15"/>
      <c r="AF58" s="15"/>
      <c r="AG58" s="25"/>
      <c r="AH58" s="27">
        <f t="shared" si="4"/>
        <v>0</v>
      </c>
      <c r="AJ58" s="3"/>
    </row>
    <row r="59" spans="1:36" ht="24.95" customHeight="1">
      <c r="A59" s="22"/>
      <c r="B59" s="22"/>
      <c r="C59" s="22"/>
      <c r="D59" s="23"/>
      <c r="E59" s="62"/>
      <c r="F59" s="3"/>
      <c r="G59" s="15"/>
      <c r="H59" s="3"/>
      <c r="I59" s="63"/>
      <c r="J59" s="106"/>
      <c r="K59" s="22"/>
      <c r="L59" s="22"/>
      <c r="M59" s="106"/>
      <c r="N59" s="64"/>
      <c r="O59" s="3"/>
      <c r="P59" s="3"/>
      <c r="Q59" s="64"/>
      <c r="R59" s="112"/>
      <c r="S59" s="30"/>
      <c r="T59" s="3"/>
      <c r="U59" s="64"/>
      <c r="V59" s="63"/>
      <c r="W59" s="15"/>
      <c r="X59" s="15"/>
      <c r="Y59" s="63"/>
      <c r="Z59" s="63"/>
      <c r="AA59" s="15"/>
      <c r="AB59" s="15"/>
      <c r="AC59" s="63"/>
      <c r="AD59" s="63"/>
      <c r="AE59" s="15"/>
      <c r="AF59" s="15"/>
      <c r="AG59" s="63"/>
      <c r="AH59" s="27"/>
      <c r="AJ59" s="3"/>
    </row>
    <row r="60" spans="1:36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74"/>
      <c r="Q60" s="65"/>
      <c r="R60" s="65"/>
      <c r="S60" s="65"/>
      <c r="T60" s="65"/>
      <c r="U60" s="65"/>
      <c r="V60" s="65"/>
      <c r="W60" s="65"/>
      <c r="X60" s="65"/>
      <c r="Y60" s="65"/>
      <c r="Z60" s="119"/>
      <c r="AA60" s="119"/>
      <c r="AB60" s="119"/>
      <c r="AC60" s="119"/>
      <c r="AD60" s="119"/>
      <c r="AE60" s="119"/>
      <c r="AF60" s="119"/>
      <c r="AG60" s="119"/>
      <c r="AH60" s="65"/>
    </row>
    <row r="61" spans="1:36">
      <c r="M61" s="9"/>
      <c r="N61" s="9"/>
      <c r="O61" s="9"/>
      <c r="P61" s="10"/>
      <c r="Q61" s="9"/>
      <c r="R61" s="9"/>
      <c r="S61" s="9"/>
      <c r="T61" s="9"/>
      <c r="U61" s="9"/>
    </row>
    <row r="62" spans="1:36" ht="84.75" customHeight="1"/>
    <row r="63" spans="1:36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74"/>
      <c r="Q63" s="65"/>
      <c r="R63" s="65"/>
      <c r="S63" s="65"/>
      <c r="T63" s="65"/>
      <c r="U63" s="65"/>
      <c r="V63" s="65"/>
      <c r="W63" s="65"/>
      <c r="X63" s="65"/>
      <c r="Y63" s="65"/>
      <c r="Z63" s="119"/>
      <c r="AA63" s="119"/>
      <c r="AB63" s="119"/>
      <c r="AC63" s="119"/>
      <c r="AD63" s="119"/>
      <c r="AE63" s="119"/>
      <c r="AF63" s="119"/>
      <c r="AG63" s="119"/>
      <c r="AH63" s="65"/>
    </row>
  </sheetData>
  <sortState ref="B15:AH58">
    <sortCondition descending="1" ref="AH15:AH58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60:C65538 C1:C9 C12:C14">
    <cfRule type="duplicateValues" dxfId="479" priority="70" stopIfTrue="1"/>
  </conditionalFormatting>
  <conditionalFormatting sqref="AJ15:AJ59">
    <cfRule type="duplicateValues" dxfId="478" priority="7346"/>
  </conditionalFormatting>
  <conditionalFormatting sqref="C15:C50 C59">
    <cfRule type="duplicateValues" dxfId="477" priority="7347"/>
  </conditionalFormatting>
  <conditionalFormatting sqref="C51">
    <cfRule type="duplicateValues" dxfId="476" priority="9"/>
  </conditionalFormatting>
  <conditionalFormatting sqref="C52:C55">
    <cfRule type="duplicateValues" dxfId="475" priority="8"/>
  </conditionalFormatting>
  <conditionalFormatting sqref="C58">
    <cfRule type="duplicateValues" dxfId="474" priority="7"/>
  </conditionalFormatting>
  <conditionalFormatting sqref="C56:C57">
    <cfRule type="duplicateValues" dxfId="473" priority="6"/>
  </conditionalFormatting>
  <conditionalFormatting sqref="C11">
    <cfRule type="duplicateValues" dxfId="472" priority="4" stopIfTrue="1"/>
  </conditionalFormatting>
  <conditionalFormatting sqref="C11">
    <cfRule type="duplicateValues" dxfId="471" priority="5" stopIfTrue="1"/>
  </conditionalFormatting>
  <conditionalFormatting sqref="D11">
    <cfRule type="duplicateValues" dxfId="470" priority="3" stopIfTrue="1"/>
  </conditionalFormatting>
  <conditionalFormatting sqref="C10">
    <cfRule type="duplicateValues" dxfId="469" priority="1" stopIfTrue="1"/>
  </conditionalFormatting>
  <conditionalFormatting sqref="C10">
    <cfRule type="duplicateValues" dxfId="468" priority="2" stopIfTrue="1"/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M45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42578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158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7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401</v>
      </c>
      <c r="D15" s="23" t="str">
        <f t="shared" ref="D15:D40" si="0">VLOOKUP(C15,PLANILLA,2,FALSE)</f>
        <v xml:space="preserve">ARAYA Emiliano </v>
      </c>
      <c r="E15" s="24" t="str">
        <f t="shared" ref="E15:E40" si="1">VLOOKUP(C15,PLANILLA,4,FALSE)</f>
        <v>CCDR Santa Cruz- Team Costa Frut</v>
      </c>
      <c r="F15" s="3">
        <v>1</v>
      </c>
      <c r="G15" s="15">
        <v>10</v>
      </c>
      <c r="H15" s="3">
        <v>3</v>
      </c>
      <c r="I15" s="25">
        <v>120</v>
      </c>
      <c r="J15" s="33">
        <v>1</v>
      </c>
      <c r="K15" s="22">
        <v>10</v>
      </c>
      <c r="L15" s="22">
        <v>2</v>
      </c>
      <c r="M15" s="34">
        <v>150</v>
      </c>
      <c r="N15" s="26"/>
      <c r="O15" s="3">
        <f>IFERROR(VLOOKUP(N15,'Puntos XCC Menor'!$A$1:$B$15,2,FALSE),0)</f>
        <v>0</v>
      </c>
      <c r="P15" s="3">
        <v>1</v>
      </c>
      <c r="Q15" s="39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2</v>
      </c>
      <c r="W15" s="15">
        <f>IFERROR(VLOOKUP(V15,'Puntos XCC Mayor'!$A$1:$B$15,2,FALSE),0)</f>
        <v>20</v>
      </c>
      <c r="X15" s="15">
        <v>2</v>
      </c>
      <c r="Y15" s="25">
        <f>IFERROR(VLOOKUP(X15,'Puntos XCO'!$A$1:$B$63,2,FALSE),0)</f>
        <v>150</v>
      </c>
      <c r="Z15" s="16">
        <f t="shared" ref="Z15:Z40" si="2">IFERROR(VLOOKUP($C15,RESXCC_1,9,FALSE),0)</f>
        <v>1</v>
      </c>
      <c r="AA15" s="15">
        <f>IFERROR(VLOOKUP(Z15,'Puntos XCC Mayor'!$A$1:$B$15,2,FALSE),0)</f>
        <v>25</v>
      </c>
      <c r="AB15" s="15">
        <f t="shared" ref="AB15:AB40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40" si="4">G15+I15+K15+M15+O15+Q15+S15+U15+W15+Y15+AA15+AC15+AE15+AG15</f>
        <v>1095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3</v>
      </c>
      <c r="C16" s="22">
        <v>406</v>
      </c>
      <c r="D16" s="23" t="str">
        <f t="shared" si="0"/>
        <v>CÉSPEDES Anthony Luan*</v>
      </c>
      <c r="E16" s="24" t="str">
        <f t="shared" si="1"/>
        <v xml:space="preserve">Skala Monteverde/CCDR Monteverde </v>
      </c>
      <c r="F16" s="3">
        <v>3</v>
      </c>
      <c r="G16" s="15">
        <v>8</v>
      </c>
      <c r="H16" s="3">
        <v>2</v>
      </c>
      <c r="I16" s="25">
        <v>150</v>
      </c>
      <c r="J16" s="33">
        <v>3</v>
      </c>
      <c r="K16" s="22">
        <v>8</v>
      </c>
      <c r="L16" s="22">
        <v>0</v>
      </c>
      <c r="M16" s="34">
        <v>0</v>
      </c>
      <c r="N16" s="26"/>
      <c r="O16" s="3">
        <f>IFERROR(VLOOKUP(N16,'Puntos XCC Menor'!$A$1:$B$15,2,FALSE),0)</f>
        <v>0</v>
      </c>
      <c r="P16" s="3">
        <v>2</v>
      </c>
      <c r="Q16" s="39">
        <f>IFERROR(VLOOKUP(P16,'Puntos XCO'!$A$1:$B$63,2,FALSE),0)</f>
        <v>150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v>4</v>
      </c>
      <c r="W16" s="15">
        <f>IFERROR(VLOOKUP(V16,'Puntos XCC Mayor'!$A$1:$B$15,2,FALSE),0)</f>
        <v>14</v>
      </c>
      <c r="X16" s="15">
        <v>4</v>
      </c>
      <c r="Y16" s="25">
        <f>IFERROR(VLOOKUP(X16,'Puntos XCO'!$A$1:$B$63,2,FALSE),0)</f>
        <v>110</v>
      </c>
      <c r="Z16" s="16">
        <f t="shared" si="2"/>
        <v>5</v>
      </c>
      <c r="AA16" s="15">
        <f>IFERROR(VLOOKUP(Z16,'Puntos XCC Mayor'!$A$1:$B$15,2,FALSE),0)</f>
        <v>12</v>
      </c>
      <c r="AB16" s="15">
        <f t="shared" si="3"/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4"/>
        <v>731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2</v>
      </c>
      <c r="C17" s="22">
        <v>405</v>
      </c>
      <c r="D17" s="23" t="str">
        <f t="shared" si="0"/>
        <v xml:space="preserve">CESPEDES  Santiago </v>
      </c>
      <c r="E17" s="24" t="str">
        <f t="shared" si="1"/>
        <v xml:space="preserve">ACCIPAL CMS </v>
      </c>
      <c r="F17" s="3">
        <v>2</v>
      </c>
      <c r="G17" s="15">
        <v>9</v>
      </c>
      <c r="H17" s="3">
        <v>1</v>
      </c>
      <c r="I17" s="25">
        <v>200</v>
      </c>
      <c r="J17" s="33">
        <v>2</v>
      </c>
      <c r="K17" s="22">
        <v>9</v>
      </c>
      <c r="L17" s="22">
        <v>1</v>
      </c>
      <c r="M17" s="34">
        <v>200</v>
      </c>
      <c r="N17" s="26"/>
      <c r="O17" s="3">
        <f>IFERROR(VLOOKUP(N17,'Puntos XCC Menor'!$A$1:$B$15,2,FALSE),0)</f>
        <v>0</v>
      </c>
      <c r="P17" s="3">
        <v>0</v>
      </c>
      <c r="Q17" s="39">
        <f>IFERROR(VLOOKUP(P17,'Puntos XCO'!$A$1:$B$63,2,FALSE),0)</f>
        <v>0</v>
      </c>
      <c r="R17" s="16">
        <v>0</v>
      </c>
      <c r="S17" s="3">
        <f>IFERROR(VLOOKUP(R17,'Puntos XCC Menor'!$A$1:$B$15,2,FALSE),0)</f>
        <v>0</v>
      </c>
      <c r="T17" s="15">
        <v>0</v>
      </c>
      <c r="U17" s="39">
        <f>IFERROR(VLOOKUP(T17,'Puntos XCO'!$A$1:$B$63,2,FALSE),0)</f>
        <v>0</v>
      </c>
      <c r="V17" s="16">
        <v>1</v>
      </c>
      <c r="W17" s="15">
        <f>IFERROR(VLOOKUP(V17,'Puntos XCC Mayor'!$A$1:$B$15,2,FALSE),0)</f>
        <v>25</v>
      </c>
      <c r="X17" s="15">
        <v>1</v>
      </c>
      <c r="Y17" s="25">
        <f>IFERROR(VLOOKUP(X17,'Puntos XCO'!$A$1:$B$63,2,FALSE),0)</f>
        <v>200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643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402</v>
      </c>
      <c r="D18" s="23" t="str">
        <f t="shared" si="0"/>
        <v>CERDAS Isaac*</v>
      </c>
      <c r="E18" s="24" t="str">
        <f t="shared" si="1"/>
        <v xml:space="preserve">Codea </v>
      </c>
      <c r="F18" s="3">
        <v>0</v>
      </c>
      <c r="G18" s="15">
        <v>0</v>
      </c>
      <c r="H18" s="3">
        <v>5</v>
      </c>
      <c r="I18" s="25">
        <v>100</v>
      </c>
      <c r="J18" s="33">
        <v>0</v>
      </c>
      <c r="K18" s="22">
        <v>0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>
        <v>3</v>
      </c>
      <c r="Q18" s="39">
        <f>IFERROR(VLOOKUP(P18,'Puntos XCO'!$A$1:$B$63,2,FALSE),0)</f>
        <v>120</v>
      </c>
      <c r="R18" s="16">
        <v>0</v>
      </c>
      <c r="S18" s="3">
        <f>IFERROR(VLOOKUP(R18,'Puntos XCC Menor'!$A$1:$B$15,2,FALSE),0)</f>
        <v>0</v>
      </c>
      <c r="T18" s="15">
        <v>5</v>
      </c>
      <c r="U18" s="39">
        <f>IFERROR(VLOOKUP(T18,'Puntos XCO'!$A$1:$B$63,2,FALSE),0)</f>
        <v>100</v>
      </c>
      <c r="V18" s="16">
        <v>10</v>
      </c>
      <c r="W18" s="15">
        <f>IFERROR(VLOOKUP(V18,'Puntos XCC Mayor'!$A$1:$B$15,2,FALSE),0)</f>
        <v>6</v>
      </c>
      <c r="X18" s="15">
        <v>7</v>
      </c>
      <c r="Y18" s="25">
        <f>IFERROR(VLOOKUP(X18,'Puntos XCO'!$A$1:$B$63,2,FALSE),0)</f>
        <v>90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6</v>
      </c>
      <c r="AC18" s="25">
        <f>IFERROR(VLOOKUP(AB18,'Puntos XCO'!$A$1:$B$63,2,FALSE),0)</f>
        <v>95</v>
      </c>
      <c r="AD18" s="16"/>
      <c r="AE18" s="15"/>
      <c r="AF18" s="15"/>
      <c r="AG18" s="25"/>
      <c r="AH18" s="27">
        <f t="shared" si="4"/>
        <v>621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6</v>
      </c>
      <c r="C19" s="22">
        <v>407</v>
      </c>
      <c r="D19" s="23" t="str">
        <f t="shared" si="0"/>
        <v>FLORES Eythan*</v>
      </c>
      <c r="E19" s="24" t="str">
        <f t="shared" si="1"/>
        <v xml:space="preserve">CCDR PARAÍSO </v>
      </c>
      <c r="F19" s="3"/>
      <c r="G19" s="15"/>
      <c r="H19" s="3"/>
      <c r="I19" s="25"/>
      <c r="J19" s="33">
        <v>6</v>
      </c>
      <c r="K19" s="22">
        <v>5</v>
      </c>
      <c r="L19" s="22">
        <v>5</v>
      </c>
      <c r="M19" s="34">
        <v>100</v>
      </c>
      <c r="N19" s="26"/>
      <c r="O19" s="3">
        <f>IFERROR(VLOOKUP(N19,'Puntos XCC Menor'!$A$1:$B$15,2,FALSE),0)</f>
        <v>0</v>
      </c>
      <c r="P19" s="3">
        <v>7</v>
      </c>
      <c r="Q19" s="39">
        <f>IFERROR(VLOOKUP(P19,'Puntos XCO'!$A$1:$B$63,2,FALSE),0)</f>
        <v>90</v>
      </c>
      <c r="R19" s="16">
        <v>3</v>
      </c>
      <c r="S19" s="3">
        <f>IFERROR(VLOOKUP(R19,'Puntos XCC Menor'!$A$1:$B$15,2,FALSE),0)</f>
        <v>8</v>
      </c>
      <c r="T19" s="15">
        <v>3</v>
      </c>
      <c r="U19" s="39">
        <f>IFERROR(VLOOKUP(T19,'Puntos XCO'!$A$1:$B$63,2,FALSE),0)</f>
        <v>120</v>
      </c>
      <c r="V19" s="16">
        <v>6</v>
      </c>
      <c r="W19" s="15">
        <f>IFERROR(VLOOKUP(V19,'Puntos XCC Mayor'!$A$1:$B$15,2,FALSE),0)</f>
        <v>10</v>
      </c>
      <c r="X19" s="15">
        <v>9</v>
      </c>
      <c r="Y19" s="25">
        <f>IFERROR(VLOOKUP(X19,'Puntos XCO'!$A$1:$B$63,2,FALSE),0)</f>
        <v>80</v>
      </c>
      <c r="Z19" s="16">
        <f t="shared" si="2"/>
        <v>4</v>
      </c>
      <c r="AA19" s="15">
        <f>IFERROR(VLOOKUP(Z19,'Puntos XCC Mayor'!$A$1:$B$15,2,FALSE),0)</f>
        <v>14</v>
      </c>
      <c r="AB19" s="15">
        <f t="shared" si="3"/>
        <v>5</v>
      </c>
      <c r="AC19" s="25">
        <f>IFERROR(VLOOKUP(AB19,'Puntos XCO'!$A$1:$B$63,2,FALSE),0)</f>
        <v>100</v>
      </c>
      <c r="AD19" s="16"/>
      <c r="AE19" s="15"/>
      <c r="AF19" s="15"/>
      <c r="AG19" s="25"/>
      <c r="AH19" s="27">
        <f t="shared" si="4"/>
        <v>527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5</v>
      </c>
      <c r="C20" s="22">
        <v>404</v>
      </c>
      <c r="D20" s="23" t="str">
        <f t="shared" si="0"/>
        <v>HUNTER Ian*</v>
      </c>
      <c r="E20" s="24" t="str">
        <f t="shared" si="1"/>
        <v>CODEA</v>
      </c>
      <c r="F20" s="3">
        <v>0</v>
      </c>
      <c r="G20" s="15">
        <v>0</v>
      </c>
      <c r="H20" s="3">
        <v>6</v>
      </c>
      <c r="I20" s="25">
        <v>95</v>
      </c>
      <c r="J20" s="33">
        <v>0</v>
      </c>
      <c r="K20" s="22">
        <v>0</v>
      </c>
      <c r="L20" s="22">
        <v>0</v>
      </c>
      <c r="M20" s="34">
        <v>0</v>
      </c>
      <c r="N20" s="26"/>
      <c r="O20" s="3">
        <f>IFERROR(VLOOKUP(N20,'Puntos XCC Menor'!$A$1:$B$15,2,FALSE),0)</f>
        <v>0</v>
      </c>
      <c r="P20" s="3">
        <v>4</v>
      </c>
      <c r="Q20" s="39">
        <f>IFERROR(VLOOKUP(P20,'Puntos XCO'!$A$1:$B$63,2,FALSE),0)</f>
        <v>110</v>
      </c>
      <c r="R20" s="16">
        <v>0</v>
      </c>
      <c r="S20" s="3">
        <f>IFERROR(VLOOKUP(R20,'Puntos XCC Menor'!$A$1:$B$15,2,FALSE),0)</f>
        <v>0</v>
      </c>
      <c r="T20" s="15">
        <v>4</v>
      </c>
      <c r="U20" s="39">
        <f>IFERROR(VLOOKUP(T20,'Puntos XCO'!$A$1:$B$63,2,FALSE),0)</f>
        <v>110</v>
      </c>
      <c r="V20" s="16">
        <v>5</v>
      </c>
      <c r="W20" s="15">
        <f>IFERROR(VLOOKUP(V20,'Puntos XCC Mayor'!$A$1:$B$15,2,FALSE),0)</f>
        <v>12</v>
      </c>
      <c r="X20" s="15">
        <v>6</v>
      </c>
      <c r="Y20" s="25">
        <f>IFERROR(VLOOKUP(X20,'Puntos XCO'!$A$1:$B$63,2,FALSE),0)</f>
        <v>95</v>
      </c>
      <c r="Z20" s="16">
        <f t="shared" si="2"/>
        <v>3</v>
      </c>
      <c r="AA20" s="15">
        <f>IFERROR(VLOOKUP(Z20,'Puntos XCC Mayor'!$A$1:$B$15,2,FALSE),0)</f>
        <v>16</v>
      </c>
      <c r="AB20" s="15">
        <f t="shared" si="3"/>
        <v>8</v>
      </c>
      <c r="AC20" s="25">
        <f>IFERROR(VLOOKUP(AB20,'Puntos XCO'!$A$1:$B$63,2,FALSE),0)</f>
        <v>85</v>
      </c>
      <c r="AD20" s="16"/>
      <c r="AE20" s="15"/>
      <c r="AF20" s="15"/>
      <c r="AG20" s="25"/>
      <c r="AH20" s="27">
        <f t="shared" si="4"/>
        <v>523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9</v>
      </c>
      <c r="C21" s="22">
        <v>411</v>
      </c>
      <c r="D21" s="23" t="str">
        <f t="shared" si="0"/>
        <v>HERRERA Mathias Joel*</v>
      </c>
      <c r="E21" s="24" t="str">
        <f t="shared" si="1"/>
        <v>CCDR  SAN JOSE</v>
      </c>
      <c r="F21" s="3"/>
      <c r="G21" s="15"/>
      <c r="H21" s="3"/>
      <c r="I21" s="25"/>
      <c r="J21" s="33"/>
      <c r="K21" s="22"/>
      <c r="L21" s="22"/>
      <c r="M21" s="34"/>
      <c r="N21" s="26"/>
      <c r="O21" s="3">
        <f>IFERROR(VLOOKUP(N21,'Puntos XCC Menor'!$A$1:$B$15,2,FALSE),0)</f>
        <v>0</v>
      </c>
      <c r="P21" s="3">
        <v>5</v>
      </c>
      <c r="Q21" s="39">
        <f>IFERROR(VLOOKUP(P21,'Puntos XCO'!$A$1:$B$63,2,FALSE),0)</f>
        <v>100</v>
      </c>
      <c r="R21" s="16">
        <v>4</v>
      </c>
      <c r="S21" s="3">
        <f>IFERROR(VLOOKUP(R21,'Puntos XCC Menor'!$A$1:$B$15,2,FALSE),0)</f>
        <v>7</v>
      </c>
      <c r="T21" s="15">
        <v>8</v>
      </c>
      <c r="U21" s="39">
        <f>IFERROR(VLOOKUP(T21,'Puntos XCO'!$A$1:$B$63,2,FALSE),0)</f>
        <v>85</v>
      </c>
      <c r="V21" s="16">
        <v>11</v>
      </c>
      <c r="W21" s="15">
        <f>IFERROR(VLOOKUP(V21,'Puntos XCC Mayor'!$A$1:$B$15,2,FALSE),0)</f>
        <v>5</v>
      </c>
      <c r="X21" s="15">
        <v>11</v>
      </c>
      <c r="Y21" s="25">
        <f>IFERROR(VLOOKUP(X21,'Puntos XCO'!$A$1:$B$63,2,FALSE),0)</f>
        <v>76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7</v>
      </c>
      <c r="AC21" s="25">
        <f>IFERROR(VLOOKUP(AB21,'Puntos XCO'!$A$1:$B$63,2,FALSE),0)</f>
        <v>90</v>
      </c>
      <c r="AD21" s="16"/>
      <c r="AE21" s="15"/>
      <c r="AF21" s="15"/>
      <c r="AG21" s="25"/>
      <c r="AH21" s="27">
        <f t="shared" si="4"/>
        <v>363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8</v>
      </c>
      <c r="C22" s="22">
        <v>409</v>
      </c>
      <c r="D22" s="23" t="str">
        <f t="shared" si="0"/>
        <v>FREER Isaac*</v>
      </c>
      <c r="E22" s="24" t="str">
        <f t="shared" si="1"/>
        <v>Desamparados Bike Café</v>
      </c>
      <c r="F22" s="3"/>
      <c r="G22" s="15"/>
      <c r="H22" s="3"/>
      <c r="I22" s="25"/>
      <c r="J22" s="33">
        <v>5</v>
      </c>
      <c r="K22" s="22">
        <v>6</v>
      </c>
      <c r="L22" s="22">
        <v>6</v>
      </c>
      <c r="M22" s="34">
        <v>95</v>
      </c>
      <c r="N22" s="26"/>
      <c r="O22" s="3">
        <f>IFERROR(VLOOKUP(N22,'Puntos XCC Menor'!$A$1:$B$15,2,FALSE),0)</f>
        <v>0</v>
      </c>
      <c r="P22" s="3">
        <v>0</v>
      </c>
      <c r="Q22" s="39">
        <f>IFERROR(VLOOKUP(P22,'Puntos XCO'!$A$1:$B$63,2,FALSE),0)</f>
        <v>0</v>
      </c>
      <c r="R22" s="16">
        <v>5</v>
      </c>
      <c r="S22" s="3">
        <f>IFERROR(VLOOKUP(R22,'Puntos XCC Menor'!$A$1:$B$15,2,FALSE),0)</f>
        <v>6</v>
      </c>
      <c r="T22" s="15">
        <v>7</v>
      </c>
      <c r="U22" s="39">
        <f>IFERROR(VLOOKUP(T22,'Puntos XCO'!$A$1:$B$63,2,FALSE),0)</f>
        <v>90</v>
      </c>
      <c r="V22" s="16">
        <v>12</v>
      </c>
      <c r="W22" s="15">
        <f>IFERROR(VLOOKUP(V22,'Puntos XCC Mayor'!$A$1:$B$15,2,FALSE),0)</f>
        <v>4</v>
      </c>
      <c r="X22" s="15">
        <v>13</v>
      </c>
      <c r="Y22" s="25">
        <f>IFERROR(VLOOKUP(X22,'Puntos XCO'!$A$1:$B$63,2,FALSE),0)</f>
        <v>72</v>
      </c>
      <c r="Z22" s="16">
        <f t="shared" si="2"/>
        <v>8</v>
      </c>
      <c r="AA22" s="15">
        <f>IFERROR(VLOOKUP(Z22,'Puntos XCC Mayor'!$A$1:$B$15,2,FALSE),0)</f>
        <v>8</v>
      </c>
      <c r="AB22" s="15">
        <f t="shared" si="3"/>
        <v>9</v>
      </c>
      <c r="AC22" s="25">
        <f>IFERROR(VLOOKUP(AB22,'Puntos XCO'!$A$1:$B$63,2,FALSE),0)</f>
        <v>80</v>
      </c>
      <c r="AD22" s="16"/>
      <c r="AE22" s="15"/>
      <c r="AF22" s="15"/>
      <c r="AG22" s="25"/>
      <c r="AH22" s="27">
        <f t="shared" si="4"/>
        <v>361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7</v>
      </c>
      <c r="C23" s="22">
        <v>403</v>
      </c>
      <c r="D23" s="23" t="str">
        <f t="shared" si="0"/>
        <v>SOJO Nathan</v>
      </c>
      <c r="E23" s="24" t="str">
        <f t="shared" si="1"/>
        <v xml:space="preserve">TRIATLÓN TURRIALBA </v>
      </c>
      <c r="F23" s="3">
        <v>4</v>
      </c>
      <c r="G23" s="15">
        <v>7</v>
      </c>
      <c r="H23" s="3">
        <v>4</v>
      </c>
      <c r="I23" s="25">
        <v>110</v>
      </c>
      <c r="J23" s="33">
        <v>4</v>
      </c>
      <c r="K23" s="22">
        <v>7</v>
      </c>
      <c r="L23" s="22">
        <v>3</v>
      </c>
      <c r="M23" s="34">
        <v>120</v>
      </c>
      <c r="N23" s="26"/>
      <c r="O23" s="3">
        <f>IFERROR(VLOOKUP(N23,'Puntos XCC Menor'!$A$1:$B$15,2,FALSE),0)</f>
        <v>0</v>
      </c>
      <c r="P23" s="3">
        <v>0</v>
      </c>
      <c r="Q23" s="39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8</v>
      </c>
      <c r="W23" s="15">
        <f>IFERROR(VLOOKUP(V23,'Puntos XCC Mayor'!$A$1:$B$15,2,FALSE),0)</f>
        <v>8</v>
      </c>
      <c r="X23" s="15">
        <v>8</v>
      </c>
      <c r="Y23" s="25">
        <f>IFERROR(VLOOKUP(X23,'Puntos XCO'!$A$1:$B$63,2,FALSE),0)</f>
        <v>85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337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22">
        <v>413</v>
      </c>
      <c r="D24" s="23" t="str">
        <f t="shared" si="0"/>
        <v>CARVAJAL Saúl*</v>
      </c>
      <c r="E24" s="24" t="str">
        <f t="shared" si="1"/>
        <v xml:space="preserve">CCDR Naranjo </v>
      </c>
      <c r="F24" s="3"/>
      <c r="G24" s="15"/>
      <c r="H24" s="3"/>
      <c r="I24" s="25"/>
      <c r="J24" s="33"/>
      <c r="K24" s="22"/>
      <c r="L24" s="22"/>
      <c r="M24" s="34"/>
      <c r="N24" s="26"/>
      <c r="O24" s="3">
        <f>IFERROR(VLOOKUP(N24,'Puntos XCC Menor'!$A$1:$B$15,2,FALSE),0)</f>
        <v>0</v>
      </c>
      <c r="P24" s="3">
        <v>8</v>
      </c>
      <c r="Q24" s="39">
        <f>IFERROR(VLOOKUP(P24,'Puntos XCO'!$A$1:$B$63,2,FALSE),0)</f>
        <v>85</v>
      </c>
      <c r="R24" s="16">
        <v>0</v>
      </c>
      <c r="S24" s="3">
        <f>IFERROR(VLOOKUP(R24,'Puntos XCC Menor'!$A$1:$B$15,2,FALSE),0)</f>
        <v>0</v>
      </c>
      <c r="T24" s="15">
        <v>6</v>
      </c>
      <c r="U24" s="39">
        <f>IFERROR(VLOOKUP(T24,'Puntos XCO'!$A$1:$B$63,2,FALSE),0)</f>
        <v>95</v>
      </c>
      <c r="V24" s="16">
        <v>0</v>
      </c>
      <c r="W24" s="15">
        <f>IFERROR(VLOOKUP(V24,'Puntos XCC Mayor'!$A$1:$B$15,2,FALSE),0)</f>
        <v>0</v>
      </c>
      <c r="X24" s="15">
        <v>14</v>
      </c>
      <c r="Y24" s="25">
        <f>IFERROR(VLOOKUP(X24,'Puntos XCO'!$A$1:$B$63,2,FALSE),0)</f>
        <v>70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14</v>
      </c>
      <c r="AC24" s="25">
        <f>IFERROR(VLOOKUP(AB24,'Puntos XCO'!$A$1:$B$63,2,FALSE),0)</f>
        <v>70</v>
      </c>
      <c r="AD24" s="16"/>
      <c r="AE24" s="15"/>
      <c r="AF24" s="15"/>
      <c r="AG24" s="25"/>
      <c r="AH24" s="27">
        <f t="shared" si="4"/>
        <v>320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22">
        <v>410</v>
      </c>
      <c r="D25" s="23" t="str">
        <f t="shared" si="0"/>
        <v>SOLIS Sebastian*</v>
      </c>
      <c r="E25" s="24" t="str">
        <f t="shared" si="1"/>
        <v>DESAMPARADOS</v>
      </c>
      <c r="F25" s="3"/>
      <c r="G25" s="15"/>
      <c r="H25" s="3"/>
      <c r="I25" s="25"/>
      <c r="J25" s="33">
        <v>8</v>
      </c>
      <c r="K25" s="22">
        <v>3</v>
      </c>
      <c r="L25" s="22">
        <v>7</v>
      </c>
      <c r="M25" s="34">
        <v>90</v>
      </c>
      <c r="N25" s="26"/>
      <c r="O25" s="3">
        <f>IFERROR(VLOOKUP(N25,'Puntos XCC Menor'!$A$1:$B$15,2,FALSE),0)</f>
        <v>0</v>
      </c>
      <c r="P25" s="3">
        <v>0</v>
      </c>
      <c r="Q25" s="39">
        <f>IFERROR(VLOOKUP(P25,'Puntos XCO'!$A$1:$B$63,2,FALSE),0)</f>
        <v>0</v>
      </c>
      <c r="R25" s="16">
        <v>6</v>
      </c>
      <c r="S25" s="3">
        <f>IFERROR(VLOOKUP(R25,'Puntos XCC Menor'!$A$1:$B$15,2,FALSE),0)</f>
        <v>5</v>
      </c>
      <c r="T25" s="15">
        <v>0</v>
      </c>
      <c r="U25" s="39">
        <f>IFERROR(VLOOKUP(T25,'Puntos XCO'!$A$1:$B$63,2,FALSE),0)</f>
        <v>0</v>
      </c>
      <c r="V25" s="16">
        <v>14</v>
      </c>
      <c r="W25" s="15">
        <f>IFERROR(VLOOKUP(V25,'Puntos XCC Mayor'!$A$1:$B$15,2,FALSE),0)</f>
        <v>2</v>
      </c>
      <c r="X25" s="15">
        <v>15</v>
      </c>
      <c r="Y25" s="25">
        <f>IFERROR(VLOOKUP(X25,'Puntos XCO'!$A$1:$B$63,2,FALSE),0)</f>
        <v>68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168</v>
      </c>
      <c r="AJ25" s="2"/>
      <c r="AK25" s="13"/>
      <c r="AL25" s="12"/>
      <c r="AM25" s="14"/>
    </row>
    <row r="26" spans="1:39" ht="24.95" customHeight="1">
      <c r="A26" s="22">
        <v>12</v>
      </c>
      <c r="B26" s="22"/>
      <c r="C26" s="107">
        <v>424</v>
      </c>
      <c r="D26" s="23" t="str">
        <f t="shared" si="0"/>
        <v>SOLANO Diego Andrés*</v>
      </c>
      <c r="E26" s="24" t="str">
        <f t="shared" si="1"/>
        <v>Guacimo</v>
      </c>
      <c r="F26" s="3"/>
      <c r="G26" s="15"/>
      <c r="H26" s="3"/>
      <c r="I26" s="25"/>
      <c r="J26" s="33"/>
      <c r="K26" s="22"/>
      <c r="L26" s="22"/>
      <c r="M26" s="34"/>
      <c r="N26" s="26"/>
      <c r="O26" s="3"/>
      <c r="P26" s="3"/>
      <c r="Q26" s="39"/>
      <c r="R26" s="16"/>
      <c r="S26" s="3"/>
      <c r="T26" s="15"/>
      <c r="U26" s="39"/>
      <c r="V26" s="16"/>
      <c r="W26" s="15"/>
      <c r="X26" s="15"/>
      <c r="Y26" s="25"/>
      <c r="Z26" s="16">
        <f t="shared" si="2"/>
        <v>7</v>
      </c>
      <c r="AA26" s="15">
        <f>IFERROR(VLOOKUP(Z26,'Puntos XCC Mayor'!$A$1:$B$15,2,FALSE),0)</f>
        <v>9</v>
      </c>
      <c r="AB26" s="15">
        <f t="shared" si="3"/>
        <v>2</v>
      </c>
      <c r="AC26" s="25">
        <f>IFERROR(VLOOKUP(AB26,'Puntos XCO'!$A$1:$B$63,2,FALSE),0)</f>
        <v>150</v>
      </c>
      <c r="AD26" s="16"/>
      <c r="AE26" s="15"/>
      <c r="AF26" s="15"/>
      <c r="AG26" s="25"/>
      <c r="AH26" s="27">
        <f t="shared" si="4"/>
        <v>159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16</v>
      </c>
      <c r="C27" s="22">
        <v>417</v>
      </c>
      <c r="D27" s="23" t="str">
        <f t="shared" si="0"/>
        <v xml:space="preserve">MONTERO Santiago </v>
      </c>
      <c r="E27" s="24" t="str">
        <f t="shared" si="1"/>
        <v>CCDR SANJOSE</v>
      </c>
      <c r="F27" s="3"/>
      <c r="G27" s="15"/>
      <c r="H27" s="3"/>
      <c r="I27" s="25"/>
      <c r="J27" s="33"/>
      <c r="K27" s="22"/>
      <c r="L27" s="22"/>
      <c r="M27" s="34"/>
      <c r="N27" s="26"/>
      <c r="O27" s="3"/>
      <c r="P27" s="3"/>
      <c r="Q27" s="39"/>
      <c r="R27" s="16"/>
      <c r="S27" s="3"/>
      <c r="T27" s="15"/>
      <c r="U27" s="39"/>
      <c r="V27" s="16">
        <v>13</v>
      </c>
      <c r="W27" s="15">
        <f>IFERROR(VLOOKUP(V27,'Puntos XCC Mayor'!$A$1:$B$15,2,FALSE),0)</f>
        <v>3</v>
      </c>
      <c r="X27" s="15">
        <v>12</v>
      </c>
      <c r="Y27" s="25">
        <f>IFERROR(VLOOKUP(X27,'Puntos XCO'!$A$1:$B$63,2,FALSE),0)</f>
        <v>74</v>
      </c>
      <c r="Z27" s="16">
        <f t="shared" si="2"/>
        <v>9</v>
      </c>
      <c r="AA27" s="15">
        <f>IFERROR(VLOOKUP(Z27,'Puntos XCC Mayor'!$A$1:$B$15,2,FALSE),0)</f>
        <v>7</v>
      </c>
      <c r="AB27" s="15">
        <f t="shared" si="3"/>
        <v>16</v>
      </c>
      <c r="AC27" s="25">
        <f>IFERROR(VLOOKUP(AB27,'Puntos XCO'!$A$1:$B$63,2,FALSE),0)</f>
        <v>66</v>
      </c>
      <c r="AD27" s="16"/>
      <c r="AE27" s="15"/>
      <c r="AF27" s="15"/>
      <c r="AG27" s="25"/>
      <c r="AH27" s="27">
        <f t="shared" si="4"/>
        <v>150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12</v>
      </c>
      <c r="C28" s="22">
        <v>419</v>
      </c>
      <c r="D28" s="23" t="str">
        <f t="shared" si="0"/>
        <v>GÓMEZ  James</v>
      </c>
      <c r="E28" s="24" t="str">
        <f t="shared" si="1"/>
        <v>PZ CYCLING TEAM</v>
      </c>
      <c r="F28" s="3"/>
      <c r="G28" s="15"/>
      <c r="H28" s="3"/>
      <c r="I28" s="25"/>
      <c r="J28" s="33"/>
      <c r="K28" s="22"/>
      <c r="L28" s="22"/>
      <c r="M28" s="34"/>
      <c r="N28" s="26"/>
      <c r="O28" s="3"/>
      <c r="P28" s="3"/>
      <c r="Q28" s="39"/>
      <c r="R28" s="16"/>
      <c r="S28" s="3"/>
      <c r="T28" s="15"/>
      <c r="U28" s="39"/>
      <c r="V28" s="16">
        <v>3</v>
      </c>
      <c r="W28" s="15">
        <f>IFERROR(VLOOKUP(V28,'Puntos XCC Mayor'!$A$1:$B$15,2,FALSE),0)</f>
        <v>16</v>
      </c>
      <c r="X28" s="15">
        <v>3</v>
      </c>
      <c r="Y28" s="25">
        <f>IFERROR(VLOOKUP(X28,'Puntos XCO'!$A$1:$B$63,2,FALSE),0)</f>
        <v>120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136</v>
      </c>
      <c r="AJ28" s="2"/>
      <c r="AK28" s="13"/>
      <c r="AL28" s="12"/>
      <c r="AM28" s="14"/>
    </row>
    <row r="29" spans="1:39" ht="24.95" customHeight="1">
      <c r="A29" s="22">
        <v>15</v>
      </c>
      <c r="B29" s="22"/>
      <c r="C29" s="107">
        <v>421</v>
      </c>
      <c r="D29" s="23" t="str">
        <f t="shared" si="0"/>
        <v xml:space="preserve">ORTIZ Luis Diego </v>
      </c>
      <c r="E29" s="24" t="str">
        <f t="shared" si="1"/>
        <v xml:space="preserve">CCDR Santa Cruz / Kids Team Villarreal </v>
      </c>
      <c r="F29" s="3"/>
      <c r="G29" s="15"/>
      <c r="H29" s="3"/>
      <c r="I29" s="25"/>
      <c r="J29" s="33"/>
      <c r="K29" s="22"/>
      <c r="L29" s="22"/>
      <c r="M29" s="34"/>
      <c r="N29" s="26"/>
      <c r="O29" s="3"/>
      <c r="P29" s="3"/>
      <c r="Q29" s="39"/>
      <c r="R29" s="16"/>
      <c r="S29" s="3"/>
      <c r="T29" s="15"/>
      <c r="U29" s="39"/>
      <c r="V29" s="16"/>
      <c r="W29" s="15"/>
      <c r="X29" s="15"/>
      <c r="Y29" s="25"/>
      <c r="Z29" s="16">
        <f t="shared" si="2"/>
        <v>2</v>
      </c>
      <c r="AA29" s="15">
        <f>IFERROR(VLOOKUP(Z29,'Puntos XCC Mayor'!$A$1:$B$15,2,FALSE),0)</f>
        <v>20</v>
      </c>
      <c r="AB29" s="15">
        <f t="shared" si="3"/>
        <v>4</v>
      </c>
      <c r="AC29" s="25">
        <f>IFERROR(VLOOKUP(AB29,'Puntos XCO'!$A$1:$B$63,2,FALSE),0)</f>
        <v>110</v>
      </c>
      <c r="AD29" s="16"/>
      <c r="AE29" s="15"/>
      <c r="AF29" s="15"/>
      <c r="AG29" s="25"/>
      <c r="AH29" s="27">
        <f t="shared" si="4"/>
        <v>130</v>
      </c>
      <c r="AJ29" s="2"/>
      <c r="AK29" s="13"/>
      <c r="AL29" s="12"/>
      <c r="AM29" s="14"/>
    </row>
    <row r="30" spans="1:39" ht="24.95" customHeight="1">
      <c r="A30" s="22">
        <v>16</v>
      </c>
      <c r="B30" s="22">
        <v>13</v>
      </c>
      <c r="C30" s="22">
        <v>415</v>
      </c>
      <c r="D30" s="23" t="str">
        <f t="shared" si="0"/>
        <v>MARIN Santiago*</v>
      </c>
      <c r="E30" s="24" t="str">
        <f t="shared" si="1"/>
        <v>SOTO TRAINING -CCDR LIBERIA</v>
      </c>
      <c r="F30" s="3"/>
      <c r="G30" s="15"/>
      <c r="H30" s="3"/>
      <c r="I30" s="25"/>
      <c r="J30" s="33"/>
      <c r="K30" s="22"/>
      <c r="L30" s="22"/>
      <c r="M30" s="34"/>
      <c r="N30" s="26"/>
      <c r="O30" s="3"/>
      <c r="P30" s="3"/>
      <c r="Q30" s="39"/>
      <c r="R30" s="16"/>
      <c r="S30" s="3"/>
      <c r="T30" s="15"/>
      <c r="U30" s="39"/>
      <c r="V30" s="16">
        <v>7</v>
      </c>
      <c r="W30" s="15">
        <f>IFERROR(VLOOKUP(V30,'Puntos XCC Mayor'!$A$1:$B$15,2,FALSE),0)</f>
        <v>9</v>
      </c>
      <c r="X30" s="15">
        <v>5</v>
      </c>
      <c r="Y30" s="25">
        <f>IFERROR(VLOOKUP(X30,'Puntos XCO'!$A$1:$B$63,2,FALSE),0)</f>
        <v>100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109</v>
      </c>
      <c r="AJ30" s="2"/>
      <c r="AK30" s="13"/>
      <c r="AL30" s="12"/>
      <c r="AM30" s="14"/>
    </row>
    <row r="31" spans="1:39" ht="24.95" customHeight="1">
      <c r="A31" s="22">
        <v>17</v>
      </c>
      <c r="B31" s="22">
        <v>14</v>
      </c>
      <c r="C31" s="22">
        <v>412</v>
      </c>
      <c r="D31" s="23" t="str">
        <f t="shared" si="0"/>
        <v>CASTRO Lucas*</v>
      </c>
      <c r="E31" s="24" t="str">
        <f t="shared" si="1"/>
        <v>ESCGB/CCDRL</v>
      </c>
      <c r="F31" s="3"/>
      <c r="G31" s="15"/>
      <c r="H31" s="3"/>
      <c r="I31" s="25"/>
      <c r="J31" s="33"/>
      <c r="K31" s="22"/>
      <c r="L31" s="22"/>
      <c r="M31" s="34"/>
      <c r="N31" s="26"/>
      <c r="O31" s="3">
        <f>IFERROR(VLOOKUP(N31,'Puntos XCC Menor'!$A$1:$B$15,2,FALSE),0)</f>
        <v>0</v>
      </c>
      <c r="P31" s="3">
        <v>6</v>
      </c>
      <c r="Q31" s="39">
        <f>IFERROR(VLOOKUP(P31,'Puntos XCO'!$A$1:$B$63,2,FALSE),0)</f>
        <v>95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95</v>
      </c>
      <c r="AJ31" s="2"/>
      <c r="AK31" s="13"/>
      <c r="AL31" s="12"/>
      <c r="AM31" s="14"/>
    </row>
    <row r="32" spans="1:39" ht="24.95" customHeight="1">
      <c r="A32" s="22">
        <v>18</v>
      </c>
      <c r="B32" s="22">
        <v>15</v>
      </c>
      <c r="C32" s="22">
        <v>416</v>
      </c>
      <c r="D32" s="23" t="str">
        <f t="shared" si="0"/>
        <v xml:space="preserve">BENAVIDES Emiliano </v>
      </c>
      <c r="E32" s="24" t="str">
        <f t="shared" si="1"/>
        <v xml:space="preserve">SOTO-TRAINING-CCDR LIBERIA </v>
      </c>
      <c r="F32" s="3"/>
      <c r="G32" s="15"/>
      <c r="H32" s="3"/>
      <c r="I32" s="25"/>
      <c r="J32" s="33"/>
      <c r="K32" s="22"/>
      <c r="L32" s="22"/>
      <c r="M32" s="34"/>
      <c r="N32" s="26"/>
      <c r="O32" s="3"/>
      <c r="P32" s="3"/>
      <c r="Q32" s="39"/>
      <c r="R32" s="16"/>
      <c r="S32" s="3"/>
      <c r="T32" s="15"/>
      <c r="U32" s="39"/>
      <c r="V32" s="16">
        <v>9</v>
      </c>
      <c r="W32" s="15">
        <f>IFERROR(VLOOKUP(V32,'Puntos XCC Mayor'!$A$1:$B$15,2,FALSE),0)</f>
        <v>7</v>
      </c>
      <c r="X32" s="15">
        <v>10</v>
      </c>
      <c r="Y32" s="25">
        <f>IFERROR(VLOOKUP(X32,'Puntos XCO'!$A$1:$B$63,2,FALSE),0)</f>
        <v>78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85</v>
      </c>
      <c r="AJ32" s="2"/>
      <c r="AK32" s="13"/>
      <c r="AL32" s="12"/>
      <c r="AM32" s="14"/>
    </row>
    <row r="33" spans="1:39" ht="24.95" customHeight="1">
      <c r="A33" s="22">
        <v>19</v>
      </c>
      <c r="B33" s="22"/>
      <c r="C33" s="107">
        <v>425</v>
      </c>
      <c r="D33" s="23" t="str">
        <f t="shared" si="0"/>
        <v xml:space="preserve">CASTRO Adrian </v>
      </c>
      <c r="E33" s="24" t="str">
        <f t="shared" si="1"/>
        <v>Desamparados Bike Café</v>
      </c>
      <c r="F33" s="3"/>
      <c r="G33" s="15"/>
      <c r="H33" s="3"/>
      <c r="I33" s="25"/>
      <c r="J33" s="33"/>
      <c r="K33" s="22"/>
      <c r="L33" s="22"/>
      <c r="M33" s="34"/>
      <c r="N33" s="26"/>
      <c r="O33" s="3"/>
      <c r="P33" s="3"/>
      <c r="Q33" s="39"/>
      <c r="R33" s="16"/>
      <c r="S33" s="3"/>
      <c r="T33" s="15"/>
      <c r="U33" s="39"/>
      <c r="V33" s="16"/>
      <c r="W33" s="15"/>
      <c r="X33" s="15"/>
      <c r="Y33" s="25"/>
      <c r="Z33" s="16">
        <f t="shared" si="2"/>
        <v>11</v>
      </c>
      <c r="AA33" s="15">
        <f>IFERROR(VLOOKUP(Z33,'Puntos XCC Mayor'!$A$1:$B$15,2,FALSE),0)</f>
        <v>5</v>
      </c>
      <c r="AB33" s="15">
        <f t="shared" si="3"/>
        <v>10</v>
      </c>
      <c r="AC33" s="25">
        <f>IFERROR(VLOOKUP(AB33,'Puntos XCO'!$A$1:$B$63,2,FALSE),0)</f>
        <v>78</v>
      </c>
      <c r="AD33" s="16"/>
      <c r="AE33" s="15"/>
      <c r="AF33" s="15"/>
      <c r="AG33" s="25"/>
      <c r="AH33" s="27">
        <f t="shared" si="4"/>
        <v>83</v>
      </c>
      <c r="AJ33" s="2"/>
      <c r="AK33" s="13"/>
      <c r="AL33" s="12"/>
      <c r="AM33" s="14"/>
    </row>
    <row r="34" spans="1:39" ht="24.95" customHeight="1">
      <c r="A34" s="22">
        <v>20</v>
      </c>
      <c r="B34" s="22"/>
      <c r="C34" s="107">
        <v>420</v>
      </c>
      <c r="D34" s="23" t="str">
        <f t="shared" si="0"/>
        <v>RODRÍGUEZ Gerald Josue</v>
      </c>
      <c r="E34" s="24" t="str">
        <f t="shared" si="1"/>
        <v>CODEA</v>
      </c>
      <c r="F34" s="3"/>
      <c r="G34" s="15"/>
      <c r="H34" s="3"/>
      <c r="I34" s="25"/>
      <c r="J34" s="33"/>
      <c r="K34" s="22"/>
      <c r="L34" s="22"/>
      <c r="M34" s="34"/>
      <c r="N34" s="26"/>
      <c r="O34" s="3"/>
      <c r="P34" s="3"/>
      <c r="Q34" s="39"/>
      <c r="R34" s="16"/>
      <c r="S34" s="3"/>
      <c r="T34" s="15"/>
      <c r="U34" s="39"/>
      <c r="V34" s="16"/>
      <c r="W34" s="15"/>
      <c r="X34" s="15"/>
      <c r="Y34" s="25"/>
      <c r="Z34" s="16">
        <f t="shared" si="2"/>
        <v>6</v>
      </c>
      <c r="AA34" s="15">
        <f>IFERROR(VLOOKUP(Z34,'Puntos XCC Mayor'!$A$1:$B$15,2,FALSE),0)</f>
        <v>10</v>
      </c>
      <c r="AB34" s="15">
        <f t="shared" si="3"/>
        <v>13</v>
      </c>
      <c r="AC34" s="25">
        <f>IFERROR(VLOOKUP(AB34,'Puntos XCO'!$A$1:$B$63,2,FALSE),0)</f>
        <v>72</v>
      </c>
      <c r="AD34" s="16"/>
      <c r="AE34" s="15"/>
      <c r="AF34" s="15"/>
      <c r="AG34" s="25"/>
      <c r="AH34" s="27">
        <f t="shared" si="4"/>
        <v>82</v>
      </c>
      <c r="AJ34" s="2"/>
      <c r="AK34" s="13"/>
      <c r="AL34" s="12"/>
      <c r="AM34" s="14"/>
    </row>
    <row r="35" spans="1:39" ht="24.95" customHeight="1">
      <c r="A35" s="22">
        <v>21</v>
      </c>
      <c r="B35" s="22"/>
      <c r="C35" s="107">
        <v>422</v>
      </c>
      <c r="D35" s="23" t="str">
        <f t="shared" si="0"/>
        <v xml:space="preserve">ORTIZ Kingston </v>
      </c>
      <c r="E35" s="24" t="str">
        <f t="shared" si="1"/>
        <v xml:space="preserve">CCDR Santa Cruz / Kids Team Villarreal </v>
      </c>
      <c r="F35" s="3"/>
      <c r="G35" s="15"/>
      <c r="H35" s="3"/>
      <c r="I35" s="25"/>
      <c r="J35" s="33"/>
      <c r="K35" s="22"/>
      <c r="L35" s="22"/>
      <c r="M35" s="34"/>
      <c r="N35" s="26"/>
      <c r="O35" s="3"/>
      <c r="P35" s="3"/>
      <c r="Q35" s="39"/>
      <c r="R35" s="16"/>
      <c r="S35" s="3"/>
      <c r="T35" s="15"/>
      <c r="U35" s="39"/>
      <c r="V35" s="16"/>
      <c r="W35" s="15"/>
      <c r="X35" s="15"/>
      <c r="Y35" s="25"/>
      <c r="Z35" s="16">
        <f t="shared" si="2"/>
        <v>10</v>
      </c>
      <c r="AA35" s="15">
        <f>IFERROR(VLOOKUP(Z35,'Puntos XCC Mayor'!$A$1:$B$15,2,FALSE),0)</f>
        <v>6</v>
      </c>
      <c r="AB35" s="15">
        <f t="shared" si="3"/>
        <v>11</v>
      </c>
      <c r="AC35" s="25">
        <f>IFERROR(VLOOKUP(AB35,'Puntos XCO'!$A$1:$B$63,2,FALSE),0)</f>
        <v>76</v>
      </c>
      <c r="AD35" s="16"/>
      <c r="AE35" s="15"/>
      <c r="AF35" s="15"/>
      <c r="AG35" s="25"/>
      <c r="AH35" s="27">
        <f t="shared" si="4"/>
        <v>82</v>
      </c>
      <c r="AJ35" s="2"/>
      <c r="AK35" s="13"/>
      <c r="AL35" s="12"/>
      <c r="AM35" s="14"/>
    </row>
    <row r="36" spans="1:39" ht="24.95" customHeight="1">
      <c r="A36" s="22">
        <v>22</v>
      </c>
      <c r="B36" s="22"/>
      <c r="C36" s="107">
        <v>423</v>
      </c>
      <c r="D36" s="23" t="str">
        <f t="shared" si="0"/>
        <v>ROSALES Heltzing*</v>
      </c>
      <c r="E36" s="24" t="str">
        <f t="shared" si="1"/>
        <v xml:space="preserve">CCDR Santa Cruz / Kids Team Villarreal </v>
      </c>
      <c r="F36" s="3"/>
      <c r="G36" s="15"/>
      <c r="H36" s="3"/>
      <c r="I36" s="25"/>
      <c r="J36" s="33"/>
      <c r="K36" s="22"/>
      <c r="L36" s="22"/>
      <c r="M36" s="34"/>
      <c r="N36" s="26"/>
      <c r="O36" s="3"/>
      <c r="P36" s="3"/>
      <c r="Q36" s="39"/>
      <c r="R36" s="16"/>
      <c r="S36" s="3"/>
      <c r="T36" s="15"/>
      <c r="U36" s="39"/>
      <c r="V36" s="16"/>
      <c r="W36" s="15"/>
      <c r="X36" s="15"/>
      <c r="Y36" s="25"/>
      <c r="Z36" s="16">
        <f t="shared" si="2"/>
        <v>12</v>
      </c>
      <c r="AA36" s="15">
        <f>IFERROR(VLOOKUP(Z36,'Puntos XCC Mayor'!$A$1:$B$15,2,FALSE),0)</f>
        <v>4</v>
      </c>
      <c r="AB36" s="15">
        <f t="shared" si="3"/>
        <v>12</v>
      </c>
      <c r="AC36" s="25">
        <f>IFERROR(VLOOKUP(AB36,'Puntos XCO'!$A$1:$B$63,2,FALSE),0)</f>
        <v>74</v>
      </c>
      <c r="AD36" s="16"/>
      <c r="AE36" s="15"/>
      <c r="AF36" s="15"/>
      <c r="AG36" s="25"/>
      <c r="AH36" s="27">
        <f t="shared" si="4"/>
        <v>78</v>
      </c>
      <c r="AJ36" s="2"/>
      <c r="AK36" s="13"/>
      <c r="AL36" s="12"/>
      <c r="AM36" s="14"/>
    </row>
    <row r="37" spans="1:39" ht="24.95" customHeight="1">
      <c r="A37" s="22">
        <v>23</v>
      </c>
      <c r="B37" s="22"/>
      <c r="C37" s="107" t="s">
        <v>1686</v>
      </c>
      <c r="D37" s="23" t="str">
        <f t="shared" si="0"/>
        <v xml:space="preserve">RETANA Emiliano </v>
      </c>
      <c r="E37" s="24">
        <f t="shared" si="1"/>
        <v>0</v>
      </c>
      <c r="F37" s="3"/>
      <c r="G37" s="15"/>
      <c r="H37" s="3"/>
      <c r="I37" s="25"/>
      <c r="J37" s="33"/>
      <c r="K37" s="22"/>
      <c r="L37" s="22"/>
      <c r="M37" s="34"/>
      <c r="N37" s="26"/>
      <c r="O37" s="3"/>
      <c r="P37" s="3"/>
      <c r="Q37" s="39"/>
      <c r="R37" s="16"/>
      <c r="S37" s="3"/>
      <c r="T37" s="15"/>
      <c r="U37" s="39"/>
      <c r="V37" s="16"/>
      <c r="W37" s="15"/>
      <c r="X37" s="15"/>
      <c r="Y37" s="25"/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15</v>
      </c>
      <c r="AC37" s="25">
        <f>IFERROR(VLOOKUP(AB37,'Puntos XCO'!$A$1:$B$63,2,FALSE),0)</f>
        <v>68</v>
      </c>
      <c r="AD37" s="16"/>
      <c r="AE37" s="15"/>
      <c r="AF37" s="15"/>
      <c r="AG37" s="25"/>
      <c r="AH37" s="27">
        <f t="shared" si="4"/>
        <v>68</v>
      </c>
      <c r="AJ37" s="2"/>
      <c r="AK37" s="13"/>
      <c r="AL37" s="12"/>
      <c r="AM37" s="14"/>
    </row>
    <row r="38" spans="1:39" ht="24.95" customHeight="1">
      <c r="A38" s="22">
        <v>24</v>
      </c>
      <c r="B38" s="22">
        <v>17</v>
      </c>
      <c r="C38" s="22">
        <v>408</v>
      </c>
      <c r="D38" s="23" t="str">
        <f t="shared" si="0"/>
        <v>ARAYA Ian Adrian*</v>
      </c>
      <c r="E38" s="24" t="str">
        <f t="shared" si="1"/>
        <v>CCDR CARTAGO</v>
      </c>
      <c r="F38" s="3"/>
      <c r="G38" s="15"/>
      <c r="H38" s="3"/>
      <c r="I38" s="25"/>
      <c r="J38" s="33">
        <v>7</v>
      </c>
      <c r="K38" s="22">
        <v>4</v>
      </c>
      <c r="L38" s="22">
        <v>0</v>
      </c>
      <c r="M38" s="34">
        <v>0</v>
      </c>
      <c r="N38" s="26"/>
      <c r="O38" s="3">
        <f>IFERROR(VLOOKUP(N38,'Puntos XCC Menor'!$A$1:$B$15,2,FALSE),0)</f>
        <v>0</v>
      </c>
      <c r="P38" s="3">
        <v>0</v>
      </c>
      <c r="Q38" s="39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2"/>
        <v>0</v>
      </c>
      <c r="AA38" s="15">
        <f>IFERROR(VLOOKUP(Z38,'Puntos XCC Mayor'!$A$1:$B$15,2,FALSE),0)</f>
        <v>0</v>
      </c>
      <c r="AB38" s="15">
        <f t="shared" si="3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4"/>
        <v>4</v>
      </c>
      <c r="AJ38" s="2"/>
      <c r="AK38" s="13"/>
      <c r="AL38" s="12"/>
      <c r="AM38" s="14"/>
    </row>
    <row r="39" spans="1:39" ht="24.95" customHeight="1">
      <c r="A39" s="22"/>
      <c r="B39" s="22"/>
      <c r="C39" s="22">
        <v>414</v>
      </c>
      <c r="D39" s="23" t="str">
        <f t="shared" si="0"/>
        <v>HERNÁNDEZ  Mateo</v>
      </c>
      <c r="E39" s="24" t="str">
        <f t="shared" si="1"/>
        <v xml:space="preserve">CODEA ALAJUELA </v>
      </c>
      <c r="F39" s="3"/>
      <c r="G39" s="15"/>
      <c r="H39" s="3"/>
      <c r="I39" s="25"/>
      <c r="J39" s="33"/>
      <c r="K39" s="22"/>
      <c r="L39" s="22"/>
      <c r="M39" s="34"/>
      <c r="N39" s="26"/>
      <c r="O39" s="3"/>
      <c r="P39" s="3"/>
      <c r="Q39" s="39"/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2"/>
        <v>0</v>
      </c>
      <c r="AA39" s="15">
        <f>IFERROR(VLOOKUP(Z39,'Puntos XCC Mayor'!$A$1:$B$15,2,FALSE),0)</f>
        <v>0</v>
      </c>
      <c r="AB39" s="15">
        <f t="shared" si="3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4"/>
        <v>0</v>
      </c>
      <c r="AJ39" s="2"/>
      <c r="AK39" s="13"/>
      <c r="AL39" s="12"/>
      <c r="AM39" s="14"/>
    </row>
    <row r="40" spans="1:39" ht="24.95" customHeight="1">
      <c r="A40" s="22"/>
      <c r="B40" s="22"/>
      <c r="C40" s="22">
        <v>418</v>
      </c>
      <c r="D40" s="23" t="str">
        <f t="shared" si="0"/>
        <v xml:space="preserve">ALVARADO  Julián </v>
      </c>
      <c r="E40" s="24" t="str">
        <f t="shared" si="1"/>
        <v xml:space="preserve">MONTEVERDE </v>
      </c>
      <c r="F40" s="3"/>
      <c r="G40" s="15"/>
      <c r="H40" s="3"/>
      <c r="I40" s="25"/>
      <c r="J40" s="33"/>
      <c r="K40" s="22"/>
      <c r="L40" s="22"/>
      <c r="M40" s="34"/>
      <c r="N40" s="26"/>
      <c r="O40" s="3"/>
      <c r="P40" s="3"/>
      <c r="Q40" s="39"/>
      <c r="R40" s="16"/>
      <c r="S40" s="3"/>
      <c r="T40" s="15"/>
      <c r="U40" s="39"/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0</v>
      </c>
      <c r="AA40" s="15">
        <f>IFERROR(VLOOKUP(Z40,'Puntos XCC Mayor'!$A$1:$B$15,2,FALSE),0)</f>
        <v>0</v>
      </c>
      <c r="AB40" s="15">
        <f t="shared" si="3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4"/>
        <v>0</v>
      </c>
      <c r="AJ40" s="2"/>
      <c r="AK40" s="13"/>
      <c r="AL40" s="12"/>
      <c r="AM40" s="14"/>
    </row>
    <row r="41" spans="1:39" ht="24.95" customHeight="1">
      <c r="A41" s="3"/>
      <c r="B41" s="3"/>
      <c r="C41" s="22"/>
      <c r="D41" s="23"/>
      <c r="E41" s="24"/>
      <c r="F41" s="3"/>
      <c r="G41" s="15"/>
      <c r="H41" s="15"/>
      <c r="I41" s="25"/>
      <c r="J41" s="33"/>
      <c r="K41" s="22"/>
      <c r="L41" s="22"/>
      <c r="M41" s="34"/>
      <c r="N41" s="16"/>
      <c r="O41" s="15"/>
      <c r="P41" s="3"/>
      <c r="Q41" s="25"/>
      <c r="R41" s="16"/>
      <c r="S41" s="15"/>
      <c r="T41" s="15"/>
      <c r="U41" s="25"/>
      <c r="V41" s="16"/>
      <c r="W41" s="15"/>
      <c r="X41" s="15"/>
      <c r="Y41" s="25"/>
      <c r="Z41" s="16"/>
      <c r="AA41" s="15"/>
      <c r="AB41" s="15"/>
      <c r="AC41" s="25"/>
      <c r="AD41" s="16"/>
      <c r="AE41" s="15"/>
      <c r="AF41" s="15"/>
      <c r="AG41" s="25"/>
      <c r="AH41" s="27"/>
      <c r="AJ41" s="3"/>
    </row>
    <row r="42" spans="1:39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4"/>
      <c r="Q42" s="65"/>
      <c r="R42" s="65"/>
      <c r="S42" s="65"/>
      <c r="T42" s="65"/>
      <c r="U42" s="65"/>
      <c r="V42" s="65"/>
      <c r="W42" s="65"/>
      <c r="X42" s="65"/>
      <c r="Y42" s="65"/>
      <c r="Z42" s="119"/>
      <c r="AA42" s="119"/>
      <c r="AB42" s="119"/>
      <c r="AC42" s="119"/>
      <c r="AD42" s="119"/>
      <c r="AE42" s="119"/>
      <c r="AF42" s="119"/>
      <c r="AG42" s="119"/>
      <c r="AH42" s="65"/>
    </row>
    <row r="43" spans="1:39">
      <c r="M43" s="9"/>
      <c r="N43" s="9"/>
      <c r="O43" s="9"/>
      <c r="P43" s="10"/>
      <c r="Q43" s="9"/>
      <c r="R43" s="9"/>
      <c r="S43" s="9"/>
      <c r="T43" s="9"/>
      <c r="U43" s="9"/>
    </row>
    <row r="44" spans="1:39" ht="127.5" customHeight="1"/>
    <row r="45" spans="1:39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4"/>
      <c r="Q45" s="65"/>
      <c r="R45" s="65"/>
      <c r="S45" s="65"/>
      <c r="T45" s="65"/>
      <c r="U45" s="65"/>
      <c r="V45" s="65"/>
      <c r="W45" s="65"/>
      <c r="X45" s="65"/>
      <c r="Y45" s="65"/>
      <c r="Z45" s="119"/>
      <c r="AA45" s="119"/>
      <c r="AB45" s="119"/>
      <c r="AC45" s="119"/>
      <c r="AD45" s="119"/>
      <c r="AE45" s="119"/>
      <c r="AF45" s="119"/>
      <c r="AG45" s="119"/>
      <c r="AH45" s="65"/>
    </row>
  </sheetData>
  <sortState ref="B15:AH40">
    <sortCondition descending="1" ref="AH15:AH40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42:C65520 C1:C9 C12:C14">
    <cfRule type="duplicateValues" dxfId="467" priority="27" stopIfTrue="1"/>
  </conditionalFormatting>
  <conditionalFormatting sqref="F41">
    <cfRule type="duplicateValues" dxfId="466" priority="30" stopIfTrue="1"/>
  </conditionalFormatting>
  <conditionalFormatting sqref="B41">
    <cfRule type="duplicateValues" dxfId="465" priority="31" stopIfTrue="1"/>
  </conditionalFormatting>
  <conditionalFormatting sqref="C41">
    <cfRule type="duplicateValues" dxfId="464" priority="32"/>
  </conditionalFormatting>
  <conditionalFormatting sqref="C15:C28">
    <cfRule type="duplicateValues" dxfId="463" priority="14"/>
  </conditionalFormatting>
  <conditionalFormatting sqref="AJ15:AJ41">
    <cfRule type="duplicateValues" dxfId="462" priority="7853"/>
  </conditionalFormatting>
  <conditionalFormatting sqref="C29:C33">
    <cfRule type="duplicateValues" dxfId="461" priority="8"/>
  </conditionalFormatting>
  <conditionalFormatting sqref="C39:C40">
    <cfRule type="duplicateValues" dxfId="460" priority="7"/>
  </conditionalFormatting>
  <conditionalFormatting sqref="C34:C38">
    <cfRule type="duplicateValues" dxfId="459" priority="6"/>
  </conditionalFormatting>
  <conditionalFormatting sqref="C11">
    <cfRule type="duplicateValues" dxfId="458" priority="4" stopIfTrue="1"/>
  </conditionalFormatting>
  <conditionalFormatting sqref="C11">
    <cfRule type="duplicateValues" dxfId="457" priority="5" stopIfTrue="1"/>
  </conditionalFormatting>
  <conditionalFormatting sqref="D11">
    <cfRule type="duplicateValues" dxfId="456" priority="3" stopIfTrue="1"/>
  </conditionalFormatting>
  <conditionalFormatting sqref="C10">
    <cfRule type="duplicateValues" dxfId="455" priority="1" stopIfTrue="1"/>
  </conditionalFormatting>
  <conditionalFormatting sqref="C10">
    <cfRule type="duplicateValues" dxfId="454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pageSetUpPr fitToPage="1"/>
  </sheetPr>
  <dimension ref="A8:AM38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581</v>
      </c>
      <c r="D15" s="23" t="str">
        <f t="shared" ref="D15:D33" si="0">VLOOKUP(C15,PLANILLA,2,FALSE)</f>
        <v xml:space="preserve">CALDERÓN Ariana </v>
      </c>
      <c r="E15" s="24" t="str">
        <f t="shared" ref="E15:E33" si="1">VLOOKUP(C15,PLANILLA,4,FALSE)</f>
        <v xml:space="preserve">Colono Bike Station Kolbi 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1</v>
      </c>
      <c r="Q15" s="39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>
        <f t="shared" ref="Z15:Z33" si="2">IFERROR(VLOOKUP($C15,RESXCC_1,9,FALSE),0)</f>
        <v>1</v>
      </c>
      <c r="AA15" s="15">
        <f>IFERROR(VLOOKUP(Z15,'Puntos XCC Mayor'!$A$1:$B$15,2,FALSE),0)</f>
        <v>25</v>
      </c>
      <c r="AB15" s="15">
        <f t="shared" ref="AB15:AB33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33" si="4">G15+I15+K15+M15+O15+Q15+S15+U15+W15+Y15+AA15+AC15+AE15+AG15</f>
        <v>1280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583</v>
      </c>
      <c r="D16" s="23" t="str">
        <f t="shared" si="0"/>
        <v>MARCHENA Shelly</v>
      </c>
      <c r="E16" s="24" t="str">
        <f t="shared" si="1"/>
        <v xml:space="preserve">CCDRESCAZU </v>
      </c>
      <c r="F16" s="3">
        <v>3</v>
      </c>
      <c r="G16" s="15">
        <v>8</v>
      </c>
      <c r="H16" s="3">
        <v>3</v>
      </c>
      <c r="I16" s="25">
        <v>120</v>
      </c>
      <c r="J16" s="33">
        <v>7</v>
      </c>
      <c r="K16" s="22">
        <v>0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4</v>
      </c>
      <c r="Q16" s="39">
        <f>IFERROR(VLOOKUP(P16,'Puntos XCO'!$A$1:$B$63,2,FALSE),0)</f>
        <v>110</v>
      </c>
      <c r="R16" s="16">
        <v>2</v>
      </c>
      <c r="S16" s="3">
        <f>IFERROR(VLOOKUP(R16,'Puntos XCC Menor'!$A$1:$B$15,2,FALSE),0)</f>
        <v>9</v>
      </c>
      <c r="T16" s="15">
        <v>2</v>
      </c>
      <c r="U16" s="39">
        <f>IFERROR(VLOOKUP(T16,'Puntos XCO'!$A$1:$B$63,2,FALSE),0)</f>
        <v>150</v>
      </c>
      <c r="V16" s="16">
        <v>4</v>
      </c>
      <c r="W16" s="15">
        <f>IFERROR(VLOOKUP(V16,'Puntos XCC Mayor'!$A$1:$B$15,2,FALSE),0)</f>
        <v>14</v>
      </c>
      <c r="X16" s="15">
        <v>4</v>
      </c>
      <c r="Y16" s="25">
        <f>IFERROR(VLOOKUP(X16,'Puntos XCO'!$A$1:$B$63,2,FALSE),0)</f>
        <v>110</v>
      </c>
      <c r="Z16" s="16">
        <f t="shared" si="2"/>
        <v>6</v>
      </c>
      <c r="AA16" s="15">
        <f>IFERROR(VLOOKUP(Z16,'Puntos XCC Mayor'!$A$1:$B$15,2,FALSE),0)</f>
        <v>10</v>
      </c>
      <c r="AB16" s="15">
        <f t="shared" si="3"/>
        <v>4</v>
      </c>
      <c r="AC16" s="25">
        <f>IFERROR(VLOOKUP(AB16,'Puntos XCO'!$A$1:$B$63,2,FALSE),0)</f>
        <v>110</v>
      </c>
      <c r="AD16" s="16"/>
      <c r="AE16" s="15"/>
      <c r="AF16" s="15"/>
      <c r="AG16" s="25"/>
      <c r="AH16" s="27">
        <f t="shared" si="4"/>
        <v>791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584</v>
      </c>
      <c r="D17" s="23" t="str">
        <f t="shared" si="0"/>
        <v>CRUZ Monica*</v>
      </c>
      <c r="E17" s="24" t="str">
        <f t="shared" si="1"/>
        <v>Scott Shimano Cycling Team</v>
      </c>
      <c r="F17" s="3">
        <v>4</v>
      </c>
      <c r="G17" s="15">
        <v>7</v>
      </c>
      <c r="H17" s="3">
        <v>2</v>
      </c>
      <c r="I17" s="25">
        <v>150</v>
      </c>
      <c r="J17" s="33">
        <v>9</v>
      </c>
      <c r="K17" s="22">
        <v>0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3</v>
      </c>
      <c r="Q17" s="39">
        <f>IFERROR(VLOOKUP(P17,'Puntos XCO'!$A$1:$B$63,2,FALSE),0)</f>
        <v>120</v>
      </c>
      <c r="R17" s="16">
        <v>3</v>
      </c>
      <c r="S17" s="3">
        <f>IFERROR(VLOOKUP(R17,'Puntos XCC Menor'!$A$1:$B$15,2,FALSE),0)</f>
        <v>8</v>
      </c>
      <c r="T17" s="15">
        <v>3</v>
      </c>
      <c r="U17" s="39">
        <f>IFERROR(VLOOKUP(T17,'Puntos XCO'!$A$1:$B$63,2,FALSE),0)</f>
        <v>120</v>
      </c>
      <c r="V17" s="16">
        <v>2</v>
      </c>
      <c r="W17" s="15">
        <f>IFERROR(VLOOKUP(V17,'Puntos XCC Mayor'!$A$1:$B$15,2,FALSE),0)</f>
        <v>20</v>
      </c>
      <c r="X17" s="15">
        <v>3</v>
      </c>
      <c r="Y17" s="25">
        <f>IFERROR(VLOOKUP(X17,'Puntos XCO'!$A$1:$B$63,2,FALSE),0)</f>
        <v>120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6</v>
      </c>
      <c r="AC17" s="25">
        <f>IFERROR(VLOOKUP(AB17,'Puntos XCO'!$A$1:$B$63,2,FALSE),0)</f>
        <v>95</v>
      </c>
      <c r="AD17" s="16"/>
      <c r="AE17" s="15"/>
      <c r="AF17" s="15"/>
      <c r="AG17" s="25"/>
      <c r="AH17" s="27">
        <f t="shared" si="4"/>
        <v>760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582</v>
      </c>
      <c r="D18" s="23" t="str">
        <f t="shared" si="0"/>
        <v>TORRES Camila</v>
      </c>
      <c r="E18" s="24" t="str">
        <f t="shared" si="1"/>
        <v>CCDRESCAZU</v>
      </c>
      <c r="F18" s="3">
        <v>2</v>
      </c>
      <c r="G18" s="15">
        <v>9</v>
      </c>
      <c r="H18" s="3">
        <v>6</v>
      </c>
      <c r="I18" s="25">
        <v>95</v>
      </c>
      <c r="J18" s="33">
        <v>2</v>
      </c>
      <c r="K18" s="22">
        <v>0</v>
      </c>
      <c r="L18" s="22">
        <v>6</v>
      </c>
      <c r="M18" s="34">
        <v>95</v>
      </c>
      <c r="N18" s="26"/>
      <c r="O18" s="3">
        <f>IFERROR(VLOOKUP(N18,'Puntos XCC Menor'!$A$1:$B$15,2,FALSE),0)</f>
        <v>0</v>
      </c>
      <c r="P18" s="3">
        <v>2</v>
      </c>
      <c r="Q18" s="39">
        <f>IFERROR(VLOOKUP(P18,'Puntos XCO'!$A$1:$B$63,2,FALSE),0)</f>
        <v>150</v>
      </c>
      <c r="R18" s="16">
        <v>4</v>
      </c>
      <c r="S18" s="3">
        <f>IFERROR(VLOOKUP(R18,'Puntos XCC Menor'!$A$1:$B$15,2,FALSE),0)</f>
        <v>7</v>
      </c>
      <c r="T18" s="15">
        <v>4</v>
      </c>
      <c r="U18" s="39">
        <f>IFERROR(VLOOKUP(T18,'Puntos XCO'!$A$1:$B$63,2,FALSE),0)</f>
        <v>110</v>
      </c>
      <c r="V18" s="16">
        <v>3</v>
      </c>
      <c r="W18" s="15">
        <f>IFERROR(VLOOKUP(V18,'Puntos XCC Mayor'!$A$1:$B$15,2,FALSE),0)</f>
        <v>16</v>
      </c>
      <c r="X18" s="15">
        <v>2</v>
      </c>
      <c r="Y18" s="25">
        <f>IFERROR(VLOOKUP(X18,'Puntos XCO'!$A$1:$B$63,2,FALSE),0)</f>
        <v>150</v>
      </c>
      <c r="Z18" s="16">
        <f t="shared" si="2"/>
        <v>2</v>
      </c>
      <c r="AA18" s="15">
        <f>IFERROR(VLOOKUP(Z18,'Puntos XCC Mayor'!$A$1:$B$15,2,FALSE),0)</f>
        <v>20</v>
      </c>
      <c r="AB18" s="15">
        <f t="shared" si="3"/>
        <v>5</v>
      </c>
      <c r="AC18" s="25">
        <f>IFERROR(VLOOKUP(AB18,'Puntos XCO'!$A$1:$B$63,2,FALSE),0)</f>
        <v>100</v>
      </c>
      <c r="AD18" s="16"/>
      <c r="AE18" s="15"/>
      <c r="AF18" s="15"/>
      <c r="AG18" s="25"/>
      <c r="AH18" s="27">
        <f t="shared" si="4"/>
        <v>752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586</v>
      </c>
      <c r="D19" s="23" t="str">
        <f t="shared" si="0"/>
        <v>CORTES Mariam</v>
      </c>
      <c r="E19" s="24" t="str">
        <f t="shared" si="1"/>
        <v xml:space="preserve">ACISA SARAPIQUI </v>
      </c>
      <c r="F19" s="3">
        <v>6</v>
      </c>
      <c r="G19" s="15">
        <v>5</v>
      </c>
      <c r="H19" s="3">
        <v>4</v>
      </c>
      <c r="I19" s="25">
        <v>110</v>
      </c>
      <c r="J19" s="33">
        <v>3</v>
      </c>
      <c r="K19" s="22">
        <v>0</v>
      </c>
      <c r="L19" s="22">
        <v>8</v>
      </c>
      <c r="M19" s="34">
        <v>85</v>
      </c>
      <c r="N19" s="26"/>
      <c r="O19" s="3">
        <f>IFERROR(VLOOKUP(N19,'Puntos XCC Menor'!$A$1:$B$15,2,FALSE),0)</f>
        <v>0</v>
      </c>
      <c r="P19" s="3">
        <v>0</v>
      </c>
      <c r="Q19" s="39">
        <f>IFERROR(VLOOKUP(P19,'Puntos XCO'!$A$1:$B$63,2,FALSE),0)</f>
        <v>0</v>
      </c>
      <c r="R19" s="16">
        <v>6</v>
      </c>
      <c r="S19" s="3">
        <f>IFERROR(VLOOKUP(R19,'Puntos XCC Menor'!$A$1:$B$15,2,FALSE),0)</f>
        <v>5</v>
      </c>
      <c r="T19" s="15">
        <v>5</v>
      </c>
      <c r="U19" s="39">
        <f>IFERROR(VLOOKUP(T19,'Puntos XCO'!$A$1:$B$63,2,FALSE),0)</f>
        <v>100</v>
      </c>
      <c r="V19" s="16">
        <v>5</v>
      </c>
      <c r="W19" s="15">
        <f>IFERROR(VLOOKUP(V19,'Puntos XCC Mayor'!$A$1:$B$15,2,FALSE),0)</f>
        <v>12</v>
      </c>
      <c r="X19" s="15">
        <v>6</v>
      </c>
      <c r="Y19" s="25">
        <f>IFERROR(VLOOKUP(X19,'Puntos XCO'!$A$1:$B$63,2,FALSE),0)</f>
        <v>95</v>
      </c>
      <c r="Z19" s="16">
        <f t="shared" si="2"/>
        <v>3</v>
      </c>
      <c r="AA19" s="15">
        <f>IFERROR(VLOOKUP(Z19,'Puntos XCC Mayor'!$A$1:$B$15,2,FALSE),0)</f>
        <v>16</v>
      </c>
      <c r="AB19" s="15">
        <f t="shared" si="3"/>
        <v>2</v>
      </c>
      <c r="AC19" s="25">
        <f>IFERROR(VLOOKUP(AB19,'Puntos XCO'!$A$1:$B$63,2,FALSE),0)</f>
        <v>150</v>
      </c>
      <c r="AD19" s="16"/>
      <c r="AE19" s="15"/>
      <c r="AF19" s="15"/>
      <c r="AG19" s="25"/>
      <c r="AH19" s="27">
        <f t="shared" si="4"/>
        <v>578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6</v>
      </c>
      <c r="C20" s="22">
        <v>589</v>
      </c>
      <c r="D20" s="23" t="str">
        <f t="shared" si="0"/>
        <v>MUÑOZ Amy</v>
      </c>
      <c r="E20" s="24" t="str">
        <f t="shared" si="1"/>
        <v>ACISA SARAPIQUI</v>
      </c>
      <c r="F20" s="3">
        <v>5</v>
      </c>
      <c r="G20" s="15">
        <v>6</v>
      </c>
      <c r="H20" s="3">
        <v>5</v>
      </c>
      <c r="I20" s="25">
        <v>100</v>
      </c>
      <c r="J20" s="33">
        <v>4</v>
      </c>
      <c r="K20" s="22">
        <v>0</v>
      </c>
      <c r="L20" s="22">
        <v>9</v>
      </c>
      <c r="M20" s="34">
        <v>80</v>
      </c>
      <c r="N20" s="26"/>
      <c r="O20" s="3">
        <f>IFERROR(VLOOKUP(N20,'Puntos XCC Menor'!$A$1:$B$15,2,FALSE),0)</f>
        <v>0</v>
      </c>
      <c r="P20" s="3">
        <v>0</v>
      </c>
      <c r="Q20" s="39">
        <f>IFERROR(VLOOKUP(P20,'Puntos XCO'!$A$1:$B$63,2,FALSE),0)</f>
        <v>0</v>
      </c>
      <c r="R20" s="16">
        <v>5</v>
      </c>
      <c r="S20" s="3">
        <f>IFERROR(VLOOKUP(R20,'Puntos XCC Menor'!$A$1:$B$15,2,FALSE),0)</f>
        <v>6</v>
      </c>
      <c r="T20" s="15">
        <v>6</v>
      </c>
      <c r="U20" s="39">
        <f>IFERROR(VLOOKUP(T20,'Puntos XCO'!$A$1:$B$63,2,FALSE),0)</f>
        <v>95</v>
      </c>
      <c r="V20" s="16">
        <v>7</v>
      </c>
      <c r="W20" s="15">
        <f>IFERROR(VLOOKUP(V20,'Puntos XCC Mayor'!$A$1:$B$15,2,FALSE),0)</f>
        <v>9</v>
      </c>
      <c r="X20" s="15">
        <v>9</v>
      </c>
      <c r="Y20" s="25">
        <f>IFERROR(VLOOKUP(X20,'Puntos XCO'!$A$1:$B$63,2,FALSE),0)</f>
        <v>80</v>
      </c>
      <c r="Z20" s="16">
        <f t="shared" si="2"/>
        <v>4</v>
      </c>
      <c r="AA20" s="15">
        <f>IFERROR(VLOOKUP(Z20,'Puntos XCC Mayor'!$A$1:$B$15,2,FALSE),0)</f>
        <v>14</v>
      </c>
      <c r="AB20" s="15">
        <f t="shared" si="3"/>
        <v>3</v>
      </c>
      <c r="AC20" s="25">
        <f>IFERROR(VLOOKUP(AB20,'Puntos XCO'!$A$1:$B$63,2,FALSE),0)</f>
        <v>120</v>
      </c>
      <c r="AD20" s="16"/>
      <c r="AE20" s="15"/>
      <c r="AF20" s="15"/>
      <c r="AG20" s="25"/>
      <c r="AH20" s="27">
        <f t="shared" si="4"/>
        <v>510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7</v>
      </c>
      <c r="C21" s="22">
        <v>588</v>
      </c>
      <c r="D21" s="23" t="str">
        <f t="shared" si="0"/>
        <v xml:space="preserve">PIZARRO Keysi </v>
      </c>
      <c r="E21" s="24" t="str">
        <f t="shared" si="1"/>
        <v xml:space="preserve">ACISA Sarapiqui </v>
      </c>
      <c r="F21" s="3">
        <v>0</v>
      </c>
      <c r="G21" s="15">
        <v>0</v>
      </c>
      <c r="H21" s="3">
        <v>8</v>
      </c>
      <c r="I21" s="25">
        <v>85</v>
      </c>
      <c r="J21" s="33">
        <v>6</v>
      </c>
      <c r="K21" s="22">
        <v>0</v>
      </c>
      <c r="L21" s="22">
        <v>13</v>
      </c>
      <c r="M21" s="34">
        <v>72</v>
      </c>
      <c r="N21" s="26"/>
      <c r="O21" s="3">
        <f>IFERROR(VLOOKUP(N21,'Puntos XCC Menor'!$A$1:$B$15,2,FALSE),0)</f>
        <v>0</v>
      </c>
      <c r="P21" s="3">
        <v>0</v>
      </c>
      <c r="Q21" s="39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8</v>
      </c>
      <c r="U21" s="39">
        <f>IFERROR(VLOOKUP(T21,'Puntos XCO'!$A$1:$B$63,2,FALSE),0)</f>
        <v>85</v>
      </c>
      <c r="V21" s="16">
        <v>8</v>
      </c>
      <c r="W21" s="15">
        <f>IFERROR(VLOOKUP(V21,'Puntos XCC Mayor'!$A$1:$B$15,2,FALSE),0)</f>
        <v>8</v>
      </c>
      <c r="X21" s="15">
        <v>7</v>
      </c>
      <c r="Y21" s="25">
        <f>IFERROR(VLOOKUP(X21,'Puntos XCO'!$A$1:$B$63,2,FALSE),0)</f>
        <v>90</v>
      </c>
      <c r="Z21" s="16">
        <f t="shared" si="2"/>
        <v>8</v>
      </c>
      <c r="AA21" s="15">
        <f>IFERROR(VLOOKUP(Z21,'Puntos XCC Mayor'!$A$1:$B$15,2,FALSE),0)</f>
        <v>8</v>
      </c>
      <c r="AB21" s="15">
        <f t="shared" si="3"/>
        <v>10</v>
      </c>
      <c r="AC21" s="25">
        <f>IFERROR(VLOOKUP(AB21,'Puntos XCO'!$A$1:$B$63,2,FALSE),0)</f>
        <v>78</v>
      </c>
      <c r="AD21" s="16"/>
      <c r="AE21" s="15"/>
      <c r="AF21" s="15"/>
      <c r="AG21" s="25"/>
      <c r="AH21" s="27">
        <f t="shared" si="4"/>
        <v>426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9</v>
      </c>
      <c r="C22" s="22">
        <v>587</v>
      </c>
      <c r="D22" s="23" t="str">
        <f t="shared" si="0"/>
        <v>GUERRERO Mariangel*</v>
      </c>
      <c r="E22" s="24" t="str">
        <f t="shared" si="1"/>
        <v xml:space="preserve">ACISA SARAPIQUI </v>
      </c>
      <c r="F22" s="3">
        <v>8</v>
      </c>
      <c r="G22" s="15">
        <v>3</v>
      </c>
      <c r="H22" s="3">
        <v>10</v>
      </c>
      <c r="I22" s="25">
        <v>78</v>
      </c>
      <c r="J22" s="33">
        <v>0</v>
      </c>
      <c r="K22" s="22">
        <v>0</v>
      </c>
      <c r="L22" s="22">
        <v>0</v>
      </c>
      <c r="M22" s="34">
        <v>0</v>
      </c>
      <c r="N22" s="26"/>
      <c r="O22" s="3">
        <f>IFERROR(VLOOKUP(N22,'Puntos XCC Menor'!$A$1:$B$15,2,FALSE),0)</f>
        <v>0</v>
      </c>
      <c r="P22" s="3">
        <v>0</v>
      </c>
      <c r="Q22" s="39">
        <f>IFERROR(VLOOKUP(P22,'Puntos XCO'!$A$1:$B$63,2,FALSE),0)</f>
        <v>0</v>
      </c>
      <c r="R22" s="16">
        <v>0</v>
      </c>
      <c r="S22" s="3">
        <f>IFERROR(VLOOKUP(R22,'Puntos XCC Menor'!$A$1:$B$15,2,FALSE),0)</f>
        <v>0</v>
      </c>
      <c r="T22" s="15">
        <v>9</v>
      </c>
      <c r="U22" s="39">
        <f>IFERROR(VLOOKUP(T22,'Puntos XCO'!$A$1:$B$63,2,FALSE),0)</f>
        <v>80</v>
      </c>
      <c r="V22" s="16">
        <v>9</v>
      </c>
      <c r="W22" s="15">
        <f>IFERROR(VLOOKUP(V22,'Puntos XCC Mayor'!$A$1:$B$15,2,FALSE),0)</f>
        <v>7</v>
      </c>
      <c r="X22" s="15">
        <v>8</v>
      </c>
      <c r="Y22" s="25">
        <f>IFERROR(VLOOKUP(X22,'Puntos XCO'!$A$1:$B$63,2,FALSE),0)</f>
        <v>85</v>
      </c>
      <c r="Z22" s="16">
        <f t="shared" si="2"/>
        <v>9</v>
      </c>
      <c r="AA22" s="15">
        <f>IFERROR(VLOOKUP(Z22,'Puntos XCC Mayor'!$A$1:$B$15,2,FALSE),0)</f>
        <v>7</v>
      </c>
      <c r="AB22" s="15">
        <f t="shared" si="3"/>
        <v>9</v>
      </c>
      <c r="AC22" s="25">
        <f>IFERROR(VLOOKUP(AB22,'Puntos XCO'!$A$1:$B$63,2,FALSE),0)</f>
        <v>80</v>
      </c>
      <c r="AD22" s="16"/>
      <c r="AE22" s="15"/>
      <c r="AF22" s="15"/>
      <c r="AG22" s="25"/>
      <c r="AH22" s="27">
        <f t="shared" si="4"/>
        <v>340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8</v>
      </c>
      <c r="C23" s="22">
        <v>585</v>
      </c>
      <c r="D23" s="23" t="str">
        <f t="shared" si="0"/>
        <v>NÚÑEZ  Ashly*</v>
      </c>
      <c r="E23" s="24" t="str">
        <f t="shared" si="1"/>
        <v xml:space="preserve">DESAMPARADOS BIKE CAFÉ FAST &amp; UP </v>
      </c>
      <c r="F23" s="3">
        <v>0</v>
      </c>
      <c r="G23" s="15">
        <v>0</v>
      </c>
      <c r="H23" s="3">
        <v>7</v>
      </c>
      <c r="I23" s="25">
        <v>90</v>
      </c>
      <c r="J23" s="33">
        <v>8</v>
      </c>
      <c r="K23" s="22">
        <v>0</v>
      </c>
      <c r="L23" s="22">
        <v>5</v>
      </c>
      <c r="M23" s="34">
        <v>100</v>
      </c>
      <c r="N23" s="26"/>
      <c r="O23" s="3">
        <f>IFERROR(VLOOKUP(N23,'Puntos XCC Menor'!$A$1:$B$15,2,FALSE),0)</f>
        <v>0</v>
      </c>
      <c r="P23" s="3">
        <v>0</v>
      </c>
      <c r="Q23" s="39">
        <f>IFERROR(VLOOKUP(P23,'Puntos XCO'!$A$1:$B$63,2,FALSE),0)</f>
        <v>0</v>
      </c>
      <c r="R23" s="16">
        <v>7</v>
      </c>
      <c r="S23" s="3">
        <f>IFERROR(VLOOKUP(R23,'Puntos XCC Menor'!$A$1:$B$15,2,FALSE),0)</f>
        <v>4</v>
      </c>
      <c r="T23" s="15">
        <v>7</v>
      </c>
      <c r="U23" s="39">
        <f>IFERROR(VLOOKUP(T23,'Puntos XCO'!$A$1:$B$63,2,FALSE),0)</f>
        <v>90</v>
      </c>
      <c r="V23" s="16">
        <v>0</v>
      </c>
      <c r="W23" s="15">
        <f>IFERROR(VLOOKUP(V23,'Puntos XCC Mayor'!$A$1:$B$15,2,FALSE),0)</f>
        <v>0</v>
      </c>
      <c r="X23" s="15">
        <v>0</v>
      </c>
      <c r="Y23" s="25">
        <f>IFERROR(VLOOKUP(X23,'Puntos XCO'!$A$1:$B$63,2,FALSE),0)</f>
        <v>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284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22">
        <v>596</v>
      </c>
      <c r="D24" s="23" t="str">
        <f t="shared" si="0"/>
        <v>ZUÑIGA María Fernanda</v>
      </c>
      <c r="E24" s="24" t="str">
        <f t="shared" si="1"/>
        <v>CCDR San Jose</v>
      </c>
      <c r="F24" s="3"/>
      <c r="G24" s="15"/>
      <c r="H24" s="3"/>
      <c r="I24" s="25"/>
      <c r="J24" s="33">
        <v>10</v>
      </c>
      <c r="K24" s="22">
        <v>0</v>
      </c>
      <c r="L24" s="22">
        <v>7</v>
      </c>
      <c r="M24" s="34">
        <v>90</v>
      </c>
      <c r="N24" s="26"/>
      <c r="O24" s="3">
        <f>IFERROR(VLOOKUP(N24,'Puntos XCC Menor'!$A$1:$B$15,2,FALSE),0)</f>
        <v>0</v>
      </c>
      <c r="P24" s="3">
        <v>0</v>
      </c>
      <c r="Q24" s="39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11</v>
      </c>
      <c r="W24" s="15">
        <f>IFERROR(VLOOKUP(V24,'Puntos XCC Mayor'!$A$1:$B$15,2,FALSE),0)</f>
        <v>5</v>
      </c>
      <c r="X24" s="15">
        <v>10</v>
      </c>
      <c r="Y24" s="25">
        <f>IFERROR(VLOOKUP(X24,'Puntos XCO'!$A$1:$B$63,2,FALSE),0)</f>
        <v>78</v>
      </c>
      <c r="Z24" s="16">
        <f t="shared" si="2"/>
        <v>5</v>
      </c>
      <c r="AA24" s="15">
        <f>IFERROR(VLOOKUP(Z24,'Puntos XCC Mayor'!$A$1:$B$15,2,FALSE),0)</f>
        <v>12</v>
      </c>
      <c r="AB24" s="15">
        <f t="shared" si="3"/>
        <v>7</v>
      </c>
      <c r="AC24" s="25">
        <f>IFERROR(VLOOKUP(AB24,'Puntos XCO'!$A$1:$B$63,2,FALSE),0)</f>
        <v>90</v>
      </c>
      <c r="AD24" s="16"/>
      <c r="AE24" s="15"/>
      <c r="AF24" s="15"/>
      <c r="AG24" s="25"/>
      <c r="AH24" s="27">
        <f t="shared" si="4"/>
        <v>275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22">
        <v>590</v>
      </c>
      <c r="D25" s="23" t="str">
        <f t="shared" si="0"/>
        <v>VILLALOBOS Jimena*</v>
      </c>
      <c r="E25" s="24" t="str">
        <f t="shared" si="1"/>
        <v>ACISA</v>
      </c>
      <c r="F25" s="3">
        <v>7</v>
      </c>
      <c r="G25" s="15">
        <v>4</v>
      </c>
      <c r="H25" s="3">
        <v>9</v>
      </c>
      <c r="I25" s="25">
        <v>80</v>
      </c>
      <c r="J25" s="33">
        <v>12</v>
      </c>
      <c r="K25" s="22">
        <v>0</v>
      </c>
      <c r="L25" s="22">
        <v>0</v>
      </c>
      <c r="M25" s="34">
        <v>0</v>
      </c>
      <c r="N25" s="26"/>
      <c r="O25" s="3">
        <f>IFERROR(VLOOKUP(N25,'Puntos XCC Menor'!$A$1:$B$15,2,FALSE),0)</f>
        <v>0</v>
      </c>
      <c r="P25" s="3">
        <v>0</v>
      </c>
      <c r="Q25" s="39">
        <f>IFERROR(VLOOKUP(P25,'Puntos XCO'!$A$1:$B$63,2,FALSE),0)</f>
        <v>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v>12</v>
      </c>
      <c r="W25" s="15">
        <f>IFERROR(VLOOKUP(V25,'Puntos XCC Mayor'!$A$1:$B$15,2,FALSE),0)</f>
        <v>4</v>
      </c>
      <c r="X25" s="15">
        <v>12</v>
      </c>
      <c r="Y25" s="25">
        <f>IFERROR(VLOOKUP(X25,'Puntos XCO'!$A$1:$B$63,2,FALSE),0)</f>
        <v>74</v>
      </c>
      <c r="Z25" s="16">
        <f t="shared" si="2"/>
        <v>7</v>
      </c>
      <c r="AA25" s="15">
        <f>IFERROR(VLOOKUP(Z25,'Puntos XCC Mayor'!$A$1:$B$15,2,FALSE),0)</f>
        <v>9</v>
      </c>
      <c r="AB25" s="15">
        <f t="shared" si="3"/>
        <v>8</v>
      </c>
      <c r="AC25" s="25">
        <f>IFERROR(VLOOKUP(AB25,'Puntos XCO'!$A$1:$B$63,2,FALSE),0)</f>
        <v>85</v>
      </c>
      <c r="AD25" s="16"/>
      <c r="AE25" s="15"/>
      <c r="AF25" s="15"/>
      <c r="AG25" s="25"/>
      <c r="AH25" s="27">
        <f t="shared" si="4"/>
        <v>256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17</v>
      </c>
      <c r="C26" s="22">
        <v>595</v>
      </c>
      <c r="D26" s="23" t="str">
        <f t="shared" si="0"/>
        <v>DIAZ Elisa Alejandra*</v>
      </c>
      <c r="E26" s="24" t="str">
        <f t="shared" si="1"/>
        <v xml:space="preserve">CCDR San José </v>
      </c>
      <c r="F26" s="3"/>
      <c r="G26" s="15"/>
      <c r="H26" s="3"/>
      <c r="I26" s="25"/>
      <c r="J26" s="33">
        <v>15</v>
      </c>
      <c r="K26" s="22">
        <v>0</v>
      </c>
      <c r="L26" s="22">
        <v>11</v>
      </c>
      <c r="M26" s="34">
        <v>76</v>
      </c>
      <c r="N26" s="26"/>
      <c r="O26" s="3">
        <f>IFERROR(VLOOKUP(N26,'Puntos XCC Menor'!$A$1:$B$15,2,FALSE),0)</f>
        <v>0</v>
      </c>
      <c r="P26" s="3">
        <v>0</v>
      </c>
      <c r="Q26" s="39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v>0</v>
      </c>
      <c r="W26" s="15">
        <f>IFERROR(VLOOKUP(V26,'Puntos XCC Mayor'!$A$1:$B$15,2,FALSE),0)</f>
        <v>0</v>
      </c>
      <c r="X26" s="15">
        <v>0</v>
      </c>
      <c r="Y26" s="25">
        <f>IFERROR(VLOOKUP(X26,'Puntos XCO'!$A$1:$B$63,2,FALSE),0)</f>
        <v>0</v>
      </c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11</v>
      </c>
      <c r="AC26" s="25">
        <f>IFERROR(VLOOKUP(AB26,'Puntos XCO'!$A$1:$B$63,2,FALSE),0)</f>
        <v>76</v>
      </c>
      <c r="AD26" s="16"/>
      <c r="AE26" s="15"/>
      <c r="AF26" s="15"/>
      <c r="AG26" s="25"/>
      <c r="AH26" s="27">
        <f t="shared" si="4"/>
        <v>152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12</v>
      </c>
      <c r="C27" s="22">
        <v>594</v>
      </c>
      <c r="D27" s="23" t="str">
        <f t="shared" si="0"/>
        <v xml:space="preserve">ARAYA Sharon María </v>
      </c>
      <c r="E27" s="24" t="str">
        <f t="shared" si="1"/>
        <v>CCDR CARTAGO</v>
      </c>
      <c r="F27" s="3"/>
      <c r="G27" s="15"/>
      <c r="H27" s="3"/>
      <c r="I27" s="25"/>
      <c r="J27" s="33">
        <v>5</v>
      </c>
      <c r="K27" s="22">
        <v>0</v>
      </c>
      <c r="L27" s="22">
        <v>4</v>
      </c>
      <c r="M27" s="34">
        <v>110</v>
      </c>
      <c r="N27" s="26"/>
      <c r="O27" s="3">
        <f>IFERROR(VLOOKUP(N27,'Puntos XCC Menor'!$A$1:$B$15,2,FALSE),0)</f>
        <v>0</v>
      </c>
      <c r="P27" s="3">
        <v>0</v>
      </c>
      <c r="Q27" s="39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v>0</v>
      </c>
      <c r="W27" s="15">
        <f>IFERROR(VLOOKUP(V27,'Puntos XCC Mayor'!$A$1:$B$15,2,FALSE),0)</f>
        <v>0</v>
      </c>
      <c r="X27" s="15">
        <v>0</v>
      </c>
      <c r="Y27" s="25">
        <f>IFERROR(VLOOKUP(X27,'Puntos XCO'!$A$1:$B$63,2,FALSE),0)</f>
        <v>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110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13</v>
      </c>
      <c r="C28" s="22">
        <v>599</v>
      </c>
      <c r="D28" s="23" t="str">
        <f t="shared" si="0"/>
        <v>CASTILLO Mariana</v>
      </c>
      <c r="E28" s="24" t="str">
        <f t="shared" si="1"/>
        <v>PZ CYCLING TEAM</v>
      </c>
      <c r="F28" s="3"/>
      <c r="G28" s="15"/>
      <c r="H28" s="3"/>
      <c r="I28" s="25"/>
      <c r="J28" s="33"/>
      <c r="K28" s="22"/>
      <c r="L28" s="22"/>
      <c r="M28" s="34"/>
      <c r="N28" s="26"/>
      <c r="O28" s="3"/>
      <c r="P28" s="3"/>
      <c r="Q28" s="39"/>
      <c r="R28" s="16"/>
      <c r="S28" s="3"/>
      <c r="T28" s="15"/>
      <c r="U28" s="39"/>
      <c r="V28" s="16">
        <v>6</v>
      </c>
      <c r="W28" s="15">
        <f>IFERROR(VLOOKUP(V28,'Puntos XCC Mayor'!$A$1:$B$15,2,FALSE),0)</f>
        <v>10</v>
      </c>
      <c r="X28" s="15">
        <v>5</v>
      </c>
      <c r="Y28" s="25">
        <f>IFERROR(VLOOKUP(X28,'Puntos XCO'!$A$1:$B$63,2,FALSE),0)</f>
        <v>100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110</v>
      </c>
      <c r="AJ28" s="2"/>
      <c r="AK28" s="13"/>
      <c r="AL28" s="12"/>
      <c r="AM28" s="14"/>
    </row>
    <row r="29" spans="1:39" ht="24.95" customHeight="1">
      <c r="A29" s="22">
        <v>15</v>
      </c>
      <c r="B29" s="22">
        <v>14</v>
      </c>
      <c r="C29" s="22">
        <v>598</v>
      </c>
      <c r="D29" s="23" t="str">
        <f t="shared" si="0"/>
        <v>ALVARADO Luciana*</v>
      </c>
      <c r="E29" s="24" t="str">
        <f t="shared" si="1"/>
        <v>AYG MANTENIMIENTOS</v>
      </c>
      <c r="F29" s="3"/>
      <c r="G29" s="15"/>
      <c r="H29" s="3"/>
      <c r="I29" s="25"/>
      <c r="J29" s="33"/>
      <c r="K29" s="22"/>
      <c r="L29" s="22"/>
      <c r="M29" s="34"/>
      <c r="N29" s="26"/>
      <c r="O29" s="3"/>
      <c r="P29" s="3"/>
      <c r="Q29" s="39"/>
      <c r="R29" s="16"/>
      <c r="S29" s="3"/>
      <c r="T29" s="15"/>
      <c r="U29" s="39"/>
      <c r="V29" s="16">
        <v>10</v>
      </c>
      <c r="W29" s="15">
        <f>IFERROR(VLOOKUP(V29,'Puntos XCC Mayor'!$A$1:$B$15,2,FALSE),0)</f>
        <v>6</v>
      </c>
      <c r="X29" s="15">
        <v>11</v>
      </c>
      <c r="Y29" s="25">
        <f>IFERROR(VLOOKUP(X29,'Puntos XCO'!$A$1:$B$63,2,FALSE),0)</f>
        <v>76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82</v>
      </c>
      <c r="AJ29" s="2"/>
      <c r="AK29" s="13"/>
      <c r="AL29" s="12"/>
      <c r="AM29" s="14"/>
    </row>
    <row r="30" spans="1:39" ht="24.95" customHeight="1">
      <c r="A30" s="22">
        <v>16</v>
      </c>
      <c r="B30" s="22">
        <v>15</v>
      </c>
      <c r="C30" s="22">
        <v>597</v>
      </c>
      <c r="D30" s="23" t="str">
        <f t="shared" si="0"/>
        <v>MORA  Keren*</v>
      </c>
      <c r="E30" s="24" t="str">
        <f t="shared" si="1"/>
        <v>CCDR MATINA CICLO SALAS BATAN</v>
      </c>
      <c r="F30" s="3"/>
      <c r="G30" s="15"/>
      <c r="H30" s="3"/>
      <c r="I30" s="25"/>
      <c r="J30" s="33"/>
      <c r="K30" s="22"/>
      <c r="L30" s="22"/>
      <c r="M30" s="34"/>
      <c r="N30" s="26"/>
      <c r="O30" s="3"/>
      <c r="P30" s="3"/>
      <c r="Q30" s="39"/>
      <c r="R30" s="16">
        <v>8</v>
      </c>
      <c r="S30" s="3">
        <f>IFERROR(VLOOKUP(R30,'Puntos XCC Menor'!$A$1:$B$15,2,FALSE),0)</f>
        <v>3</v>
      </c>
      <c r="T30" s="15">
        <v>10</v>
      </c>
      <c r="U30" s="39">
        <f>IFERROR(VLOOKUP(T30,'Puntos XCO'!$A$1:$B$63,2,FALSE),0)</f>
        <v>78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81</v>
      </c>
      <c r="AJ30" s="2"/>
      <c r="AK30" s="13"/>
      <c r="AL30" s="12"/>
      <c r="AM30" s="14"/>
    </row>
    <row r="31" spans="1:39" ht="24.95" customHeight="1">
      <c r="A31" s="22">
        <v>17</v>
      </c>
      <c r="B31" s="22">
        <v>16</v>
      </c>
      <c r="C31" s="22">
        <v>592</v>
      </c>
      <c r="D31" s="23" t="str">
        <f t="shared" si="0"/>
        <v xml:space="preserve">ALVARADO  Elena </v>
      </c>
      <c r="E31" s="24" t="str">
        <f t="shared" si="1"/>
        <v xml:space="preserve">ESCUELITA GUIDO BLANCO LIBERIA </v>
      </c>
      <c r="F31" s="3"/>
      <c r="G31" s="15"/>
      <c r="H31" s="3"/>
      <c r="I31" s="25"/>
      <c r="J31" s="33">
        <v>11</v>
      </c>
      <c r="K31" s="22">
        <v>0</v>
      </c>
      <c r="L31" s="22">
        <v>10</v>
      </c>
      <c r="M31" s="34">
        <v>78</v>
      </c>
      <c r="N31" s="26"/>
      <c r="O31" s="3">
        <f>IFERROR(VLOOKUP(N31,'Puntos XCC Menor'!$A$1:$B$15,2,FALSE),0)</f>
        <v>0</v>
      </c>
      <c r="P31" s="3">
        <v>0</v>
      </c>
      <c r="Q31" s="39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78</v>
      </c>
      <c r="AJ31" s="2"/>
      <c r="AK31" s="13"/>
      <c r="AL31" s="12"/>
      <c r="AM31" s="14"/>
    </row>
    <row r="32" spans="1:39" ht="24.95" customHeight="1">
      <c r="A32" s="22">
        <v>18</v>
      </c>
      <c r="B32" s="22">
        <v>18</v>
      </c>
      <c r="C32" s="22">
        <v>591</v>
      </c>
      <c r="D32" s="23" t="str">
        <f t="shared" si="0"/>
        <v>HERNANDEZ  Isabella *</v>
      </c>
      <c r="E32" s="24" t="str">
        <f t="shared" si="1"/>
        <v xml:space="preserve">ESCUELITA GUIDO BLANCO </v>
      </c>
      <c r="F32" s="3"/>
      <c r="G32" s="15"/>
      <c r="H32" s="3"/>
      <c r="I32" s="25"/>
      <c r="J32" s="33">
        <v>13</v>
      </c>
      <c r="K32" s="22">
        <v>0</v>
      </c>
      <c r="L32" s="22">
        <v>12</v>
      </c>
      <c r="M32" s="34">
        <v>74</v>
      </c>
      <c r="N32" s="26"/>
      <c r="O32" s="3">
        <f>IFERROR(VLOOKUP(N32,'Puntos XCC Menor'!$A$1:$B$15,2,FALSE),0)</f>
        <v>0</v>
      </c>
      <c r="P32" s="3">
        <v>0</v>
      </c>
      <c r="Q32" s="39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74</v>
      </c>
      <c r="AJ32" s="2"/>
      <c r="AK32" s="13"/>
      <c r="AL32" s="12"/>
      <c r="AM32" s="14"/>
    </row>
    <row r="33" spans="1:39" ht="24.95" customHeight="1">
      <c r="A33" s="22">
        <v>19</v>
      </c>
      <c r="B33" s="3"/>
      <c r="C33" s="22">
        <v>593</v>
      </c>
      <c r="D33" s="23" t="str">
        <f t="shared" si="0"/>
        <v>RODRIGUEZ Sara*</v>
      </c>
      <c r="E33" s="24" t="str">
        <f t="shared" si="1"/>
        <v>Desamparados</v>
      </c>
      <c r="F33" s="3"/>
      <c r="G33" s="15"/>
      <c r="H33" s="3"/>
      <c r="I33" s="25"/>
      <c r="J33" s="33">
        <v>14</v>
      </c>
      <c r="K33" s="22">
        <v>0</v>
      </c>
      <c r="L33" s="22">
        <v>0</v>
      </c>
      <c r="M33" s="34">
        <v>0</v>
      </c>
      <c r="N33" s="26"/>
      <c r="O33" s="3">
        <f>IFERROR(VLOOKUP(N33,'Puntos XCC Menor'!$A$1:$B$15,2,FALSE),0)</f>
        <v>0</v>
      </c>
      <c r="P33" s="3">
        <v>0</v>
      </c>
      <c r="Q33" s="39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2"/>
        <v>10</v>
      </c>
      <c r="AA33" s="15">
        <f>IFERROR(VLOOKUP(Z33,'Puntos XCC Mayor'!$A$1:$B$15,2,FALSE),0)</f>
        <v>6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6</v>
      </c>
      <c r="AJ33" s="2"/>
      <c r="AK33" s="13"/>
      <c r="AL33" s="12"/>
      <c r="AM33" s="14"/>
    </row>
    <row r="34" spans="1:39" ht="24.95" customHeight="1">
      <c r="A34" s="3"/>
      <c r="B34" s="3"/>
      <c r="C34" s="28"/>
      <c r="D34" s="23"/>
      <c r="E34" s="24"/>
      <c r="F34" s="3"/>
      <c r="G34" s="15"/>
      <c r="H34" s="15"/>
      <c r="I34" s="25"/>
      <c r="J34" s="26"/>
      <c r="K34" s="15"/>
      <c r="L34" s="15"/>
      <c r="M34" s="25"/>
      <c r="N34" s="16"/>
      <c r="O34" s="15"/>
      <c r="P34" s="3"/>
      <c r="Q34" s="25"/>
      <c r="R34" s="16"/>
      <c r="S34" s="15"/>
      <c r="T34" s="15"/>
      <c r="U34" s="25"/>
      <c r="V34" s="16"/>
      <c r="W34" s="15"/>
      <c r="X34" s="15"/>
      <c r="Y34" s="25"/>
      <c r="Z34" s="16"/>
      <c r="AA34" s="15"/>
      <c r="AB34" s="15"/>
      <c r="AC34" s="25"/>
      <c r="AD34" s="16"/>
      <c r="AE34" s="15"/>
      <c r="AF34" s="15"/>
      <c r="AG34" s="25"/>
      <c r="AH34" s="27"/>
      <c r="AJ34" s="3"/>
    </row>
    <row r="35" spans="1:39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4"/>
      <c r="Q35" s="65"/>
      <c r="R35" s="65"/>
      <c r="S35" s="65"/>
      <c r="T35" s="65"/>
      <c r="U35" s="65"/>
      <c r="V35" s="65"/>
      <c r="W35" s="65"/>
      <c r="X35" s="65"/>
      <c r="Y35" s="65"/>
      <c r="Z35" s="119"/>
      <c r="AA35" s="119"/>
      <c r="AB35" s="119"/>
      <c r="AC35" s="119"/>
      <c r="AD35" s="119"/>
      <c r="AE35" s="119"/>
      <c r="AF35" s="119"/>
      <c r="AG35" s="119"/>
      <c r="AH35" s="65"/>
    </row>
    <row r="36" spans="1:39">
      <c r="M36" s="9"/>
      <c r="N36" s="9"/>
      <c r="O36" s="9"/>
      <c r="P36" s="10"/>
      <c r="Q36" s="9"/>
      <c r="R36" s="9"/>
      <c r="S36" s="9"/>
      <c r="T36" s="9"/>
      <c r="U36" s="9"/>
    </row>
    <row r="37" spans="1:39" ht="127.5" customHeight="1"/>
    <row r="38" spans="1:39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4"/>
      <c r="Q38" s="65"/>
      <c r="R38" s="65"/>
      <c r="S38" s="65"/>
      <c r="T38" s="65"/>
      <c r="U38" s="65"/>
      <c r="V38" s="65"/>
      <c r="W38" s="65"/>
      <c r="X38" s="65"/>
      <c r="Y38" s="65"/>
      <c r="Z38" s="119"/>
      <c r="AA38" s="119"/>
      <c r="AB38" s="119"/>
      <c r="AC38" s="119"/>
      <c r="AD38" s="119"/>
      <c r="AE38" s="119"/>
      <c r="AF38" s="119"/>
      <c r="AG38" s="119"/>
      <c r="AH38" s="65"/>
    </row>
  </sheetData>
  <sortState ref="B15:AH33">
    <sortCondition descending="1" ref="AH15:AH33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35:C65513 C1:C9 C12:C14">
    <cfRule type="duplicateValues" dxfId="453" priority="58" stopIfTrue="1"/>
  </conditionalFormatting>
  <conditionalFormatting sqref="F34">
    <cfRule type="duplicateValues" dxfId="452" priority="59" stopIfTrue="1"/>
  </conditionalFormatting>
  <conditionalFormatting sqref="B34">
    <cfRule type="duplicateValues" dxfId="451" priority="60" stopIfTrue="1"/>
  </conditionalFormatting>
  <conditionalFormatting sqref="AJ15:AJ34">
    <cfRule type="duplicateValues" dxfId="450" priority="7094"/>
  </conditionalFormatting>
  <conditionalFormatting sqref="C11">
    <cfRule type="duplicateValues" dxfId="449" priority="4" stopIfTrue="1"/>
  </conditionalFormatting>
  <conditionalFormatting sqref="C11">
    <cfRule type="duplicateValues" dxfId="448" priority="5" stopIfTrue="1"/>
  </conditionalFormatting>
  <conditionalFormatting sqref="D11">
    <cfRule type="duplicateValues" dxfId="447" priority="3" stopIfTrue="1"/>
  </conditionalFormatting>
  <conditionalFormatting sqref="C10">
    <cfRule type="duplicateValues" dxfId="446" priority="1" stopIfTrue="1"/>
  </conditionalFormatting>
  <conditionalFormatting sqref="C10">
    <cfRule type="duplicateValues" dxfId="445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M30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31.7109375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159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7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484</v>
      </c>
      <c r="D15" s="23" t="str">
        <f t="shared" ref="D15:D25" si="0">VLOOKUP(C15,PLANILLA,2,FALSE)</f>
        <v>JIMÉNEZ Mia</v>
      </c>
      <c r="E15" s="24" t="str">
        <f t="shared" ref="E15:E25" si="1">VLOOKUP(C15,PLANILLA,4,FALSE)</f>
        <v xml:space="preserve">CCDR SAN JOSÉ </v>
      </c>
      <c r="F15" s="3">
        <v>0</v>
      </c>
      <c r="G15" s="15">
        <v>0</v>
      </c>
      <c r="H15" s="3">
        <v>3</v>
      </c>
      <c r="I15" s="25">
        <v>120</v>
      </c>
      <c r="J15" s="33">
        <v>1</v>
      </c>
      <c r="K15" s="22">
        <v>10</v>
      </c>
      <c r="L15" s="22">
        <v>1</v>
      </c>
      <c r="M15" s="34">
        <v>200</v>
      </c>
      <c r="N15" s="26"/>
      <c r="O15" s="3">
        <f>IFERROR(VLOOKUP(N15,'Puntos XCC Menor'!$A$1:$B$15,2,FALSE),0)</f>
        <v>0</v>
      </c>
      <c r="P15" s="3">
        <v>2</v>
      </c>
      <c r="Q15" s="39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2</v>
      </c>
      <c r="U15" s="39">
        <f>IFERROR(VLOOKUP(T15,'Puntos XCO'!$A$1:$B$63,2,FALSE),0)</f>
        <v>150</v>
      </c>
      <c r="V15" s="16">
        <v>4</v>
      </c>
      <c r="W15" s="15">
        <f>IFERROR(VLOOKUP(V15,'Puntos XCC Mayor'!$A$1:$B$15,2,FALSE),0)</f>
        <v>14</v>
      </c>
      <c r="X15" s="15">
        <v>2</v>
      </c>
      <c r="Y15" s="25">
        <f>IFERROR(VLOOKUP(X15,'Puntos XCO'!$A$1:$B$63,2,FALSE),0)</f>
        <v>150</v>
      </c>
      <c r="Z15" s="16">
        <f t="shared" ref="Z15:Z25" si="2">IFERROR(VLOOKUP($C15,RESXCC_1,9,FALSE),0)</f>
        <v>3</v>
      </c>
      <c r="AA15" s="15">
        <f>IFERROR(VLOOKUP(Z15,'Puntos XCC Mayor'!$A$1:$B$15,2,FALSE),0)</f>
        <v>16</v>
      </c>
      <c r="AB15" s="15">
        <f t="shared" ref="AB15:AB25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5" si="4">G15+I15+K15+M15+O15+Q15+S15+U15+W15+Y15+AA15+AC15+AE15+AG15</f>
        <v>1020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482</v>
      </c>
      <c r="D16" s="23" t="str">
        <f t="shared" si="0"/>
        <v>HERNÁNDEZ Maripaz*</v>
      </c>
      <c r="E16" s="24" t="str">
        <f t="shared" si="1"/>
        <v xml:space="preserve">HDZ  / Santa Ana </v>
      </c>
      <c r="F16" s="3">
        <v>1</v>
      </c>
      <c r="G16" s="15">
        <v>10</v>
      </c>
      <c r="H16" s="3">
        <v>2</v>
      </c>
      <c r="I16" s="25">
        <v>150</v>
      </c>
      <c r="J16" s="33">
        <v>2</v>
      </c>
      <c r="K16" s="22">
        <v>9</v>
      </c>
      <c r="L16" s="22">
        <v>2</v>
      </c>
      <c r="M16" s="34">
        <v>150</v>
      </c>
      <c r="N16" s="26"/>
      <c r="O16" s="3">
        <f>IFERROR(VLOOKUP(N16,'Puntos XCC Menor'!$A$1:$B$15,2,FALSE),0)</f>
        <v>0</v>
      </c>
      <c r="P16" s="3">
        <v>1</v>
      </c>
      <c r="Q16" s="39">
        <f>IFERROR(VLOOKUP(P16,'Puntos XCO'!$A$1:$B$63,2,FALSE),0)</f>
        <v>200</v>
      </c>
      <c r="R16" s="16">
        <v>3</v>
      </c>
      <c r="S16" s="3">
        <f>IFERROR(VLOOKUP(R16,'Puntos XCC Menor'!$A$1:$B$15,2,FALSE),0)</f>
        <v>8</v>
      </c>
      <c r="T16" s="15">
        <v>1</v>
      </c>
      <c r="U16" s="39">
        <f>IFERROR(VLOOKUP(T16,'Puntos XCO'!$A$1:$B$63,2,FALSE),0)</f>
        <v>200</v>
      </c>
      <c r="V16" s="16">
        <v>2</v>
      </c>
      <c r="W16" s="15">
        <f>IFERROR(VLOOKUP(V16,'Puntos XCC Mayor'!$A$1:$B$15,2,FALSE),0)</f>
        <v>20</v>
      </c>
      <c r="X16" s="15">
        <v>0</v>
      </c>
      <c r="Y16" s="25">
        <f>IFERROR(VLOOKUP(X16,'Puntos XCO'!$A$1:$B$63,2,FALSE),0)</f>
        <v>0</v>
      </c>
      <c r="Z16" s="16">
        <f t="shared" si="2"/>
        <v>2</v>
      </c>
      <c r="AA16" s="15">
        <f>IFERROR(VLOOKUP(Z16,'Puntos XCC Mayor'!$A$1:$B$15,2,FALSE),0)</f>
        <v>20</v>
      </c>
      <c r="AB16" s="15">
        <f t="shared" si="3"/>
        <v>2</v>
      </c>
      <c r="AC16" s="25">
        <f>IFERROR(VLOOKUP(AB16,'Puntos XCO'!$A$1:$B$63,2,FALSE),0)</f>
        <v>150</v>
      </c>
      <c r="AD16" s="16"/>
      <c r="AE16" s="15"/>
      <c r="AF16" s="15"/>
      <c r="AG16" s="25"/>
      <c r="AH16" s="27">
        <f t="shared" si="4"/>
        <v>917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481</v>
      </c>
      <c r="D17" s="23" t="str">
        <f t="shared" si="0"/>
        <v>MONTEALEGRE María Paula</v>
      </c>
      <c r="E17" s="24" t="str">
        <f t="shared" si="1"/>
        <v>CCDR SANTA CRUZ</v>
      </c>
      <c r="F17" s="3">
        <v>3</v>
      </c>
      <c r="G17" s="15">
        <v>8</v>
      </c>
      <c r="H17" s="3">
        <v>1</v>
      </c>
      <c r="I17" s="25">
        <v>200</v>
      </c>
      <c r="J17" s="33">
        <v>4</v>
      </c>
      <c r="K17" s="22">
        <v>7</v>
      </c>
      <c r="L17" s="22">
        <v>3</v>
      </c>
      <c r="M17" s="34">
        <v>120</v>
      </c>
      <c r="N17" s="26"/>
      <c r="O17" s="3">
        <f>IFERROR(VLOOKUP(N17,'Puntos XCC Menor'!$A$1:$B$15,2,FALSE),0)</f>
        <v>0</v>
      </c>
      <c r="P17" s="3">
        <v>3</v>
      </c>
      <c r="Q17" s="39">
        <f>IFERROR(VLOOKUP(P17,'Puntos XCO'!$A$1:$B$63,2,FALSE),0)</f>
        <v>120</v>
      </c>
      <c r="R17" s="16">
        <v>2</v>
      </c>
      <c r="S17" s="3">
        <f>IFERROR(VLOOKUP(R17,'Puntos XCC Menor'!$A$1:$B$15,2,FALSE),0)</f>
        <v>9</v>
      </c>
      <c r="T17" s="15">
        <v>3</v>
      </c>
      <c r="U17" s="39">
        <f>IFERROR(VLOOKUP(T17,'Puntos XCO'!$A$1:$B$63,2,FALSE),0)</f>
        <v>120</v>
      </c>
      <c r="V17" s="16">
        <v>5</v>
      </c>
      <c r="W17" s="15">
        <f>IFERROR(VLOOKUP(V17,'Puntos XCC Mayor'!$A$1:$B$15,2,FALSE),0)</f>
        <v>12</v>
      </c>
      <c r="X17" s="15">
        <v>4</v>
      </c>
      <c r="Y17" s="25">
        <f>IFERROR(VLOOKUP(X17,'Puntos XCO'!$A$1:$B$63,2,FALSE),0)</f>
        <v>110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706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483</v>
      </c>
      <c r="D18" s="23" t="str">
        <f t="shared" si="0"/>
        <v xml:space="preserve">MORA Valentina </v>
      </c>
      <c r="E18" s="24" t="str">
        <f t="shared" si="1"/>
        <v xml:space="preserve">CODEA -E VEGA TRAINER </v>
      </c>
      <c r="F18" s="3">
        <v>2</v>
      </c>
      <c r="G18" s="15">
        <v>9</v>
      </c>
      <c r="H18" s="3">
        <v>4</v>
      </c>
      <c r="I18" s="25">
        <v>110</v>
      </c>
      <c r="J18" s="33">
        <v>3</v>
      </c>
      <c r="K18" s="22">
        <v>8</v>
      </c>
      <c r="L18" s="22">
        <v>4</v>
      </c>
      <c r="M18" s="34">
        <v>110</v>
      </c>
      <c r="N18" s="26"/>
      <c r="O18" s="3">
        <f>IFERROR(VLOOKUP(N18,'Puntos XCC Menor'!$A$1:$B$15,2,FALSE),0)</f>
        <v>0</v>
      </c>
      <c r="P18" s="3">
        <v>4</v>
      </c>
      <c r="Q18" s="39">
        <f>IFERROR(VLOOKUP(P18,'Puntos XCO'!$A$1:$B$63,2,FALSE),0)</f>
        <v>110</v>
      </c>
      <c r="R18" s="16">
        <v>4</v>
      </c>
      <c r="S18" s="3">
        <f>IFERROR(VLOOKUP(R18,'Puntos XCC Menor'!$A$1:$B$15,2,FALSE),0)</f>
        <v>7</v>
      </c>
      <c r="T18" s="15">
        <v>0</v>
      </c>
      <c r="U18" s="39">
        <f>IFERROR(VLOOKUP(T18,'Puntos XCO'!$A$1:$B$63,2,FALSE),0)</f>
        <v>0</v>
      </c>
      <c r="V18" s="16">
        <v>3</v>
      </c>
      <c r="W18" s="15">
        <f>IFERROR(VLOOKUP(V18,'Puntos XCC Mayor'!$A$1:$B$15,2,FALSE),0)</f>
        <v>16</v>
      </c>
      <c r="X18" s="15">
        <v>3</v>
      </c>
      <c r="Y18" s="25">
        <f>IFERROR(VLOOKUP(X18,'Puntos XCO'!$A$1:$B$63,2,FALSE),0)</f>
        <v>120</v>
      </c>
      <c r="Z18" s="16">
        <f t="shared" si="2"/>
        <v>4</v>
      </c>
      <c r="AA18" s="15">
        <f>IFERROR(VLOOKUP(Z18,'Puntos XCC Mayor'!$A$1:$B$15,2,FALSE),0)</f>
        <v>14</v>
      </c>
      <c r="AB18" s="15">
        <f t="shared" si="3"/>
        <v>4</v>
      </c>
      <c r="AC18" s="25">
        <f>IFERROR(VLOOKUP(AB18,'Puntos XCO'!$A$1:$B$63,2,FALSE),0)</f>
        <v>110</v>
      </c>
      <c r="AD18" s="16"/>
      <c r="AE18" s="15"/>
      <c r="AF18" s="15"/>
      <c r="AG18" s="25"/>
      <c r="AH18" s="27">
        <f t="shared" si="4"/>
        <v>614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486</v>
      </c>
      <c r="D19" s="23" t="str">
        <f t="shared" si="0"/>
        <v>PIZARRO Shailene*</v>
      </c>
      <c r="E19" s="24" t="str">
        <f t="shared" si="1"/>
        <v xml:space="preserve">ACISA SARAPIQUI </v>
      </c>
      <c r="F19" s="3"/>
      <c r="G19" s="15"/>
      <c r="H19" s="3"/>
      <c r="I19" s="25"/>
      <c r="J19" s="33">
        <v>8</v>
      </c>
      <c r="K19" s="22">
        <v>3</v>
      </c>
      <c r="L19" s="22">
        <v>7</v>
      </c>
      <c r="M19" s="34">
        <v>90</v>
      </c>
      <c r="N19" s="26"/>
      <c r="O19" s="3">
        <f>IFERROR(VLOOKUP(N19,'Puntos XCC Menor'!$A$1:$B$15,2,FALSE),0)</f>
        <v>0</v>
      </c>
      <c r="P19" s="3">
        <v>0</v>
      </c>
      <c r="Q19" s="39">
        <f>IFERROR(VLOOKUP(P19,'Puntos XCO'!$A$1:$B$63,2,FALSE),0)</f>
        <v>0</v>
      </c>
      <c r="R19" s="16">
        <v>0</v>
      </c>
      <c r="S19" s="3">
        <f>IFERROR(VLOOKUP(R19,'Puntos XCC Menor'!$A$1:$B$15,2,FALSE),0)</f>
        <v>0</v>
      </c>
      <c r="T19" s="15">
        <v>4</v>
      </c>
      <c r="U19" s="39">
        <f>IFERROR(VLOOKUP(T19,'Puntos XCO'!$A$1:$B$63,2,FALSE),0)</f>
        <v>110</v>
      </c>
      <c r="V19" s="16">
        <v>7</v>
      </c>
      <c r="W19" s="15">
        <f>IFERROR(VLOOKUP(V19,'Puntos XCC Mayor'!$A$1:$B$15,2,FALSE),0)</f>
        <v>9</v>
      </c>
      <c r="X19" s="15">
        <v>6</v>
      </c>
      <c r="Y19" s="25">
        <f>IFERROR(VLOOKUP(X19,'Puntos XCO'!$A$1:$B$63,2,FALSE),0)</f>
        <v>95</v>
      </c>
      <c r="Z19" s="16">
        <f t="shared" si="2"/>
        <v>8</v>
      </c>
      <c r="AA19" s="15">
        <f>IFERROR(VLOOKUP(Z19,'Puntos XCC Mayor'!$A$1:$B$15,2,FALSE),0)</f>
        <v>8</v>
      </c>
      <c r="AB19" s="15">
        <f t="shared" si="3"/>
        <v>6</v>
      </c>
      <c r="AC19" s="25">
        <f>IFERROR(VLOOKUP(AB19,'Puntos XCO'!$A$1:$B$63,2,FALSE),0)</f>
        <v>95</v>
      </c>
      <c r="AD19" s="16"/>
      <c r="AE19" s="15"/>
      <c r="AF19" s="15"/>
      <c r="AG19" s="25"/>
      <c r="AH19" s="27">
        <f t="shared" si="4"/>
        <v>410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6</v>
      </c>
      <c r="C20" s="22">
        <v>489</v>
      </c>
      <c r="D20" s="23" t="str">
        <f t="shared" si="0"/>
        <v>MARÍN Abigail</v>
      </c>
      <c r="E20" s="24" t="str">
        <f t="shared" si="1"/>
        <v xml:space="preserve">CCDR San José </v>
      </c>
      <c r="F20" s="3"/>
      <c r="G20" s="15"/>
      <c r="H20" s="3"/>
      <c r="I20" s="25"/>
      <c r="J20" s="33"/>
      <c r="K20" s="22"/>
      <c r="L20" s="22"/>
      <c r="M20" s="34"/>
      <c r="N20" s="26"/>
      <c r="O20" s="3"/>
      <c r="P20" s="3"/>
      <c r="Q20" s="39"/>
      <c r="R20" s="16"/>
      <c r="S20" s="3"/>
      <c r="T20" s="15"/>
      <c r="U20" s="39"/>
      <c r="V20" s="16">
        <v>1</v>
      </c>
      <c r="W20" s="15">
        <f>IFERROR(VLOOKUP(V20,'Puntos XCC Mayor'!$A$1:$B$15,2,FALSE),0)</f>
        <v>25</v>
      </c>
      <c r="X20" s="15">
        <v>1</v>
      </c>
      <c r="Y20" s="25">
        <f>IFERROR(VLOOKUP(X20,'Puntos XCO'!$A$1:$B$63,2,FALSE),0)</f>
        <v>200</v>
      </c>
      <c r="Z20" s="16">
        <f t="shared" si="2"/>
        <v>1</v>
      </c>
      <c r="AA20" s="15">
        <f>IFERROR(VLOOKUP(Z20,'Puntos XCC Mayor'!$A$1:$B$15,2,FALSE),0)</f>
        <v>25</v>
      </c>
      <c r="AB20" s="15">
        <f t="shared" si="3"/>
        <v>3</v>
      </c>
      <c r="AC20" s="25">
        <f>IFERROR(VLOOKUP(AB20,'Puntos XCO'!$A$1:$B$63,2,FALSE),0)</f>
        <v>120</v>
      </c>
      <c r="AD20" s="16"/>
      <c r="AE20" s="15"/>
      <c r="AF20" s="15"/>
      <c r="AG20" s="25"/>
      <c r="AH20" s="27">
        <f t="shared" si="4"/>
        <v>370</v>
      </c>
      <c r="AJ20" s="2"/>
      <c r="AK20" s="13"/>
      <c r="AL20" s="12"/>
      <c r="AM20" s="14"/>
    </row>
    <row r="21" spans="1:39" ht="30" customHeight="1">
      <c r="A21" s="22">
        <v>7</v>
      </c>
      <c r="B21" s="22">
        <v>7</v>
      </c>
      <c r="C21" s="22">
        <v>488</v>
      </c>
      <c r="D21" s="23" t="str">
        <f t="shared" si="0"/>
        <v>ZUÑIGA Mariangel</v>
      </c>
      <c r="E21" s="24" t="str">
        <f t="shared" si="1"/>
        <v>CCDR San Jose</v>
      </c>
      <c r="F21" s="3"/>
      <c r="G21" s="15"/>
      <c r="H21" s="3"/>
      <c r="I21" s="25"/>
      <c r="J21" s="33">
        <v>7</v>
      </c>
      <c r="K21" s="22">
        <v>4</v>
      </c>
      <c r="L21" s="22">
        <v>8</v>
      </c>
      <c r="M21" s="34">
        <v>85</v>
      </c>
      <c r="N21" s="26"/>
      <c r="O21" s="3">
        <f>IFERROR(VLOOKUP(N21,'Puntos XCC Menor'!$A$1:$B$15,2,FALSE),0)</f>
        <v>0</v>
      </c>
      <c r="P21" s="3">
        <v>0</v>
      </c>
      <c r="Q21" s="39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v>6</v>
      </c>
      <c r="W21" s="15">
        <f>IFERROR(VLOOKUP(V21,'Puntos XCC Mayor'!$A$1:$B$15,2,FALSE),0)</f>
        <v>10</v>
      </c>
      <c r="X21" s="15">
        <v>5</v>
      </c>
      <c r="Y21" s="25">
        <f>IFERROR(VLOOKUP(X21,'Puntos XCO'!$A$1:$B$63,2,FALSE),0)</f>
        <v>100</v>
      </c>
      <c r="Z21" s="16">
        <f t="shared" si="2"/>
        <v>5</v>
      </c>
      <c r="AA21" s="15">
        <f>IFERROR(VLOOKUP(Z21,'Puntos XCC Mayor'!$A$1:$B$15,2,FALSE),0)</f>
        <v>12</v>
      </c>
      <c r="AB21" s="15">
        <f t="shared" si="3"/>
        <v>8</v>
      </c>
      <c r="AC21" s="25">
        <f>IFERROR(VLOOKUP(AB21,'Puntos XCO'!$A$1:$B$63,2,FALSE),0)</f>
        <v>85</v>
      </c>
      <c r="AD21" s="16"/>
      <c r="AE21" s="15"/>
      <c r="AF21" s="15"/>
      <c r="AG21" s="25"/>
      <c r="AH21" s="27">
        <f t="shared" si="4"/>
        <v>296</v>
      </c>
      <c r="AJ21" s="2"/>
      <c r="AK21" s="13"/>
      <c r="AL21" s="12"/>
      <c r="AM21" s="14"/>
    </row>
    <row r="22" spans="1:39" ht="24.95" customHeight="1">
      <c r="A22" s="22">
        <v>8</v>
      </c>
      <c r="B22" s="22"/>
      <c r="C22" s="107">
        <v>491</v>
      </c>
      <c r="D22" s="23" t="str">
        <f t="shared" si="0"/>
        <v>VARGAS Lucila de los Angeles*</v>
      </c>
      <c r="E22" s="24" t="str">
        <f t="shared" si="1"/>
        <v xml:space="preserve">CCDR Santa Cruz / Kids Team Villarreal </v>
      </c>
      <c r="F22" s="3"/>
      <c r="G22" s="15"/>
      <c r="H22" s="3"/>
      <c r="I22" s="25"/>
      <c r="J22" s="33"/>
      <c r="K22" s="22"/>
      <c r="L22" s="22"/>
      <c r="M22" s="34"/>
      <c r="N22" s="26"/>
      <c r="O22" s="3"/>
      <c r="P22" s="3"/>
      <c r="Q22" s="39"/>
      <c r="R22" s="16"/>
      <c r="S22" s="3"/>
      <c r="T22" s="15"/>
      <c r="U22" s="39"/>
      <c r="V22" s="16"/>
      <c r="W22" s="15"/>
      <c r="X22" s="15"/>
      <c r="Y22" s="25"/>
      <c r="Z22" s="16">
        <f t="shared" si="2"/>
        <v>7</v>
      </c>
      <c r="AA22" s="15">
        <f>IFERROR(VLOOKUP(Z22,'Puntos XCC Mayor'!$A$1:$B$15,2,FALSE),0)</f>
        <v>9</v>
      </c>
      <c r="AB22" s="15">
        <f t="shared" si="3"/>
        <v>5</v>
      </c>
      <c r="AC22" s="25">
        <f>IFERROR(VLOOKUP(AB22,'Puntos XCO'!$A$1:$B$63,2,FALSE),0)</f>
        <v>100</v>
      </c>
      <c r="AD22" s="16"/>
      <c r="AE22" s="15"/>
      <c r="AF22" s="15"/>
      <c r="AG22" s="25"/>
      <c r="AH22" s="27">
        <f t="shared" si="4"/>
        <v>109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8</v>
      </c>
      <c r="C23" s="22">
        <v>487</v>
      </c>
      <c r="D23" s="23" t="str">
        <f t="shared" si="0"/>
        <v xml:space="preserve">FERNÁNDEZ  Brihana </v>
      </c>
      <c r="E23" s="24" t="str">
        <f t="shared" si="1"/>
        <v xml:space="preserve">CCDR CARTAGO </v>
      </c>
      <c r="F23" s="3"/>
      <c r="G23" s="15"/>
      <c r="H23" s="3"/>
      <c r="I23" s="25"/>
      <c r="J23" s="33">
        <v>6</v>
      </c>
      <c r="K23" s="22">
        <v>5</v>
      </c>
      <c r="L23" s="22">
        <v>5</v>
      </c>
      <c r="M23" s="34">
        <v>100</v>
      </c>
      <c r="N23" s="26"/>
      <c r="O23" s="3">
        <f>IFERROR(VLOOKUP(N23,'Puntos XCC Menor'!$A$1:$B$15,2,FALSE),0)</f>
        <v>0</v>
      </c>
      <c r="P23" s="3">
        <v>0</v>
      </c>
      <c r="Q23" s="39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0</v>
      </c>
      <c r="W23" s="15">
        <f>IFERROR(VLOOKUP(V23,'Puntos XCC Mayor'!$A$1:$B$15,2,FALSE),0)</f>
        <v>0</v>
      </c>
      <c r="X23" s="15">
        <v>0</v>
      </c>
      <c r="Y23" s="25">
        <f>IFERROR(VLOOKUP(X23,'Puntos XCO'!$A$1:$B$63,2,FALSE),0)</f>
        <v>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105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9</v>
      </c>
      <c r="C24" s="22">
        <v>485</v>
      </c>
      <c r="D24" s="23" t="str">
        <f t="shared" si="0"/>
        <v>HERNANDEZ  Fiorella *</v>
      </c>
      <c r="E24" s="24" t="str">
        <f t="shared" si="1"/>
        <v xml:space="preserve">ESCUELITA GUIDO BLANCO </v>
      </c>
      <c r="F24" s="3"/>
      <c r="G24" s="15"/>
      <c r="H24" s="3"/>
      <c r="I24" s="25"/>
      <c r="J24" s="33">
        <v>5</v>
      </c>
      <c r="K24" s="22">
        <v>6</v>
      </c>
      <c r="L24" s="22">
        <v>6</v>
      </c>
      <c r="M24" s="34">
        <v>95</v>
      </c>
      <c r="N24" s="26"/>
      <c r="O24" s="3">
        <f>IFERROR(VLOOKUP(N24,'Puntos XCC Menor'!$A$1:$B$15,2,FALSE),0)</f>
        <v>0</v>
      </c>
      <c r="P24" s="3">
        <v>0</v>
      </c>
      <c r="Q24" s="39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0</v>
      </c>
      <c r="W24" s="15">
        <f>IFERROR(VLOOKUP(V24,'Puntos XCC Mayor'!$A$1:$B$15,2,FALSE),0)</f>
        <v>0</v>
      </c>
      <c r="X24" s="15">
        <v>0</v>
      </c>
      <c r="Y24" s="25">
        <f>IFERROR(VLOOKUP(X24,'Puntos XCO'!$A$1:$B$63,2,FALSE),0)</f>
        <v>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101</v>
      </c>
      <c r="AJ24" s="2"/>
      <c r="AK24" s="13"/>
      <c r="AL24" s="12"/>
      <c r="AM24" s="14"/>
    </row>
    <row r="25" spans="1:39" ht="24.95" customHeight="1">
      <c r="A25" s="22">
        <v>11</v>
      </c>
      <c r="B25" s="22"/>
      <c r="C25" s="107">
        <v>490</v>
      </c>
      <c r="D25" s="23" t="str">
        <f t="shared" si="0"/>
        <v>GONZÁLEZ Elizabeth</v>
      </c>
      <c r="E25" s="24" t="str">
        <f t="shared" si="1"/>
        <v xml:space="preserve">CCDR Santa Cruz  / Kids Team Villarreal </v>
      </c>
      <c r="F25" s="3"/>
      <c r="G25" s="15"/>
      <c r="H25" s="3"/>
      <c r="I25" s="25"/>
      <c r="J25" s="33"/>
      <c r="K25" s="22"/>
      <c r="L25" s="22"/>
      <c r="M25" s="34"/>
      <c r="N25" s="26"/>
      <c r="O25" s="3"/>
      <c r="P25" s="3"/>
      <c r="Q25" s="39"/>
      <c r="R25" s="16"/>
      <c r="S25" s="3"/>
      <c r="T25" s="15"/>
      <c r="U25" s="39"/>
      <c r="V25" s="16"/>
      <c r="W25" s="15"/>
      <c r="X25" s="15"/>
      <c r="Y25" s="25"/>
      <c r="Z25" s="16">
        <f t="shared" si="2"/>
        <v>6</v>
      </c>
      <c r="AA25" s="15">
        <f>IFERROR(VLOOKUP(Z25,'Puntos XCC Mayor'!$A$1:$B$15,2,FALSE),0)</f>
        <v>10</v>
      </c>
      <c r="AB25" s="15">
        <f t="shared" si="3"/>
        <v>7</v>
      </c>
      <c r="AC25" s="25">
        <f>IFERROR(VLOOKUP(AB25,'Puntos XCO'!$A$1:$B$63,2,FALSE),0)</f>
        <v>90</v>
      </c>
      <c r="AD25" s="16"/>
      <c r="AE25" s="15"/>
      <c r="AF25" s="15"/>
      <c r="AG25" s="25"/>
      <c r="AH25" s="27">
        <f t="shared" si="4"/>
        <v>100</v>
      </c>
      <c r="AJ25" s="2"/>
      <c r="AK25" s="13"/>
      <c r="AL25" s="12"/>
      <c r="AM25" s="14"/>
    </row>
    <row r="26" spans="1:39" ht="24.95" customHeight="1">
      <c r="A26" s="3"/>
      <c r="B26" s="3"/>
      <c r="C26" s="28"/>
      <c r="D26" s="23"/>
      <c r="E26" s="24"/>
      <c r="F26" s="3"/>
      <c r="G26" s="15"/>
      <c r="H26" s="15"/>
      <c r="I26" s="25"/>
      <c r="J26" s="26"/>
      <c r="K26" s="15"/>
      <c r="L26" s="15"/>
      <c r="M26" s="25"/>
      <c r="N26" s="16"/>
      <c r="O26" s="15"/>
      <c r="P26" s="3"/>
      <c r="Q26" s="25"/>
      <c r="R26" s="16"/>
      <c r="S26" s="15"/>
      <c r="T26" s="15"/>
      <c r="U26" s="25"/>
      <c r="V26" s="16"/>
      <c r="W26" s="15"/>
      <c r="X26" s="15"/>
      <c r="Y26" s="25"/>
      <c r="Z26" s="16"/>
      <c r="AA26" s="15"/>
      <c r="AB26" s="15"/>
      <c r="AC26" s="25"/>
      <c r="AD26" s="16"/>
      <c r="AE26" s="15"/>
      <c r="AF26" s="15"/>
      <c r="AG26" s="25"/>
      <c r="AH26" s="27"/>
      <c r="AJ26" s="3"/>
    </row>
    <row r="27" spans="1:39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74"/>
      <c r="Q27" s="65"/>
      <c r="R27" s="65"/>
      <c r="S27" s="65"/>
      <c r="T27" s="65"/>
      <c r="U27" s="65"/>
      <c r="V27" s="65"/>
      <c r="W27" s="65"/>
      <c r="X27" s="65"/>
      <c r="Y27" s="65"/>
      <c r="Z27" s="119"/>
      <c r="AA27" s="119"/>
      <c r="AB27" s="119"/>
      <c r="AC27" s="119"/>
      <c r="AD27" s="119"/>
      <c r="AE27" s="119"/>
      <c r="AF27" s="119"/>
      <c r="AG27" s="119"/>
      <c r="AH27" s="65"/>
    </row>
    <row r="28" spans="1:39">
      <c r="M28" s="9"/>
      <c r="N28" s="9"/>
      <c r="O28" s="9"/>
      <c r="P28" s="10"/>
      <c r="Q28" s="9"/>
      <c r="R28" s="9"/>
      <c r="S28" s="9"/>
      <c r="T28" s="9"/>
      <c r="U28" s="9"/>
    </row>
    <row r="29" spans="1:39" ht="127.5" customHeight="1"/>
    <row r="30" spans="1:39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74"/>
      <c r="Q30" s="65"/>
      <c r="R30" s="65"/>
      <c r="S30" s="65"/>
      <c r="T30" s="65"/>
      <c r="U30" s="65"/>
      <c r="V30" s="65"/>
      <c r="W30" s="65"/>
      <c r="X30" s="65"/>
      <c r="Y30" s="65"/>
      <c r="Z30" s="119"/>
      <c r="AA30" s="119"/>
      <c r="AB30" s="119"/>
      <c r="AC30" s="119"/>
      <c r="AD30" s="119"/>
      <c r="AE30" s="119"/>
      <c r="AF30" s="119"/>
      <c r="AG30" s="119"/>
      <c r="AH30" s="65"/>
    </row>
  </sheetData>
  <sortState ref="B15:AH25">
    <sortCondition descending="1" ref="AH15:AH25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7:C65505 C1:C9 C12:C14">
    <cfRule type="duplicateValues" dxfId="444" priority="26" stopIfTrue="1"/>
  </conditionalFormatting>
  <conditionalFormatting sqref="F26">
    <cfRule type="duplicateValues" dxfId="443" priority="27" stopIfTrue="1"/>
  </conditionalFormatting>
  <conditionalFormatting sqref="B26">
    <cfRule type="duplicateValues" dxfId="442" priority="28" stopIfTrue="1"/>
  </conditionalFormatting>
  <conditionalFormatting sqref="AJ15:AJ26">
    <cfRule type="duplicateValues" dxfId="441" priority="7269"/>
  </conditionalFormatting>
  <conditionalFormatting sqref="C11">
    <cfRule type="duplicateValues" dxfId="440" priority="4" stopIfTrue="1"/>
  </conditionalFormatting>
  <conditionalFormatting sqref="C11">
    <cfRule type="duplicateValues" dxfId="439" priority="5" stopIfTrue="1"/>
  </conditionalFormatting>
  <conditionalFormatting sqref="D11">
    <cfRule type="duplicateValues" dxfId="438" priority="3" stopIfTrue="1"/>
  </conditionalFormatting>
  <conditionalFormatting sqref="C10">
    <cfRule type="duplicateValues" dxfId="437" priority="1" stopIfTrue="1"/>
  </conditionalFormatting>
  <conditionalFormatting sqref="C10">
    <cfRule type="duplicateValues" dxfId="43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pageSetUpPr fitToPage="1"/>
  </sheetPr>
  <dimension ref="A8:AM39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customWidth="1"/>
    <col min="19" max="19" width="7.7109375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285156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61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701</v>
      </c>
      <c r="D15" s="23" t="str">
        <f t="shared" ref="D15:D34" si="0">VLOOKUP(C15,PLANILLA,2,FALSE)</f>
        <v>MARTÍNEZ Andrés</v>
      </c>
      <c r="E15" s="24" t="str">
        <f t="shared" ref="E15:E34" si="1">VLOOKUP(C15,PLANILLA,4,FALSE)</f>
        <v>Nosotros Dota</v>
      </c>
      <c r="F15" s="3">
        <v>2</v>
      </c>
      <c r="G15" s="15">
        <v>9</v>
      </c>
      <c r="H15" s="3">
        <v>1</v>
      </c>
      <c r="I15" s="25">
        <v>200</v>
      </c>
      <c r="J15" s="33">
        <v>2</v>
      </c>
      <c r="K15" s="22">
        <v>9</v>
      </c>
      <c r="L15" s="22">
        <v>1</v>
      </c>
      <c r="M15" s="34">
        <v>200</v>
      </c>
      <c r="N15" s="26"/>
      <c r="O15" s="30">
        <f>IFERROR(VLOOKUP(N15,'Puntos XCC Menor'!$A$1:$B$15,2,FALSE),0)</f>
        <v>0</v>
      </c>
      <c r="P15" s="3">
        <v>1</v>
      </c>
      <c r="Q15" s="34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3</v>
      </c>
      <c r="W15" s="15">
        <f>IFERROR(VLOOKUP(V15,'Puntos XCC Mayor'!$A$1:$B$15,2,FALSE),0)</f>
        <v>16</v>
      </c>
      <c r="X15" s="15">
        <v>3</v>
      </c>
      <c r="Y15" s="25">
        <f>IFERROR(VLOOKUP(X15,'Puntos XCO'!$A$1:$B$63,2,FALSE),0)</f>
        <v>120</v>
      </c>
      <c r="Z15" s="16">
        <f t="shared" ref="Z15:Z34" si="2">IFERROR(VLOOKUP($C15,RESXCC_1,9,FALSE),0)</f>
        <v>2</v>
      </c>
      <c r="AA15" s="15">
        <f>IFERROR(VLOOKUP(Z15,'Puntos XCC Mayor'!$A$1:$B$15,2,FALSE),0)</f>
        <v>20</v>
      </c>
      <c r="AB15" s="15">
        <f t="shared" ref="AB15:AB34" si="3">IFERROR(VLOOKUP($C15,RESXCO,9,FALSE),0)</f>
        <v>2</v>
      </c>
      <c r="AC15" s="25">
        <f>IFERROR(VLOOKUP(AB15,'Puntos XCO'!$A$1:$B$63,2,FALSE),0)</f>
        <v>150</v>
      </c>
      <c r="AD15" s="16"/>
      <c r="AE15" s="15"/>
      <c r="AF15" s="15"/>
      <c r="AG15" s="25"/>
      <c r="AH15" s="27">
        <f t="shared" ref="AH15:AH34" si="4">G15+I15+K15+M15+O15+Q15+S15+U15+W15+Y15+AA15+AC15+AE15+AG15</f>
        <v>1134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3</v>
      </c>
      <c r="C16" s="22">
        <v>713</v>
      </c>
      <c r="D16" s="23" t="str">
        <f t="shared" si="0"/>
        <v>ARTAVIA ENRIQUE</v>
      </c>
      <c r="E16" s="24" t="str">
        <f t="shared" si="1"/>
        <v>BOBBYS/FOX/YETTI</v>
      </c>
      <c r="F16" s="3"/>
      <c r="G16" s="15"/>
      <c r="H16" s="3"/>
      <c r="I16" s="25"/>
      <c r="J16" s="33">
        <v>1</v>
      </c>
      <c r="K16" s="22">
        <v>10</v>
      </c>
      <c r="L16" s="22">
        <v>2</v>
      </c>
      <c r="M16" s="34">
        <v>150</v>
      </c>
      <c r="N16" s="26"/>
      <c r="O16" s="30">
        <f>IFERROR(VLOOKUP(N16,'Puntos XCC Menor'!$A$1:$B$15,2,FALSE),0)</f>
        <v>0</v>
      </c>
      <c r="P16" s="3">
        <v>3</v>
      </c>
      <c r="Q16" s="34">
        <f>IFERROR(VLOOKUP(P16,'Puntos XCO'!$A$1:$B$63,2,FALSE),0)</f>
        <v>120</v>
      </c>
      <c r="R16" s="16">
        <v>2</v>
      </c>
      <c r="S16" s="3">
        <f>IFERROR(VLOOKUP(R16,'Puntos XCC Menor'!$A$1:$B$15,2,FALSE),0)</f>
        <v>9</v>
      </c>
      <c r="T16" s="15">
        <v>3</v>
      </c>
      <c r="U16" s="39">
        <f>IFERROR(VLOOKUP(T16,'Puntos XCO'!$A$1:$B$63,2,FALSE),0)</f>
        <v>120</v>
      </c>
      <c r="V16" s="16">
        <v>2</v>
      </c>
      <c r="W16" s="15">
        <f>IFERROR(VLOOKUP(V16,'Puntos XCC Mayor'!$A$1:$B$15,2,FALSE),0)</f>
        <v>20</v>
      </c>
      <c r="X16" s="15">
        <v>1</v>
      </c>
      <c r="Y16" s="25">
        <f>IFERROR(VLOOKUP(X16,'Puntos XCO'!$A$1:$B$63,2,FALSE),0)</f>
        <v>200</v>
      </c>
      <c r="Z16" s="16">
        <f t="shared" si="2"/>
        <v>1</v>
      </c>
      <c r="AA16" s="15">
        <f>IFERROR(VLOOKUP(Z16,'Puntos XCC Mayor'!$A$1:$B$15,2,FALSE),0)</f>
        <v>25</v>
      </c>
      <c r="AB16" s="15">
        <f t="shared" si="3"/>
        <v>1</v>
      </c>
      <c r="AC16" s="25">
        <f>IFERROR(VLOOKUP(AB16,'Puntos XCO'!$A$1:$B$63,2,FALSE),0)</f>
        <v>200</v>
      </c>
      <c r="AD16" s="16"/>
      <c r="AE16" s="15"/>
      <c r="AF16" s="15"/>
      <c r="AG16" s="25"/>
      <c r="AH16" s="27">
        <f t="shared" si="4"/>
        <v>854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2</v>
      </c>
      <c r="C17" s="22">
        <v>708</v>
      </c>
      <c r="D17" s="23" t="str">
        <f t="shared" si="0"/>
        <v>MORALES Allan</v>
      </c>
      <c r="E17" s="24" t="str">
        <f t="shared" si="1"/>
        <v xml:space="preserve">Grupeta 5am Ciclo Morales </v>
      </c>
      <c r="F17" s="3">
        <v>3</v>
      </c>
      <c r="G17" s="15">
        <v>8</v>
      </c>
      <c r="H17" s="3">
        <v>3</v>
      </c>
      <c r="I17" s="25">
        <v>120</v>
      </c>
      <c r="J17" s="33">
        <v>0</v>
      </c>
      <c r="K17" s="22">
        <v>0</v>
      </c>
      <c r="L17" s="22">
        <v>3</v>
      </c>
      <c r="M17" s="34">
        <v>120</v>
      </c>
      <c r="N17" s="26"/>
      <c r="O17" s="30">
        <f>IFERROR(VLOOKUP(N17,'Puntos XCC Menor'!$A$1:$B$15,2,FALSE),0)</f>
        <v>0</v>
      </c>
      <c r="P17" s="3">
        <v>2</v>
      </c>
      <c r="Q17" s="34">
        <f>IFERROR(VLOOKUP(P17,'Puntos XCO'!$A$1:$B$63,2,FALSE),0)</f>
        <v>150</v>
      </c>
      <c r="R17" s="16">
        <v>0</v>
      </c>
      <c r="S17" s="3">
        <f>IFERROR(VLOOKUP(R17,'Puntos XCC Menor'!$A$1:$B$15,2,FALSE),0)</f>
        <v>0</v>
      </c>
      <c r="T17" s="15">
        <v>2</v>
      </c>
      <c r="U17" s="39">
        <f>IFERROR(VLOOKUP(T17,'Puntos XCO'!$A$1:$B$63,2,FALSE),0)</f>
        <v>150</v>
      </c>
      <c r="V17" s="16">
        <v>1</v>
      </c>
      <c r="W17" s="15">
        <f>IFERROR(VLOOKUP(V17,'Puntos XCC Mayor'!$A$1:$B$15,2,FALSE),0)</f>
        <v>25</v>
      </c>
      <c r="X17" s="15">
        <v>2</v>
      </c>
      <c r="Y17" s="25">
        <f>IFERROR(VLOOKUP(X17,'Puntos XCO'!$A$1:$B$63,2,FALSE),0)</f>
        <v>150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3</v>
      </c>
      <c r="AC17" s="25">
        <f>IFERROR(VLOOKUP(AB17,'Puntos XCO'!$A$1:$B$63,2,FALSE),0)</f>
        <v>120</v>
      </c>
      <c r="AD17" s="16"/>
      <c r="AE17" s="15"/>
      <c r="AF17" s="15"/>
      <c r="AG17" s="25"/>
      <c r="AH17" s="27">
        <f t="shared" si="4"/>
        <v>843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702</v>
      </c>
      <c r="D18" s="23" t="str">
        <f t="shared" si="0"/>
        <v xml:space="preserve">ALPÍZAR  Roberto </v>
      </c>
      <c r="E18" s="24" t="str">
        <f t="shared" si="1"/>
        <v xml:space="preserve">TEAM GOCHA </v>
      </c>
      <c r="F18" s="3">
        <v>0</v>
      </c>
      <c r="G18" s="15">
        <v>0</v>
      </c>
      <c r="H18" s="3">
        <v>5</v>
      </c>
      <c r="I18" s="25">
        <v>100</v>
      </c>
      <c r="J18" s="33">
        <v>0</v>
      </c>
      <c r="K18" s="22">
        <v>0</v>
      </c>
      <c r="L18" s="22">
        <v>5</v>
      </c>
      <c r="M18" s="34">
        <v>100</v>
      </c>
      <c r="N18" s="26"/>
      <c r="O18" s="30">
        <f>IFERROR(VLOOKUP(N18,'Puntos XCC Menor'!$A$1:$B$15,2,FALSE),0)</f>
        <v>0</v>
      </c>
      <c r="P18" s="3">
        <v>7</v>
      </c>
      <c r="Q18" s="34">
        <f>IFERROR(VLOOKUP(P18,'Puntos XCO'!$A$1:$B$63,2,FALSE),0)</f>
        <v>90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v>4</v>
      </c>
      <c r="W18" s="15">
        <f>IFERROR(VLOOKUP(V18,'Puntos XCC Mayor'!$A$1:$B$15,2,FALSE),0)</f>
        <v>14</v>
      </c>
      <c r="X18" s="15">
        <v>4</v>
      </c>
      <c r="Y18" s="25">
        <f>IFERROR(VLOOKUP(X18,'Puntos XCO'!$A$1:$B$63,2,FALSE),0)</f>
        <v>110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4"/>
        <v>414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6</v>
      </c>
      <c r="C19" s="22">
        <v>714</v>
      </c>
      <c r="D19" s="23" t="str">
        <f t="shared" si="0"/>
        <v xml:space="preserve">DELGADO Alfredo </v>
      </c>
      <c r="E19" s="24" t="str">
        <f t="shared" si="1"/>
        <v xml:space="preserve">CCRR ESCAZÚ </v>
      </c>
      <c r="F19" s="3"/>
      <c r="G19" s="15"/>
      <c r="H19" s="3"/>
      <c r="I19" s="25"/>
      <c r="J19" s="33">
        <v>0</v>
      </c>
      <c r="K19" s="22">
        <v>0</v>
      </c>
      <c r="L19" s="22">
        <v>7</v>
      </c>
      <c r="M19" s="34">
        <v>90</v>
      </c>
      <c r="N19" s="26"/>
      <c r="O19" s="30">
        <f>IFERROR(VLOOKUP(N19,'Puntos XCC Menor'!$A$1:$B$15,2,FALSE),0)</f>
        <v>0</v>
      </c>
      <c r="P19" s="3">
        <v>0</v>
      </c>
      <c r="Q19" s="34">
        <f>IFERROR(VLOOKUP(P19,'Puntos XCO'!$A$1:$B$63,2,FALSE),0)</f>
        <v>0</v>
      </c>
      <c r="R19" s="16">
        <v>0</v>
      </c>
      <c r="S19" s="3">
        <f>IFERROR(VLOOKUP(R19,'Puntos XCC Menor'!$A$1:$B$15,2,FALSE),0)</f>
        <v>0</v>
      </c>
      <c r="T19" s="15">
        <v>4</v>
      </c>
      <c r="U19" s="39">
        <f>IFERROR(VLOOKUP(T19,'Puntos XCO'!$A$1:$B$63,2,FALSE),0)</f>
        <v>110</v>
      </c>
      <c r="V19" s="16">
        <v>0</v>
      </c>
      <c r="W19" s="15">
        <f>IFERROR(VLOOKUP(V19,'Puntos XCC Mayor'!$A$1:$B$15,2,FALSE),0)</f>
        <v>0</v>
      </c>
      <c r="X19" s="15">
        <v>6</v>
      </c>
      <c r="Y19" s="25">
        <f>IFERROR(VLOOKUP(X19,'Puntos XCO'!$A$1:$B$63,2,FALSE),0)</f>
        <v>95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4</v>
      </c>
      <c r="AC19" s="25">
        <f>IFERROR(VLOOKUP(AB19,'Puntos XCO'!$A$1:$B$63,2,FALSE),0)</f>
        <v>110</v>
      </c>
      <c r="AD19" s="16"/>
      <c r="AE19" s="15"/>
      <c r="AF19" s="15"/>
      <c r="AG19" s="25"/>
      <c r="AH19" s="27">
        <f t="shared" si="4"/>
        <v>405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5</v>
      </c>
      <c r="C20" s="22">
        <v>709</v>
      </c>
      <c r="D20" s="23" t="str">
        <f t="shared" si="0"/>
        <v xml:space="preserve">CAMPOS  Diego </v>
      </c>
      <c r="E20" s="24" t="str">
        <f t="shared" si="1"/>
        <v>GOCHA CYCLING TEAM</v>
      </c>
      <c r="F20" s="3">
        <v>5</v>
      </c>
      <c r="G20" s="15">
        <v>6</v>
      </c>
      <c r="H20" s="3">
        <v>10</v>
      </c>
      <c r="I20" s="25">
        <v>78</v>
      </c>
      <c r="J20" s="33">
        <v>0</v>
      </c>
      <c r="K20" s="22">
        <v>0</v>
      </c>
      <c r="L20" s="22">
        <v>6</v>
      </c>
      <c r="M20" s="34">
        <v>95</v>
      </c>
      <c r="N20" s="26"/>
      <c r="O20" s="30">
        <f>IFERROR(VLOOKUP(N20,'Puntos XCC Menor'!$A$1:$B$15,2,FALSE),0)</f>
        <v>0</v>
      </c>
      <c r="P20" s="3">
        <v>8</v>
      </c>
      <c r="Q20" s="34">
        <f>IFERROR(VLOOKUP(P20,'Puntos XCO'!$A$1:$B$63,2,FALSE),0)</f>
        <v>85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v>0</v>
      </c>
      <c r="W20" s="15">
        <f>IFERROR(VLOOKUP(V20,'Puntos XCC Mayor'!$A$1:$B$15,2,FALSE),0)</f>
        <v>0</v>
      </c>
      <c r="X20" s="15">
        <v>5</v>
      </c>
      <c r="Y20" s="25">
        <f>IFERROR(VLOOKUP(X20,'Puntos XCO'!$A$1:$B$63,2,FALSE),0)</f>
        <v>100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4"/>
        <v>364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7</v>
      </c>
      <c r="C21" s="22">
        <v>704</v>
      </c>
      <c r="D21" s="23" t="str">
        <f t="shared" si="0"/>
        <v>ARIAS Kibeth</v>
      </c>
      <c r="E21" s="24" t="str">
        <f t="shared" si="1"/>
        <v>VEINTE24 CYCLING</v>
      </c>
      <c r="F21" s="3">
        <v>7</v>
      </c>
      <c r="G21" s="15">
        <v>4</v>
      </c>
      <c r="H21" s="3">
        <v>8</v>
      </c>
      <c r="I21" s="25">
        <v>85</v>
      </c>
      <c r="J21" s="33">
        <v>3</v>
      </c>
      <c r="K21" s="22">
        <v>8</v>
      </c>
      <c r="L21" s="22">
        <v>4</v>
      </c>
      <c r="M21" s="34">
        <v>110</v>
      </c>
      <c r="N21" s="26"/>
      <c r="O21" s="30">
        <f>IFERROR(VLOOKUP(N21,'Puntos XCC Menor'!$A$1:$B$15,2,FALSE),0)</f>
        <v>0</v>
      </c>
      <c r="P21" s="3">
        <v>9</v>
      </c>
      <c r="Q21" s="34">
        <f>IFERROR(VLOOKUP(P21,'Puntos XCO'!$A$1:$B$63,2,FALSE),0)</f>
        <v>80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v>0</v>
      </c>
      <c r="W21" s="15">
        <f>IFERROR(VLOOKUP(V21,'Puntos XCC Mayor'!$A$1:$B$15,2,FALSE),0)</f>
        <v>0</v>
      </c>
      <c r="X21" s="15">
        <v>0</v>
      </c>
      <c r="Y21" s="25">
        <f>IFERROR(VLOOKUP(X21,'Puntos XCO'!$A$1:$B$63,2,FALSE),0)</f>
        <v>0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287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8</v>
      </c>
      <c r="C22" s="22">
        <v>705</v>
      </c>
      <c r="D22" s="23" t="str">
        <f t="shared" si="0"/>
        <v>CALDERON Edwin</v>
      </c>
      <c r="E22" s="24" t="str">
        <f t="shared" si="1"/>
        <v>CAPOS MOBY BIKE TEAM</v>
      </c>
      <c r="F22" s="3">
        <v>1</v>
      </c>
      <c r="G22" s="15">
        <v>10</v>
      </c>
      <c r="H22" s="3">
        <v>2</v>
      </c>
      <c r="I22" s="25">
        <v>150</v>
      </c>
      <c r="J22" s="33">
        <v>0</v>
      </c>
      <c r="K22" s="22">
        <v>0</v>
      </c>
      <c r="L22" s="22">
        <v>0</v>
      </c>
      <c r="M22" s="34">
        <v>0</v>
      </c>
      <c r="N22" s="26"/>
      <c r="O22" s="30">
        <f>IFERROR(VLOOKUP(N22,'Puntos XCC Menor'!$A$1:$B$15,2,FALSE),0)</f>
        <v>0</v>
      </c>
      <c r="P22" s="3">
        <v>6</v>
      </c>
      <c r="Q22" s="34">
        <f>IFERROR(VLOOKUP(P22,'Puntos XCO'!$A$1:$B$63,2,FALSE),0)</f>
        <v>95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v>0</v>
      </c>
      <c r="W22" s="15">
        <f>IFERROR(VLOOKUP(V22,'Puntos XCC Mayor'!$A$1:$B$15,2,FALSE),0)</f>
        <v>0</v>
      </c>
      <c r="X22" s="15">
        <v>0</v>
      </c>
      <c r="Y22" s="25">
        <f>IFERROR(VLOOKUP(X22,'Puntos XCO'!$A$1:$B$63,2,FALSE),0)</f>
        <v>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255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9</v>
      </c>
      <c r="C23" s="22">
        <v>707</v>
      </c>
      <c r="D23" s="23" t="str">
        <f t="shared" si="0"/>
        <v xml:space="preserve">NAVARRO  Damon </v>
      </c>
      <c r="E23" s="24" t="str">
        <f t="shared" si="1"/>
        <v xml:space="preserve">CHAVO MECHANICS </v>
      </c>
      <c r="F23" s="3">
        <v>4</v>
      </c>
      <c r="G23" s="15">
        <v>7</v>
      </c>
      <c r="H23" s="3">
        <v>4</v>
      </c>
      <c r="I23" s="25">
        <v>110</v>
      </c>
      <c r="J23" s="33">
        <v>0</v>
      </c>
      <c r="K23" s="22">
        <v>0</v>
      </c>
      <c r="L23" s="22">
        <v>0</v>
      </c>
      <c r="M23" s="34">
        <v>0</v>
      </c>
      <c r="N23" s="26"/>
      <c r="O23" s="30">
        <f>IFERROR(VLOOKUP(N23,'Puntos XCC Menor'!$A$1:$B$15,2,FALSE),0)</f>
        <v>0</v>
      </c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0</v>
      </c>
      <c r="W23" s="15">
        <f>IFERROR(VLOOKUP(V23,'Puntos XCC Mayor'!$A$1:$B$15,2,FALSE),0)</f>
        <v>0</v>
      </c>
      <c r="X23" s="15">
        <v>0</v>
      </c>
      <c r="Y23" s="25">
        <f>IFERROR(VLOOKUP(X23,'Puntos XCO'!$A$1:$B$63,2,FALSE),0)</f>
        <v>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117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22">
        <v>717</v>
      </c>
      <c r="D24" s="23" t="str">
        <f t="shared" si="0"/>
        <v>MORA Juan Manuel</v>
      </c>
      <c r="E24" s="24" t="str">
        <f t="shared" si="1"/>
        <v>N/A</v>
      </c>
      <c r="F24" s="3"/>
      <c r="G24" s="15"/>
      <c r="H24" s="3"/>
      <c r="I24" s="25"/>
      <c r="J24" s="33"/>
      <c r="K24" s="22"/>
      <c r="L24" s="22"/>
      <c r="M24" s="34"/>
      <c r="N24" s="26"/>
      <c r="O24" s="30"/>
      <c r="P24" s="3">
        <v>4</v>
      </c>
      <c r="Q24" s="34">
        <f>IFERROR(VLOOKUP(P24,'Puntos XCO'!$A$1:$B$63,2,FALSE),0)</f>
        <v>110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0</v>
      </c>
      <c r="W24" s="15">
        <f>IFERROR(VLOOKUP(V24,'Puntos XCC Mayor'!$A$1:$B$15,2,FALSE),0)</f>
        <v>0</v>
      </c>
      <c r="X24" s="15">
        <v>0</v>
      </c>
      <c r="Y24" s="25">
        <f>IFERROR(VLOOKUP(X24,'Puntos XCO'!$A$1:$B$63,2,FALSE),0)</f>
        <v>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110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22">
        <v>706</v>
      </c>
      <c r="D25" s="23" t="str">
        <f t="shared" si="0"/>
        <v xml:space="preserve">RIVERA Bryan </v>
      </c>
      <c r="E25" s="24" t="str">
        <f t="shared" si="1"/>
        <v>CICLO JUAN VIÑAS</v>
      </c>
      <c r="F25" s="3">
        <v>6</v>
      </c>
      <c r="G25" s="15">
        <v>5</v>
      </c>
      <c r="H25" s="3">
        <v>6</v>
      </c>
      <c r="I25" s="25">
        <v>95</v>
      </c>
      <c r="J25" s="33">
        <v>0</v>
      </c>
      <c r="K25" s="22">
        <v>0</v>
      </c>
      <c r="L25" s="22">
        <v>0</v>
      </c>
      <c r="M25" s="34">
        <v>0</v>
      </c>
      <c r="N25" s="26"/>
      <c r="O25" s="30">
        <f>IFERROR(VLOOKUP(N25,'Puntos XCC Menor'!$A$1:$B$15,2,FALSE),0)</f>
        <v>0</v>
      </c>
      <c r="P25" s="3">
        <v>0</v>
      </c>
      <c r="Q25" s="34">
        <f>IFERROR(VLOOKUP(P25,'Puntos XCO'!$A$1:$B$63,2,FALSE),0)</f>
        <v>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100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12</v>
      </c>
      <c r="C26" s="22">
        <v>718</v>
      </c>
      <c r="D26" s="23" t="str">
        <f t="shared" si="0"/>
        <v>SANDOVAL  Alberto</v>
      </c>
      <c r="E26" s="24" t="str">
        <f t="shared" si="1"/>
        <v>ALGO RITMO DEVELOMET</v>
      </c>
      <c r="F26" s="3"/>
      <c r="G26" s="15"/>
      <c r="H26" s="3"/>
      <c r="I26" s="25"/>
      <c r="J26" s="33"/>
      <c r="K26" s="22"/>
      <c r="L26" s="22"/>
      <c r="M26" s="34"/>
      <c r="N26" s="26"/>
      <c r="O26" s="30"/>
      <c r="P26" s="3">
        <v>5</v>
      </c>
      <c r="Q26" s="34">
        <f>IFERROR(VLOOKUP(P26,'Puntos XCO'!$A$1:$B$63,2,FALSE),0)</f>
        <v>100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v>0</v>
      </c>
      <c r="W26" s="15">
        <f>IFERROR(VLOOKUP(V26,'Puntos XCC Mayor'!$A$1:$B$15,2,FALSE),0)</f>
        <v>0</v>
      </c>
      <c r="X26" s="15">
        <v>0</v>
      </c>
      <c r="Y26" s="25">
        <f>IFERROR(VLOOKUP(X26,'Puntos XCO'!$A$1:$B$63,2,FALSE),0)</f>
        <v>0</v>
      </c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0</v>
      </c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4"/>
        <v>100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13</v>
      </c>
      <c r="C27" s="22">
        <v>712</v>
      </c>
      <c r="D27" s="23" t="str">
        <f t="shared" si="0"/>
        <v xml:space="preserve">GAMBOA  Francisco </v>
      </c>
      <c r="E27" s="24" t="str">
        <f t="shared" si="1"/>
        <v xml:space="preserve">INDEPENDIENTE </v>
      </c>
      <c r="F27" s="3"/>
      <c r="G27" s="15"/>
      <c r="H27" s="3"/>
      <c r="I27" s="25"/>
      <c r="J27" s="33">
        <v>4</v>
      </c>
      <c r="K27" s="22">
        <v>7</v>
      </c>
      <c r="L27" s="22">
        <v>8</v>
      </c>
      <c r="M27" s="34">
        <v>85</v>
      </c>
      <c r="N27" s="26"/>
      <c r="O27" s="30">
        <f>IFERROR(VLOOKUP(N27,'Puntos XCC Menor'!$A$1:$B$15,2,FALSE),0)</f>
        <v>0</v>
      </c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v>0</v>
      </c>
      <c r="W27" s="15">
        <f>IFERROR(VLOOKUP(V27,'Puntos XCC Mayor'!$A$1:$B$15,2,FALSE),0)</f>
        <v>0</v>
      </c>
      <c r="X27" s="15">
        <v>0</v>
      </c>
      <c r="Y27" s="25">
        <f>IFERROR(VLOOKUP(X27,'Puntos XCO'!$A$1:$B$63,2,FALSE),0)</f>
        <v>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92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14</v>
      </c>
      <c r="C28" s="22">
        <v>703</v>
      </c>
      <c r="D28" s="23" t="str">
        <f t="shared" si="0"/>
        <v xml:space="preserve">ZÚÑIGA  Sergio </v>
      </c>
      <c r="E28" s="24" t="str">
        <f t="shared" si="1"/>
        <v>INDEPENDIENTE</v>
      </c>
      <c r="F28" s="3">
        <v>0</v>
      </c>
      <c r="G28" s="15">
        <v>0</v>
      </c>
      <c r="H28" s="3">
        <v>7</v>
      </c>
      <c r="I28" s="25">
        <v>90</v>
      </c>
      <c r="J28" s="33">
        <v>0</v>
      </c>
      <c r="K28" s="22">
        <v>0</v>
      </c>
      <c r="L28" s="22">
        <v>0</v>
      </c>
      <c r="M28" s="34">
        <v>0</v>
      </c>
      <c r="N28" s="26"/>
      <c r="O28" s="30">
        <f>IFERROR(VLOOKUP(N28,'Puntos XCC Menor'!$A$1:$B$15,2,FALSE),0)</f>
        <v>0</v>
      </c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v>0</v>
      </c>
      <c r="W28" s="15">
        <f>IFERROR(VLOOKUP(V28,'Puntos XCC Mayor'!$A$1:$B$15,2,FALSE),0)</f>
        <v>0</v>
      </c>
      <c r="X28" s="15">
        <v>0</v>
      </c>
      <c r="Y28" s="25">
        <f>IFERROR(VLOOKUP(X28,'Puntos XCO'!$A$1:$B$63,2,FALSE),0)</f>
        <v>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90</v>
      </c>
      <c r="AJ28" s="2"/>
      <c r="AK28" s="13"/>
      <c r="AL28" s="12"/>
      <c r="AM28" s="14"/>
    </row>
    <row r="29" spans="1:39" ht="24.95" customHeight="1">
      <c r="A29" s="22">
        <v>15</v>
      </c>
      <c r="B29" s="22">
        <v>15</v>
      </c>
      <c r="C29" s="22">
        <v>711</v>
      </c>
      <c r="D29" s="23" t="str">
        <f t="shared" si="0"/>
        <v>SEGURA Luis Diego</v>
      </c>
      <c r="E29" s="24" t="str">
        <f t="shared" si="1"/>
        <v>AUTOPAMA - COLYPRO - CLETEROS BATAAN</v>
      </c>
      <c r="F29" s="3">
        <v>0</v>
      </c>
      <c r="G29" s="15">
        <v>0</v>
      </c>
      <c r="H29" s="3">
        <v>9</v>
      </c>
      <c r="I29" s="25">
        <v>80</v>
      </c>
      <c r="J29" s="33">
        <v>0</v>
      </c>
      <c r="K29" s="22">
        <v>0</v>
      </c>
      <c r="L29" s="22">
        <v>0</v>
      </c>
      <c r="M29" s="34">
        <v>0</v>
      </c>
      <c r="N29" s="26"/>
      <c r="O29" s="30">
        <f>IFERROR(VLOOKUP(N29,'Puntos XCC Menor'!$A$1:$B$15,2,FALSE),0)</f>
        <v>0</v>
      </c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80</v>
      </c>
      <c r="AJ29" s="2"/>
      <c r="AK29" s="13"/>
      <c r="AL29" s="12"/>
      <c r="AM29" s="14"/>
    </row>
    <row r="30" spans="1:39" ht="24.95" customHeight="1">
      <c r="A30" s="22">
        <v>16</v>
      </c>
      <c r="B30" s="22">
        <v>16</v>
      </c>
      <c r="C30" s="22">
        <v>715</v>
      </c>
      <c r="D30" s="23" t="str">
        <f t="shared" si="0"/>
        <v>BENAVIDES  Kenneth</v>
      </c>
      <c r="E30" s="24" t="str">
        <f t="shared" si="1"/>
        <v xml:space="preserve">BELÉN TEAM </v>
      </c>
      <c r="F30" s="3"/>
      <c r="G30" s="15"/>
      <c r="H30" s="3"/>
      <c r="I30" s="25"/>
      <c r="J30" s="33"/>
      <c r="K30" s="22"/>
      <c r="L30" s="22"/>
      <c r="M30" s="34"/>
      <c r="N30" s="26"/>
      <c r="O30" s="30"/>
      <c r="P30" s="3">
        <v>10</v>
      </c>
      <c r="Q30" s="34">
        <f>IFERROR(VLOOKUP(P30,'Puntos XCO'!$A$1:$B$63,2,FALSE),0)</f>
        <v>78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78</v>
      </c>
      <c r="AJ30" s="2"/>
      <c r="AK30" s="13"/>
      <c r="AL30" s="12"/>
      <c r="AM30" s="14"/>
    </row>
    <row r="31" spans="1:39" ht="24.95" customHeight="1">
      <c r="A31" s="22">
        <v>17</v>
      </c>
      <c r="B31" s="22">
        <v>17</v>
      </c>
      <c r="C31" s="22">
        <v>710</v>
      </c>
      <c r="D31" s="23" t="str">
        <f t="shared" si="0"/>
        <v xml:space="preserve">MORENO  Carlos </v>
      </c>
      <c r="E31" s="24" t="str">
        <f t="shared" si="1"/>
        <v xml:space="preserve">INDIVIDUAL </v>
      </c>
      <c r="F31" s="3">
        <v>0</v>
      </c>
      <c r="G31" s="15">
        <v>0</v>
      </c>
      <c r="H31" s="3">
        <v>11</v>
      </c>
      <c r="I31" s="25">
        <v>76</v>
      </c>
      <c r="J31" s="33">
        <v>0</v>
      </c>
      <c r="K31" s="22">
        <v>0</v>
      </c>
      <c r="L31" s="22">
        <v>0</v>
      </c>
      <c r="M31" s="34">
        <v>0</v>
      </c>
      <c r="N31" s="26"/>
      <c r="O31" s="30">
        <f>IFERROR(VLOOKUP(N31,'Puntos XCC Menor'!$A$1:$B$15,2,FALSE),0)</f>
        <v>0</v>
      </c>
      <c r="P31" s="3">
        <v>0</v>
      </c>
      <c r="Q31" s="34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76</v>
      </c>
      <c r="AJ31" s="2"/>
      <c r="AK31" s="13"/>
      <c r="AL31" s="12"/>
      <c r="AM31" s="14"/>
    </row>
    <row r="32" spans="1:39" ht="24.95" customHeight="1">
      <c r="A32" s="22">
        <v>18</v>
      </c>
      <c r="B32" s="22">
        <v>18</v>
      </c>
      <c r="C32" s="22">
        <v>716</v>
      </c>
      <c r="D32" s="23" t="str">
        <f t="shared" si="0"/>
        <v>ALFARO Jonathan</v>
      </c>
      <c r="E32" s="24" t="str">
        <f t="shared" si="1"/>
        <v>EQUIPO QUECA</v>
      </c>
      <c r="F32" s="3"/>
      <c r="G32" s="15"/>
      <c r="H32" s="3"/>
      <c r="I32" s="25"/>
      <c r="J32" s="33"/>
      <c r="K32" s="22"/>
      <c r="L32" s="22"/>
      <c r="M32" s="34"/>
      <c r="N32" s="26"/>
      <c r="O32" s="30"/>
      <c r="P32" s="3">
        <v>11</v>
      </c>
      <c r="Q32" s="34">
        <f>IFERROR(VLOOKUP(P32,'Puntos XCO'!$A$1:$B$63,2,FALSE),0)</f>
        <v>76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76</v>
      </c>
      <c r="AJ32" s="2"/>
      <c r="AK32" s="13"/>
      <c r="AL32" s="12"/>
      <c r="AM32" s="14"/>
    </row>
    <row r="33" spans="1:39" ht="24.95" customHeight="1">
      <c r="A33" s="22">
        <v>19</v>
      </c>
      <c r="B33" s="22">
        <v>19</v>
      </c>
      <c r="C33" s="22">
        <v>719</v>
      </c>
      <c r="D33" s="23" t="str">
        <f t="shared" si="0"/>
        <v>SUAREZ Ariel</v>
      </c>
      <c r="E33" s="24" t="str">
        <f t="shared" si="1"/>
        <v>MCT CYCLING TEAM</v>
      </c>
      <c r="F33" s="3"/>
      <c r="G33" s="15"/>
      <c r="H33" s="3"/>
      <c r="I33" s="25"/>
      <c r="J33" s="33"/>
      <c r="K33" s="22"/>
      <c r="L33" s="22"/>
      <c r="M33" s="34"/>
      <c r="N33" s="26"/>
      <c r="O33" s="30"/>
      <c r="P33" s="3">
        <v>12</v>
      </c>
      <c r="Q33" s="34">
        <f>IFERROR(VLOOKUP(P33,'Puntos XCO'!$A$1:$B$63,2,FALSE),0)</f>
        <v>74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74</v>
      </c>
      <c r="AJ33" s="2"/>
      <c r="AK33" s="13"/>
      <c r="AL33" s="12"/>
      <c r="AM33" s="14"/>
    </row>
    <row r="34" spans="1:39" ht="24.95" customHeight="1">
      <c r="A34" s="22">
        <v>20</v>
      </c>
      <c r="B34" s="22">
        <v>20</v>
      </c>
      <c r="C34" s="22">
        <v>720</v>
      </c>
      <c r="D34" s="23" t="str">
        <f t="shared" si="0"/>
        <v xml:space="preserve">SANTANA  Jesús </v>
      </c>
      <c r="E34" s="24" t="str">
        <f t="shared" si="1"/>
        <v xml:space="preserve">ACISA CCDR SARAPIQUI </v>
      </c>
      <c r="F34" s="3"/>
      <c r="G34" s="15"/>
      <c r="H34" s="3"/>
      <c r="I34" s="25"/>
      <c r="J34" s="33"/>
      <c r="K34" s="22"/>
      <c r="L34" s="22"/>
      <c r="M34" s="34"/>
      <c r="N34" s="26"/>
      <c r="O34" s="30"/>
      <c r="P34" s="3"/>
      <c r="Q34" s="34"/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5</v>
      </c>
      <c r="W34" s="15">
        <f>IFERROR(VLOOKUP(V34,'Puntos XCC Mayor'!$A$1:$B$15,2,FALSE),0)</f>
        <v>12</v>
      </c>
      <c r="X34" s="15">
        <v>0</v>
      </c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12</v>
      </c>
      <c r="AJ34" s="2"/>
      <c r="AK34" s="13"/>
      <c r="AL34" s="12"/>
      <c r="AM34" s="14"/>
    </row>
    <row r="35" spans="1:39" ht="24.95" customHeight="1">
      <c r="A35" s="22"/>
      <c r="B35" s="22"/>
      <c r="C35" s="107"/>
      <c r="D35" s="23"/>
      <c r="E35" s="24"/>
      <c r="F35" s="3"/>
      <c r="G35" s="15"/>
      <c r="H35" s="3"/>
      <c r="I35" s="25"/>
      <c r="J35" s="33"/>
      <c r="K35" s="22"/>
      <c r="L35" s="22"/>
      <c r="M35" s="34"/>
      <c r="N35" s="26"/>
      <c r="O35" s="30"/>
      <c r="P35" s="3"/>
      <c r="Q35" s="34"/>
      <c r="R35" s="32"/>
      <c r="S35" s="30"/>
      <c r="T35" s="3"/>
      <c r="U35" s="39"/>
      <c r="V35" s="32"/>
      <c r="W35" s="30"/>
      <c r="X35" s="15"/>
      <c r="Y35" s="25"/>
      <c r="Z35" s="32"/>
      <c r="AA35" s="30"/>
      <c r="AB35" s="15"/>
      <c r="AC35" s="25"/>
      <c r="AD35" s="32"/>
      <c r="AE35" s="30"/>
      <c r="AF35" s="15"/>
      <c r="AG35" s="25"/>
      <c r="AH35" s="27"/>
      <c r="AJ35" s="2"/>
      <c r="AK35" s="13"/>
      <c r="AL35" s="12"/>
      <c r="AM35" s="14"/>
    </row>
    <row r="36" spans="1:39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74"/>
      <c r="Q36" s="65"/>
      <c r="R36" s="65"/>
      <c r="S36" s="65"/>
      <c r="T36" s="65"/>
      <c r="U36" s="65"/>
      <c r="V36" s="65"/>
      <c r="W36" s="65"/>
      <c r="X36" s="65"/>
      <c r="Y36" s="65"/>
      <c r="Z36" s="119"/>
      <c r="AA36" s="119"/>
      <c r="AB36" s="119"/>
      <c r="AC36" s="119"/>
      <c r="AD36" s="119"/>
      <c r="AE36" s="119"/>
      <c r="AF36" s="119"/>
      <c r="AG36" s="119"/>
      <c r="AH36" s="65"/>
    </row>
    <row r="37" spans="1:39">
      <c r="M37" s="9"/>
      <c r="N37" s="9"/>
      <c r="O37" s="9"/>
      <c r="P37" s="10"/>
      <c r="Q37" s="9"/>
      <c r="R37" s="9"/>
      <c r="S37" s="9"/>
      <c r="T37" s="9"/>
      <c r="U37" s="9"/>
    </row>
    <row r="38" spans="1:39" ht="127.5" customHeight="1"/>
    <row r="39" spans="1: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74"/>
      <c r="Q39" s="65"/>
      <c r="R39" s="65"/>
      <c r="S39" s="65"/>
      <c r="T39" s="65"/>
      <c r="U39" s="65"/>
      <c r="V39" s="65"/>
      <c r="W39" s="65"/>
      <c r="X39" s="65"/>
      <c r="Y39" s="65"/>
      <c r="Z39" s="119"/>
      <c r="AA39" s="119"/>
      <c r="AB39" s="119"/>
      <c r="AC39" s="119"/>
      <c r="AD39" s="119"/>
      <c r="AE39" s="119"/>
      <c r="AF39" s="119"/>
      <c r="AG39" s="119"/>
      <c r="AH39" s="65"/>
    </row>
  </sheetData>
  <sortState ref="B15:AH34">
    <sortCondition descending="1" ref="AH15:AH34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36:C65514 C1:C9 C12:C14">
    <cfRule type="duplicateValues" dxfId="435" priority="52" stopIfTrue="1"/>
  </conditionalFormatting>
  <conditionalFormatting sqref="AJ15:AJ35">
    <cfRule type="duplicateValues" dxfId="434" priority="7853"/>
  </conditionalFormatting>
  <conditionalFormatting sqref="C11">
    <cfRule type="duplicateValues" dxfId="433" priority="4" stopIfTrue="1"/>
  </conditionalFormatting>
  <conditionalFormatting sqref="C11">
    <cfRule type="duplicateValues" dxfId="432" priority="5" stopIfTrue="1"/>
  </conditionalFormatting>
  <conditionalFormatting sqref="D11">
    <cfRule type="duplicateValues" dxfId="431" priority="3" stopIfTrue="1"/>
  </conditionalFormatting>
  <conditionalFormatting sqref="C10">
    <cfRule type="duplicateValues" dxfId="430" priority="1" stopIfTrue="1"/>
  </conditionalFormatting>
  <conditionalFormatting sqref="C10">
    <cfRule type="duplicateValues" dxfId="429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8:AM45"/>
  <sheetViews>
    <sheetView showGridLines="0" topLeftCell="A7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710937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62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752</v>
      </c>
      <c r="D15" s="23" t="str">
        <f t="shared" ref="D15:D40" si="0">VLOOKUP(C15,PLANILLA,2,FALSE)</f>
        <v>RAMÍREZ Federico</v>
      </c>
      <c r="E15" s="24" t="str">
        <f t="shared" ref="E15:E40" si="1">VLOOKUP(C15,PLANILLA,4,FALSE)</f>
        <v xml:space="preserve">Seven Card Willier </v>
      </c>
      <c r="F15" s="3">
        <v>0</v>
      </c>
      <c r="G15" s="15">
        <v>0</v>
      </c>
      <c r="H15" s="3">
        <v>0</v>
      </c>
      <c r="I15" s="25">
        <v>0</v>
      </c>
      <c r="J15" s="33">
        <v>0</v>
      </c>
      <c r="K15" s="22">
        <v>0</v>
      </c>
      <c r="L15" s="22">
        <v>2</v>
      </c>
      <c r="M15" s="34">
        <v>150</v>
      </c>
      <c r="N15" s="32"/>
      <c r="O15" s="30"/>
      <c r="P15" s="3">
        <v>1</v>
      </c>
      <c r="Q15" s="34">
        <f>IFERROR(VLOOKUP(P15,'Puntos XCO'!$A$1:$B$63,2,FALSE),0)</f>
        <v>200</v>
      </c>
      <c r="R15" s="16">
        <v>0</v>
      </c>
      <c r="S15" s="3">
        <f>IFERROR(VLOOKUP(R15,'Puntos XCC Menor'!$A$1:$B$15,2,FALSE),0)</f>
        <v>0</v>
      </c>
      <c r="T15" s="15">
        <v>1</v>
      </c>
      <c r="U15" s="39">
        <f>IFERROR(VLOOKUP(T15,'Puntos XCO'!$A$1:$B$63,2,FALSE),0)</f>
        <v>200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>
        <f t="shared" ref="Z15:Z40" si="2">IFERROR(VLOOKUP($C15,RESXCC_1,9,FALSE),0)</f>
        <v>0</v>
      </c>
      <c r="AA15" s="15">
        <f>IFERROR(VLOOKUP(Z15,'Puntos XCC Mayor'!$A$1:$B$15,2,FALSE),0)</f>
        <v>0</v>
      </c>
      <c r="AB15" s="15">
        <f t="shared" ref="AB15:AB40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40" si="4">G15+I15+K15+M15+O15+Q15+S15+U15+W15+Y15+AA15+AC15+AE15+AG15</f>
        <v>975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751</v>
      </c>
      <c r="D16" s="23" t="str">
        <f t="shared" si="0"/>
        <v>HERRERA ELBER</v>
      </c>
      <c r="E16" s="24" t="str">
        <f t="shared" si="1"/>
        <v>BOBBYS CYCLING TEAM</v>
      </c>
      <c r="F16" s="3">
        <v>1</v>
      </c>
      <c r="G16" s="15">
        <v>10</v>
      </c>
      <c r="H16" s="3">
        <v>1</v>
      </c>
      <c r="I16" s="25">
        <v>200</v>
      </c>
      <c r="J16" s="33">
        <v>1</v>
      </c>
      <c r="K16" s="22">
        <v>10</v>
      </c>
      <c r="L16" s="22">
        <v>1</v>
      </c>
      <c r="M16" s="34">
        <v>200</v>
      </c>
      <c r="N16" s="32">
        <f>IFERROR(VLOOKUP(C16,RESXCC_1,9,FALSE),0)</f>
        <v>0</v>
      </c>
      <c r="O16" s="30"/>
      <c r="P16" s="3">
        <v>2</v>
      </c>
      <c r="Q16" s="34">
        <f>IFERROR(VLOOKUP(P16,'Puntos XCO'!$A$1:$B$63,2,FALSE),0)</f>
        <v>150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v>3</v>
      </c>
      <c r="W16" s="15">
        <f>IFERROR(VLOOKUP(V16,'Puntos XCC Mayor'!$A$1:$B$15,2,FALSE),0)</f>
        <v>16</v>
      </c>
      <c r="X16" s="15">
        <v>3</v>
      </c>
      <c r="Y16" s="25">
        <f>IFERROR(VLOOKUP(X16,'Puntos XCO'!$A$1:$B$63,2,FALSE),0)</f>
        <v>120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4"/>
        <v>826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758</v>
      </c>
      <c r="D17" s="23" t="str">
        <f t="shared" si="0"/>
        <v>MOLINA Hairo</v>
      </c>
      <c r="E17" s="24" t="str">
        <f t="shared" si="1"/>
        <v>CCDR ESCAZU</v>
      </c>
      <c r="F17" s="3">
        <v>3</v>
      </c>
      <c r="G17" s="15">
        <v>8</v>
      </c>
      <c r="H17" s="3">
        <v>3</v>
      </c>
      <c r="I17" s="25">
        <v>120</v>
      </c>
      <c r="J17" s="33">
        <v>4</v>
      </c>
      <c r="K17" s="22">
        <v>7</v>
      </c>
      <c r="L17" s="22">
        <v>5</v>
      </c>
      <c r="M17" s="34">
        <v>100</v>
      </c>
      <c r="N17" s="32"/>
      <c r="O17" s="30"/>
      <c r="P17" s="3">
        <v>4</v>
      </c>
      <c r="Q17" s="34">
        <f>IFERROR(VLOOKUP(P17,'Puntos XCO'!$A$1:$B$63,2,FALSE),0)</f>
        <v>110</v>
      </c>
      <c r="R17" s="16">
        <v>1</v>
      </c>
      <c r="S17" s="3">
        <f>IFERROR(VLOOKUP(R17,'Puntos XCC Menor'!$A$1:$B$15,2,FALSE),0)</f>
        <v>10</v>
      </c>
      <c r="T17" s="15">
        <v>4</v>
      </c>
      <c r="U17" s="39">
        <f>IFERROR(VLOOKUP(T17,'Puntos XCO'!$A$1:$B$63,2,FALSE),0)</f>
        <v>110</v>
      </c>
      <c r="V17" s="16">
        <v>4</v>
      </c>
      <c r="W17" s="15">
        <f>IFERROR(VLOOKUP(V17,'Puntos XCC Mayor'!$A$1:$B$15,2,FALSE),0)</f>
        <v>14</v>
      </c>
      <c r="X17" s="15">
        <v>5</v>
      </c>
      <c r="Y17" s="25">
        <f>IFERROR(VLOOKUP(X17,'Puntos XCO'!$A$1:$B$63,2,FALSE),0)</f>
        <v>100</v>
      </c>
      <c r="Z17" s="16">
        <f t="shared" si="2"/>
        <v>1</v>
      </c>
      <c r="AA17" s="15">
        <f>IFERROR(VLOOKUP(Z17,'Puntos XCC Mayor'!$A$1:$B$15,2,FALSE),0)</f>
        <v>25</v>
      </c>
      <c r="AB17" s="15">
        <f t="shared" si="3"/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4"/>
        <v>754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756</v>
      </c>
      <c r="D18" s="23" t="str">
        <f t="shared" si="0"/>
        <v>BARRANTES Richard</v>
      </c>
      <c r="E18" s="24" t="str">
        <f t="shared" si="1"/>
        <v>VEINTE24 CYCLING</v>
      </c>
      <c r="F18" s="3">
        <v>7</v>
      </c>
      <c r="G18" s="15">
        <v>4</v>
      </c>
      <c r="H18" s="3">
        <v>5</v>
      </c>
      <c r="I18" s="25">
        <v>100</v>
      </c>
      <c r="J18" s="33">
        <v>6</v>
      </c>
      <c r="K18" s="22">
        <v>5</v>
      </c>
      <c r="L18" s="22">
        <v>7</v>
      </c>
      <c r="M18" s="34">
        <v>90</v>
      </c>
      <c r="N18" s="32"/>
      <c r="O18" s="30"/>
      <c r="P18" s="3">
        <v>7</v>
      </c>
      <c r="Q18" s="34">
        <f>IFERROR(VLOOKUP(P18,'Puntos XCO'!$A$1:$B$63,2,FALSE),0)</f>
        <v>90</v>
      </c>
      <c r="R18" s="16">
        <v>3</v>
      </c>
      <c r="S18" s="3">
        <f>IFERROR(VLOOKUP(R18,'Puntos XCC Menor'!$A$1:$B$15,2,FALSE),0)</f>
        <v>8</v>
      </c>
      <c r="T18" s="15">
        <v>5</v>
      </c>
      <c r="U18" s="39">
        <f>IFERROR(VLOOKUP(T18,'Puntos XCO'!$A$1:$B$63,2,FALSE),0)</f>
        <v>100</v>
      </c>
      <c r="V18" s="16">
        <v>0</v>
      </c>
      <c r="W18" s="15">
        <f>IFERROR(VLOOKUP(V18,'Puntos XCC Mayor'!$A$1:$B$15,2,FALSE),0)</f>
        <v>0</v>
      </c>
      <c r="X18" s="15">
        <v>9</v>
      </c>
      <c r="Y18" s="25">
        <f>IFERROR(VLOOKUP(X18,'Puntos XCO'!$A$1:$B$63,2,FALSE),0)</f>
        <v>80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5</v>
      </c>
      <c r="AC18" s="25">
        <f>IFERROR(VLOOKUP(AB18,'Puntos XCO'!$A$1:$B$63,2,FALSE),0)</f>
        <v>100</v>
      </c>
      <c r="AD18" s="16"/>
      <c r="AE18" s="15"/>
      <c r="AF18" s="15"/>
      <c r="AG18" s="25"/>
      <c r="AH18" s="27">
        <f t="shared" si="4"/>
        <v>577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763</v>
      </c>
      <c r="D19" s="23" t="str">
        <f t="shared" si="0"/>
        <v xml:space="preserve">RODRÍGUEZ Julián </v>
      </c>
      <c r="E19" s="24" t="str">
        <f t="shared" si="1"/>
        <v xml:space="preserve">Belén Team </v>
      </c>
      <c r="F19" s="3">
        <v>0</v>
      </c>
      <c r="G19" s="15">
        <v>0</v>
      </c>
      <c r="H19" s="3">
        <v>4</v>
      </c>
      <c r="I19" s="25">
        <v>110</v>
      </c>
      <c r="J19" s="33">
        <v>0</v>
      </c>
      <c r="K19" s="22">
        <v>0</v>
      </c>
      <c r="L19" s="22">
        <v>0</v>
      </c>
      <c r="M19" s="34">
        <v>0</v>
      </c>
      <c r="N19" s="32"/>
      <c r="O19" s="30"/>
      <c r="P19" s="3">
        <v>6</v>
      </c>
      <c r="Q19" s="34">
        <f>IFERROR(VLOOKUP(P19,'Puntos XCO'!$A$1:$B$63,2,FALSE),0)</f>
        <v>95</v>
      </c>
      <c r="R19" s="16">
        <v>2</v>
      </c>
      <c r="S19" s="3">
        <f>IFERROR(VLOOKUP(R19,'Puntos XCC Menor'!$A$1:$B$15,2,FALSE),0)</f>
        <v>9</v>
      </c>
      <c r="T19" s="15">
        <v>3</v>
      </c>
      <c r="U19" s="39">
        <f>IFERROR(VLOOKUP(T19,'Puntos XCO'!$A$1:$B$63,2,FALSE),0)</f>
        <v>120</v>
      </c>
      <c r="V19" s="16">
        <v>5</v>
      </c>
      <c r="W19" s="15">
        <f>IFERROR(VLOOKUP(V19,'Puntos XCC Mayor'!$A$1:$B$15,2,FALSE),0)</f>
        <v>12</v>
      </c>
      <c r="X19" s="15">
        <v>6</v>
      </c>
      <c r="Y19" s="25">
        <f>IFERROR(VLOOKUP(X19,'Puntos XCO'!$A$1:$B$63,2,FALSE),0)</f>
        <v>95</v>
      </c>
      <c r="Z19" s="16">
        <f t="shared" si="2"/>
        <v>2</v>
      </c>
      <c r="AA19" s="15">
        <f>IFERROR(VLOOKUP(Z19,'Puntos XCC Mayor'!$A$1:$B$15,2,FALSE),0)</f>
        <v>20</v>
      </c>
      <c r="AB19" s="15">
        <f t="shared" si="3"/>
        <v>4</v>
      </c>
      <c r="AC19" s="25">
        <f>IFERROR(VLOOKUP(AB19,'Puntos XCO'!$A$1:$B$63,2,FALSE),0)</f>
        <v>110</v>
      </c>
      <c r="AD19" s="16"/>
      <c r="AE19" s="15"/>
      <c r="AF19" s="15"/>
      <c r="AG19" s="25"/>
      <c r="AH19" s="27">
        <f t="shared" si="4"/>
        <v>571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9</v>
      </c>
      <c r="C20" s="22">
        <v>768</v>
      </c>
      <c r="D20" s="23" t="str">
        <f t="shared" si="0"/>
        <v>GAMBOA Andres</v>
      </c>
      <c r="E20" s="24" t="str">
        <f t="shared" si="1"/>
        <v xml:space="preserve">Team Numu coaching </v>
      </c>
      <c r="F20" s="3"/>
      <c r="G20" s="15"/>
      <c r="H20" s="3"/>
      <c r="I20" s="25"/>
      <c r="J20" s="33">
        <v>0</v>
      </c>
      <c r="K20" s="22">
        <v>0</v>
      </c>
      <c r="L20" s="22">
        <v>8</v>
      </c>
      <c r="M20" s="34">
        <v>85</v>
      </c>
      <c r="N20" s="32"/>
      <c r="O20" s="30"/>
      <c r="P20" s="3">
        <v>8</v>
      </c>
      <c r="Q20" s="34">
        <f>IFERROR(VLOOKUP(P20,'Puntos XCO'!$A$1:$B$63,2,FALSE),0)</f>
        <v>85</v>
      </c>
      <c r="R20" s="16">
        <v>0</v>
      </c>
      <c r="S20" s="3">
        <f>IFERROR(VLOOKUP(R20,'Puntos XCC Menor'!$A$1:$B$15,2,FALSE),0)</f>
        <v>0</v>
      </c>
      <c r="T20" s="15">
        <v>6</v>
      </c>
      <c r="U20" s="39">
        <f>IFERROR(VLOOKUP(T20,'Puntos XCO'!$A$1:$B$63,2,FALSE),0)</f>
        <v>95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6</v>
      </c>
      <c r="AC20" s="25">
        <f>IFERROR(VLOOKUP(AB20,'Puntos XCO'!$A$1:$B$63,2,FALSE),0)</f>
        <v>95</v>
      </c>
      <c r="AD20" s="16"/>
      <c r="AE20" s="15"/>
      <c r="AF20" s="15"/>
      <c r="AG20" s="25"/>
      <c r="AH20" s="27">
        <f t="shared" si="4"/>
        <v>360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6</v>
      </c>
      <c r="C21" s="22">
        <v>761</v>
      </c>
      <c r="D21" s="23" t="str">
        <f t="shared" si="0"/>
        <v>CORTES Jerry</v>
      </c>
      <c r="E21" s="24" t="str">
        <f t="shared" si="1"/>
        <v>BUFF, DRASANVI, ECOTIENDA.</v>
      </c>
      <c r="F21" s="3">
        <v>4</v>
      </c>
      <c r="G21" s="15">
        <v>7</v>
      </c>
      <c r="H21" s="3">
        <v>2</v>
      </c>
      <c r="I21" s="25">
        <v>150</v>
      </c>
      <c r="J21" s="33">
        <v>0</v>
      </c>
      <c r="K21" s="22">
        <v>0</v>
      </c>
      <c r="L21" s="22">
        <v>0</v>
      </c>
      <c r="M21" s="34">
        <v>0</v>
      </c>
      <c r="N21" s="32"/>
      <c r="O21" s="30"/>
      <c r="P21" s="3">
        <v>5</v>
      </c>
      <c r="Q21" s="34">
        <f>IFERROR(VLOOKUP(P21,'Puntos XCO'!$A$1:$B$63,2,FALSE),0)</f>
        <v>100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v>0</v>
      </c>
      <c r="W21" s="15">
        <f>IFERROR(VLOOKUP(V21,'Puntos XCC Mayor'!$A$1:$B$15,2,FALSE),0)</f>
        <v>0</v>
      </c>
      <c r="X21" s="15">
        <v>8</v>
      </c>
      <c r="Y21" s="25">
        <f>IFERROR(VLOOKUP(X21,'Puntos XCO'!$A$1:$B$63,2,FALSE),0)</f>
        <v>85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342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7</v>
      </c>
      <c r="C22" s="22">
        <v>760</v>
      </c>
      <c r="D22" s="23" t="str">
        <f t="shared" si="0"/>
        <v>MORERA Oscar</v>
      </c>
      <c r="E22" s="24" t="str">
        <f t="shared" si="1"/>
        <v>TEAM GOCHA-MAXXIS-GRUPO 86</v>
      </c>
      <c r="F22" s="3">
        <v>2</v>
      </c>
      <c r="G22" s="15">
        <v>9</v>
      </c>
      <c r="H22" s="3">
        <v>0</v>
      </c>
      <c r="I22" s="25">
        <v>0</v>
      </c>
      <c r="J22" s="33">
        <v>2</v>
      </c>
      <c r="K22" s="22">
        <v>9</v>
      </c>
      <c r="L22" s="22">
        <v>3</v>
      </c>
      <c r="M22" s="34">
        <v>120</v>
      </c>
      <c r="N22" s="32"/>
      <c r="O22" s="30"/>
      <c r="P22" s="3">
        <v>0</v>
      </c>
      <c r="Q22" s="34">
        <f>IFERROR(VLOOKUP(P22,'Puntos XCO'!$A$1:$B$63,2,FALSE),0)</f>
        <v>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v>0</v>
      </c>
      <c r="W22" s="15">
        <f>IFERROR(VLOOKUP(V22,'Puntos XCC Mayor'!$A$1:$B$15,2,FALSE),0)</f>
        <v>0</v>
      </c>
      <c r="X22" s="15">
        <v>2</v>
      </c>
      <c r="Y22" s="25">
        <f>IFERROR(VLOOKUP(X22,'Puntos XCO'!$A$1:$B$63,2,FALSE),0)</f>
        <v>150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288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8</v>
      </c>
      <c r="C23" s="22">
        <v>774</v>
      </c>
      <c r="D23" s="23" t="str">
        <f t="shared" si="0"/>
        <v>DURAN Allan</v>
      </c>
      <c r="E23" s="24" t="str">
        <f t="shared" si="1"/>
        <v>BOBBYS CYCLING TEAM</v>
      </c>
      <c r="F23" s="3"/>
      <c r="G23" s="15"/>
      <c r="H23" s="3"/>
      <c r="I23" s="25"/>
      <c r="J23" s="33"/>
      <c r="K23" s="22"/>
      <c r="L23" s="22"/>
      <c r="M23" s="34"/>
      <c r="N23" s="32"/>
      <c r="O23" s="30"/>
      <c r="P23" s="3"/>
      <c r="Q23" s="34"/>
      <c r="R23" s="16">
        <v>0</v>
      </c>
      <c r="S23" s="3">
        <f>IFERROR(VLOOKUP(R23,'Puntos XCC Menor'!$A$1:$B$15,2,FALSE),0)</f>
        <v>0</v>
      </c>
      <c r="T23" s="15">
        <v>2</v>
      </c>
      <c r="U23" s="39">
        <f>IFERROR(VLOOKUP(T23,'Puntos XCO'!$A$1:$B$63,2,FALSE),0)</f>
        <v>150</v>
      </c>
      <c r="V23" s="16">
        <v>2</v>
      </c>
      <c r="W23" s="15">
        <f>IFERROR(VLOOKUP(V23,'Puntos XCC Mayor'!$A$1:$B$15,2,FALSE),0)</f>
        <v>20</v>
      </c>
      <c r="X23" s="15">
        <v>4</v>
      </c>
      <c r="Y23" s="25">
        <f>IFERROR(VLOOKUP(X23,'Puntos XCO'!$A$1:$B$63,2,FALSE),0)</f>
        <v>110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280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22">
        <v>766</v>
      </c>
      <c r="D24" s="23" t="str">
        <f t="shared" si="0"/>
        <v xml:space="preserve">QUIRÓS  John </v>
      </c>
      <c r="E24" s="24" t="str">
        <f t="shared" si="1"/>
        <v xml:space="preserve">CCDR MATINA CICLO SALAS BATAAN </v>
      </c>
      <c r="F24" s="3"/>
      <c r="G24" s="15"/>
      <c r="H24" s="3"/>
      <c r="I24" s="25"/>
      <c r="J24" s="33">
        <v>8</v>
      </c>
      <c r="K24" s="22">
        <v>3</v>
      </c>
      <c r="L24" s="22">
        <v>11</v>
      </c>
      <c r="M24" s="34">
        <v>76</v>
      </c>
      <c r="N24" s="32"/>
      <c r="O24" s="30"/>
      <c r="P24" s="3">
        <v>10</v>
      </c>
      <c r="Q24" s="34">
        <f>IFERROR(VLOOKUP(P24,'Puntos XCO'!$A$1:$B$63,2,FALSE),0)</f>
        <v>78</v>
      </c>
      <c r="R24" s="16">
        <v>4</v>
      </c>
      <c r="S24" s="3">
        <f>IFERROR(VLOOKUP(R24,'Puntos XCC Menor'!$A$1:$B$15,2,FALSE),0)</f>
        <v>7</v>
      </c>
      <c r="T24" s="15">
        <v>7</v>
      </c>
      <c r="U24" s="39">
        <f>IFERROR(VLOOKUP(T24,'Puntos XCO'!$A$1:$B$63,2,FALSE),0)</f>
        <v>90</v>
      </c>
      <c r="V24" s="16">
        <v>0</v>
      </c>
      <c r="W24" s="15">
        <f>IFERROR(VLOOKUP(V24,'Puntos XCC Mayor'!$A$1:$B$15,2,FALSE),0)</f>
        <v>0</v>
      </c>
      <c r="X24" s="15">
        <v>0</v>
      </c>
      <c r="Y24" s="25">
        <f>IFERROR(VLOOKUP(X24,'Puntos XCO'!$A$1:$B$63,2,FALSE),0)</f>
        <v>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254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22">
        <v>769</v>
      </c>
      <c r="D25" s="23" t="str">
        <f t="shared" si="0"/>
        <v>SANABRIA Kenneth</v>
      </c>
      <c r="E25" s="24" t="str">
        <f t="shared" si="1"/>
        <v>TREK BIKE STORE</v>
      </c>
      <c r="F25" s="3"/>
      <c r="G25" s="15"/>
      <c r="H25" s="3"/>
      <c r="I25" s="25"/>
      <c r="J25" s="33">
        <v>3</v>
      </c>
      <c r="K25" s="22">
        <v>8</v>
      </c>
      <c r="L25" s="22">
        <v>4</v>
      </c>
      <c r="M25" s="34">
        <v>110</v>
      </c>
      <c r="N25" s="32"/>
      <c r="O25" s="30"/>
      <c r="P25" s="3">
        <v>3</v>
      </c>
      <c r="Q25" s="34">
        <f>IFERROR(VLOOKUP(P25,'Puntos XCO'!$A$1:$B$63,2,FALSE),0)</f>
        <v>120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238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12</v>
      </c>
      <c r="C26" s="22">
        <v>765</v>
      </c>
      <c r="D26" s="23" t="str">
        <f t="shared" si="0"/>
        <v>RODRÍGUEZ Rodolfo</v>
      </c>
      <c r="E26" s="24" t="str">
        <f t="shared" si="1"/>
        <v xml:space="preserve">TEAM CQ-PZ </v>
      </c>
      <c r="F26" s="3">
        <v>10</v>
      </c>
      <c r="G26" s="15">
        <v>1</v>
      </c>
      <c r="H26" s="3">
        <v>10</v>
      </c>
      <c r="I26" s="25">
        <v>78</v>
      </c>
      <c r="J26" s="33">
        <v>9</v>
      </c>
      <c r="K26" s="22">
        <v>2</v>
      </c>
      <c r="L26" s="22">
        <v>10</v>
      </c>
      <c r="M26" s="34">
        <v>78</v>
      </c>
      <c r="N26" s="32"/>
      <c r="O26" s="30"/>
      <c r="P26" s="3">
        <v>11</v>
      </c>
      <c r="Q26" s="34">
        <f>IFERROR(VLOOKUP(P26,'Puntos XCO'!$A$1:$B$63,2,FALSE),0)</f>
        <v>76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v>0</v>
      </c>
      <c r="W26" s="15">
        <f>IFERROR(VLOOKUP(V26,'Puntos XCC Mayor'!$A$1:$B$15,2,FALSE),0)</f>
        <v>0</v>
      </c>
      <c r="X26" s="15">
        <v>0</v>
      </c>
      <c r="Y26" s="25">
        <f>IFERROR(VLOOKUP(X26,'Puntos XCO'!$A$1:$B$63,2,FALSE),0)</f>
        <v>0</v>
      </c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0</v>
      </c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4"/>
        <v>235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13</v>
      </c>
      <c r="C27" s="22">
        <v>759</v>
      </c>
      <c r="D27" s="23" t="str">
        <f t="shared" si="0"/>
        <v xml:space="preserve">FERNÁNDEZ  Marco </v>
      </c>
      <c r="E27" s="24" t="str">
        <f t="shared" si="1"/>
        <v>CMS- TRANSPORTE GRUPO EYAN- ROMA BIKES</v>
      </c>
      <c r="F27" s="3">
        <v>6</v>
      </c>
      <c r="G27" s="15">
        <v>5</v>
      </c>
      <c r="H27" s="3">
        <v>6</v>
      </c>
      <c r="I27" s="25">
        <v>95</v>
      </c>
      <c r="J27" s="33">
        <v>0</v>
      </c>
      <c r="K27" s="22">
        <v>0</v>
      </c>
      <c r="L27" s="22">
        <v>0</v>
      </c>
      <c r="M27" s="34">
        <v>0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v>0</v>
      </c>
      <c r="W27" s="15">
        <f>IFERROR(VLOOKUP(V27,'Puntos XCC Mayor'!$A$1:$B$15,2,FALSE),0)</f>
        <v>0</v>
      </c>
      <c r="X27" s="15">
        <v>12</v>
      </c>
      <c r="Y27" s="25">
        <f>IFERROR(VLOOKUP(X27,'Puntos XCO'!$A$1:$B$63,2,FALSE),0)</f>
        <v>74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174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14</v>
      </c>
      <c r="C28" s="22">
        <v>754</v>
      </c>
      <c r="D28" s="23" t="str">
        <f t="shared" si="0"/>
        <v xml:space="preserve">MENESES  Mario Alfredo </v>
      </c>
      <c r="E28" s="24" t="str">
        <f t="shared" si="1"/>
        <v xml:space="preserve">ADNBIKESCR </v>
      </c>
      <c r="F28" s="3">
        <v>8</v>
      </c>
      <c r="G28" s="15">
        <v>3</v>
      </c>
      <c r="H28" s="3">
        <v>9</v>
      </c>
      <c r="I28" s="25">
        <v>80</v>
      </c>
      <c r="J28" s="33">
        <v>0</v>
      </c>
      <c r="K28" s="22">
        <v>0</v>
      </c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v>6</v>
      </c>
      <c r="W28" s="15">
        <f>IFERROR(VLOOKUP(V28,'Puntos XCC Mayor'!$A$1:$B$15,2,FALSE),0)</f>
        <v>10</v>
      </c>
      <c r="X28" s="15">
        <v>10</v>
      </c>
      <c r="Y28" s="25">
        <f>IFERROR(VLOOKUP(X28,'Puntos XCO'!$A$1:$B$63,2,FALSE),0)</f>
        <v>78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171</v>
      </c>
      <c r="AJ28" s="2"/>
      <c r="AK28" s="13"/>
      <c r="AL28" s="12"/>
      <c r="AM28" s="14"/>
    </row>
    <row r="29" spans="1:39" ht="24.95" customHeight="1">
      <c r="A29" s="22">
        <v>15</v>
      </c>
      <c r="B29" s="22">
        <v>15</v>
      </c>
      <c r="C29" s="22">
        <v>767</v>
      </c>
      <c r="D29" s="23" t="str">
        <f t="shared" si="0"/>
        <v>MOLINA Felipe</v>
      </c>
      <c r="E29" s="24" t="str">
        <f t="shared" si="1"/>
        <v>BRAND LIFT - VIDA VERDE CBD</v>
      </c>
      <c r="F29" s="3"/>
      <c r="G29" s="15"/>
      <c r="H29" s="3"/>
      <c r="I29" s="25"/>
      <c r="J29" s="33">
        <v>5</v>
      </c>
      <c r="K29" s="22">
        <v>6</v>
      </c>
      <c r="L29" s="22">
        <v>6</v>
      </c>
      <c r="M29" s="34">
        <v>95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101</v>
      </c>
      <c r="AJ29" s="2"/>
      <c r="AK29" s="13"/>
      <c r="AL29" s="12"/>
      <c r="AM29" s="14"/>
    </row>
    <row r="30" spans="1:39" ht="24.95" customHeight="1">
      <c r="A30" s="22">
        <v>16</v>
      </c>
      <c r="B30" s="22">
        <v>16</v>
      </c>
      <c r="C30" s="22">
        <v>757</v>
      </c>
      <c r="D30" s="23" t="str">
        <f t="shared" si="0"/>
        <v xml:space="preserve">SÁNCHEZ  Steven </v>
      </c>
      <c r="E30" s="24" t="str">
        <f t="shared" si="1"/>
        <v xml:space="preserve">CICLO JUAN VIÑAS-COLYPRO </v>
      </c>
      <c r="F30" s="3">
        <v>5</v>
      </c>
      <c r="G30" s="15">
        <v>6</v>
      </c>
      <c r="H30" s="3">
        <v>7</v>
      </c>
      <c r="I30" s="25">
        <v>90</v>
      </c>
      <c r="J30" s="33">
        <v>0</v>
      </c>
      <c r="K30" s="22">
        <v>0</v>
      </c>
      <c r="L30" s="22">
        <v>0</v>
      </c>
      <c r="M30" s="34">
        <v>0</v>
      </c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96</v>
      </c>
      <c r="AJ30" s="2"/>
      <c r="AK30" s="13"/>
      <c r="AL30" s="12"/>
      <c r="AM30" s="14"/>
    </row>
    <row r="31" spans="1:39" ht="24.95" customHeight="1">
      <c r="A31" s="22">
        <v>17</v>
      </c>
      <c r="B31" s="22">
        <v>17</v>
      </c>
      <c r="C31" s="22">
        <v>775</v>
      </c>
      <c r="D31" s="23" t="str">
        <f t="shared" si="0"/>
        <v>CHAVARRIA Henry</v>
      </c>
      <c r="E31" s="24" t="str">
        <f t="shared" si="1"/>
        <v>GOCHA CYCLING TEAM</v>
      </c>
      <c r="F31" s="3"/>
      <c r="G31" s="15"/>
      <c r="H31" s="3"/>
      <c r="I31" s="25"/>
      <c r="J31" s="33"/>
      <c r="K31" s="22"/>
      <c r="L31" s="22"/>
      <c r="M31" s="34"/>
      <c r="N31" s="32"/>
      <c r="O31" s="30"/>
      <c r="P31" s="3"/>
      <c r="Q31" s="34"/>
      <c r="R31" s="16"/>
      <c r="S31" s="3"/>
      <c r="T31" s="15"/>
      <c r="U31" s="39"/>
      <c r="V31" s="16">
        <v>0</v>
      </c>
      <c r="W31" s="15">
        <f>IFERROR(VLOOKUP(V31,'Puntos XCC Mayor'!$A$1:$B$15,2,FALSE),0)</f>
        <v>0</v>
      </c>
      <c r="X31" s="15">
        <v>7</v>
      </c>
      <c r="Y31" s="25">
        <f>IFERROR(VLOOKUP(X31,'Puntos XCO'!$A$1:$B$63,2,FALSE),0)</f>
        <v>90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90</v>
      </c>
      <c r="AJ31" s="2"/>
      <c r="AK31" s="13"/>
      <c r="AL31" s="12"/>
      <c r="AM31" s="14"/>
    </row>
    <row r="32" spans="1:39" ht="24.95" customHeight="1">
      <c r="A32" s="22">
        <v>18</v>
      </c>
      <c r="B32" s="22">
        <v>18</v>
      </c>
      <c r="C32" s="22">
        <v>764</v>
      </c>
      <c r="D32" s="23" t="str">
        <f t="shared" si="0"/>
        <v xml:space="preserve">SOJO Luis Miguel </v>
      </c>
      <c r="E32" s="24" t="str">
        <f t="shared" si="1"/>
        <v xml:space="preserve">COLYPRO </v>
      </c>
      <c r="F32" s="3">
        <v>0</v>
      </c>
      <c r="G32" s="15">
        <v>0</v>
      </c>
      <c r="H32" s="3">
        <v>8</v>
      </c>
      <c r="I32" s="25">
        <v>85</v>
      </c>
      <c r="J32" s="33">
        <v>7</v>
      </c>
      <c r="K32" s="22">
        <v>4</v>
      </c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89</v>
      </c>
      <c r="AJ32" s="2"/>
      <c r="AK32" s="13"/>
      <c r="AL32" s="12"/>
      <c r="AM32" s="14"/>
    </row>
    <row r="33" spans="1:39" ht="24.95" customHeight="1">
      <c r="A33" s="22">
        <v>19</v>
      </c>
      <c r="B33" s="22">
        <v>19</v>
      </c>
      <c r="C33" s="22">
        <v>772</v>
      </c>
      <c r="D33" s="23" t="str">
        <f t="shared" si="0"/>
        <v>SEGURA Luis Diego</v>
      </c>
      <c r="E33" s="24" t="str">
        <f t="shared" si="1"/>
        <v>COLYPRO - AUTOPAMA- CLETEROS BATAAN</v>
      </c>
      <c r="F33" s="3"/>
      <c r="G33" s="15"/>
      <c r="H33" s="3"/>
      <c r="I33" s="25"/>
      <c r="J33" s="33">
        <v>0</v>
      </c>
      <c r="K33" s="22">
        <v>0</v>
      </c>
      <c r="L33" s="22">
        <v>9</v>
      </c>
      <c r="M33" s="34">
        <v>80</v>
      </c>
      <c r="N33" s="32"/>
      <c r="O33" s="30"/>
      <c r="P33" s="3">
        <v>0</v>
      </c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80</v>
      </c>
      <c r="AJ33" s="2"/>
      <c r="AK33" s="13"/>
      <c r="AL33" s="12"/>
      <c r="AM33" s="14"/>
    </row>
    <row r="34" spans="1:39" ht="24.95" customHeight="1">
      <c r="A34" s="22">
        <v>20</v>
      </c>
      <c r="B34" s="22">
        <v>20</v>
      </c>
      <c r="C34" s="22">
        <v>773</v>
      </c>
      <c r="D34" s="23" t="str">
        <f t="shared" si="0"/>
        <v>ARIAS Adrian</v>
      </c>
      <c r="E34" s="24" t="str">
        <f t="shared" si="1"/>
        <v>VEINTE24</v>
      </c>
      <c r="F34" s="3"/>
      <c r="G34" s="15"/>
      <c r="H34" s="15"/>
      <c r="I34" s="25"/>
      <c r="J34" s="33"/>
      <c r="K34" s="22"/>
      <c r="L34" s="22"/>
      <c r="M34" s="34"/>
      <c r="N34" s="16"/>
      <c r="O34" s="15"/>
      <c r="P34" s="3">
        <v>9</v>
      </c>
      <c r="Q34" s="34">
        <f>IFERROR(VLOOKUP(P34,'Puntos XCO'!$A$1:$B$63,2,FALSE),0)</f>
        <v>80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0</v>
      </c>
      <c r="W34" s="15">
        <f>IFERROR(VLOOKUP(V34,'Puntos XCC Mayor'!$A$1:$B$15,2,FALSE),0)</f>
        <v>0</v>
      </c>
      <c r="X34" s="15">
        <v>0</v>
      </c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80</v>
      </c>
      <c r="AJ34" s="2"/>
      <c r="AK34" s="13"/>
      <c r="AL34" s="12"/>
      <c r="AM34" s="14"/>
    </row>
    <row r="35" spans="1:39" ht="24.95" customHeight="1">
      <c r="A35" s="22">
        <v>21</v>
      </c>
      <c r="B35" s="22">
        <v>21</v>
      </c>
      <c r="C35" s="22">
        <v>776</v>
      </c>
      <c r="D35" s="23" t="str">
        <f t="shared" si="0"/>
        <v>VEGA  Jose Andres</v>
      </c>
      <c r="E35" s="24" t="str">
        <f t="shared" si="1"/>
        <v xml:space="preserve">VEGABIKES </v>
      </c>
      <c r="F35" s="3"/>
      <c r="G35" s="15"/>
      <c r="H35" s="3"/>
      <c r="I35" s="25"/>
      <c r="J35" s="33"/>
      <c r="K35" s="22"/>
      <c r="L35" s="22"/>
      <c r="M35" s="34"/>
      <c r="N35" s="32"/>
      <c r="O35" s="30"/>
      <c r="P35" s="3"/>
      <c r="Q35" s="34"/>
      <c r="R35" s="16"/>
      <c r="S35" s="3"/>
      <c r="T35" s="15"/>
      <c r="U35" s="39"/>
      <c r="V35" s="16">
        <v>0</v>
      </c>
      <c r="W35" s="15">
        <f>IFERROR(VLOOKUP(V35,'Puntos XCC Mayor'!$A$1:$B$15,2,FALSE),0)</f>
        <v>0</v>
      </c>
      <c r="X35" s="15">
        <v>11</v>
      </c>
      <c r="Y35" s="25">
        <f>IFERROR(VLOOKUP(X35,'Puntos XCO'!$A$1:$B$63,2,FALSE),0)</f>
        <v>76</v>
      </c>
      <c r="Z35" s="16">
        <f t="shared" si="2"/>
        <v>0</v>
      </c>
      <c r="AA35" s="15">
        <f>IFERROR(VLOOKUP(Z35,'Puntos XCC Mayor'!$A$1:$B$15,2,FALSE),0)</f>
        <v>0</v>
      </c>
      <c r="AB35" s="15">
        <f t="shared" si="3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4"/>
        <v>76</v>
      </c>
      <c r="AJ35" s="2"/>
      <c r="AK35" s="13"/>
      <c r="AL35" s="12"/>
      <c r="AM35" s="14"/>
    </row>
    <row r="36" spans="1:39" ht="24.95" customHeight="1">
      <c r="A36" s="22">
        <v>22</v>
      </c>
      <c r="B36" s="22">
        <v>22</v>
      </c>
      <c r="C36" s="22">
        <v>771</v>
      </c>
      <c r="D36" s="23" t="str">
        <f t="shared" si="0"/>
        <v>FONSECA Roy</v>
      </c>
      <c r="E36" s="24" t="str">
        <f t="shared" si="1"/>
        <v>GRUPETA DE LAS 5AM</v>
      </c>
      <c r="F36" s="3"/>
      <c r="G36" s="15"/>
      <c r="H36" s="3"/>
      <c r="I36" s="25"/>
      <c r="J36" s="33">
        <v>0</v>
      </c>
      <c r="K36" s="22">
        <v>0</v>
      </c>
      <c r="L36" s="22">
        <v>12</v>
      </c>
      <c r="M36" s="34">
        <v>74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v>0</v>
      </c>
      <c r="W36" s="15">
        <f>IFERROR(VLOOKUP(V36,'Puntos XCC Mayor'!$A$1:$B$15,2,FALSE),0)</f>
        <v>0</v>
      </c>
      <c r="X36" s="15">
        <v>0</v>
      </c>
      <c r="Y36" s="25">
        <f>IFERROR(VLOOKUP(X36,'Puntos XCO'!$A$1:$B$63,2,FALSE),0)</f>
        <v>0</v>
      </c>
      <c r="Z36" s="16">
        <f t="shared" si="2"/>
        <v>0</v>
      </c>
      <c r="AA36" s="15">
        <f>IFERROR(VLOOKUP(Z36,'Puntos XCC Mayor'!$A$1:$B$15,2,FALSE),0)</f>
        <v>0</v>
      </c>
      <c r="AB36" s="15">
        <f t="shared" si="3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4"/>
        <v>74</v>
      </c>
      <c r="AJ36" s="2"/>
      <c r="AK36" s="13"/>
      <c r="AL36" s="12"/>
      <c r="AM36" s="14"/>
    </row>
    <row r="37" spans="1:39" ht="24.95" customHeight="1">
      <c r="A37" s="22">
        <v>23</v>
      </c>
      <c r="B37" s="22">
        <v>23</v>
      </c>
      <c r="C37" s="22">
        <v>755</v>
      </c>
      <c r="D37" s="23" t="str">
        <f t="shared" si="0"/>
        <v>ALBERTO Luis</v>
      </c>
      <c r="E37" s="24" t="str">
        <f t="shared" si="1"/>
        <v xml:space="preserve">ESC GUIDO </v>
      </c>
      <c r="F37" s="3">
        <v>9</v>
      </c>
      <c r="G37" s="15">
        <v>2</v>
      </c>
      <c r="H37" s="3">
        <v>0</v>
      </c>
      <c r="I37" s="25">
        <v>0</v>
      </c>
      <c r="J37" s="33">
        <v>0</v>
      </c>
      <c r="K37" s="22">
        <v>0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v>0</v>
      </c>
      <c r="W37" s="15">
        <f>IFERROR(VLOOKUP(V37,'Puntos XCC Mayor'!$A$1:$B$15,2,FALSE),0)</f>
        <v>0</v>
      </c>
      <c r="X37" s="15">
        <v>0</v>
      </c>
      <c r="Y37" s="25">
        <f>IFERROR(VLOOKUP(X37,'Puntos XCO'!$A$1:$B$63,2,FALSE),0)</f>
        <v>0</v>
      </c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4"/>
        <v>2</v>
      </c>
      <c r="AJ37" s="3"/>
    </row>
    <row r="38" spans="1:39" ht="24.95" customHeight="1">
      <c r="A38" s="22">
        <v>24</v>
      </c>
      <c r="B38" s="22">
        <v>24</v>
      </c>
      <c r="C38" s="22">
        <v>770</v>
      </c>
      <c r="D38" s="23" t="str">
        <f t="shared" si="0"/>
        <v xml:space="preserve">SÁNCHEZ  Daniel Jesús </v>
      </c>
      <c r="E38" s="24" t="str">
        <f t="shared" si="1"/>
        <v/>
      </c>
      <c r="F38" s="3"/>
      <c r="G38" s="15"/>
      <c r="H38" s="3"/>
      <c r="I38" s="25"/>
      <c r="J38" s="33">
        <v>10</v>
      </c>
      <c r="K38" s="22">
        <v>1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2"/>
        <v>0</v>
      </c>
      <c r="AA38" s="15">
        <f>IFERROR(VLOOKUP(Z38,'Puntos XCC Mayor'!$A$1:$B$15,2,FALSE),0)</f>
        <v>0</v>
      </c>
      <c r="AB38" s="15">
        <f t="shared" si="3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4"/>
        <v>1</v>
      </c>
      <c r="AJ38" s="3"/>
    </row>
    <row r="39" spans="1:39" ht="24.95" customHeight="1">
      <c r="A39" s="3"/>
      <c r="B39" s="22"/>
      <c r="C39" s="22">
        <v>753</v>
      </c>
      <c r="D39" s="23" t="str">
        <f t="shared" si="0"/>
        <v xml:space="preserve">RAMIREZ  Cristian </v>
      </c>
      <c r="E39" s="24" t="str">
        <f t="shared" si="1"/>
        <v xml:space="preserve">TEAM RAMIREZ REPAUT </v>
      </c>
      <c r="F39" s="3"/>
      <c r="G39" s="15">
        <v>0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2"/>
        <v>0</v>
      </c>
      <c r="AA39" s="15">
        <f>IFERROR(VLOOKUP(Z39,'Puntos XCC Mayor'!$A$1:$B$15,2,FALSE),0)</f>
        <v>0</v>
      </c>
      <c r="AB39" s="15">
        <f t="shared" si="3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4"/>
        <v>0</v>
      </c>
      <c r="AJ39" s="3"/>
    </row>
    <row r="40" spans="1:39" ht="24.95" customHeight="1">
      <c r="A40" s="3"/>
      <c r="B40" s="22"/>
      <c r="C40" s="22">
        <v>762</v>
      </c>
      <c r="D40" s="23" t="str">
        <f t="shared" si="0"/>
        <v xml:space="preserve">VASQUEZ  Michael </v>
      </c>
      <c r="E40" s="24" t="str">
        <f t="shared" si="1"/>
        <v xml:space="preserve">INDEPENDIENTE </v>
      </c>
      <c r="F40" s="3"/>
      <c r="G40" s="15">
        <v>0</v>
      </c>
      <c r="H40" s="3">
        <v>0</v>
      </c>
      <c r="I40" s="25">
        <v>0</v>
      </c>
      <c r="J40" s="33">
        <v>0</v>
      </c>
      <c r="K40" s="22">
        <v>0</v>
      </c>
      <c r="L40" s="22">
        <v>0</v>
      </c>
      <c r="M40" s="34">
        <v>0</v>
      </c>
      <c r="N40" s="32"/>
      <c r="O40" s="30"/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0</v>
      </c>
      <c r="AA40" s="15">
        <f>IFERROR(VLOOKUP(Z40,'Puntos XCC Mayor'!$A$1:$B$15,2,FALSE),0)</f>
        <v>0</v>
      </c>
      <c r="AB40" s="15">
        <f t="shared" si="3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4"/>
        <v>0</v>
      </c>
      <c r="AJ40" s="3"/>
    </row>
    <row r="41" spans="1:39" ht="24.95" customHeight="1">
      <c r="A41" s="3"/>
      <c r="B41" s="3"/>
      <c r="C41" s="28"/>
      <c r="D41" s="23"/>
      <c r="E41" s="24"/>
      <c r="F41" s="3"/>
      <c r="G41" s="15"/>
      <c r="H41" s="15"/>
      <c r="I41" s="25"/>
      <c r="J41" s="26"/>
      <c r="K41" s="15"/>
      <c r="L41" s="15"/>
      <c r="M41" s="25"/>
      <c r="N41" s="16"/>
      <c r="O41" s="15"/>
      <c r="P41" s="3"/>
      <c r="Q41" s="25"/>
      <c r="R41" s="16"/>
      <c r="S41" s="15"/>
      <c r="T41" s="15"/>
      <c r="U41" s="25"/>
      <c r="V41" s="16"/>
      <c r="W41" s="15"/>
      <c r="X41" s="15"/>
      <c r="Y41" s="25"/>
      <c r="Z41" s="16"/>
      <c r="AA41" s="15"/>
      <c r="AB41" s="15"/>
      <c r="AC41" s="25"/>
      <c r="AD41" s="16"/>
      <c r="AE41" s="15"/>
      <c r="AF41" s="15"/>
      <c r="AG41" s="25"/>
      <c r="AH41" s="27"/>
      <c r="AJ41" s="3"/>
    </row>
    <row r="42" spans="1:39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4"/>
      <c r="Q42" s="65"/>
      <c r="R42" s="65"/>
      <c r="S42" s="65"/>
      <c r="T42" s="65"/>
      <c r="U42" s="65"/>
      <c r="V42" s="65"/>
      <c r="W42" s="65"/>
      <c r="X42" s="65"/>
      <c r="Y42" s="65"/>
      <c r="Z42" s="119"/>
      <c r="AA42" s="119"/>
      <c r="AB42" s="119"/>
      <c r="AC42" s="119"/>
      <c r="AD42" s="119"/>
      <c r="AE42" s="119"/>
      <c r="AF42" s="119"/>
      <c r="AG42" s="119"/>
      <c r="AH42" s="65"/>
    </row>
    <row r="43" spans="1:39">
      <c r="M43" s="9"/>
      <c r="N43" s="9"/>
      <c r="O43" s="9"/>
      <c r="P43" s="10"/>
      <c r="Q43" s="9"/>
      <c r="R43" s="9"/>
      <c r="S43" s="9"/>
      <c r="T43" s="9"/>
      <c r="U43" s="9"/>
    </row>
    <row r="44" spans="1:39" ht="127.5" customHeight="1"/>
    <row r="45" spans="1:39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4"/>
      <c r="Q45" s="65"/>
      <c r="R45" s="65"/>
      <c r="S45" s="65"/>
      <c r="T45" s="65"/>
      <c r="U45" s="65"/>
      <c r="V45" s="65"/>
      <c r="W45" s="65"/>
      <c r="X45" s="65"/>
      <c r="Y45" s="65"/>
      <c r="Z45" s="119"/>
      <c r="AA45" s="119"/>
      <c r="AB45" s="119"/>
      <c r="AC45" s="119"/>
      <c r="AD45" s="119"/>
      <c r="AE45" s="119"/>
      <c r="AF45" s="119"/>
      <c r="AG45" s="119"/>
      <c r="AH45" s="65"/>
    </row>
  </sheetData>
  <sortState ref="B15:AH40">
    <sortCondition descending="1" ref="AH15:AH40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42:C65520 C1:C9 C12:C14">
    <cfRule type="duplicateValues" dxfId="428" priority="57" stopIfTrue="1"/>
  </conditionalFormatting>
  <conditionalFormatting sqref="F41">
    <cfRule type="duplicateValues" dxfId="427" priority="58" stopIfTrue="1"/>
  </conditionalFormatting>
  <conditionalFormatting sqref="B41">
    <cfRule type="duplicateValues" dxfId="426" priority="59" stopIfTrue="1"/>
  </conditionalFormatting>
  <conditionalFormatting sqref="F37:F40">
    <cfRule type="duplicateValues" dxfId="425" priority="60" stopIfTrue="1"/>
  </conditionalFormatting>
  <conditionalFormatting sqref="B39:B40">
    <cfRule type="duplicateValues" dxfId="424" priority="61" stopIfTrue="1"/>
  </conditionalFormatting>
  <conditionalFormatting sqref="C37:C40">
    <cfRule type="duplicateValues" dxfId="423" priority="62"/>
  </conditionalFormatting>
  <conditionalFormatting sqref="C16 C18 C20 C22 C24 C26 C28">
    <cfRule type="duplicateValues" dxfId="422" priority="16"/>
  </conditionalFormatting>
  <conditionalFormatting sqref="AJ15:AJ41">
    <cfRule type="duplicateValues" dxfId="421" priority="7328"/>
  </conditionalFormatting>
  <conditionalFormatting sqref="C11">
    <cfRule type="duplicateValues" dxfId="420" priority="4" stopIfTrue="1"/>
  </conditionalFormatting>
  <conditionalFormatting sqref="C11">
    <cfRule type="duplicateValues" dxfId="419" priority="5" stopIfTrue="1"/>
  </conditionalFormatting>
  <conditionalFormatting sqref="D11">
    <cfRule type="duplicateValues" dxfId="418" priority="3" stopIfTrue="1"/>
  </conditionalFormatting>
  <conditionalFormatting sqref="C10">
    <cfRule type="duplicateValues" dxfId="417" priority="1" stopIfTrue="1"/>
  </conditionalFormatting>
  <conditionalFormatting sqref="C10">
    <cfRule type="duplicateValues" dxfId="41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pageSetUpPr fitToPage="1"/>
  </sheetPr>
  <dimension ref="A8:AM48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8.7109375" style="2" bestFit="1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82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96">
        <v>810</v>
      </c>
      <c r="D15" s="23" t="str">
        <f t="shared" ref="D15:D43" si="0">VLOOKUP(C15,PLANILLA,2,FALSE)</f>
        <v>AZPFEIFA MARCOS</v>
      </c>
      <c r="E15" s="24" t="str">
        <f t="shared" ref="E15:E43" si="1">VLOOKUP(C15,PLANILLA,4,FALSE)</f>
        <v>BOBBYS CYCLING TEAM</v>
      </c>
      <c r="F15" s="3">
        <v>1</v>
      </c>
      <c r="G15" s="15">
        <v>10</v>
      </c>
      <c r="H15" s="3">
        <v>1</v>
      </c>
      <c r="I15" s="25">
        <v>200</v>
      </c>
      <c r="J15" s="33">
        <v>0</v>
      </c>
      <c r="K15" s="22">
        <v>0</v>
      </c>
      <c r="L15" s="22">
        <v>1</v>
      </c>
      <c r="M15" s="34">
        <v>200</v>
      </c>
      <c r="N15" s="32">
        <f>IFERROR(VLOOKUP(C15,RESXCC_1,9,FALSE),0)</f>
        <v>0</v>
      </c>
      <c r="O15" s="30"/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2</v>
      </c>
      <c r="U15" s="39">
        <f>IFERROR(VLOOKUP(T15,'Puntos XCO'!$A$1:$B$63,2,FALSE),0)</f>
        <v>150</v>
      </c>
      <c r="V15" s="16">
        <v>0</v>
      </c>
      <c r="W15" s="15">
        <f>IFERROR(VLOOKUP(V15,'Puntos XCC Mayor'!$A$1:$B$15,2,FALSE),0)</f>
        <v>0</v>
      </c>
      <c r="X15" s="15">
        <v>0</v>
      </c>
      <c r="Y15" s="25">
        <f>IFERROR(VLOOKUP(X15,'Puntos XCO'!$A$1:$B$63,2,FALSE),0)</f>
        <v>0</v>
      </c>
      <c r="Z15" s="16">
        <f t="shared" ref="Z15:Z43" si="2">IFERROR(VLOOKUP($C15,RESXCC_1,9,FALSE),0)</f>
        <v>0</v>
      </c>
      <c r="AA15" s="15">
        <f>IFERROR(VLOOKUP(Z15,'Puntos XCC Mayor'!$A$1:$B$15,2,FALSE),0)</f>
        <v>0</v>
      </c>
      <c r="AB15" s="15">
        <f t="shared" ref="AB15:AB43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43" si="4">G15+I15+K15+M15+O15+Q15+S15+U15+W15+Y15+AA15+AC15+AE15+AG15</f>
        <v>920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3</v>
      </c>
      <c r="C16" s="96">
        <v>820</v>
      </c>
      <c r="D16" s="23" t="str">
        <f t="shared" si="0"/>
        <v>MENDEZ Diego</v>
      </c>
      <c r="E16" s="24" t="str">
        <f t="shared" si="1"/>
        <v>UT</v>
      </c>
      <c r="F16" s="3"/>
      <c r="G16" s="15"/>
      <c r="H16" s="3"/>
      <c r="I16" s="25"/>
      <c r="J16" s="33">
        <v>4</v>
      </c>
      <c r="K16" s="22">
        <v>7</v>
      </c>
      <c r="L16" s="22">
        <v>4</v>
      </c>
      <c r="M16" s="34">
        <v>110</v>
      </c>
      <c r="N16" s="32"/>
      <c r="O16" s="30"/>
      <c r="P16" s="3">
        <v>3</v>
      </c>
      <c r="Q16" s="34">
        <f>IFERROR(VLOOKUP(P16,'Puntos XCO'!$A$1:$B$63,2,FALSE),0)</f>
        <v>120</v>
      </c>
      <c r="R16" s="16">
        <v>2</v>
      </c>
      <c r="S16" s="3">
        <f>IFERROR(VLOOKUP(R16,'Puntos XCC Menor'!$A$1:$B$15,2,FALSE),0)</f>
        <v>9</v>
      </c>
      <c r="T16" s="15">
        <v>3</v>
      </c>
      <c r="U16" s="39">
        <f>IFERROR(VLOOKUP(T16,'Puntos XCO'!$A$1:$B$63,2,FALSE),0)</f>
        <v>120</v>
      </c>
      <c r="V16" s="16">
        <v>2</v>
      </c>
      <c r="W16" s="15">
        <f>IFERROR(VLOOKUP(V16,'Puntos XCC Mayor'!$A$1:$B$15,2,FALSE),0)</f>
        <v>20</v>
      </c>
      <c r="X16" s="15">
        <v>2</v>
      </c>
      <c r="Y16" s="25">
        <f>IFERROR(VLOOKUP(X16,'Puntos XCO'!$A$1:$B$63,2,FALSE),0)</f>
        <v>150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2</v>
      </c>
      <c r="AC16" s="25">
        <f>IFERROR(VLOOKUP(AB16,'Puntos XCO'!$A$1:$B$63,2,FALSE),0)</f>
        <v>150</v>
      </c>
      <c r="AD16" s="16"/>
      <c r="AE16" s="15"/>
      <c r="AF16" s="15"/>
      <c r="AG16" s="25"/>
      <c r="AH16" s="27">
        <f t="shared" si="4"/>
        <v>686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2</v>
      </c>
      <c r="C17" s="96">
        <v>802</v>
      </c>
      <c r="D17" s="23" t="str">
        <f t="shared" si="0"/>
        <v>CHACON Gonzalo</v>
      </c>
      <c r="E17" s="24" t="str">
        <f t="shared" si="1"/>
        <v>TEAM GOCHA</v>
      </c>
      <c r="F17" s="3">
        <v>2</v>
      </c>
      <c r="G17" s="15">
        <v>9</v>
      </c>
      <c r="H17" s="3">
        <v>0</v>
      </c>
      <c r="I17" s="25">
        <v>0</v>
      </c>
      <c r="J17" s="33">
        <v>0</v>
      </c>
      <c r="K17" s="22">
        <v>0</v>
      </c>
      <c r="L17" s="22">
        <v>0</v>
      </c>
      <c r="M17" s="34">
        <v>0</v>
      </c>
      <c r="N17" s="32"/>
      <c r="O17" s="30"/>
      <c r="P17" s="3">
        <v>1</v>
      </c>
      <c r="Q17" s="34">
        <f>IFERROR(VLOOKUP(P17,'Puntos XCO'!$A$1:$B$63,2,FALSE),0)</f>
        <v>200</v>
      </c>
      <c r="R17" s="16">
        <v>0</v>
      </c>
      <c r="S17" s="3">
        <f>IFERROR(VLOOKUP(R17,'Puntos XCC Menor'!$A$1:$B$15,2,FALSE),0)</f>
        <v>0</v>
      </c>
      <c r="T17" s="15">
        <v>1</v>
      </c>
      <c r="U17" s="39">
        <f>IFERROR(VLOOKUP(T17,'Puntos XCO'!$A$1:$B$63,2,FALSE),0)</f>
        <v>200</v>
      </c>
      <c r="V17" s="16">
        <v>1</v>
      </c>
      <c r="W17" s="15">
        <f>IFERROR(VLOOKUP(V17,'Puntos XCC Mayor'!$A$1:$B$15,2,FALSE),0)</f>
        <v>25</v>
      </c>
      <c r="X17" s="15">
        <v>1</v>
      </c>
      <c r="Y17" s="25">
        <f>IFERROR(VLOOKUP(X17,'Puntos XCO'!$A$1:$B$63,2,FALSE),0)</f>
        <v>200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634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96">
        <v>801</v>
      </c>
      <c r="D18" s="23" t="str">
        <f t="shared" si="0"/>
        <v>ELSEMAANI Jean Paul</v>
      </c>
      <c r="E18" s="24" t="str">
        <f t="shared" si="1"/>
        <v>HATOVIEJO - MOMIA TS</v>
      </c>
      <c r="F18" s="3">
        <v>7</v>
      </c>
      <c r="G18" s="15">
        <v>4</v>
      </c>
      <c r="H18" s="3">
        <v>3</v>
      </c>
      <c r="I18" s="25">
        <v>120</v>
      </c>
      <c r="J18" s="33">
        <v>5</v>
      </c>
      <c r="K18" s="22">
        <v>6</v>
      </c>
      <c r="L18" s="22">
        <v>8</v>
      </c>
      <c r="M18" s="34">
        <v>85</v>
      </c>
      <c r="N18" s="32"/>
      <c r="O18" s="30"/>
      <c r="P18" s="3">
        <v>8</v>
      </c>
      <c r="Q18" s="34">
        <f>IFERROR(VLOOKUP(P18,'Puntos XCO'!$A$1:$B$63,2,FALSE),0)</f>
        <v>85</v>
      </c>
      <c r="R18" s="16">
        <v>3</v>
      </c>
      <c r="S18" s="3">
        <f>IFERROR(VLOOKUP(R18,'Puntos XCC Menor'!$A$1:$B$15,2,FALSE),0)</f>
        <v>8</v>
      </c>
      <c r="T18" s="15">
        <v>6</v>
      </c>
      <c r="U18" s="39">
        <f>IFERROR(VLOOKUP(T18,'Puntos XCO'!$A$1:$B$63,2,FALSE),0)</f>
        <v>95</v>
      </c>
      <c r="V18" s="16">
        <v>6</v>
      </c>
      <c r="W18" s="15">
        <f>IFERROR(VLOOKUP(V18,'Puntos XCC Mayor'!$A$1:$B$15,2,FALSE),0)</f>
        <v>10</v>
      </c>
      <c r="X18" s="15">
        <v>6</v>
      </c>
      <c r="Y18" s="25">
        <f>IFERROR(VLOOKUP(X18,'Puntos XCO'!$A$1:$B$63,2,FALSE),0)</f>
        <v>95</v>
      </c>
      <c r="Z18" s="16">
        <f t="shared" si="2"/>
        <v>2</v>
      </c>
      <c r="AA18" s="15">
        <f>IFERROR(VLOOKUP(Z18,'Puntos XCC Mayor'!$A$1:$B$15,2,FALSE),0)</f>
        <v>20</v>
      </c>
      <c r="AB18" s="15">
        <f t="shared" si="3"/>
        <v>8</v>
      </c>
      <c r="AC18" s="25">
        <f>IFERROR(VLOOKUP(AB18,'Puntos XCO'!$A$1:$B$63,2,FALSE),0)</f>
        <v>85</v>
      </c>
      <c r="AD18" s="16"/>
      <c r="AE18" s="15"/>
      <c r="AF18" s="15"/>
      <c r="AG18" s="25"/>
      <c r="AH18" s="27">
        <f t="shared" si="4"/>
        <v>613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7</v>
      </c>
      <c r="C19" s="96">
        <v>814</v>
      </c>
      <c r="D19" s="23" t="str">
        <f t="shared" si="0"/>
        <v>LIZANO Federico</v>
      </c>
      <c r="E19" s="24" t="str">
        <f t="shared" si="1"/>
        <v>TEAM LIZANO HERRA</v>
      </c>
      <c r="F19" s="3">
        <v>0</v>
      </c>
      <c r="G19" s="15">
        <v>0</v>
      </c>
      <c r="H19" s="3">
        <v>8</v>
      </c>
      <c r="I19" s="25">
        <v>85</v>
      </c>
      <c r="J19" s="33">
        <v>10</v>
      </c>
      <c r="K19" s="22">
        <v>1</v>
      </c>
      <c r="L19" s="22">
        <v>11</v>
      </c>
      <c r="M19" s="34">
        <v>76</v>
      </c>
      <c r="N19" s="32"/>
      <c r="O19" s="30"/>
      <c r="P19" s="3">
        <v>11</v>
      </c>
      <c r="Q19" s="34">
        <f>IFERROR(VLOOKUP(P19,'Puntos XCO'!$A$1:$B$63,2,FALSE),0)</f>
        <v>76</v>
      </c>
      <c r="R19" s="16">
        <v>5</v>
      </c>
      <c r="S19" s="3">
        <f>IFERROR(VLOOKUP(R19,'Puntos XCC Menor'!$A$1:$B$15,2,FALSE),0)</f>
        <v>6</v>
      </c>
      <c r="T19" s="15">
        <v>4</v>
      </c>
      <c r="U19" s="39">
        <f>IFERROR(VLOOKUP(T19,'Puntos XCO'!$A$1:$B$63,2,FALSE),0)</f>
        <v>110</v>
      </c>
      <c r="V19" s="16">
        <v>8</v>
      </c>
      <c r="W19" s="15">
        <f>IFERROR(VLOOKUP(V19,'Puntos XCC Mayor'!$A$1:$B$15,2,FALSE),0)</f>
        <v>8</v>
      </c>
      <c r="X19" s="15">
        <v>7</v>
      </c>
      <c r="Y19" s="25">
        <f>IFERROR(VLOOKUP(X19,'Puntos XCO'!$A$1:$B$63,2,FALSE),0)</f>
        <v>90</v>
      </c>
      <c r="Z19" s="16">
        <f t="shared" si="2"/>
        <v>1</v>
      </c>
      <c r="AA19" s="15">
        <f>IFERROR(VLOOKUP(Z19,'Puntos XCC Mayor'!$A$1:$B$15,2,FALSE),0)</f>
        <v>25</v>
      </c>
      <c r="AB19" s="15">
        <f t="shared" si="3"/>
        <v>3</v>
      </c>
      <c r="AC19" s="25">
        <f>IFERROR(VLOOKUP(AB19,'Puntos XCO'!$A$1:$B$63,2,FALSE),0)</f>
        <v>120</v>
      </c>
      <c r="AD19" s="16"/>
      <c r="AE19" s="15"/>
      <c r="AF19" s="15"/>
      <c r="AG19" s="25"/>
      <c r="AH19" s="27">
        <f t="shared" si="4"/>
        <v>597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8</v>
      </c>
      <c r="C20" s="96">
        <v>805</v>
      </c>
      <c r="D20" s="23" t="str">
        <f t="shared" si="0"/>
        <v>FERNÁNDEZ Raúl</v>
      </c>
      <c r="E20" s="24" t="str">
        <f t="shared" si="1"/>
        <v>Independiente</v>
      </c>
      <c r="F20" s="3">
        <v>8</v>
      </c>
      <c r="G20" s="15">
        <v>3</v>
      </c>
      <c r="H20" s="3">
        <v>7</v>
      </c>
      <c r="I20" s="25">
        <v>90</v>
      </c>
      <c r="J20" s="33">
        <v>7</v>
      </c>
      <c r="K20" s="22">
        <v>4</v>
      </c>
      <c r="L20" s="22">
        <v>10</v>
      </c>
      <c r="M20" s="34">
        <v>78</v>
      </c>
      <c r="N20" s="32"/>
      <c r="O20" s="30"/>
      <c r="P20" s="3">
        <v>12</v>
      </c>
      <c r="Q20" s="34">
        <f>IFERROR(VLOOKUP(P20,'Puntos XCO'!$A$1:$B$63,2,FALSE),0)</f>
        <v>74</v>
      </c>
      <c r="R20" s="16">
        <v>7</v>
      </c>
      <c r="S20" s="3">
        <f>IFERROR(VLOOKUP(R20,'Puntos XCC Menor'!$A$1:$B$15,2,FALSE),0)</f>
        <v>4</v>
      </c>
      <c r="T20" s="15">
        <v>8</v>
      </c>
      <c r="U20" s="39">
        <f>IFERROR(VLOOKUP(T20,'Puntos XCO'!$A$1:$B$63,2,FALSE),0)</f>
        <v>85</v>
      </c>
      <c r="V20" s="16">
        <v>9</v>
      </c>
      <c r="W20" s="15">
        <f>IFERROR(VLOOKUP(V20,'Puntos XCC Mayor'!$A$1:$B$15,2,FALSE),0)</f>
        <v>7</v>
      </c>
      <c r="X20" s="15">
        <v>11</v>
      </c>
      <c r="Y20" s="25">
        <f>IFERROR(VLOOKUP(X20,'Puntos XCO'!$A$1:$B$63,2,FALSE),0)</f>
        <v>76</v>
      </c>
      <c r="Z20" s="16">
        <f t="shared" si="2"/>
        <v>7</v>
      </c>
      <c r="AA20" s="15">
        <f>IFERROR(VLOOKUP(Z20,'Puntos XCC Mayor'!$A$1:$B$15,2,FALSE),0)</f>
        <v>9</v>
      </c>
      <c r="AB20" s="15">
        <f t="shared" si="3"/>
        <v>6</v>
      </c>
      <c r="AC20" s="25">
        <f>IFERROR(VLOOKUP(AB20,'Puntos XCO'!$A$1:$B$63,2,FALSE),0)</f>
        <v>95</v>
      </c>
      <c r="AD20" s="16"/>
      <c r="AE20" s="15"/>
      <c r="AF20" s="15"/>
      <c r="AG20" s="25"/>
      <c r="AH20" s="27">
        <f t="shared" si="4"/>
        <v>525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5</v>
      </c>
      <c r="C21" s="96">
        <v>813</v>
      </c>
      <c r="D21" s="23" t="str">
        <f t="shared" si="0"/>
        <v xml:space="preserve">GARCIA Jorge </v>
      </c>
      <c r="E21" s="24" t="str">
        <f t="shared" si="1"/>
        <v xml:space="preserve">Grupeta 5 am </v>
      </c>
      <c r="F21" s="3">
        <v>0</v>
      </c>
      <c r="G21" s="15">
        <v>0</v>
      </c>
      <c r="H21" s="3">
        <v>6</v>
      </c>
      <c r="I21" s="25">
        <v>95</v>
      </c>
      <c r="J21" s="33">
        <v>0</v>
      </c>
      <c r="K21" s="22">
        <v>0</v>
      </c>
      <c r="L21" s="22">
        <v>6</v>
      </c>
      <c r="M21" s="34">
        <v>95</v>
      </c>
      <c r="N21" s="32"/>
      <c r="O21" s="30"/>
      <c r="P21" s="3">
        <v>5</v>
      </c>
      <c r="Q21" s="34">
        <f>IFERROR(VLOOKUP(P21,'Puntos XCO'!$A$1:$B$63,2,FALSE),0)</f>
        <v>100</v>
      </c>
      <c r="R21" s="16">
        <v>0</v>
      </c>
      <c r="S21" s="3">
        <f>IFERROR(VLOOKUP(R21,'Puntos XCC Menor'!$A$1:$B$15,2,FALSE),0)</f>
        <v>0</v>
      </c>
      <c r="T21" s="15">
        <v>7</v>
      </c>
      <c r="U21" s="39">
        <f>IFERROR(VLOOKUP(T21,'Puntos XCO'!$A$1:$B$63,2,FALSE),0)</f>
        <v>90</v>
      </c>
      <c r="V21" s="16">
        <v>4</v>
      </c>
      <c r="W21" s="15">
        <f>IFERROR(VLOOKUP(V21,'Puntos XCC Mayor'!$A$1:$B$15,2,FALSE),0)</f>
        <v>14</v>
      </c>
      <c r="X21" s="15">
        <v>5</v>
      </c>
      <c r="Y21" s="25">
        <f>IFERROR(VLOOKUP(X21,'Puntos XCO'!$A$1:$B$63,2,FALSE),0)</f>
        <v>100</v>
      </c>
      <c r="Z21" s="16">
        <f t="shared" si="2"/>
        <v>3</v>
      </c>
      <c r="AA21" s="15">
        <f>IFERROR(VLOOKUP(Z21,'Puntos XCC Mayor'!$A$1:$B$15,2,FALSE),0)</f>
        <v>16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510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6</v>
      </c>
      <c r="C22" s="96">
        <v>811</v>
      </c>
      <c r="D22" s="23" t="str">
        <f t="shared" si="0"/>
        <v xml:space="preserve">RECIO  Rodrigo </v>
      </c>
      <c r="E22" s="24" t="str">
        <f t="shared" si="1"/>
        <v>VEINTE24</v>
      </c>
      <c r="F22" s="3">
        <v>0</v>
      </c>
      <c r="G22" s="15">
        <v>0</v>
      </c>
      <c r="H22" s="3">
        <v>5</v>
      </c>
      <c r="I22" s="25">
        <v>100</v>
      </c>
      <c r="J22" s="33">
        <v>0</v>
      </c>
      <c r="K22" s="22">
        <v>0</v>
      </c>
      <c r="L22" s="22">
        <v>7</v>
      </c>
      <c r="M22" s="34">
        <v>90</v>
      </c>
      <c r="N22" s="32"/>
      <c r="O22" s="30"/>
      <c r="P22" s="3">
        <v>9</v>
      </c>
      <c r="Q22" s="34">
        <f>IFERROR(VLOOKUP(P22,'Puntos XCO'!$A$1:$B$63,2,FALSE),0)</f>
        <v>80</v>
      </c>
      <c r="R22" s="16">
        <v>0</v>
      </c>
      <c r="S22" s="3">
        <f>IFERROR(VLOOKUP(R22,'Puntos XCC Menor'!$A$1:$B$15,2,FALSE),0)</f>
        <v>0</v>
      </c>
      <c r="T22" s="15">
        <v>5</v>
      </c>
      <c r="U22" s="39">
        <f>IFERROR(VLOOKUP(T22,'Puntos XCO'!$A$1:$B$63,2,FALSE),0)</f>
        <v>100</v>
      </c>
      <c r="V22" s="16">
        <v>7</v>
      </c>
      <c r="W22" s="15">
        <f>IFERROR(VLOOKUP(V22,'Puntos XCC Mayor'!$A$1:$B$15,2,FALSE),0)</f>
        <v>9</v>
      </c>
      <c r="X22" s="15">
        <v>9</v>
      </c>
      <c r="Y22" s="25">
        <f>IFERROR(VLOOKUP(X22,'Puntos XCO'!$A$1:$B$63,2,FALSE),0)</f>
        <v>80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459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9</v>
      </c>
      <c r="C23" s="96">
        <v>809</v>
      </c>
      <c r="D23" s="23" t="str">
        <f t="shared" si="0"/>
        <v>AZOFEIFA Guillermo</v>
      </c>
      <c r="E23" s="24" t="str">
        <f t="shared" si="1"/>
        <v>LOTUS TEAM</v>
      </c>
      <c r="F23" s="3">
        <v>6</v>
      </c>
      <c r="G23" s="15">
        <v>5</v>
      </c>
      <c r="H23" s="3">
        <v>0</v>
      </c>
      <c r="I23" s="25">
        <v>0</v>
      </c>
      <c r="J23" s="33">
        <v>6</v>
      </c>
      <c r="K23" s="22">
        <v>5</v>
      </c>
      <c r="L23" s="22">
        <v>9</v>
      </c>
      <c r="M23" s="34">
        <v>80</v>
      </c>
      <c r="N23" s="32"/>
      <c r="O23" s="30"/>
      <c r="P23" s="3">
        <v>10</v>
      </c>
      <c r="Q23" s="34">
        <f>IFERROR(VLOOKUP(P23,'Puntos XCO'!$A$1:$B$63,2,FALSE),0)</f>
        <v>78</v>
      </c>
      <c r="R23" s="16">
        <v>4</v>
      </c>
      <c r="S23" s="3">
        <f>IFERROR(VLOOKUP(R23,'Puntos XCC Menor'!$A$1:$B$15,2,FALSE),0)</f>
        <v>7</v>
      </c>
      <c r="T23" s="15">
        <v>10</v>
      </c>
      <c r="U23" s="39">
        <f>IFERROR(VLOOKUP(T23,'Puntos XCO'!$A$1:$B$63,2,FALSE),0)</f>
        <v>78</v>
      </c>
      <c r="V23" s="16">
        <v>0</v>
      </c>
      <c r="W23" s="15">
        <f>IFERROR(VLOOKUP(V23,'Puntos XCC Mayor'!$A$1:$B$15,2,FALSE),0)</f>
        <v>0</v>
      </c>
      <c r="X23" s="15">
        <v>10</v>
      </c>
      <c r="Y23" s="25">
        <f>IFERROR(VLOOKUP(X23,'Puntos XCO'!$A$1:$B$63,2,FALSE),0)</f>
        <v>78</v>
      </c>
      <c r="Z23" s="16">
        <f t="shared" si="2"/>
        <v>4</v>
      </c>
      <c r="AA23" s="15">
        <f>IFERROR(VLOOKUP(Z23,'Puntos XCC Mayor'!$A$1:$B$15,2,FALSE),0)</f>
        <v>14</v>
      </c>
      <c r="AB23" s="15">
        <f t="shared" si="3"/>
        <v>4</v>
      </c>
      <c r="AC23" s="25">
        <f>IFERROR(VLOOKUP(AB23,'Puntos XCO'!$A$1:$B$63,2,FALSE),0)</f>
        <v>110</v>
      </c>
      <c r="AD23" s="16"/>
      <c r="AE23" s="15"/>
      <c r="AF23" s="15"/>
      <c r="AG23" s="25"/>
      <c r="AH23" s="27">
        <f t="shared" si="4"/>
        <v>455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96">
        <v>816</v>
      </c>
      <c r="D24" s="23" t="str">
        <f t="shared" si="0"/>
        <v xml:space="preserve">CAMPOS  Sergio </v>
      </c>
      <c r="E24" s="24" t="str">
        <f t="shared" si="1"/>
        <v xml:space="preserve">SPOT DETAIL FACTORY TEAM </v>
      </c>
      <c r="F24" s="3">
        <v>5</v>
      </c>
      <c r="G24" s="15">
        <v>6</v>
      </c>
      <c r="H24" s="3">
        <v>2</v>
      </c>
      <c r="I24" s="25">
        <v>150</v>
      </c>
      <c r="J24" s="33">
        <v>0</v>
      </c>
      <c r="K24" s="22">
        <v>0</v>
      </c>
      <c r="L24" s="22">
        <v>0</v>
      </c>
      <c r="M24" s="34">
        <v>0</v>
      </c>
      <c r="N24" s="32"/>
      <c r="O24" s="30"/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3</v>
      </c>
      <c r="W24" s="15">
        <f>IFERROR(VLOOKUP(V24,'Puntos XCC Mayor'!$A$1:$B$15,2,FALSE),0)</f>
        <v>16</v>
      </c>
      <c r="X24" s="15">
        <v>3</v>
      </c>
      <c r="Y24" s="25">
        <f>IFERROR(VLOOKUP(X24,'Puntos XCO'!$A$1:$B$63,2,FALSE),0)</f>
        <v>120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292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96">
        <v>818</v>
      </c>
      <c r="D25" s="23" t="str">
        <f t="shared" si="0"/>
        <v>LOPEZ Jose</v>
      </c>
      <c r="E25" s="24" t="str">
        <f t="shared" si="1"/>
        <v>TEAM GOCHA</v>
      </c>
      <c r="F25" s="3"/>
      <c r="G25" s="15"/>
      <c r="H25" s="3"/>
      <c r="I25" s="25"/>
      <c r="J25" s="33">
        <v>1</v>
      </c>
      <c r="K25" s="22">
        <v>10</v>
      </c>
      <c r="L25" s="22">
        <v>2</v>
      </c>
      <c r="M25" s="34">
        <v>150</v>
      </c>
      <c r="N25" s="32"/>
      <c r="O25" s="30"/>
      <c r="P25" s="3">
        <v>4</v>
      </c>
      <c r="Q25" s="34">
        <f>IFERROR(VLOOKUP(P25,'Puntos XCO'!$A$1:$B$63,2,FALSE),0)</f>
        <v>110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270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18</v>
      </c>
      <c r="C26" s="96">
        <v>825</v>
      </c>
      <c r="D26" s="23" t="str">
        <f t="shared" si="0"/>
        <v xml:space="preserve">VALERIO Walter </v>
      </c>
      <c r="E26" s="24" t="str">
        <f t="shared" si="1"/>
        <v>Fish and Chips</v>
      </c>
      <c r="F26" s="3"/>
      <c r="G26" s="15"/>
      <c r="H26" s="3"/>
      <c r="I26" s="25"/>
      <c r="J26" s="33"/>
      <c r="K26" s="22"/>
      <c r="L26" s="22"/>
      <c r="M26" s="34"/>
      <c r="N26" s="32"/>
      <c r="O26" s="30"/>
      <c r="P26" s="3"/>
      <c r="Q26" s="34"/>
      <c r="R26" s="16"/>
      <c r="S26" s="3"/>
      <c r="T26" s="15"/>
      <c r="U26" s="39"/>
      <c r="V26" s="16">
        <v>5</v>
      </c>
      <c r="W26" s="15">
        <f>IFERROR(VLOOKUP(V26,'Puntos XCC Mayor'!$A$1:$B$15,2,FALSE),0)</f>
        <v>12</v>
      </c>
      <c r="X26" s="15">
        <v>8</v>
      </c>
      <c r="Y26" s="25">
        <f>IFERROR(VLOOKUP(X26,'Puntos XCO'!$A$1:$B$63,2,FALSE),0)</f>
        <v>85</v>
      </c>
      <c r="Z26" s="16">
        <f t="shared" si="2"/>
        <v>5</v>
      </c>
      <c r="AA26" s="15">
        <f>IFERROR(VLOOKUP(Z26,'Puntos XCC Mayor'!$A$1:$B$15,2,FALSE),0)</f>
        <v>12</v>
      </c>
      <c r="AB26" s="15">
        <f t="shared" si="3"/>
        <v>5</v>
      </c>
      <c r="AC26" s="25">
        <f>IFERROR(VLOOKUP(AB26,'Puntos XCO'!$A$1:$B$63,2,FALSE),0)</f>
        <v>100</v>
      </c>
      <c r="AD26" s="16"/>
      <c r="AE26" s="15"/>
      <c r="AF26" s="15"/>
      <c r="AG26" s="25"/>
      <c r="AH26" s="27">
        <f t="shared" si="4"/>
        <v>209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12</v>
      </c>
      <c r="C27" s="96">
        <v>823</v>
      </c>
      <c r="D27" s="23" t="str">
        <f t="shared" si="0"/>
        <v>LORIA Luis</v>
      </c>
      <c r="E27" s="24" t="str">
        <f t="shared" si="1"/>
        <v/>
      </c>
      <c r="F27" s="3"/>
      <c r="G27" s="15"/>
      <c r="H27" s="3"/>
      <c r="I27" s="25"/>
      <c r="J27" s="33"/>
      <c r="K27" s="22"/>
      <c r="L27" s="22"/>
      <c r="M27" s="34"/>
      <c r="N27" s="32"/>
      <c r="O27" s="30"/>
      <c r="P27" s="3">
        <v>13</v>
      </c>
      <c r="Q27" s="34">
        <f>IFERROR(VLOOKUP(P27,'Puntos XCO'!$A$1:$B$63,2,FALSE),0)</f>
        <v>72</v>
      </c>
      <c r="R27" s="16">
        <v>6</v>
      </c>
      <c r="S27" s="3">
        <f>IFERROR(VLOOKUP(R27,'Puntos XCC Menor'!$A$1:$B$15,2,FALSE),0)</f>
        <v>5</v>
      </c>
      <c r="T27" s="15">
        <v>9</v>
      </c>
      <c r="U27" s="39">
        <f>IFERROR(VLOOKUP(T27,'Puntos XCO'!$A$1:$B$63,2,FALSE),0)</f>
        <v>80</v>
      </c>
      <c r="V27" s="16">
        <v>0</v>
      </c>
      <c r="W27" s="15">
        <f>IFERROR(VLOOKUP(V27,'Puntos XCC Mayor'!$A$1:$B$15,2,FALSE),0)</f>
        <v>0</v>
      </c>
      <c r="X27" s="15">
        <v>0</v>
      </c>
      <c r="Y27" s="25">
        <f>IFERROR(VLOOKUP(X27,'Puntos XCO'!$A$1:$B$63,2,FALSE),0)</f>
        <v>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157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13</v>
      </c>
      <c r="C28" s="96">
        <v>808</v>
      </c>
      <c r="D28" s="23" t="str">
        <f t="shared" si="0"/>
        <v xml:space="preserve">SANABRIA  Carlos Alonso </v>
      </c>
      <c r="E28" s="24" t="str">
        <f t="shared" si="1"/>
        <v xml:space="preserve">BIKE BROS CYCLING </v>
      </c>
      <c r="F28" s="3">
        <v>0</v>
      </c>
      <c r="G28" s="15">
        <v>0</v>
      </c>
      <c r="H28" s="3">
        <v>0</v>
      </c>
      <c r="I28" s="25">
        <v>0</v>
      </c>
      <c r="J28" s="33">
        <v>3</v>
      </c>
      <c r="K28" s="22">
        <v>8</v>
      </c>
      <c r="L28" s="22">
        <v>3</v>
      </c>
      <c r="M28" s="34">
        <v>120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v>0</v>
      </c>
      <c r="W28" s="15">
        <f>IFERROR(VLOOKUP(V28,'Puntos XCC Mayor'!$A$1:$B$15,2,FALSE),0)</f>
        <v>0</v>
      </c>
      <c r="X28" s="15">
        <v>0</v>
      </c>
      <c r="Y28" s="25">
        <f>IFERROR(VLOOKUP(X28,'Puntos XCO'!$A$1:$B$63,2,FALSE),0)</f>
        <v>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128</v>
      </c>
      <c r="AJ28" s="3"/>
      <c r="AM28" s="29"/>
    </row>
    <row r="29" spans="1:39" ht="24.95" customHeight="1">
      <c r="A29" s="22">
        <v>15</v>
      </c>
      <c r="B29" s="22">
        <v>14</v>
      </c>
      <c r="C29" s="96">
        <v>812</v>
      </c>
      <c r="D29" s="23" t="str">
        <f t="shared" si="0"/>
        <v>CÓRDOBA  Juan José</v>
      </c>
      <c r="E29" s="24" t="str">
        <f t="shared" si="1"/>
        <v xml:space="preserve">KBCT - IMPORTADORA SALAZAR </v>
      </c>
      <c r="F29" s="3">
        <v>4</v>
      </c>
      <c r="G29" s="15">
        <v>7</v>
      </c>
      <c r="H29" s="3">
        <v>4</v>
      </c>
      <c r="I29" s="25">
        <v>110</v>
      </c>
      <c r="J29" s="33">
        <v>0</v>
      </c>
      <c r="K29" s="22">
        <v>0</v>
      </c>
      <c r="L29" s="22">
        <v>0</v>
      </c>
      <c r="M29" s="34">
        <v>0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117</v>
      </c>
      <c r="AJ29" s="3"/>
    </row>
    <row r="30" spans="1:39" ht="24.95" customHeight="1">
      <c r="A30" s="22">
        <v>16</v>
      </c>
      <c r="B30" s="22">
        <v>15</v>
      </c>
      <c r="C30" s="96">
        <v>824</v>
      </c>
      <c r="D30" s="23" t="str">
        <f t="shared" si="0"/>
        <v>RAMÍREZ  Luis</v>
      </c>
      <c r="E30" s="24" t="str">
        <f t="shared" si="1"/>
        <v xml:space="preserve">GOCHA CYCLING TEAM </v>
      </c>
      <c r="F30" s="3"/>
      <c r="G30" s="15"/>
      <c r="H30" s="3"/>
      <c r="I30" s="25"/>
      <c r="J30" s="33"/>
      <c r="K30" s="22"/>
      <c r="L30" s="22"/>
      <c r="M30" s="34"/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4</v>
      </c>
      <c r="Y30" s="25">
        <f>IFERROR(VLOOKUP(X30,'Puntos XCO'!$A$1:$B$63,2,FALSE),0)</f>
        <v>110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110</v>
      </c>
      <c r="AJ30" s="3"/>
    </row>
    <row r="31" spans="1:39" ht="24.95" customHeight="1">
      <c r="A31" s="22">
        <v>17</v>
      </c>
      <c r="B31" s="22">
        <v>16</v>
      </c>
      <c r="C31" s="96">
        <v>819</v>
      </c>
      <c r="D31" s="23" t="str">
        <f t="shared" si="0"/>
        <v xml:space="preserve">VILLALTA Carlos </v>
      </c>
      <c r="E31" s="24" t="str">
        <f t="shared" si="1"/>
        <v>TEAM GOCHA</v>
      </c>
      <c r="F31" s="3"/>
      <c r="G31" s="15"/>
      <c r="H31" s="3"/>
      <c r="I31" s="25"/>
      <c r="J31" s="33">
        <v>2</v>
      </c>
      <c r="K31" s="22">
        <v>9</v>
      </c>
      <c r="L31" s="22">
        <v>5</v>
      </c>
      <c r="M31" s="34">
        <v>100</v>
      </c>
      <c r="N31" s="32"/>
      <c r="O31" s="30"/>
      <c r="P31" s="3">
        <v>0</v>
      </c>
      <c r="Q31" s="34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109</v>
      </c>
      <c r="AJ31" s="3"/>
    </row>
    <row r="32" spans="1:39" ht="24.95" customHeight="1">
      <c r="A32" s="22">
        <v>18</v>
      </c>
      <c r="B32" s="22"/>
      <c r="C32" s="108">
        <v>829</v>
      </c>
      <c r="D32" s="23" t="str">
        <f t="shared" si="0"/>
        <v xml:space="preserve">RUBÍ Andrés </v>
      </c>
      <c r="E32" s="24" t="str">
        <f t="shared" si="1"/>
        <v>CODEA (Chepe)</v>
      </c>
      <c r="F32" s="3"/>
      <c r="G32" s="15"/>
      <c r="H32" s="3"/>
      <c r="I32" s="25"/>
      <c r="J32" s="33"/>
      <c r="K32" s="22"/>
      <c r="L32" s="22"/>
      <c r="M32" s="34"/>
      <c r="N32" s="32"/>
      <c r="O32" s="30"/>
      <c r="P32" s="3"/>
      <c r="Q32" s="34"/>
      <c r="R32" s="16"/>
      <c r="S32" s="3"/>
      <c r="T32" s="15"/>
      <c r="U32" s="39"/>
      <c r="V32" s="16"/>
      <c r="W32" s="15"/>
      <c r="X32" s="15"/>
      <c r="Y32" s="25"/>
      <c r="Z32" s="16">
        <f t="shared" si="2"/>
        <v>6</v>
      </c>
      <c r="AA32" s="15">
        <f>IFERROR(VLOOKUP(Z32,'Puntos XCC Mayor'!$A$1:$B$15,2,FALSE),0)</f>
        <v>10</v>
      </c>
      <c r="AB32" s="15">
        <f t="shared" si="3"/>
        <v>7</v>
      </c>
      <c r="AC32" s="25">
        <f>IFERROR(VLOOKUP(AB32,'Puntos XCO'!$A$1:$B$63,2,FALSE),0)</f>
        <v>90</v>
      </c>
      <c r="AD32" s="16"/>
      <c r="AE32" s="15"/>
      <c r="AF32" s="15"/>
      <c r="AG32" s="25"/>
      <c r="AH32" s="27">
        <f t="shared" si="4"/>
        <v>100</v>
      </c>
      <c r="AJ32" s="3"/>
    </row>
    <row r="33" spans="1:36" ht="24.95" customHeight="1">
      <c r="A33" s="22">
        <v>19</v>
      </c>
      <c r="B33" s="22">
        <v>17</v>
      </c>
      <c r="C33" s="96">
        <v>806</v>
      </c>
      <c r="D33" s="23" t="str">
        <f t="shared" si="0"/>
        <v xml:space="preserve">VILLALOBOS  Steven </v>
      </c>
      <c r="E33" s="24" t="str">
        <f t="shared" si="1"/>
        <v xml:space="preserve">CALLE NIÑO SANO </v>
      </c>
      <c r="F33" s="3">
        <v>3</v>
      </c>
      <c r="G33" s="15">
        <v>8</v>
      </c>
      <c r="H33" s="3">
        <v>0</v>
      </c>
      <c r="I33" s="25">
        <v>0</v>
      </c>
      <c r="J33" s="33">
        <v>0</v>
      </c>
      <c r="K33" s="22">
        <v>0</v>
      </c>
      <c r="L33" s="22">
        <v>0</v>
      </c>
      <c r="M33" s="34">
        <v>0</v>
      </c>
      <c r="N33" s="32"/>
      <c r="O33" s="30"/>
      <c r="P33" s="3">
        <v>7</v>
      </c>
      <c r="Q33" s="34">
        <f>IFERROR(VLOOKUP(P33,'Puntos XCO'!$A$1:$B$63,2,FALSE),0)</f>
        <v>90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98</v>
      </c>
      <c r="AJ33" s="3"/>
    </row>
    <row r="34" spans="1:36" ht="24.95" customHeight="1">
      <c r="A34" s="22">
        <v>20</v>
      </c>
      <c r="B34" s="22">
        <v>19</v>
      </c>
      <c r="C34" s="96">
        <v>822</v>
      </c>
      <c r="D34" s="23" t="str">
        <f t="shared" si="0"/>
        <v>PEREZ Hector</v>
      </c>
      <c r="E34" s="24" t="str">
        <f t="shared" si="1"/>
        <v>GW ERCO SPORTFITNESS</v>
      </c>
      <c r="F34" s="3"/>
      <c r="G34" s="15"/>
      <c r="H34" s="3"/>
      <c r="I34" s="25"/>
      <c r="J34" s="33"/>
      <c r="K34" s="22"/>
      <c r="L34" s="22"/>
      <c r="M34" s="34"/>
      <c r="N34" s="32"/>
      <c r="O34" s="30"/>
      <c r="P34" s="3">
        <v>6</v>
      </c>
      <c r="Q34" s="34">
        <f>IFERROR(VLOOKUP(P34,'Puntos XCO'!$A$1:$B$63,2,FALSE),0)</f>
        <v>95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0</v>
      </c>
      <c r="W34" s="15">
        <f>IFERROR(VLOOKUP(V34,'Puntos XCC Mayor'!$A$1:$B$15,2,FALSE),0)</f>
        <v>0</v>
      </c>
      <c r="X34" s="15">
        <v>0</v>
      </c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95</v>
      </c>
      <c r="AJ34" s="3"/>
    </row>
    <row r="35" spans="1:36" ht="24.95" customHeight="1">
      <c r="A35" s="22">
        <v>21</v>
      </c>
      <c r="B35" s="22">
        <v>20</v>
      </c>
      <c r="C35" s="96">
        <v>821</v>
      </c>
      <c r="D35" s="23" t="str">
        <f t="shared" si="0"/>
        <v>UBAU Randall</v>
      </c>
      <c r="E35" s="24" t="str">
        <f t="shared" si="1"/>
        <v>VIVÉLO</v>
      </c>
      <c r="F35" s="3"/>
      <c r="G35" s="15"/>
      <c r="H35" s="3"/>
      <c r="I35" s="25"/>
      <c r="J35" s="33">
        <v>0</v>
      </c>
      <c r="K35" s="22">
        <v>0</v>
      </c>
      <c r="L35" s="22">
        <v>12</v>
      </c>
      <c r="M35" s="34">
        <v>74</v>
      </c>
      <c r="N35" s="32"/>
      <c r="O35" s="30"/>
      <c r="P35" s="3">
        <v>0</v>
      </c>
      <c r="Q35" s="34">
        <f>IFERROR(VLOOKUP(P35,'Puntos XCO'!$A$1:$B$63,2,FALSE),0)</f>
        <v>0</v>
      </c>
      <c r="R35" s="16">
        <v>0</v>
      </c>
      <c r="S35" s="3">
        <f>IFERROR(VLOOKUP(R35,'Puntos XCC Menor'!$A$1:$B$15,2,FALSE),0)</f>
        <v>0</v>
      </c>
      <c r="T35" s="15">
        <v>0</v>
      </c>
      <c r="U35" s="39">
        <f>IFERROR(VLOOKUP(T35,'Puntos XCO'!$A$1:$B$63,2,FALSE),0)</f>
        <v>0</v>
      </c>
      <c r="V35" s="16">
        <v>0</v>
      </c>
      <c r="W35" s="15">
        <f>IFERROR(VLOOKUP(V35,'Puntos XCC Mayor'!$A$1:$B$15,2,FALSE),0)</f>
        <v>0</v>
      </c>
      <c r="X35" s="15">
        <v>0</v>
      </c>
      <c r="Y35" s="25">
        <f>IFERROR(VLOOKUP(X35,'Puntos XCO'!$A$1:$B$63,2,FALSE),0)</f>
        <v>0</v>
      </c>
      <c r="Z35" s="16">
        <f t="shared" si="2"/>
        <v>0</v>
      </c>
      <c r="AA35" s="15">
        <f>IFERROR(VLOOKUP(Z35,'Puntos XCC Mayor'!$A$1:$B$15,2,FALSE),0)</f>
        <v>0</v>
      </c>
      <c r="AB35" s="15">
        <f t="shared" si="3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4"/>
        <v>74</v>
      </c>
      <c r="AJ35" s="3"/>
    </row>
    <row r="36" spans="1:36" ht="24.95" customHeight="1">
      <c r="A36" s="22">
        <v>22</v>
      </c>
      <c r="B36" s="22">
        <v>21</v>
      </c>
      <c r="C36" s="96">
        <v>815</v>
      </c>
      <c r="D36" s="23" t="str">
        <f t="shared" si="0"/>
        <v xml:space="preserve">CAMPOS  Eduardo Alberto </v>
      </c>
      <c r="E36" s="24" t="str">
        <f t="shared" si="1"/>
        <v xml:space="preserve">TEAM CQ.PZ </v>
      </c>
      <c r="F36" s="3">
        <v>0</v>
      </c>
      <c r="G36" s="15">
        <v>0</v>
      </c>
      <c r="H36" s="3">
        <v>0</v>
      </c>
      <c r="I36" s="25">
        <v>0</v>
      </c>
      <c r="J36" s="33">
        <v>9</v>
      </c>
      <c r="K36" s="22">
        <v>2</v>
      </c>
      <c r="L36" s="22">
        <v>13</v>
      </c>
      <c r="M36" s="34">
        <v>72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v>0</v>
      </c>
      <c r="W36" s="15">
        <f>IFERROR(VLOOKUP(V36,'Puntos XCC Mayor'!$A$1:$B$15,2,FALSE),0)</f>
        <v>0</v>
      </c>
      <c r="X36" s="15">
        <v>0</v>
      </c>
      <c r="Y36" s="25">
        <f>IFERROR(VLOOKUP(X36,'Puntos XCO'!$A$1:$B$63,2,FALSE),0)</f>
        <v>0</v>
      </c>
      <c r="Z36" s="16">
        <f t="shared" si="2"/>
        <v>0</v>
      </c>
      <c r="AA36" s="15">
        <f>IFERROR(VLOOKUP(Z36,'Puntos XCC Mayor'!$A$1:$B$15,2,FALSE),0)</f>
        <v>0</v>
      </c>
      <c r="AB36" s="15">
        <f t="shared" si="3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4"/>
        <v>74</v>
      </c>
      <c r="AJ36" s="3"/>
    </row>
    <row r="37" spans="1:36" ht="24.95" customHeight="1">
      <c r="A37" s="22">
        <v>23</v>
      </c>
      <c r="B37" s="22">
        <v>22</v>
      </c>
      <c r="C37" s="96">
        <v>827</v>
      </c>
      <c r="D37" s="23" t="str">
        <f t="shared" si="0"/>
        <v>CASTRO Felipe</v>
      </c>
      <c r="E37" s="24" t="str">
        <f t="shared" si="1"/>
        <v/>
      </c>
      <c r="F37" s="3"/>
      <c r="G37" s="15"/>
      <c r="H37" s="3"/>
      <c r="I37" s="25"/>
      <c r="J37" s="33"/>
      <c r="K37" s="22"/>
      <c r="L37" s="22"/>
      <c r="M37" s="34"/>
      <c r="N37" s="32"/>
      <c r="O37" s="30"/>
      <c r="P37" s="3"/>
      <c r="Q37" s="34"/>
      <c r="R37" s="16"/>
      <c r="S37" s="3"/>
      <c r="T37" s="15"/>
      <c r="U37" s="39"/>
      <c r="V37" s="16">
        <v>0</v>
      </c>
      <c r="W37" s="15">
        <f>IFERROR(VLOOKUP(V37,'Puntos XCC Mayor'!$A$1:$B$15,2,FALSE),0)</f>
        <v>0</v>
      </c>
      <c r="X37" s="15">
        <v>12</v>
      </c>
      <c r="Y37" s="25">
        <f>IFERROR(VLOOKUP(X37,'Puntos XCO'!$A$1:$B$63,2,FALSE),0)</f>
        <v>74</v>
      </c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4"/>
        <v>74</v>
      </c>
      <c r="AJ37" s="3"/>
    </row>
    <row r="38" spans="1:36" ht="24.95" customHeight="1">
      <c r="A38" s="22">
        <v>24</v>
      </c>
      <c r="B38" s="22">
        <v>23</v>
      </c>
      <c r="C38" s="96">
        <v>817</v>
      </c>
      <c r="D38" s="23" t="str">
        <f t="shared" si="0"/>
        <v>HERNANDEZ Patricio</v>
      </c>
      <c r="E38" s="24" t="str">
        <f t="shared" si="1"/>
        <v>VEINTE24 CYCLING TEAM</v>
      </c>
      <c r="F38" s="3"/>
      <c r="G38" s="15"/>
      <c r="H38" s="3"/>
      <c r="I38" s="25"/>
      <c r="J38" s="33">
        <v>8</v>
      </c>
      <c r="K38" s="22">
        <v>3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2"/>
        <v>0</v>
      </c>
      <c r="AA38" s="15">
        <f>IFERROR(VLOOKUP(Z38,'Puntos XCC Mayor'!$A$1:$B$15,2,FALSE),0)</f>
        <v>0</v>
      </c>
      <c r="AB38" s="15">
        <f t="shared" si="3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4"/>
        <v>3</v>
      </c>
      <c r="AJ38" s="3"/>
    </row>
    <row r="39" spans="1:36" ht="24.95" customHeight="1">
      <c r="A39" s="3"/>
      <c r="B39" s="3"/>
      <c r="C39" s="96">
        <v>803</v>
      </c>
      <c r="D39" s="23" t="str">
        <f t="shared" si="0"/>
        <v>GONZALEZ Jose Alejandro</v>
      </c>
      <c r="E39" s="24" t="str">
        <f t="shared" si="1"/>
        <v>MCT</v>
      </c>
      <c r="F39" s="3">
        <v>0</v>
      </c>
      <c r="G39" s="15">
        <v>0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2"/>
        <v>0</v>
      </c>
      <c r="AA39" s="15">
        <f>IFERROR(VLOOKUP(Z39,'Puntos XCC Mayor'!$A$1:$B$15,2,FALSE),0)</f>
        <v>0</v>
      </c>
      <c r="AB39" s="15">
        <f t="shared" si="3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4"/>
        <v>0</v>
      </c>
      <c r="AJ39" s="3"/>
    </row>
    <row r="40" spans="1:36" ht="24.95" customHeight="1">
      <c r="A40" s="3"/>
      <c r="B40" s="22"/>
      <c r="C40" s="96">
        <v>804</v>
      </c>
      <c r="D40" s="23" t="str">
        <f t="shared" si="0"/>
        <v>ZUÑIGA Douglas</v>
      </c>
      <c r="E40" s="24" t="str">
        <f t="shared" si="1"/>
        <v>GAVIA88</v>
      </c>
      <c r="F40" s="3">
        <v>0</v>
      </c>
      <c r="G40" s="15">
        <v>0</v>
      </c>
      <c r="H40" s="3">
        <v>0</v>
      </c>
      <c r="I40" s="25">
        <v>0</v>
      </c>
      <c r="J40" s="33">
        <v>0</v>
      </c>
      <c r="K40" s="22">
        <v>0</v>
      </c>
      <c r="L40" s="22">
        <v>0</v>
      </c>
      <c r="M40" s="34">
        <v>0</v>
      </c>
      <c r="N40" s="32"/>
      <c r="O40" s="30"/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0</v>
      </c>
      <c r="AA40" s="15">
        <f>IFERROR(VLOOKUP(Z40,'Puntos XCC Mayor'!$A$1:$B$15,2,FALSE),0)</f>
        <v>0</v>
      </c>
      <c r="AB40" s="15">
        <f t="shared" si="3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4"/>
        <v>0</v>
      </c>
      <c r="AJ40" s="3"/>
    </row>
    <row r="41" spans="1:36" ht="24.95" customHeight="1">
      <c r="A41" s="3"/>
      <c r="B41" s="22"/>
      <c r="C41" s="96">
        <v>807</v>
      </c>
      <c r="D41" s="23" t="str">
        <f t="shared" si="0"/>
        <v>ACUÑA Luis</v>
      </c>
      <c r="E41" s="24" t="str">
        <f t="shared" si="1"/>
        <v>CCDR DE NARANJO</v>
      </c>
      <c r="F41" s="3">
        <v>0</v>
      </c>
      <c r="G41" s="15">
        <v>0</v>
      </c>
      <c r="H41" s="3">
        <v>0</v>
      </c>
      <c r="I41" s="25">
        <v>0</v>
      </c>
      <c r="J41" s="33">
        <v>0</v>
      </c>
      <c r="K41" s="22">
        <v>0</v>
      </c>
      <c r="L41" s="22">
        <v>0</v>
      </c>
      <c r="M41" s="34">
        <v>0</v>
      </c>
      <c r="N41" s="32"/>
      <c r="O41" s="30"/>
      <c r="P41" s="3">
        <v>0</v>
      </c>
      <c r="Q41" s="34">
        <f>IFERROR(VLOOKUP(P41,'Puntos XCO'!$A$1:$B$63,2,FALSE),0)</f>
        <v>0</v>
      </c>
      <c r="R41" s="16">
        <v>0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v>0</v>
      </c>
      <c r="W41" s="15">
        <f>IFERROR(VLOOKUP(V41,'Puntos XCC Mayor'!$A$1:$B$15,2,FALSE),0)</f>
        <v>0</v>
      </c>
      <c r="X41" s="15">
        <v>0</v>
      </c>
      <c r="Y41" s="25">
        <f>IFERROR(VLOOKUP(X41,'Puntos XCO'!$A$1:$B$63,2,FALSE),0)</f>
        <v>0</v>
      </c>
      <c r="Z41" s="16">
        <f t="shared" si="2"/>
        <v>0</v>
      </c>
      <c r="AA41" s="15">
        <f>IFERROR(VLOOKUP(Z41,'Puntos XCC Mayor'!$A$1:$B$15,2,FALSE),0)</f>
        <v>0</v>
      </c>
      <c r="AB41" s="15">
        <f t="shared" si="3"/>
        <v>0</v>
      </c>
      <c r="AC41" s="25">
        <f>IFERROR(VLOOKUP(AB41,'Puntos XCO'!$A$1:$B$63,2,FALSE),0)</f>
        <v>0</v>
      </c>
      <c r="AD41" s="16"/>
      <c r="AE41" s="15"/>
      <c r="AF41" s="15"/>
      <c r="AG41" s="25"/>
      <c r="AH41" s="27">
        <f t="shared" si="4"/>
        <v>0</v>
      </c>
      <c r="AJ41" s="3"/>
    </row>
    <row r="42" spans="1:36" ht="24.95" customHeight="1">
      <c r="A42" s="3"/>
      <c r="B42" s="22"/>
      <c r="C42" s="96">
        <v>826</v>
      </c>
      <c r="D42" s="23" t="str">
        <f t="shared" si="0"/>
        <v>BLANCO  Edward</v>
      </c>
      <c r="E42" s="24" t="str">
        <f t="shared" si="1"/>
        <v xml:space="preserve">A+TEAM </v>
      </c>
      <c r="F42" s="3"/>
      <c r="G42" s="15"/>
      <c r="H42" s="3"/>
      <c r="I42" s="25"/>
      <c r="J42" s="33"/>
      <c r="K42" s="22"/>
      <c r="L42" s="22"/>
      <c r="M42" s="34"/>
      <c r="N42" s="32"/>
      <c r="O42" s="30"/>
      <c r="P42" s="3"/>
      <c r="Q42" s="34"/>
      <c r="R42" s="16"/>
      <c r="S42" s="3"/>
      <c r="T42" s="15"/>
      <c r="U42" s="39"/>
      <c r="V42" s="16">
        <v>0</v>
      </c>
      <c r="W42" s="15">
        <f>IFERROR(VLOOKUP(V42,'Puntos XCC Mayor'!$A$1:$B$15,2,FALSE),0)</f>
        <v>0</v>
      </c>
      <c r="X42" s="15">
        <v>0</v>
      </c>
      <c r="Y42" s="25">
        <f>IFERROR(VLOOKUP(X42,'Puntos XCO'!$A$1:$B$63,2,FALSE),0)</f>
        <v>0</v>
      </c>
      <c r="Z42" s="16">
        <f t="shared" si="2"/>
        <v>0</v>
      </c>
      <c r="AA42" s="15">
        <f>IFERROR(VLOOKUP(Z42,'Puntos XCC Mayor'!$A$1:$B$15,2,FALSE),0)</f>
        <v>0</v>
      </c>
      <c r="AB42" s="15">
        <f t="shared" si="3"/>
        <v>0</v>
      </c>
      <c r="AC42" s="25">
        <f>IFERROR(VLOOKUP(AB42,'Puntos XCO'!$A$1:$B$63,2,FALSE),0)</f>
        <v>0</v>
      </c>
      <c r="AD42" s="16"/>
      <c r="AE42" s="15"/>
      <c r="AF42" s="15"/>
      <c r="AG42" s="25"/>
      <c r="AH42" s="27">
        <f t="shared" si="4"/>
        <v>0</v>
      </c>
      <c r="AJ42" s="3"/>
    </row>
    <row r="43" spans="1:36" ht="24.95" customHeight="1">
      <c r="A43" s="3"/>
      <c r="B43" s="22"/>
      <c r="C43" s="108">
        <v>828</v>
      </c>
      <c r="D43" s="23" t="str">
        <f t="shared" si="0"/>
        <v>UGALDE Luis</v>
      </c>
      <c r="E43" s="24" t="str">
        <f t="shared" si="1"/>
        <v xml:space="preserve">Individual </v>
      </c>
      <c r="F43" s="3"/>
      <c r="G43" s="15"/>
      <c r="H43" s="3"/>
      <c r="I43" s="25"/>
      <c r="J43" s="33"/>
      <c r="K43" s="22"/>
      <c r="L43" s="22"/>
      <c r="M43" s="34"/>
      <c r="N43" s="32"/>
      <c r="O43" s="30"/>
      <c r="P43" s="3"/>
      <c r="Q43" s="34"/>
      <c r="R43" s="16"/>
      <c r="S43" s="3"/>
      <c r="T43" s="15"/>
      <c r="U43" s="39"/>
      <c r="V43" s="16"/>
      <c r="W43" s="15"/>
      <c r="X43" s="15"/>
      <c r="Y43" s="25"/>
      <c r="Z43" s="16">
        <f t="shared" si="2"/>
        <v>0</v>
      </c>
      <c r="AA43" s="15">
        <f>IFERROR(VLOOKUP(Z43,'Puntos XCC Mayor'!$A$1:$B$15,2,FALSE),0)</f>
        <v>0</v>
      </c>
      <c r="AB43" s="15">
        <f t="shared" si="3"/>
        <v>0</v>
      </c>
      <c r="AC43" s="25">
        <f>IFERROR(VLOOKUP(AB43,'Puntos XCO'!$A$1:$B$63,2,FALSE),0)</f>
        <v>0</v>
      </c>
      <c r="AD43" s="16"/>
      <c r="AE43" s="15"/>
      <c r="AF43" s="15"/>
      <c r="AG43" s="25"/>
      <c r="AH43" s="27">
        <f t="shared" si="4"/>
        <v>0</v>
      </c>
      <c r="AJ43" s="3"/>
    </row>
    <row r="44" spans="1:36" ht="24.95" customHeight="1">
      <c r="A44" s="3"/>
      <c r="B44" s="3"/>
      <c r="C44" s="22"/>
      <c r="D44" s="23"/>
      <c r="E44" s="24"/>
      <c r="F44" s="3"/>
      <c r="G44" s="15"/>
      <c r="H44" s="15"/>
      <c r="I44" s="25"/>
      <c r="J44" s="33"/>
      <c r="K44" s="22"/>
      <c r="L44" s="22"/>
      <c r="M44" s="34"/>
      <c r="N44" s="16"/>
      <c r="O44" s="15"/>
      <c r="P44" s="3"/>
      <c r="Q44" s="25"/>
      <c r="R44" s="16"/>
      <c r="S44" s="15"/>
      <c r="T44" s="15"/>
      <c r="U44" s="25"/>
      <c r="V44" s="16"/>
      <c r="W44" s="15"/>
      <c r="X44" s="15"/>
      <c r="Y44" s="25"/>
      <c r="Z44" s="16"/>
      <c r="AA44" s="15"/>
      <c r="AB44" s="15"/>
      <c r="AC44" s="25"/>
      <c r="AD44" s="16"/>
      <c r="AE44" s="15"/>
      <c r="AF44" s="15"/>
      <c r="AG44" s="25"/>
      <c r="AH44" s="27"/>
      <c r="AJ44" s="3"/>
    </row>
    <row r="45" spans="1:36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4"/>
      <c r="Q45" s="65"/>
      <c r="R45" s="65"/>
      <c r="S45" s="65"/>
      <c r="T45" s="65"/>
      <c r="U45" s="65"/>
      <c r="V45" s="65"/>
      <c r="W45" s="65"/>
      <c r="X45" s="65"/>
      <c r="Y45" s="65"/>
      <c r="Z45" s="119"/>
      <c r="AA45" s="119"/>
      <c r="AB45" s="119"/>
      <c r="AC45" s="119"/>
      <c r="AD45" s="119"/>
      <c r="AE45" s="119"/>
      <c r="AF45" s="119"/>
      <c r="AG45" s="119"/>
      <c r="AH45" s="65"/>
    </row>
    <row r="46" spans="1:36">
      <c r="M46" s="9"/>
      <c r="N46" s="9"/>
      <c r="O46" s="9"/>
      <c r="P46" s="10"/>
      <c r="Q46" s="9"/>
      <c r="R46" s="9"/>
      <c r="S46" s="9"/>
      <c r="T46" s="9"/>
      <c r="U46" s="9"/>
    </row>
    <row r="47" spans="1:36" ht="127.5" customHeight="1"/>
    <row r="48" spans="1:36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74"/>
      <c r="Q48" s="65"/>
      <c r="R48" s="65"/>
      <c r="S48" s="65"/>
      <c r="T48" s="65"/>
      <c r="U48" s="65"/>
      <c r="V48" s="65"/>
      <c r="W48" s="65"/>
      <c r="X48" s="65"/>
      <c r="Y48" s="65"/>
      <c r="Z48" s="119"/>
      <c r="AA48" s="119"/>
      <c r="AB48" s="119"/>
      <c r="AC48" s="119"/>
      <c r="AD48" s="119"/>
      <c r="AE48" s="119"/>
      <c r="AF48" s="119"/>
      <c r="AG48" s="119"/>
      <c r="AH48" s="65"/>
    </row>
  </sheetData>
  <sortState ref="B15:AH43">
    <sortCondition descending="1" ref="AH15:AH43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42:C43">
    <cfRule type="duplicateValues" dxfId="415" priority="6"/>
  </conditionalFormatting>
  <conditionalFormatting sqref="C11">
    <cfRule type="duplicateValues" dxfId="414" priority="4" stopIfTrue="1"/>
  </conditionalFormatting>
  <conditionalFormatting sqref="C11">
    <cfRule type="duplicateValues" dxfId="413" priority="5" stopIfTrue="1"/>
  </conditionalFormatting>
  <conditionalFormatting sqref="D11">
    <cfRule type="duplicateValues" dxfId="412" priority="3" stopIfTrue="1"/>
  </conditionalFormatting>
  <conditionalFormatting sqref="C10">
    <cfRule type="duplicateValues" dxfId="411" priority="1" stopIfTrue="1"/>
  </conditionalFormatting>
  <conditionalFormatting sqref="C10">
    <cfRule type="duplicateValues" dxfId="410" priority="2" stopIfTrue="1"/>
  </conditionalFormatting>
  <pageMargins left="0.70866141732283472" right="0.70866141732283472" top="0.74803149606299213" bottom="0.74803149606299213" header="0.31496062992125984" footer="0.31496062992125984"/>
  <pageSetup paperSize="9" scale="51" fitToHeight="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pageSetUpPr fitToPage="1"/>
  </sheetPr>
  <dimension ref="A8:AM45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0.710937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98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3</v>
      </c>
      <c r="C15" s="22">
        <v>851</v>
      </c>
      <c r="D15" s="23" t="str">
        <f t="shared" ref="D15:D40" si="0">VLOOKUP(C15,PLANILLA,2,FALSE)</f>
        <v>ARCE Alberth</v>
      </c>
      <c r="E15" s="24" t="str">
        <f t="shared" ref="E15:E40" si="1">VLOOKUP(C15,PLANILLA,4,FALSE)</f>
        <v xml:space="preserve">Tomatero </v>
      </c>
      <c r="F15" s="3">
        <v>1</v>
      </c>
      <c r="G15" s="15">
        <v>10</v>
      </c>
      <c r="H15" s="3">
        <v>1</v>
      </c>
      <c r="I15" s="25">
        <v>200</v>
      </c>
      <c r="J15" s="33">
        <v>2</v>
      </c>
      <c r="K15" s="22">
        <v>9</v>
      </c>
      <c r="L15" s="22">
        <v>1</v>
      </c>
      <c r="M15" s="34">
        <v>200</v>
      </c>
      <c r="N15" s="32">
        <f>IFERROR(VLOOKUP(C15,RESXCC_1,9,FALSE),0)</f>
        <v>2</v>
      </c>
      <c r="O15" s="30"/>
      <c r="P15" s="3">
        <v>0</v>
      </c>
      <c r="Q15" s="34">
        <f>IFERROR(VLOOKUP(P15,'Puntos XCO'!$A$1:$B$63,2,FALSE),0)</f>
        <v>0</v>
      </c>
      <c r="R15" s="16">
        <v>0</v>
      </c>
      <c r="S15" s="3">
        <f>IFERROR(VLOOKUP(R15,'Puntos XCC Menor'!$A$1:$B$15,2,FALSE),0)</f>
        <v>0</v>
      </c>
      <c r="T15" s="15">
        <v>0</v>
      </c>
      <c r="U15" s="39">
        <f>IFERROR(VLOOKUP(T15,'Puntos XCO'!$A$1:$B$63,2,FALSE),0)</f>
        <v>0</v>
      </c>
      <c r="V15" s="16">
        <v>3</v>
      </c>
      <c r="W15" s="15">
        <f>IFERROR(VLOOKUP(V15,'Puntos XCC Mayor'!$A$1:$B$15,2,FALSE),0)</f>
        <v>16</v>
      </c>
      <c r="X15" s="15">
        <v>2</v>
      </c>
      <c r="Y15" s="25">
        <f>IFERROR(VLOOKUP(X15,'Puntos XCO'!$A$1:$B$63,2,FALSE),0)</f>
        <v>150</v>
      </c>
      <c r="Z15" s="16">
        <f t="shared" ref="Z15:Z40" si="2">IFERROR(VLOOKUP($C15,RESXCC_1,9,FALSE),0)</f>
        <v>2</v>
      </c>
      <c r="AA15" s="15">
        <f>IFERROR(VLOOKUP(Z15,'Puntos XCC Mayor'!$A$1:$B$15,2,FALSE),0)</f>
        <v>20</v>
      </c>
      <c r="AB15" s="15">
        <f t="shared" ref="AB15:AB40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40" si="4">G15+I15+K15+M15+O15+Q15+S15+U15+W15+Y15+AA15+AC15+AE15+AG15</f>
        <v>805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868</v>
      </c>
      <c r="D16" s="23" t="str">
        <f t="shared" si="0"/>
        <v>MARÍN Alonso</v>
      </c>
      <c r="E16" s="24" t="str">
        <f t="shared" si="1"/>
        <v>Team Gocha</v>
      </c>
      <c r="F16" s="3">
        <v>0</v>
      </c>
      <c r="G16" s="15">
        <v>0</v>
      </c>
      <c r="H16" s="3">
        <v>4</v>
      </c>
      <c r="I16" s="25">
        <v>110</v>
      </c>
      <c r="J16" s="33">
        <v>0</v>
      </c>
      <c r="K16" s="22">
        <v>0</v>
      </c>
      <c r="L16" s="22">
        <v>2</v>
      </c>
      <c r="M16" s="34">
        <v>150</v>
      </c>
      <c r="N16" s="32"/>
      <c r="O16" s="30"/>
      <c r="P16" s="3">
        <v>0</v>
      </c>
      <c r="Q16" s="34">
        <f>IFERROR(VLOOKUP(P16,'Puntos XCO'!$A$1:$B$63,2,FALSE),0)</f>
        <v>0</v>
      </c>
      <c r="R16" s="16">
        <v>0</v>
      </c>
      <c r="S16" s="3">
        <f>IFERROR(VLOOKUP(R16,'Puntos XCC Menor'!$A$1:$B$15,2,FALSE),0)</f>
        <v>0</v>
      </c>
      <c r="T16" s="15">
        <v>1</v>
      </c>
      <c r="U16" s="39">
        <f>IFERROR(VLOOKUP(T16,'Puntos XCO'!$A$1:$B$63,2,FALSE),0)</f>
        <v>200</v>
      </c>
      <c r="V16" s="16">
        <v>4</v>
      </c>
      <c r="W16" s="15">
        <f>IFERROR(VLOOKUP(V16,'Puntos XCC Mayor'!$A$1:$B$15,2,FALSE),0)</f>
        <v>14</v>
      </c>
      <c r="X16" s="15">
        <v>3</v>
      </c>
      <c r="Y16" s="25">
        <f>IFERROR(VLOOKUP(X16,'Puntos XCO'!$A$1:$B$63,2,FALSE),0)</f>
        <v>120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2</v>
      </c>
      <c r="AC16" s="25">
        <f>IFERROR(VLOOKUP(AB16,'Puntos XCO'!$A$1:$B$63,2,FALSE),0)</f>
        <v>150</v>
      </c>
      <c r="AD16" s="16"/>
      <c r="AE16" s="15"/>
      <c r="AF16" s="15"/>
      <c r="AG16" s="25"/>
      <c r="AH16" s="27">
        <f t="shared" si="4"/>
        <v>744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1</v>
      </c>
      <c r="C17" s="22">
        <v>853</v>
      </c>
      <c r="D17" s="23" t="str">
        <f t="shared" si="0"/>
        <v>CARVAJAL JONATHAN</v>
      </c>
      <c r="E17" s="24" t="str">
        <f t="shared" si="1"/>
        <v>BOBBYS CYCLING TEAM</v>
      </c>
      <c r="F17" s="3">
        <v>3</v>
      </c>
      <c r="G17" s="15">
        <v>8</v>
      </c>
      <c r="H17" s="3">
        <v>6</v>
      </c>
      <c r="I17" s="25">
        <v>95</v>
      </c>
      <c r="J17" s="33">
        <v>1</v>
      </c>
      <c r="K17" s="22">
        <v>10</v>
      </c>
      <c r="L17" s="22">
        <v>3</v>
      </c>
      <c r="M17" s="34">
        <v>120</v>
      </c>
      <c r="N17" s="32"/>
      <c r="O17" s="30"/>
      <c r="P17" s="3">
        <v>2</v>
      </c>
      <c r="Q17" s="34">
        <f>IFERROR(VLOOKUP(P17,'Puntos XCO'!$A$1:$B$63,2,FALSE),0)</f>
        <v>150</v>
      </c>
      <c r="R17" s="16">
        <v>1</v>
      </c>
      <c r="S17" s="3">
        <f>IFERROR(VLOOKUP(R17,'Puntos XCC Menor'!$A$1:$B$15,2,FALSE),0)</f>
        <v>10</v>
      </c>
      <c r="T17" s="15">
        <v>4</v>
      </c>
      <c r="U17" s="39">
        <f>IFERROR(VLOOKUP(T17,'Puntos XCO'!$A$1:$B$63,2,FALSE),0)</f>
        <v>110</v>
      </c>
      <c r="V17" s="16">
        <v>7</v>
      </c>
      <c r="W17" s="15">
        <f>IFERROR(VLOOKUP(V17,'Puntos XCC Mayor'!$A$1:$B$15,2,FALSE),0)</f>
        <v>9</v>
      </c>
      <c r="X17" s="15">
        <v>6</v>
      </c>
      <c r="Y17" s="25">
        <f>IFERROR(VLOOKUP(X17,'Puntos XCO'!$A$1:$B$63,2,FALSE),0)</f>
        <v>95</v>
      </c>
      <c r="Z17" s="16">
        <f t="shared" si="2"/>
        <v>3</v>
      </c>
      <c r="AA17" s="15">
        <f>IFERROR(VLOOKUP(Z17,'Puntos XCC Mayor'!$A$1:$B$15,2,FALSE),0)</f>
        <v>16</v>
      </c>
      <c r="AB17" s="15">
        <f t="shared" si="3"/>
        <v>4</v>
      </c>
      <c r="AC17" s="25">
        <f>IFERROR(VLOOKUP(AB17,'Puntos XCO'!$A$1:$B$63,2,FALSE),0)</f>
        <v>110</v>
      </c>
      <c r="AD17" s="16"/>
      <c r="AE17" s="15"/>
      <c r="AF17" s="15"/>
      <c r="AG17" s="25"/>
      <c r="AH17" s="27">
        <f t="shared" si="4"/>
        <v>733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6</v>
      </c>
      <c r="C18" s="22">
        <v>859</v>
      </c>
      <c r="D18" s="23" t="str">
        <f t="shared" si="0"/>
        <v>VEGA OLDEMAR</v>
      </c>
      <c r="E18" s="24" t="str">
        <f t="shared" si="1"/>
        <v>VEGAS TEAM POAS</v>
      </c>
      <c r="F18" s="3">
        <v>4</v>
      </c>
      <c r="G18" s="15">
        <v>7</v>
      </c>
      <c r="H18" s="3">
        <v>3</v>
      </c>
      <c r="I18" s="25">
        <v>120</v>
      </c>
      <c r="J18" s="33">
        <v>4</v>
      </c>
      <c r="K18" s="22">
        <v>7</v>
      </c>
      <c r="L18" s="22">
        <v>4</v>
      </c>
      <c r="M18" s="34">
        <v>110</v>
      </c>
      <c r="N18" s="32"/>
      <c r="O18" s="30"/>
      <c r="P18" s="3">
        <v>0</v>
      </c>
      <c r="Q18" s="34">
        <f>IFERROR(VLOOKUP(P18,'Puntos XCO'!$A$1:$B$63,2,FALSE),0)</f>
        <v>0</v>
      </c>
      <c r="R18" s="16">
        <v>2</v>
      </c>
      <c r="S18" s="3">
        <f>IFERROR(VLOOKUP(R18,'Puntos XCC Menor'!$A$1:$B$15,2,FALSE),0)</f>
        <v>9</v>
      </c>
      <c r="T18" s="15">
        <v>3</v>
      </c>
      <c r="U18" s="39">
        <f>IFERROR(VLOOKUP(T18,'Puntos XCO'!$A$1:$B$63,2,FALSE),0)</f>
        <v>120</v>
      </c>
      <c r="V18" s="16">
        <v>6</v>
      </c>
      <c r="W18" s="15">
        <f>IFERROR(VLOOKUP(V18,'Puntos XCC Mayor'!$A$1:$B$15,2,FALSE),0)</f>
        <v>10</v>
      </c>
      <c r="X18" s="15">
        <v>7</v>
      </c>
      <c r="Y18" s="25">
        <f>IFERROR(VLOOKUP(X18,'Puntos XCO'!$A$1:$B$63,2,FALSE),0)</f>
        <v>90</v>
      </c>
      <c r="Z18" s="16">
        <f t="shared" si="2"/>
        <v>4</v>
      </c>
      <c r="AA18" s="15">
        <f>IFERROR(VLOOKUP(Z18,'Puntos XCC Mayor'!$A$1:$B$15,2,FALSE),0)</f>
        <v>14</v>
      </c>
      <c r="AB18" s="15">
        <f t="shared" si="3"/>
        <v>5</v>
      </c>
      <c r="AC18" s="25">
        <f>IFERROR(VLOOKUP(AB18,'Puntos XCO'!$A$1:$B$63,2,FALSE),0)</f>
        <v>100</v>
      </c>
      <c r="AD18" s="16"/>
      <c r="AE18" s="15"/>
      <c r="AF18" s="15"/>
      <c r="AG18" s="25"/>
      <c r="AH18" s="27">
        <f t="shared" si="4"/>
        <v>587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860</v>
      </c>
      <c r="D19" s="23" t="str">
        <f t="shared" si="0"/>
        <v xml:space="preserve">UREÑA Edgar </v>
      </c>
      <c r="E19" s="24" t="str">
        <f t="shared" si="1"/>
        <v xml:space="preserve">Colypro </v>
      </c>
      <c r="F19" s="3">
        <v>7</v>
      </c>
      <c r="G19" s="15">
        <v>4</v>
      </c>
      <c r="H19" s="3">
        <v>7</v>
      </c>
      <c r="I19" s="25">
        <v>90</v>
      </c>
      <c r="J19" s="33">
        <v>6</v>
      </c>
      <c r="K19" s="22">
        <v>5</v>
      </c>
      <c r="L19" s="22">
        <v>6</v>
      </c>
      <c r="M19" s="34">
        <v>95</v>
      </c>
      <c r="N19" s="32"/>
      <c r="O19" s="30"/>
      <c r="P19" s="3">
        <v>8</v>
      </c>
      <c r="Q19" s="34">
        <f>IFERROR(VLOOKUP(P19,'Puntos XCO'!$A$1:$B$63,2,FALSE),0)</f>
        <v>85</v>
      </c>
      <c r="R19" s="16">
        <v>5</v>
      </c>
      <c r="S19" s="3">
        <f>IFERROR(VLOOKUP(R19,'Puntos XCC Menor'!$A$1:$B$15,2,FALSE),0)</f>
        <v>6</v>
      </c>
      <c r="T19" s="15">
        <v>5</v>
      </c>
      <c r="U19" s="39">
        <f>IFERROR(VLOOKUP(T19,'Puntos XCO'!$A$1:$B$63,2,FALSE),0)</f>
        <v>100</v>
      </c>
      <c r="V19" s="16">
        <v>9</v>
      </c>
      <c r="W19" s="15">
        <f>IFERROR(VLOOKUP(V19,'Puntos XCC Mayor'!$A$1:$B$15,2,FALSE),0)</f>
        <v>7</v>
      </c>
      <c r="X19" s="15">
        <v>8</v>
      </c>
      <c r="Y19" s="25">
        <f>IFERROR(VLOOKUP(X19,'Puntos XCO'!$A$1:$B$63,2,FALSE),0)</f>
        <v>85</v>
      </c>
      <c r="Z19" s="16">
        <f t="shared" si="2"/>
        <v>5</v>
      </c>
      <c r="AA19" s="15">
        <f>IFERROR(VLOOKUP(Z19,'Puntos XCC Mayor'!$A$1:$B$15,2,FALSE),0)</f>
        <v>12</v>
      </c>
      <c r="AB19" s="15">
        <f t="shared" si="3"/>
        <v>8</v>
      </c>
      <c r="AC19" s="25">
        <f>IFERROR(VLOOKUP(AB19,'Puntos XCO'!$A$1:$B$63,2,FALSE),0)</f>
        <v>85</v>
      </c>
      <c r="AD19" s="16"/>
      <c r="AE19" s="15"/>
      <c r="AF19" s="15"/>
      <c r="AG19" s="25"/>
      <c r="AH19" s="27">
        <f t="shared" si="4"/>
        <v>574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7</v>
      </c>
      <c r="C20" s="22">
        <v>865</v>
      </c>
      <c r="D20" s="23" t="str">
        <f t="shared" si="0"/>
        <v>BRENES Mario</v>
      </c>
      <c r="E20" s="24" t="str">
        <f t="shared" si="1"/>
        <v xml:space="preserve">BdriftMotorSportNutrition </v>
      </c>
      <c r="F20" s="3">
        <v>0</v>
      </c>
      <c r="G20" s="15">
        <v>0</v>
      </c>
      <c r="H20" s="3">
        <v>8</v>
      </c>
      <c r="I20" s="25">
        <v>85</v>
      </c>
      <c r="J20" s="33">
        <v>7</v>
      </c>
      <c r="K20" s="22">
        <v>4</v>
      </c>
      <c r="L20" s="22">
        <v>10</v>
      </c>
      <c r="M20" s="34">
        <v>78</v>
      </c>
      <c r="N20" s="32"/>
      <c r="O20" s="30"/>
      <c r="P20" s="3">
        <v>6</v>
      </c>
      <c r="Q20" s="34">
        <f>IFERROR(VLOOKUP(P20,'Puntos XCO'!$A$1:$B$63,2,FALSE),0)</f>
        <v>95</v>
      </c>
      <c r="R20" s="16">
        <v>4</v>
      </c>
      <c r="S20" s="3">
        <f>IFERROR(VLOOKUP(R20,'Puntos XCC Menor'!$A$1:$B$15,2,FALSE),0)</f>
        <v>7</v>
      </c>
      <c r="T20" s="15">
        <v>6</v>
      </c>
      <c r="U20" s="39">
        <f>IFERROR(VLOOKUP(T20,'Puntos XCO'!$A$1:$B$63,2,FALSE),0)</f>
        <v>95</v>
      </c>
      <c r="V20" s="16">
        <v>11</v>
      </c>
      <c r="W20" s="15">
        <f>IFERROR(VLOOKUP(V20,'Puntos XCC Mayor'!$A$1:$B$15,2,FALSE),0)</f>
        <v>5</v>
      </c>
      <c r="X20" s="15">
        <v>10</v>
      </c>
      <c r="Y20" s="25">
        <f>IFERROR(VLOOKUP(X20,'Puntos XCO'!$A$1:$B$63,2,FALSE),0)</f>
        <v>78</v>
      </c>
      <c r="Z20" s="16">
        <f t="shared" si="2"/>
        <v>6</v>
      </c>
      <c r="AA20" s="15">
        <f>IFERROR(VLOOKUP(Z20,'Puntos XCC Mayor'!$A$1:$B$15,2,FALSE),0)</f>
        <v>10</v>
      </c>
      <c r="AB20" s="15">
        <f t="shared" si="3"/>
        <v>7</v>
      </c>
      <c r="AC20" s="25">
        <f>IFERROR(VLOOKUP(AB20,'Puntos XCO'!$A$1:$B$63,2,FALSE),0)</f>
        <v>90</v>
      </c>
      <c r="AD20" s="16"/>
      <c r="AE20" s="15"/>
      <c r="AF20" s="15"/>
      <c r="AG20" s="25"/>
      <c r="AH20" s="27">
        <f t="shared" si="4"/>
        <v>547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4</v>
      </c>
      <c r="C21" s="22">
        <v>870</v>
      </c>
      <c r="D21" s="23" t="str">
        <f t="shared" si="0"/>
        <v>GONZALEZ  Victor</v>
      </c>
      <c r="E21" s="24" t="str">
        <f t="shared" si="1"/>
        <v xml:space="preserve">EPIC BIKE CENTER </v>
      </c>
      <c r="F21" s="3"/>
      <c r="G21" s="15"/>
      <c r="H21" s="3"/>
      <c r="I21" s="25"/>
      <c r="J21" s="33"/>
      <c r="K21" s="22"/>
      <c r="L21" s="22"/>
      <c r="M21" s="34"/>
      <c r="N21" s="32"/>
      <c r="O21" s="30"/>
      <c r="P21" s="3">
        <v>1</v>
      </c>
      <c r="Q21" s="34">
        <f>IFERROR(VLOOKUP(P21,'Puntos XCO'!$A$1:$B$63,2,FALSE),0)</f>
        <v>200</v>
      </c>
      <c r="R21" s="16">
        <v>3</v>
      </c>
      <c r="S21" s="3">
        <f>IFERROR(VLOOKUP(R21,'Puntos XCC Menor'!$A$1:$B$15,2,FALSE),0)</f>
        <v>8</v>
      </c>
      <c r="T21" s="15">
        <v>2</v>
      </c>
      <c r="U21" s="39">
        <f>IFERROR(VLOOKUP(T21,'Puntos XCO'!$A$1:$B$63,2,FALSE),0)</f>
        <v>150</v>
      </c>
      <c r="V21" s="16">
        <v>5</v>
      </c>
      <c r="W21" s="15">
        <f>IFERROR(VLOOKUP(V21,'Puntos XCC Mayor'!$A$1:$B$15,2,FALSE),0)</f>
        <v>12</v>
      </c>
      <c r="X21" s="15">
        <v>4</v>
      </c>
      <c r="Y21" s="25">
        <f>IFERROR(VLOOKUP(X21,'Puntos XCO'!$A$1:$B$63,2,FALSE),0)</f>
        <v>110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480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8</v>
      </c>
      <c r="C22" s="22">
        <v>863</v>
      </c>
      <c r="D22" s="23" t="str">
        <f t="shared" si="0"/>
        <v>BERMÚDEZ Guillermo</v>
      </c>
      <c r="E22" s="24" t="str">
        <f t="shared" si="1"/>
        <v>Individual</v>
      </c>
      <c r="F22" s="3">
        <v>12</v>
      </c>
      <c r="G22" s="15">
        <v>0</v>
      </c>
      <c r="H22" s="3">
        <v>11</v>
      </c>
      <c r="I22" s="25">
        <v>76</v>
      </c>
      <c r="J22" s="33">
        <v>11</v>
      </c>
      <c r="K22" s="22">
        <v>0</v>
      </c>
      <c r="L22" s="22">
        <v>11</v>
      </c>
      <c r="M22" s="34">
        <v>76</v>
      </c>
      <c r="N22" s="32"/>
      <c r="O22" s="30"/>
      <c r="P22" s="3">
        <v>11</v>
      </c>
      <c r="Q22" s="34">
        <f>IFERROR(VLOOKUP(P22,'Puntos XCO'!$A$1:$B$63,2,FALSE),0)</f>
        <v>76</v>
      </c>
      <c r="R22" s="16">
        <v>0</v>
      </c>
      <c r="S22" s="3">
        <f>IFERROR(VLOOKUP(R22,'Puntos XCC Menor'!$A$1:$B$15,2,FALSE),0)</f>
        <v>0</v>
      </c>
      <c r="T22" s="15">
        <v>8</v>
      </c>
      <c r="U22" s="39">
        <f>IFERROR(VLOOKUP(T22,'Puntos XCO'!$A$1:$B$63,2,FALSE),0)</f>
        <v>85</v>
      </c>
      <c r="V22" s="16">
        <v>14</v>
      </c>
      <c r="W22" s="15">
        <f>IFERROR(VLOOKUP(V22,'Puntos XCC Mayor'!$A$1:$B$15,2,FALSE),0)</f>
        <v>2</v>
      </c>
      <c r="X22" s="15">
        <v>15</v>
      </c>
      <c r="Y22" s="25">
        <f>IFERROR(VLOOKUP(X22,'Puntos XCO'!$A$1:$B$63,2,FALSE),0)</f>
        <v>68</v>
      </c>
      <c r="Z22" s="16">
        <f t="shared" si="2"/>
        <v>7</v>
      </c>
      <c r="AA22" s="15">
        <f>IFERROR(VLOOKUP(Z22,'Puntos XCC Mayor'!$A$1:$B$15,2,FALSE),0)</f>
        <v>9</v>
      </c>
      <c r="AB22" s="15">
        <f t="shared" si="3"/>
        <v>9</v>
      </c>
      <c r="AC22" s="25">
        <f>IFERROR(VLOOKUP(AB22,'Puntos XCO'!$A$1:$B$63,2,FALSE),0)</f>
        <v>80</v>
      </c>
      <c r="AD22" s="16"/>
      <c r="AE22" s="15"/>
      <c r="AF22" s="15"/>
      <c r="AG22" s="25"/>
      <c r="AH22" s="27">
        <f t="shared" si="4"/>
        <v>472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11</v>
      </c>
      <c r="C23" s="22">
        <v>852</v>
      </c>
      <c r="D23" s="23" t="str">
        <f t="shared" si="0"/>
        <v>HERRERA Jeffrey</v>
      </c>
      <c r="E23" s="24" t="str">
        <f t="shared" si="1"/>
        <v>Team CoreCo/Momentum Sports</v>
      </c>
      <c r="F23" s="3">
        <v>2</v>
      </c>
      <c r="G23" s="15">
        <v>9</v>
      </c>
      <c r="H23" s="3">
        <v>2</v>
      </c>
      <c r="I23" s="25">
        <v>150</v>
      </c>
      <c r="J23" s="33">
        <v>3</v>
      </c>
      <c r="K23" s="22">
        <v>8</v>
      </c>
      <c r="L23" s="22">
        <v>0</v>
      </c>
      <c r="M23" s="34">
        <v>0</v>
      </c>
      <c r="N23" s="32"/>
      <c r="O23" s="30"/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2</v>
      </c>
      <c r="W23" s="15">
        <f>IFERROR(VLOOKUP(V23,'Puntos XCC Mayor'!$A$1:$B$15,2,FALSE),0)</f>
        <v>20</v>
      </c>
      <c r="X23" s="15">
        <v>9</v>
      </c>
      <c r="Y23" s="25">
        <f>IFERROR(VLOOKUP(X23,'Puntos XCO'!$A$1:$B$63,2,FALSE),0)</f>
        <v>80</v>
      </c>
      <c r="Z23" s="16">
        <f t="shared" si="2"/>
        <v>1</v>
      </c>
      <c r="AA23" s="15">
        <f>IFERROR(VLOOKUP(Z23,'Puntos XCC Mayor'!$A$1:$B$15,2,FALSE),0)</f>
        <v>25</v>
      </c>
      <c r="AB23" s="15">
        <f t="shared" si="3"/>
        <v>3</v>
      </c>
      <c r="AC23" s="25">
        <f>IFERROR(VLOOKUP(AB23,'Puntos XCO'!$A$1:$B$63,2,FALSE),0)</f>
        <v>120</v>
      </c>
      <c r="AD23" s="16"/>
      <c r="AE23" s="15"/>
      <c r="AF23" s="15"/>
      <c r="AG23" s="25"/>
      <c r="AH23" s="27">
        <f t="shared" si="4"/>
        <v>412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9</v>
      </c>
      <c r="C24" s="22">
        <v>855</v>
      </c>
      <c r="D24" s="23" t="str">
        <f t="shared" si="0"/>
        <v>PESSOA Pablo</v>
      </c>
      <c r="E24" s="24" t="str">
        <f t="shared" si="1"/>
        <v>SCOTT SHIMANO CYCLING TEAM</v>
      </c>
      <c r="F24" s="3">
        <v>8</v>
      </c>
      <c r="G24" s="15">
        <v>3</v>
      </c>
      <c r="H24" s="3">
        <v>12</v>
      </c>
      <c r="I24" s="25">
        <v>74</v>
      </c>
      <c r="J24" s="33">
        <v>0</v>
      </c>
      <c r="K24" s="22">
        <v>0</v>
      </c>
      <c r="L24" s="22">
        <v>0</v>
      </c>
      <c r="M24" s="34">
        <v>0</v>
      </c>
      <c r="N24" s="32"/>
      <c r="O24" s="30"/>
      <c r="P24" s="3">
        <v>10</v>
      </c>
      <c r="Q24" s="34">
        <f>IFERROR(VLOOKUP(P24,'Puntos XCO'!$A$1:$B$63,2,FALSE),0)</f>
        <v>78</v>
      </c>
      <c r="R24" s="16">
        <v>6</v>
      </c>
      <c r="S24" s="3">
        <f>IFERROR(VLOOKUP(R24,'Puntos XCC Menor'!$A$1:$B$15,2,FALSE),0)</f>
        <v>5</v>
      </c>
      <c r="T24" s="15">
        <v>7</v>
      </c>
      <c r="U24" s="39">
        <f>IFERROR(VLOOKUP(T24,'Puntos XCO'!$A$1:$B$63,2,FALSE),0)</f>
        <v>90</v>
      </c>
      <c r="V24" s="16">
        <v>13</v>
      </c>
      <c r="W24" s="15">
        <f>IFERROR(VLOOKUP(V24,'Puntos XCC Mayor'!$A$1:$B$15,2,FALSE),0)</f>
        <v>3</v>
      </c>
      <c r="X24" s="15">
        <v>14</v>
      </c>
      <c r="Y24" s="25">
        <f>IFERROR(VLOOKUP(X24,'Puntos XCO'!$A$1:$B$63,2,FALSE),0)</f>
        <v>70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323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10</v>
      </c>
      <c r="C25" s="22">
        <v>861</v>
      </c>
      <c r="D25" s="23" t="str">
        <f t="shared" si="0"/>
        <v xml:space="preserve">BELTRAN  Pablo </v>
      </c>
      <c r="E25" s="24" t="str">
        <f t="shared" si="1"/>
        <v>BELPOWER</v>
      </c>
      <c r="F25" s="3">
        <v>6</v>
      </c>
      <c r="G25" s="15">
        <v>5</v>
      </c>
      <c r="H25" s="3">
        <v>0</v>
      </c>
      <c r="I25" s="25">
        <v>0</v>
      </c>
      <c r="J25" s="33">
        <v>5</v>
      </c>
      <c r="K25" s="22">
        <v>6</v>
      </c>
      <c r="L25" s="22">
        <v>5</v>
      </c>
      <c r="M25" s="34">
        <v>100</v>
      </c>
      <c r="N25" s="32"/>
      <c r="O25" s="30"/>
      <c r="P25" s="3">
        <v>4</v>
      </c>
      <c r="Q25" s="34">
        <f>IFERROR(VLOOKUP(P25,'Puntos XCO'!$A$1:$B$63,2,FALSE),0)</f>
        <v>110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v>0</v>
      </c>
      <c r="W25" s="15">
        <f>IFERROR(VLOOKUP(V25,'Puntos XCC Mayor'!$A$1:$B$15,2,FALSE),0)</f>
        <v>0</v>
      </c>
      <c r="X25" s="15">
        <v>13</v>
      </c>
      <c r="Y25" s="25">
        <f>IFERROR(VLOOKUP(X25,'Puntos XCO'!$A$1:$B$63,2,FALSE),0)</f>
        <v>72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293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12</v>
      </c>
      <c r="C26" s="22">
        <v>858</v>
      </c>
      <c r="D26" s="23" t="str">
        <f t="shared" si="0"/>
        <v>VÁSQUEZ  Ricardo</v>
      </c>
      <c r="E26" s="24" t="str">
        <f t="shared" si="1"/>
        <v xml:space="preserve">CH TRAINIG </v>
      </c>
      <c r="F26" s="3">
        <v>10</v>
      </c>
      <c r="G26" s="15">
        <v>1</v>
      </c>
      <c r="H26" s="3">
        <v>9</v>
      </c>
      <c r="I26" s="25">
        <v>80</v>
      </c>
      <c r="J26" s="33">
        <v>9</v>
      </c>
      <c r="K26" s="22">
        <v>2</v>
      </c>
      <c r="L26" s="22">
        <v>7</v>
      </c>
      <c r="M26" s="34">
        <v>90</v>
      </c>
      <c r="N26" s="32"/>
      <c r="O26" s="30"/>
      <c r="P26" s="3">
        <v>0</v>
      </c>
      <c r="Q26" s="34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v>12</v>
      </c>
      <c r="W26" s="15">
        <f>IFERROR(VLOOKUP(V26,'Puntos XCC Mayor'!$A$1:$B$15,2,FALSE),0)</f>
        <v>4</v>
      </c>
      <c r="X26" s="15">
        <v>12</v>
      </c>
      <c r="Y26" s="25">
        <f>IFERROR(VLOOKUP(X26,'Puntos XCO'!$A$1:$B$63,2,FALSE),0)</f>
        <v>74</v>
      </c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0</v>
      </c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4"/>
        <v>251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13</v>
      </c>
      <c r="C27" s="22">
        <v>875</v>
      </c>
      <c r="D27" s="23" t="str">
        <f t="shared" si="0"/>
        <v xml:space="preserve">MENDOZA  Marcos Vinicio </v>
      </c>
      <c r="E27" s="24" t="str">
        <f t="shared" si="1"/>
        <v xml:space="preserve">PROFE REMO TRAINING CLUB </v>
      </c>
      <c r="F27" s="3"/>
      <c r="G27" s="15"/>
      <c r="H27" s="3"/>
      <c r="I27" s="25"/>
      <c r="J27" s="33"/>
      <c r="K27" s="22"/>
      <c r="L27" s="22"/>
      <c r="M27" s="34"/>
      <c r="N27" s="32"/>
      <c r="O27" s="30"/>
      <c r="P27" s="3"/>
      <c r="Q27" s="34"/>
      <c r="R27" s="16"/>
      <c r="S27" s="3"/>
      <c r="T27" s="15"/>
      <c r="U27" s="39"/>
      <c r="V27" s="16">
        <v>1</v>
      </c>
      <c r="W27" s="15">
        <f>IFERROR(VLOOKUP(V27,'Puntos XCC Mayor'!$A$1:$B$15,2,FALSE),0)</f>
        <v>25</v>
      </c>
      <c r="X27" s="15">
        <v>1</v>
      </c>
      <c r="Y27" s="25">
        <f>IFERROR(VLOOKUP(X27,'Puntos XCO'!$A$1:$B$63,2,FALSE),0)</f>
        <v>200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225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14</v>
      </c>
      <c r="C28" s="22">
        <v>862</v>
      </c>
      <c r="D28" s="23" t="str">
        <f t="shared" si="0"/>
        <v xml:space="preserve">ARAYA  Pablo </v>
      </c>
      <c r="E28" s="24" t="str">
        <f t="shared" si="1"/>
        <v xml:space="preserve">AUTOTRONICA ARAYA </v>
      </c>
      <c r="F28" s="3">
        <v>5</v>
      </c>
      <c r="G28" s="15">
        <v>6</v>
      </c>
      <c r="H28" s="3">
        <v>5</v>
      </c>
      <c r="I28" s="25">
        <v>100</v>
      </c>
      <c r="J28" s="33">
        <v>10</v>
      </c>
      <c r="K28" s="22">
        <v>1</v>
      </c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v>8</v>
      </c>
      <c r="W28" s="15">
        <f>IFERROR(VLOOKUP(V28,'Puntos XCC Mayor'!$A$1:$B$15,2,FALSE),0)</f>
        <v>8</v>
      </c>
      <c r="X28" s="15">
        <v>5</v>
      </c>
      <c r="Y28" s="25">
        <f>IFERROR(VLOOKUP(X28,'Puntos XCO'!$A$1:$B$63,2,FALSE),0)</f>
        <v>100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215</v>
      </c>
      <c r="AJ28" s="3"/>
      <c r="AM28" s="29"/>
    </row>
    <row r="29" spans="1:39" ht="24.95" customHeight="1">
      <c r="A29" s="22">
        <v>15</v>
      </c>
      <c r="B29" s="22">
        <v>15</v>
      </c>
      <c r="C29" s="22">
        <v>857</v>
      </c>
      <c r="D29" s="23" t="str">
        <f t="shared" si="0"/>
        <v xml:space="preserve">SUÁREZ  Christian </v>
      </c>
      <c r="E29" s="24" t="str">
        <f t="shared" si="1"/>
        <v>GAVIA 88</v>
      </c>
      <c r="F29" s="3">
        <v>9</v>
      </c>
      <c r="G29" s="15">
        <v>2</v>
      </c>
      <c r="H29" s="3">
        <v>10</v>
      </c>
      <c r="I29" s="25">
        <v>78</v>
      </c>
      <c r="J29" s="33">
        <v>8</v>
      </c>
      <c r="K29" s="22">
        <v>3</v>
      </c>
      <c r="L29" s="22">
        <v>8</v>
      </c>
      <c r="M29" s="34">
        <v>85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168</v>
      </c>
      <c r="AJ29" s="3"/>
    </row>
    <row r="30" spans="1:39" ht="24.95" customHeight="1">
      <c r="A30" s="22">
        <v>16</v>
      </c>
      <c r="B30" s="22">
        <v>16</v>
      </c>
      <c r="C30" s="22">
        <v>864</v>
      </c>
      <c r="D30" s="23" t="str">
        <f t="shared" si="0"/>
        <v>VARGAS Gustavo</v>
      </c>
      <c r="E30" s="24" t="str">
        <f t="shared" si="1"/>
        <v>Duros como Roca</v>
      </c>
      <c r="F30" s="3">
        <v>0</v>
      </c>
      <c r="G30" s="15">
        <v>0</v>
      </c>
      <c r="H30" s="3">
        <v>0</v>
      </c>
      <c r="I30" s="25">
        <v>0</v>
      </c>
      <c r="J30" s="33">
        <v>0</v>
      </c>
      <c r="K30" s="22">
        <v>0</v>
      </c>
      <c r="L30" s="22">
        <v>9</v>
      </c>
      <c r="M30" s="34">
        <v>80</v>
      </c>
      <c r="N30" s="32"/>
      <c r="O30" s="30"/>
      <c r="P30" s="3">
        <v>9</v>
      </c>
      <c r="Q30" s="34">
        <f>IFERROR(VLOOKUP(P30,'Puntos XCO'!$A$1:$B$63,2,FALSE),0)</f>
        <v>80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160</v>
      </c>
      <c r="AJ30" s="3"/>
    </row>
    <row r="31" spans="1:39" ht="24.95" customHeight="1">
      <c r="A31" s="22">
        <v>17</v>
      </c>
      <c r="B31" s="22">
        <v>17</v>
      </c>
      <c r="C31" s="22">
        <v>872</v>
      </c>
      <c r="D31" s="23" t="str">
        <f t="shared" si="0"/>
        <v xml:space="preserve">GÓMEZ  José Antonio </v>
      </c>
      <c r="E31" s="24" t="str">
        <f t="shared" si="1"/>
        <v xml:space="preserve">BPT </v>
      </c>
      <c r="F31" s="3"/>
      <c r="G31" s="15"/>
      <c r="H31" s="3"/>
      <c r="I31" s="25"/>
      <c r="J31" s="33"/>
      <c r="K31" s="22"/>
      <c r="L31" s="22"/>
      <c r="M31" s="34"/>
      <c r="N31" s="32"/>
      <c r="O31" s="30"/>
      <c r="P31" s="3">
        <v>3</v>
      </c>
      <c r="Q31" s="34">
        <f>IFERROR(VLOOKUP(P31,'Puntos XCO'!$A$1:$B$63,2,FALSE),0)</f>
        <v>120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120</v>
      </c>
      <c r="AJ31" s="3"/>
    </row>
    <row r="32" spans="1:39" ht="24.95" customHeight="1">
      <c r="A32" s="22">
        <v>18</v>
      </c>
      <c r="B32" s="22">
        <v>18</v>
      </c>
      <c r="C32" s="22">
        <v>871</v>
      </c>
      <c r="D32" s="23" t="str">
        <f t="shared" si="0"/>
        <v>ARAYA  Ronald</v>
      </c>
      <c r="E32" s="24" t="str">
        <f t="shared" si="1"/>
        <v xml:space="preserve">X3ME XTREME </v>
      </c>
      <c r="F32" s="3"/>
      <c r="G32" s="15"/>
      <c r="H32" s="3"/>
      <c r="I32" s="25"/>
      <c r="J32" s="33"/>
      <c r="K32" s="22"/>
      <c r="L32" s="22"/>
      <c r="M32" s="34"/>
      <c r="N32" s="32"/>
      <c r="O32" s="30"/>
      <c r="P32" s="3">
        <v>5</v>
      </c>
      <c r="Q32" s="34">
        <f>IFERROR(VLOOKUP(P32,'Puntos XCO'!$A$1:$B$63,2,FALSE),0)</f>
        <v>100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v>0</v>
      </c>
      <c r="W32" s="15">
        <f>IFERROR(VLOOKUP(V32,'Puntos XCC Mayor'!$A$1:$B$15,2,FALSE),0)</f>
        <v>0</v>
      </c>
      <c r="X32" s="15">
        <v>0</v>
      </c>
      <c r="Y32" s="25">
        <f>IFERROR(VLOOKUP(X32,'Puntos XCO'!$A$1:$B$63,2,FALSE),0)</f>
        <v>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100</v>
      </c>
      <c r="AJ32" s="3"/>
    </row>
    <row r="33" spans="1:36" ht="24.95" customHeight="1">
      <c r="A33" s="22">
        <v>19</v>
      </c>
      <c r="B33" s="3"/>
      <c r="C33" s="107">
        <v>876</v>
      </c>
      <c r="D33" s="23" t="str">
        <f t="shared" si="0"/>
        <v>UGALDE Luis</v>
      </c>
      <c r="E33" s="24" t="str">
        <f t="shared" si="1"/>
        <v xml:space="preserve">Individual </v>
      </c>
      <c r="F33" s="3"/>
      <c r="G33" s="15"/>
      <c r="H33" s="3"/>
      <c r="I33" s="25"/>
      <c r="J33" s="33"/>
      <c r="K33" s="22"/>
      <c r="L33" s="22"/>
      <c r="M33" s="34"/>
      <c r="N33" s="32"/>
      <c r="O33" s="30"/>
      <c r="P33" s="3"/>
      <c r="Q33" s="34"/>
      <c r="R33" s="16"/>
      <c r="S33" s="3"/>
      <c r="T33" s="15"/>
      <c r="U33" s="39"/>
      <c r="V33" s="16"/>
      <c r="W33" s="15"/>
      <c r="X33" s="15"/>
      <c r="Y33" s="25"/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6</v>
      </c>
      <c r="AC33" s="25">
        <f>IFERROR(VLOOKUP(AB33,'Puntos XCO'!$A$1:$B$63,2,FALSE),0)</f>
        <v>95</v>
      </c>
      <c r="AD33" s="16"/>
      <c r="AE33" s="15"/>
      <c r="AF33" s="15"/>
      <c r="AG33" s="25"/>
      <c r="AH33" s="27">
        <f t="shared" si="4"/>
        <v>95</v>
      </c>
      <c r="AJ33" s="3"/>
    </row>
    <row r="34" spans="1:36" ht="24.95" customHeight="1">
      <c r="A34" s="22">
        <v>20</v>
      </c>
      <c r="B34" s="22">
        <v>19</v>
      </c>
      <c r="C34" s="22">
        <v>866</v>
      </c>
      <c r="D34" s="23" t="str">
        <f t="shared" si="0"/>
        <v>PORRAS Guillermo</v>
      </c>
      <c r="E34" s="24" t="str">
        <f t="shared" si="1"/>
        <v/>
      </c>
      <c r="F34" s="3">
        <v>0</v>
      </c>
      <c r="G34" s="15">
        <v>0</v>
      </c>
      <c r="H34" s="3">
        <v>0</v>
      </c>
      <c r="I34" s="25">
        <v>0</v>
      </c>
      <c r="J34" s="33">
        <v>0</v>
      </c>
      <c r="K34" s="22">
        <v>0</v>
      </c>
      <c r="L34" s="22">
        <v>0</v>
      </c>
      <c r="M34" s="34">
        <v>0</v>
      </c>
      <c r="N34" s="32"/>
      <c r="O34" s="30"/>
      <c r="P34" s="3">
        <v>7</v>
      </c>
      <c r="Q34" s="34">
        <f>IFERROR(VLOOKUP(P34,'Puntos XCO'!$A$1:$B$63,2,FALSE),0)</f>
        <v>90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0</v>
      </c>
      <c r="W34" s="15">
        <f>IFERROR(VLOOKUP(V34,'Puntos XCC Mayor'!$A$1:$B$15,2,FALSE),0)</f>
        <v>0</v>
      </c>
      <c r="X34" s="15">
        <v>0</v>
      </c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90</v>
      </c>
      <c r="AJ34" s="3"/>
    </row>
    <row r="35" spans="1:36" ht="24.95" customHeight="1">
      <c r="A35" s="22">
        <v>21</v>
      </c>
      <c r="B35" s="22">
        <v>20</v>
      </c>
      <c r="C35" s="22">
        <v>873</v>
      </c>
      <c r="D35" s="23" t="str">
        <f t="shared" si="0"/>
        <v xml:space="preserve">QUIROS Victor Hugo </v>
      </c>
      <c r="E35" s="24" t="str">
        <f t="shared" si="1"/>
        <v xml:space="preserve">VEGABIKES </v>
      </c>
      <c r="F35" s="3"/>
      <c r="G35" s="15"/>
      <c r="H35" s="3"/>
      <c r="I35" s="25"/>
      <c r="J35" s="33"/>
      <c r="K35" s="22"/>
      <c r="L35" s="22"/>
      <c r="M35" s="34"/>
      <c r="N35" s="32"/>
      <c r="O35" s="30"/>
      <c r="P35" s="3"/>
      <c r="Q35" s="34"/>
      <c r="R35" s="16"/>
      <c r="S35" s="3"/>
      <c r="T35" s="15"/>
      <c r="U35" s="39"/>
      <c r="V35" s="16">
        <v>10</v>
      </c>
      <c r="W35" s="15">
        <f>IFERROR(VLOOKUP(V35,'Puntos XCC Mayor'!$A$1:$B$15,2,FALSE),0)</f>
        <v>6</v>
      </c>
      <c r="X35" s="15">
        <v>11</v>
      </c>
      <c r="Y35" s="25">
        <f>IFERROR(VLOOKUP(X35,'Puntos XCO'!$A$1:$B$63,2,FALSE),0)</f>
        <v>76</v>
      </c>
      <c r="Z35" s="16">
        <f t="shared" si="2"/>
        <v>0</v>
      </c>
      <c r="AA35" s="15">
        <f>IFERROR(VLOOKUP(Z35,'Puntos XCC Mayor'!$A$1:$B$15,2,FALSE),0)</f>
        <v>0</v>
      </c>
      <c r="AB35" s="15">
        <f t="shared" si="3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4"/>
        <v>82</v>
      </c>
      <c r="AJ35" s="3"/>
    </row>
    <row r="36" spans="1:36" ht="24.95" customHeight="1">
      <c r="A36" s="3"/>
      <c r="B36" s="22"/>
      <c r="C36" s="22">
        <v>854</v>
      </c>
      <c r="D36" s="23" t="str">
        <f t="shared" si="0"/>
        <v xml:space="preserve">TENORIO  Carlos </v>
      </c>
      <c r="E36" s="24" t="str">
        <f t="shared" si="1"/>
        <v>ACISA SARAPIQUI</v>
      </c>
      <c r="F36" s="3">
        <v>0</v>
      </c>
      <c r="G36" s="15">
        <v>0</v>
      </c>
      <c r="H36" s="3">
        <v>0</v>
      </c>
      <c r="I36" s="25">
        <v>0</v>
      </c>
      <c r="J36" s="33">
        <v>0</v>
      </c>
      <c r="K36" s="22">
        <v>0</v>
      </c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v>0</v>
      </c>
      <c r="W36" s="15">
        <f>IFERROR(VLOOKUP(V36,'Puntos XCC Mayor'!$A$1:$B$15,2,FALSE),0)</f>
        <v>0</v>
      </c>
      <c r="X36" s="15">
        <v>0</v>
      </c>
      <c r="Y36" s="25">
        <f>IFERROR(VLOOKUP(X36,'Puntos XCO'!$A$1:$B$63,2,FALSE),0)</f>
        <v>0</v>
      </c>
      <c r="Z36" s="16">
        <f t="shared" si="2"/>
        <v>0</v>
      </c>
      <c r="AA36" s="15">
        <f>IFERROR(VLOOKUP(Z36,'Puntos XCC Mayor'!$A$1:$B$15,2,FALSE),0)</f>
        <v>0</v>
      </c>
      <c r="AB36" s="15">
        <f t="shared" si="3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4"/>
        <v>0</v>
      </c>
      <c r="AJ36" s="3"/>
    </row>
    <row r="37" spans="1:36" ht="24.95" customHeight="1">
      <c r="A37" s="3"/>
      <c r="B37" s="3"/>
      <c r="C37" s="22">
        <v>856</v>
      </c>
      <c r="D37" s="23" t="str">
        <f t="shared" si="0"/>
        <v>ROBLES Cesar</v>
      </c>
      <c r="E37" s="24" t="str">
        <f t="shared" si="1"/>
        <v>CRS80</v>
      </c>
      <c r="F37" s="3">
        <v>11</v>
      </c>
      <c r="G37" s="15">
        <v>0</v>
      </c>
      <c r="H37" s="3">
        <v>0</v>
      </c>
      <c r="I37" s="25">
        <v>0</v>
      </c>
      <c r="J37" s="33">
        <v>0</v>
      </c>
      <c r="K37" s="22">
        <v>0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v>0</v>
      </c>
      <c r="W37" s="15">
        <f>IFERROR(VLOOKUP(V37,'Puntos XCC Mayor'!$A$1:$B$15,2,FALSE),0)</f>
        <v>0</v>
      </c>
      <c r="X37" s="15">
        <v>0</v>
      </c>
      <c r="Y37" s="25">
        <f>IFERROR(VLOOKUP(X37,'Puntos XCO'!$A$1:$B$63,2,FALSE),0)</f>
        <v>0</v>
      </c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4"/>
        <v>0</v>
      </c>
      <c r="AJ37" s="3"/>
    </row>
    <row r="38" spans="1:36" ht="24.95" customHeight="1">
      <c r="A38" s="3"/>
      <c r="B38" s="3"/>
      <c r="C38" s="22">
        <v>867</v>
      </c>
      <c r="D38" s="23" t="str">
        <f t="shared" si="0"/>
        <v>BERMUDEZ  Guillermo</v>
      </c>
      <c r="E38" s="24" t="str">
        <f t="shared" si="1"/>
        <v xml:space="preserve">INDEPENDIENTE </v>
      </c>
      <c r="F38" s="3">
        <v>0</v>
      </c>
      <c r="G38" s="15">
        <v>0</v>
      </c>
      <c r="H38" s="3">
        <v>0</v>
      </c>
      <c r="I38" s="25">
        <v>0</v>
      </c>
      <c r="J38" s="33">
        <v>0</v>
      </c>
      <c r="K38" s="22">
        <v>0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2"/>
        <v>0</v>
      </c>
      <c r="AA38" s="15">
        <f>IFERROR(VLOOKUP(Z38,'Puntos XCC Mayor'!$A$1:$B$15,2,FALSE),0)</f>
        <v>0</v>
      </c>
      <c r="AB38" s="15">
        <f t="shared" si="3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4"/>
        <v>0</v>
      </c>
      <c r="AJ38" s="3"/>
    </row>
    <row r="39" spans="1:36" ht="24.95" customHeight="1">
      <c r="A39" s="3"/>
      <c r="B39" s="3"/>
      <c r="C39" s="22">
        <v>869</v>
      </c>
      <c r="D39" s="23" t="str">
        <f t="shared" si="0"/>
        <v xml:space="preserve">CRUZ Eddy Antonio </v>
      </c>
      <c r="E39" s="24" t="str">
        <f t="shared" si="1"/>
        <v>MUEBLES CRUZ</v>
      </c>
      <c r="F39" s="3">
        <v>0</v>
      </c>
      <c r="G39" s="15">
        <v>0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2"/>
        <v>0</v>
      </c>
      <c r="AA39" s="15">
        <f>IFERROR(VLOOKUP(Z39,'Puntos XCC Mayor'!$A$1:$B$15,2,FALSE),0)</f>
        <v>0</v>
      </c>
      <c r="AB39" s="15">
        <f t="shared" si="3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4"/>
        <v>0</v>
      </c>
      <c r="AJ39" s="3"/>
    </row>
    <row r="40" spans="1:36" ht="24.95" customHeight="1">
      <c r="A40" s="3"/>
      <c r="B40" s="3"/>
      <c r="C40" s="22">
        <v>874</v>
      </c>
      <c r="D40" s="23" t="str">
        <f t="shared" si="0"/>
        <v xml:space="preserve">MENESES Paulo </v>
      </c>
      <c r="E40" s="24" t="str">
        <f t="shared" si="1"/>
        <v>UNIFORMAX</v>
      </c>
      <c r="F40" s="3"/>
      <c r="G40" s="15"/>
      <c r="H40" s="3"/>
      <c r="I40" s="25"/>
      <c r="J40" s="33"/>
      <c r="K40" s="22"/>
      <c r="L40" s="22"/>
      <c r="M40" s="34"/>
      <c r="N40" s="32"/>
      <c r="O40" s="30"/>
      <c r="P40" s="3"/>
      <c r="Q40" s="34"/>
      <c r="R40" s="16"/>
      <c r="S40" s="3"/>
      <c r="T40" s="15"/>
      <c r="U40" s="39"/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0</v>
      </c>
      <c r="AA40" s="15">
        <f>IFERROR(VLOOKUP(Z40,'Puntos XCC Mayor'!$A$1:$B$15,2,FALSE),0)</f>
        <v>0</v>
      </c>
      <c r="AB40" s="15">
        <f t="shared" si="3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4"/>
        <v>0</v>
      </c>
      <c r="AJ40" s="3"/>
    </row>
    <row r="41" spans="1:36" ht="24.95" customHeight="1">
      <c r="A41" s="3"/>
      <c r="B41" s="3"/>
      <c r="C41" s="22"/>
      <c r="D41" s="23"/>
      <c r="E41" s="24"/>
      <c r="F41" s="3"/>
      <c r="G41" s="15"/>
      <c r="H41" s="3"/>
      <c r="I41" s="25"/>
      <c r="J41" s="33"/>
      <c r="K41" s="22"/>
      <c r="L41" s="22"/>
      <c r="M41" s="34"/>
      <c r="N41" s="32"/>
      <c r="O41" s="30"/>
      <c r="P41" s="3"/>
      <c r="Q41" s="34"/>
      <c r="R41" s="32"/>
      <c r="S41" s="30"/>
      <c r="T41" s="3"/>
      <c r="U41" s="39"/>
      <c r="V41" s="32"/>
      <c r="W41" s="30"/>
      <c r="X41" s="15"/>
      <c r="Y41" s="25"/>
      <c r="Z41" s="32"/>
      <c r="AA41" s="30"/>
      <c r="AB41" s="15"/>
      <c r="AC41" s="25"/>
      <c r="AD41" s="32"/>
      <c r="AE41" s="30"/>
      <c r="AF41" s="15"/>
      <c r="AG41" s="25"/>
      <c r="AH41" s="27"/>
      <c r="AJ41" s="3"/>
    </row>
    <row r="42" spans="1:36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4"/>
      <c r="Q42" s="65"/>
      <c r="R42" s="65"/>
      <c r="S42" s="65"/>
      <c r="T42" s="65"/>
      <c r="U42" s="65"/>
      <c r="V42" s="65"/>
      <c r="W42" s="65"/>
      <c r="X42" s="65"/>
      <c r="Y42" s="65"/>
      <c r="Z42" s="119"/>
      <c r="AA42" s="119"/>
      <c r="AB42" s="119"/>
      <c r="AC42" s="119"/>
      <c r="AD42" s="119"/>
      <c r="AE42" s="119"/>
      <c r="AF42" s="119"/>
      <c r="AG42" s="119"/>
      <c r="AH42" s="65"/>
    </row>
    <row r="43" spans="1:36">
      <c r="M43" s="9"/>
      <c r="N43" s="9"/>
      <c r="O43" s="9"/>
      <c r="P43" s="10"/>
      <c r="Q43" s="9"/>
      <c r="R43" s="9"/>
      <c r="S43" s="9"/>
      <c r="T43" s="9"/>
      <c r="U43" s="9"/>
    </row>
    <row r="44" spans="1:36" ht="127.5" customHeight="1"/>
    <row r="45" spans="1:36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4"/>
      <c r="Q45" s="65"/>
      <c r="R45" s="65"/>
      <c r="S45" s="65"/>
      <c r="T45" s="65"/>
      <c r="U45" s="65"/>
      <c r="V45" s="65"/>
      <c r="W45" s="65"/>
      <c r="X45" s="65"/>
      <c r="Y45" s="65"/>
      <c r="Z45" s="119"/>
      <c r="AA45" s="119"/>
      <c r="AB45" s="119"/>
      <c r="AC45" s="119"/>
      <c r="AD45" s="119"/>
      <c r="AE45" s="119"/>
      <c r="AF45" s="119"/>
      <c r="AG45" s="119"/>
      <c r="AH45" s="65"/>
    </row>
  </sheetData>
  <sortState ref="B15:AH40">
    <sortCondition descending="1" ref="AH15:AH40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42:C65520 C1:C9 C12:C14">
    <cfRule type="duplicateValues" dxfId="409" priority="68" stopIfTrue="1"/>
  </conditionalFormatting>
  <conditionalFormatting sqref="C15 C17 C19 C21 C23 C25 C27 C29 C31 C33:C36 C41">
    <cfRule type="duplicateValues" dxfId="408" priority="18"/>
  </conditionalFormatting>
  <conditionalFormatting sqref="C16 C18 C20 C22 C24 C26 C28 C30 C32">
    <cfRule type="duplicateValues" dxfId="407" priority="19"/>
  </conditionalFormatting>
  <conditionalFormatting sqref="AJ15:AJ41">
    <cfRule type="duplicateValues" dxfId="406" priority="7858"/>
  </conditionalFormatting>
  <conditionalFormatting sqref="C37:C39">
    <cfRule type="duplicateValues" dxfId="405" priority="7"/>
  </conditionalFormatting>
  <conditionalFormatting sqref="C40">
    <cfRule type="duplicateValues" dxfId="404" priority="6"/>
  </conditionalFormatting>
  <conditionalFormatting sqref="C11">
    <cfRule type="duplicateValues" dxfId="403" priority="4" stopIfTrue="1"/>
  </conditionalFormatting>
  <conditionalFormatting sqref="C11">
    <cfRule type="duplicateValues" dxfId="402" priority="5" stopIfTrue="1"/>
  </conditionalFormatting>
  <conditionalFormatting sqref="D11">
    <cfRule type="duplicateValues" dxfId="401" priority="3" stopIfTrue="1"/>
  </conditionalFormatting>
  <conditionalFormatting sqref="C10">
    <cfRule type="duplicateValues" dxfId="400" priority="1" stopIfTrue="1"/>
  </conditionalFormatting>
  <conditionalFormatting sqref="C10">
    <cfRule type="duplicateValues" dxfId="399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8:AM42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8.7109375" style="2" bestFit="1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93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96">
        <v>906</v>
      </c>
      <c r="D15" s="23" t="str">
        <f t="shared" ref="D15:D37" si="0">VLOOKUP(C15,PLANILLA,2,FALSE)</f>
        <v>ROJAS MELVIN</v>
      </c>
      <c r="E15" s="24" t="str">
        <f t="shared" ref="E15:E37" si="1">VLOOKUP(C15,PLANILLA,4,FALSE)</f>
        <v>BOBBYS CYCLING TEAM</v>
      </c>
      <c r="F15" s="3">
        <v>0</v>
      </c>
      <c r="G15" s="15">
        <v>0</v>
      </c>
      <c r="H15" s="3">
        <v>1</v>
      </c>
      <c r="I15" s="25">
        <v>200</v>
      </c>
      <c r="J15" s="33">
        <v>0</v>
      </c>
      <c r="K15" s="22">
        <v>0</v>
      </c>
      <c r="L15" s="22">
        <v>1</v>
      </c>
      <c r="M15" s="34">
        <v>200</v>
      </c>
      <c r="N15" s="32">
        <f>IFERROR(VLOOKUP(C15,RESXCC_1,9,FALSE),0)</f>
        <v>0</v>
      </c>
      <c r="O15" s="30"/>
      <c r="P15" s="3">
        <v>1</v>
      </c>
      <c r="Q15" s="34">
        <f>IFERROR(VLOOKUP(P15,'Puntos XCO'!$A$1:$B$63,2,FALSE),0)</f>
        <v>200</v>
      </c>
      <c r="R15" s="16">
        <v>0</v>
      </c>
      <c r="S15" s="3">
        <f>IFERROR(VLOOKUP(R15,'Puntos XCC Menor'!$A$1:$B$15,2,FALSE),0)</f>
        <v>0</v>
      </c>
      <c r="T15" s="15">
        <v>0</v>
      </c>
      <c r="U15" s="39">
        <f>IFERROR(VLOOKUP(T15,'Puntos XCO'!$A$1:$B$63,2,FALSE),0)</f>
        <v>0</v>
      </c>
      <c r="V15" s="16">
        <v>2</v>
      </c>
      <c r="W15" s="15">
        <f>IFERROR(VLOOKUP(V15,'Puntos XCC Mayor'!$A$1:$B$15,2,FALSE),0)</f>
        <v>20</v>
      </c>
      <c r="X15" s="15">
        <v>1</v>
      </c>
      <c r="Y15" s="25">
        <f>IFERROR(VLOOKUP(X15,'Puntos XCO'!$A$1:$B$63,2,FALSE),0)</f>
        <v>200</v>
      </c>
      <c r="Z15" s="16">
        <f t="shared" ref="Z15:Z37" si="2">IFERROR(VLOOKUP($C15,RESXCC_1,9,FALSE),0)</f>
        <v>0</v>
      </c>
      <c r="AA15" s="15">
        <f>IFERROR(VLOOKUP(Z15,'Puntos XCC Mayor'!$A$1:$B$15,2,FALSE),0)</f>
        <v>0</v>
      </c>
      <c r="AB15" s="15">
        <f t="shared" ref="AB15:AB37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37" si="4">G15+I15+K15+M15+O15+Q15+S15+U15+W15+Y15+AA15+AC15+AE15+AG15</f>
        <v>1020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96">
        <v>908</v>
      </c>
      <c r="D16" s="23" t="str">
        <f t="shared" si="0"/>
        <v>RODRÍGUEZ Luis Angel</v>
      </c>
      <c r="E16" s="24" t="str">
        <f t="shared" si="1"/>
        <v xml:space="preserve">Quesada Jonathan.Cycling / Fisio Norte </v>
      </c>
      <c r="F16" s="3">
        <v>2</v>
      </c>
      <c r="G16" s="15">
        <v>9</v>
      </c>
      <c r="H16" s="3">
        <v>6</v>
      </c>
      <c r="I16" s="25">
        <v>95</v>
      </c>
      <c r="J16" s="33">
        <v>1</v>
      </c>
      <c r="K16" s="22">
        <v>10</v>
      </c>
      <c r="L16" s="22">
        <v>2</v>
      </c>
      <c r="M16" s="34">
        <v>150</v>
      </c>
      <c r="N16" s="32"/>
      <c r="O16" s="30"/>
      <c r="P16" s="3">
        <v>3</v>
      </c>
      <c r="Q16" s="34">
        <f>IFERROR(VLOOKUP(P16,'Puntos XCO'!$A$1:$B$63,2,FALSE),0)</f>
        <v>120</v>
      </c>
      <c r="R16" s="16">
        <v>1</v>
      </c>
      <c r="S16" s="3">
        <f>IFERROR(VLOOKUP(R16,'Puntos XCC Menor'!$A$1:$B$15,2,FALSE),0)</f>
        <v>10</v>
      </c>
      <c r="T16" s="15">
        <v>2</v>
      </c>
      <c r="U16" s="39">
        <f>IFERROR(VLOOKUP(T16,'Puntos XCO'!$A$1:$B$63,2,FALSE),0)</f>
        <v>150</v>
      </c>
      <c r="V16" s="16">
        <v>3</v>
      </c>
      <c r="W16" s="15">
        <f>IFERROR(VLOOKUP(V16,'Puntos XCC Mayor'!$A$1:$B$15,2,FALSE),0)</f>
        <v>16</v>
      </c>
      <c r="X16" s="15">
        <v>4</v>
      </c>
      <c r="Y16" s="25">
        <f>IFERROR(VLOOKUP(X16,'Puntos XCO'!$A$1:$B$63,2,FALSE),0)</f>
        <v>110</v>
      </c>
      <c r="Z16" s="16">
        <f t="shared" si="2"/>
        <v>1</v>
      </c>
      <c r="AA16" s="15">
        <f>IFERROR(VLOOKUP(Z16,'Puntos XCC Mayor'!$A$1:$B$15,2,FALSE),0)</f>
        <v>25</v>
      </c>
      <c r="AB16" s="15">
        <f t="shared" si="3"/>
        <v>5</v>
      </c>
      <c r="AC16" s="25">
        <f>IFERROR(VLOOKUP(AB16,'Puntos XCO'!$A$1:$B$63,2,FALSE),0)</f>
        <v>100</v>
      </c>
      <c r="AD16" s="16"/>
      <c r="AE16" s="15"/>
      <c r="AF16" s="15"/>
      <c r="AG16" s="25"/>
      <c r="AH16" s="27">
        <f t="shared" si="4"/>
        <v>795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96">
        <v>903</v>
      </c>
      <c r="D17" s="23" t="str">
        <f t="shared" si="0"/>
        <v>RUBI Luis</v>
      </c>
      <c r="E17" s="24" t="str">
        <f t="shared" si="1"/>
        <v>Duros Como Roca</v>
      </c>
      <c r="F17" s="3">
        <v>3</v>
      </c>
      <c r="G17" s="15">
        <v>8</v>
      </c>
      <c r="H17" s="3">
        <v>9</v>
      </c>
      <c r="I17" s="25">
        <v>80</v>
      </c>
      <c r="J17" s="33">
        <v>3</v>
      </c>
      <c r="K17" s="22">
        <v>8</v>
      </c>
      <c r="L17" s="22">
        <v>5</v>
      </c>
      <c r="M17" s="34">
        <v>100</v>
      </c>
      <c r="N17" s="32"/>
      <c r="O17" s="30"/>
      <c r="P17" s="3">
        <v>5</v>
      </c>
      <c r="Q17" s="34">
        <f>IFERROR(VLOOKUP(P17,'Puntos XCO'!$A$1:$B$63,2,FALSE),0)</f>
        <v>100</v>
      </c>
      <c r="R17" s="16">
        <v>2</v>
      </c>
      <c r="S17" s="3">
        <f>IFERROR(VLOOKUP(R17,'Puntos XCC Menor'!$A$1:$B$15,2,FALSE),0)</f>
        <v>9</v>
      </c>
      <c r="T17" s="15">
        <v>3</v>
      </c>
      <c r="U17" s="39">
        <f>IFERROR(VLOOKUP(T17,'Puntos XCO'!$A$1:$B$63,2,FALSE),0)</f>
        <v>120</v>
      </c>
      <c r="V17" s="16">
        <v>6</v>
      </c>
      <c r="W17" s="15">
        <f>IFERROR(VLOOKUP(V17,'Puntos XCC Mayor'!$A$1:$B$15,2,FALSE),0)</f>
        <v>10</v>
      </c>
      <c r="X17" s="15">
        <v>6</v>
      </c>
      <c r="Y17" s="25">
        <f>IFERROR(VLOOKUP(X17,'Puntos XCO'!$A$1:$B$63,2,FALSE),0)</f>
        <v>95</v>
      </c>
      <c r="Z17" s="16">
        <f t="shared" si="2"/>
        <v>2</v>
      </c>
      <c r="AA17" s="15">
        <f>IFERROR(VLOOKUP(Z17,'Puntos XCC Mayor'!$A$1:$B$15,2,FALSE),0)</f>
        <v>20</v>
      </c>
      <c r="AB17" s="15">
        <f t="shared" si="3"/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4"/>
        <v>700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6</v>
      </c>
      <c r="C18" s="96">
        <v>905</v>
      </c>
      <c r="D18" s="23" t="str">
        <f t="shared" si="0"/>
        <v xml:space="preserve">MONGE Freizer </v>
      </c>
      <c r="E18" s="24" t="str">
        <f t="shared" si="1"/>
        <v>Hotel Whyndan Garden -Mensajeria M-A.</v>
      </c>
      <c r="F18" s="3">
        <v>8</v>
      </c>
      <c r="G18" s="15">
        <v>3</v>
      </c>
      <c r="H18" s="3">
        <v>11</v>
      </c>
      <c r="I18" s="25">
        <v>76</v>
      </c>
      <c r="J18" s="33">
        <v>7</v>
      </c>
      <c r="K18" s="22">
        <v>4</v>
      </c>
      <c r="L18" s="22">
        <v>12</v>
      </c>
      <c r="M18" s="34">
        <v>74</v>
      </c>
      <c r="N18" s="32"/>
      <c r="O18" s="30"/>
      <c r="P18" s="3">
        <v>7</v>
      </c>
      <c r="Q18" s="34">
        <f>IFERROR(VLOOKUP(P18,'Puntos XCO'!$A$1:$B$63,2,FALSE),0)</f>
        <v>90</v>
      </c>
      <c r="R18" s="16">
        <v>3</v>
      </c>
      <c r="S18" s="3">
        <f>IFERROR(VLOOKUP(R18,'Puntos XCC Menor'!$A$1:$B$15,2,FALSE),0)</f>
        <v>8</v>
      </c>
      <c r="T18" s="15">
        <v>5</v>
      </c>
      <c r="U18" s="39">
        <f>IFERROR(VLOOKUP(T18,'Puntos XCO'!$A$1:$B$63,2,FALSE),0)</f>
        <v>100</v>
      </c>
      <c r="V18" s="16">
        <v>12</v>
      </c>
      <c r="W18" s="15">
        <f>IFERROR(VLOOKUP(V18,'Puntos XCC Mayor'!$A$1:$B$15,2,FALSE),0)</f>
        <v>4</v>
      </c>
      <c r="X18" s="15">
        <v>10</v>
      </c>
      <c r="Y18" s="25">
        <f>IFERROR(VLOOKUP(X18,'Puntos XCO'!$A$1:$B$63,2,FALSE),0)</f>
        <v>78</v>
      </c>
      <c r="Z18" s="16">
        <f t="shared" si="2"/>
        <v>5</v>
      </c>
      <c r="AA18" s="15">
        <f>IFERROR(VLOOKUP(Z18,'Puntos XCC Mayor'!$A$1:$B$15,2,FALSE),0)</f>
        <v>12</v>
      </c>
      <c r="AB18" s="15">
        <f t="shared" si="3"/>
        <v>9</v>
      </c>
      <c r="AC18" s="25">
        <f>IFERROR(VLOOKUP(AB18,'Puntos XCO'!$A$1:$B$63,2,FALSE),0)</f>
        <v>80</v>
      </c>
      <c r="AD18" s="16"/>
      <c r="AE18" s="15"/>
      <c r="AF18" s="15"/>
      <c r="AG18" s="25"/>
      <c r="AH18" s="27">
        <f t="shared" si="4"/>
        <v>529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4</v>
      </c>
      <c r="C19" s="96">
        <v>910</v>
      </c>
      <c r="D19" s="23" t="str">
        <f t="shared" si="0"/>
        <v xml:space="preserve">CAMPOS  Marvin </v>
      </c>
      <c r="E19" s="24" t="str">
        <f t="shared" si="1"/>
        <v>BELEN TEAM</v>
      </c>
      <c r="F19" s="3">
        <v>5</v>
      </c>
      <c r="G19" s="15">
        <v>6</v>
      </c>
      <c r="H19" s="3">
        <v>5</v>
      </c>
      <c r="I19" s="25">
        <v>100</v>
      </c>
      <c r="J19" s="33">
        <v>0</v>
      </c>
      <c r="K19" s="22">
        <v>0</v>
      </c>
      <c r="L19" s="22">
        <v>0</v>
      </c>
      <c r="M19" s="34">
        <v>0</v>
      </c>
      <c r="N19" s="32"/>
      <c r="O19" s="30"/>
      <c r="P19" s="3">
        <v>4</v>
      </c>
      <c r="Q19" s="34">
        <f>IFERROR(VLOOKUP(P19,'Puntos XCO'!$A$1:$B$63,2,FALSE),0)</f>
        <v>110</v>
      </c>
      <c r="R19" s="16">
        <v>0</v>
      </c>
      <c r="S19" s="3">
        <f>IFERROR(VLOOKUP(R19,'Puntos XCC Menor'!$A$1:$B$15,2,FALSE),0)</f>
        <v>0</v>
      </c>
      <c r="T19" s="15">
        <v>1</v>
      </c>
      <c r="U19" s="39">
        <f>IFERROR(VLOOKUP(T19,'Puntos XCO'!$A$1:$B$63,2,FALSE),0)</f>
        <v>200</v>
      </c>
      <c r="V19" s="16">
        <v>5</v>
      </c>
      <c r="W19" s="15">
        <f>IFERROR(VLOOKUP(V19,'Puntos XCC Mayor'!$A$1:$B$15,2,FALSE),0)</f>
        <v>12</v>
      </c>
      <c r="X19" s="15">
        <v>7</v>
      </c>
      <c r="Y19" s="25">
        <f>IFERROR(VLOOKUP(X19,'Puntos XCO'!$A$1:$B$63,2,FALSE),0)</f>
        <v>90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4"/>
        <v>518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7</v>
      </c>
      <c r="C20" s="96">
        <v>913</v>
      </c>
      <c r="D20" s="23" t="str">
        <f t="shared" si="0"/>
        <v xml:space="preserve">CAMPOS Luis Javier </v>
      </c>
      <c r="E20" s="24" t="str">
        <f t="shared" si="1"/>
        <v xml:space="preserve">Numu coaching </v>
      </c>
      <c r="F20" s="3">
        <v>0</v>
      </c>
      <c r="G20" s="15">
        <v>0</v>
      </c>
      <c r="H20" s="3">
        <v>12</v>
      </c>
      <c r="I20" s="25">
        <v>74</v>
      </c>
      <c r="J20" s="33">
        <v>8</v>
      </c>
      <c r="K20" s="22">
        <v>3</v>
      </c>
      <c r="L20" s="22">
        <v>13</v>
      </c>
      <c r="M20" s="34">
        <v>72</v>
      </c>
      <c r="N20" s="32"/>
      <c r="O20" s="30"/>
      <c r="P20" s="3">
        <v>9</v>
      </c>
      <c r="Q20" s="34">
        <f>IFERROR(VLOOKUP(P20,'Puntos XCO'!$A$1:$B$63,2,FALSE),0)</f>
        <v>80</v>
      </c>
      <c r="R20" s="16">
        <v>4</v>
      </c>
      <c r="S20" s="3">
        <f>IFERROR(VLOOKUP(R20,'Puntos XCC Menor'!$A$1:$B$15,2,FALSE),0)</f>
        <v>7</v>
      </c>
      <c r="T20" s="15">
        <v>4</v>
      </c>
      <c r="U20" s="39">
        <f>IFERROR(VLOOKUP(T20,'Puntos XCO'!$A$1:$B$63,2,FALSE),0)</f>
        <v>110</v>
      </c>
      <c r="V20" s="16">
        <v>11</v>
      </c>
      <c r="W20" s="15">
        <f>IFERROR(VLOOKUP(V20,'Puntos XCC Mayor'!$A$1:$B$15,2,FALSE),0)</f>
        <v>5</v>
      </c>
      <c r="X20" s="15">
        <v>11</v>
      </c>
      <c r="Y20" s="25">
        <f>IFERROR(VLOOKUP(X20,'Puntos XCO'!$A$1:$B$63,2,FALSE),0)</f>
        <v>76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7</v>
      </c>
      <c r="AC20" s="25">
        <f>IFERROR(VLOOKUP(AB20,'Puntos XCO'!$A$1:$B$63,2,FALSE),0)</f>
        <v>90</v>
      </c>
      <c r="AD20" s="16"/>
      <c r="AE20" s="15"/>
      <c r="AF20" s="15"/>
      <c r="AG20" s="25"/>
      <c r="AH20" s="27">
        <f t="shared" si="4"/>
        <v>517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8</v>
      </c>
      <c r="C21" s="96">
        <v>911</v>
      </c>
      <c r="D21" s="23" t="str">
        <f t="shared" si="0"/>
        <v xml:space="preserve">SALAS Mauricio </v>
      </c>
      <c r="E21" s="24" t="str">
        <f t="shared" si="1"/>
        <v xml:space="preserve">Autos Salas </v>
      </c>
      <c r="F21" s="3">
        <v>0</v>
      </c>
      <c r="G21" s="15">
        <v>0</v>
      </c>
      <c r="H21" s="3">
        <v>4</v>
      </c>
      <c r="I21" s="25">
        <v>110</v>
      </c>
      <c r="J21" s="33">
        <v>2</v>
      </c>
      <c r="K21" s="22">
        <v>9</v>
      </c>
      <c r="L21" s="22">
        <v>3</v>
      </c>
      <c r="M21" s="34">
        <v>120</v>
      </c>
      <c r="N21" s="32"/>
      <c r="O21" s="30"/>
      <c r="P21" s="3">
        <v>0</v>
      </c>
      <c r="Q21" s="34">
        <f>IFERROR(VLOOKUP(P21,'Puntos XCO'!$A$1:$B$63,2,FALSE),0)</f>
        <v>0</v>
      </c>
      <c r="R21" s="16">
        <v>0</v>
      </c>
      <c r="S21" s="3">
        <f>IFERROR(VLOOKUP(R21,'Puntos XCC Menor'!$A$1:$B$15,2,FALSE),0)</f>
        <v>0</v>
      </c>
      <c r="T21" s="15">
        <v>0</v>
      </c>
      <c r="U21" s="39">
        <f>IFERROR(VLOOKUP(T21,'Puntos XCO'!$A$1:$B$63,2,FALSE),0)</f>
        <v>0</v>
      </c>
      <c r="V21" s="16">
        <v>4</v>
      </c>
      <c r="W21" s="15">
        <f>IFERROR(VLOOKUP(V21,'Puntos XCC Mayor'!$A$1:$B$15,2,FALSE),0)</f>
        <v>14</v>
      </c>
      <c r="X21" s="15">
        <v>3</v>
      </c>
      <c r="Y21" s="25">
        <f>IFERROR(VLOOKUP(X21,'Puntos XCO'!$A$1:$B$63,2,FALSE),0)</f>
        <v>120</v>
      </c>
      <c r="Z21" s="16">
        <f t="shared" si="2"/>
        <v>3</v>
      </c>
      <c r="AA21" s="15">
        <f>IFERROR(VLOOKUP(Z21,'Puntos XCC Mayor'!$A$1:$B$15,2,FALSE),0)</f>
        <v>16</v>
      </c>
      <c r="AB21" s="15">
        <f t="shared" si="3"/>
        <v>3</v>
      </c>
      <c r="AC21" s="25">
        <f>IFERROR(VLOOKUP(AB21,'Puntos XCO'!$A$1:$B$63,2,FALSE),0)</f>
        <v>120</v>
      </c>
      <c r="AD21" s="16"/>
      <c r="AE21" s="15"/>
      <c r="AF21" s="15"/>
      <c r="AG21" s="25"/>
      <c r="AH21" s="27">
        <f t="shared" si="4"/>
        <v>509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5</v>
      </c>
      <c r="C22" s="96">
        <v>902</v>
      </c>
      <c r="D22" s="23" t="str">
        <f t="shared" si="0"/>
        <v>MUÑOZ German</v>
      </c>
      <c r="E22" s="24" t="str">
        <f t="shared" si="1"/>
        <v>TREK</v>
      </c>
      <c r="F22" s="3">
        <v>1</v>
      </c>
      <c r="G22" s="15">
        <v>10</v>
      </c>
      <c r="H22" s="3">
        <v>2</v>
      </c>
      <c r="I22" s="25">
        <v>150</v>
      </c>
      <c r="J22" s="33">
        <v>0</v>
      </c>
      <c r="K22" s="22">
        <v>0</v>
      </c>
      <c r="L22" s="22">
        <v>0</v>
      </c>
      <c r="M22" s="34">
        <v>0</v>
      </c>
      <c r="N22" s="32"/>
      <c r="O22" s="30"/>
      <c r="P22" s="3">
        <v>2</v>
      </c>
      <c r="Q22" s="34">
        <f>IFERROR(VLOOKUP(P22,'Puntos XCO'!$A$1:$B$63,2,FALSE),0)</f>
        <v>150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v>1</v>
      </c>
      <c r="W22" s="15">
        <f>IFERROR(VLOOKUP(V22,'Puntos XCC Mayor'!$A$1:$B$15,2,FALSE),0)</f>
        <v>25</v>
      </c>
      <c r="X22" s="15">
        <v>2</v>
      </c>
      <c r="Y22" s="25">
        <f>IFERROR(VLOOKUP(X22,'Puntos XCO'!$A$1:$B$63,2,FALSE),0)</f>
        <v>150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485</v>
      </c>
      <c r="AJ22" s="3"/>
    </row>
    <row r="23" spans="1:39" ht="24.95" customHeight="1">
      <c r="A23" s="22">
        <v>9</v>
      </c>
      <c r="B23" s="22">
        <v>10</v>
      </c>
      <c r="C23" s="96">
        <v>907</v>
      </c>
      <c r="D23" s="23" t="str">
        <f t="shared" si="0"/>
        <v xml:space="preserve">CASTRO Martín </v>
      </c>
      <c r="E23" s="24" t="str">
        <f t="shared" si="1"/>
        <v>ccsoldaduras</v>
      </c>
      <c r="F23" s="3">
        <v>4</v>
      </c>
      <c r="G23" s="15">
        <v>7</v>
      </c>
      <c r="H23" s="3">
        <v>0</v>
      </c>
      <c r="I23" s="25">
        <v>0</v>
      </c>
      <c r="J23" s="33">
        <v>6</v>
      </c>
      <c r="K23" s="22">
        <v>5</v>
      </c>
      <c r="L23" s="22">
        <v>4</v>
      </c>
      <c r="M23" s="34">
        <v>110</v>
      </c>
      <c r="N23" s="32"/>
      <c r="O23" s="30"/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9</v>
      </c>
      <c r="W23" s="15">
        <f>IFERROR(VLOOKUP(V23,'Puntos XCC Mayor'!$A$1:$B$15,2,FALSE),0)</f>
        <v>7</v>
      </c>
      <c r="X23" s="15">
        <v>5</v>
      </c>
      <c r="Y23" s="25">
        <f>IFERROR(VLOOKUP(X23,'Puntos XCO'!$A$1:$B$63,2,FALSE),0)</f>
        <v>100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4</v>
      </c>
      <c r="AC23" s="25">
        <f>IFERROR(VLOOKUP(AB23,'Puntos XCO'!$A$1:$B$63,2,FALSE),0)</f>
        <v>110</v>
      </c>
      <c r="AD23" s="16"/>
      <c r="AE23" s="15"/>
      <c r="AF23" s="15"/>
      <c r="AG23" s="25"/>
      <c r="AH23" s="27">
        <f t="shared" si="4"/>
        <v>339</v>
      </c>
      <c r="AJ23" s="3"/>
    </row>
    <row r="24" spans="1:39" ht="24.95" customHeight="1">
      <c r="A24" s="22">
        <v>10</v>
      </c>
      <c r="B24" s="22">
        <v>9</v>
      </c>
      <c r="C24" s="96">
        <v>904</v>
      </c>
      <c r="D24" s="23" t="str">
        <f t="shared" si="0"/>
        <v>VALVERDE Wiliiam</v>
      </c>
      <c r="E24" s="24" t="str">
        <f t="shared" si="1"/>
        <v>BOBBYS CYCLING TEAM</v>
      </c>
      <c r="F24" s="3">
        <v>6</v>
      </c>
      <c r="G24" s="15">
        <v>5</v>
      </c>
      <c r="H24" s="3">
        <v>7</v>
      </c>
      <c r="I24" s="25">
        <v>90</v>
      </c>
      <c r="J24" s="33">
        <v>4</v>
      </c>
      <c r="K24" s="22">
        <v>7</v>
      </c>
      <c r="L24" s="22">
        <v>9</v>
      </c>
      <c r="M24" s="34">
        <v>80</v>
      </c>
      <c r="N24" s="32"/>
      <c r="O24" s="30"/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7</v>
      </c>
      <c r="W24" s="15">
        <f>IFERROR(VLOOKUP(V24,'Puntos XCC Mayor'!$A$1:$B$15,2,FALSE),0)</f>
        <v>9</v>
      </c>
      <c r="X24" s="15">
        <v>8</v>
      </c>
      <c r="Y24" s="25">
        <f>IFERROR(VLOOKUP(X24,'Puntos XCO'!$A$1:$B$63,2,FALSE),0)</f>
        <v>85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276</v>
      </c>
      <c r="AJ24" s="3"/>
    </row>
    <row r="25" spans="1:39" ht="24.95" customHeight="1">
      <c r="A25" s="22">
        <v>11</v>
      </c>
      <c r="B25" s="22">
        <v>11</v>
      </c>
      <c r="C25" s="22">
        <v>922</v>
      </c>
      <c r="D25" s="23" t="str">
        <f t="shared" si="0"/>
        <v>MORA Alexander Alfredo</v>
      </c>
      <c r="E25" s="24" t="str">
        <f t="shared" si="1"/>
        <v>Team CoreCo/Momentum Sports</v>
      </c>
      <c r="F25" s="3"/>
      <c r="G25" s="15"/>
      <c r="H25" s="15"/>
      <c r="I25" s="25"/>
      <c r="J25" s="33"/>
      <c r="K25" s="22"/>
      <c r="L25" s="22"/>
      <c r="M25" s="34"/>
      <c r="N25" s="16"/>
      <c r="O25" s="15"/>
      <c r="P25" s="3">
        <v>8</v>
      </c>
      <c r="Q25" s="34">
        <f>IFERROR(VLOOKUP(P25,'Puntos XCO'!$A$1:$B$63,2,FALSE),0)</f>
        <v>85</v>
      </c>
      <c r="R25" s="16">
        <v>5</v>
      </c>
      <c r="S25" s="3">
        <f>IFERROR(VLOOKUP(R25,'Puntos XCC Menor'!$A$1:$B$15,2,FALSE),0)</f>
        <v>6</v>
      </c>
      <c r="T25" s="15">
        <v>0</v>
      </c>
      <c r="U25" s="39">
        <f>IFERROR(VLOOKUP(T25,'Puntos XCO'!$A$1:$B$63,2,FALSE),0)</f>
        <v>0</v>
      </c>
      <c r="V25" s="16">
        <v>13</v>
      </c>
      <c r="W25" s="15">
        <f>IFERROR(VLOOKUP(V25,'Puntos XCC Mayor'!$A$1:$B$15,2,FALSE),0)</f>
        <v>3</v>
      </c>
      <c r="X25" s="15">
        <v>12</v>
      </c>
      <c r="Y25" s="25">
        <f>IFERROR(VLOOKUP(X25,'Puntos XCO'!$A$1:$B$63,2,FALSE),0)</f>
        <v>74</v>
      </c>
      <c r="Z25" s="16">
        <f t="shared" si="2"/>
        <v>6</v>
      </c>
      <c r="AA25" s="15">
        <f>IFERROR(VLOOKUP(Z25,'Puntos XCC Mayor'!$A$1:$B$15,2,FALSE),0)</f>
        <v>10</v>
      </c>
      <c r="AB25" s="15">
        <f t="shared" si="3"/>
        <v>8</v>
      </c>
      <c r="AC25" s="25">
        <f>IFERROR(VLOOKUP(AB25,'Puntos XCO'!$A$1:$B$63,2,FALSE),0)</f>
        <v>85</v>
      </c>
      <c r="AD25" s="16"/>
      <c r="AE25" s="15"/>
      <c r="AF25" s="15"/>
      <c r="AG25" s="25"/>
      <c r="AH25" s="27">
        <f t="shared" si="4"/>
        <v>263</v>
      </c>
      <c r="AJ25" s="3"/>
    </row>
    <row r="26" spans="1:39" ht="24.95" customHeight="1">
      <c r="A26" s="22">
        <v>12</v>
      </c>
      <c r="B26" s="22">
        <v>20</v>
      </c>
      <c r="C26" s="96">
        <v>919</v>
      </c>
      <c r="D26" s="23" t="str">
        <f t="shared" si="0"/>
        <v>PÉREZ Javier</v>
      </c>
      <c r="E26" s="24" t="str">
        <f t="shared" si="1"/>
        <v>Cnergy</v>
      </c>
      <c r="F26" s="3"/>
      <c r="G26" s="15"/>
      <c r="H26" s="3"/>
      <c r="I26" s="25"/>
      <c r="J26" s="33">
        <v>0</v>
      </c>
      <c r="K26" s="22">
        <v>0</v>
      </c>
      <c r="L26" s="22">
        <v>10</v>
      </c>
      <c r="M26" s="34">
        <v>78</v>
      </c>
      <c r="N26" s="32"/>
      <c r="O26" s="30"/>
      <c r="P26" s="3">
        <v>0</v>
      </c>
      <c r="Q26" s="34">
        <f>IFERROR(VLOOKUP(P26,'Puntos XCO'!$A$1:$B$63,2,FALSE),0)</f>
        <v>0</v>
      </c>
      <c r="R26" s="16">
        <v>0</v>
      </c>
      <c r="S26" s="3">
        <f>IFERROR(VLOOKUP(R26,'Puntos XCC Menor'!$A$1:$B$15,2,FALSE),0)</f>
        <v>0</v>
      </c>
      <c r="T26" s="15">
        <v>0</v>
      </c>
      <c r="U26" s="39">
        <f>IFERROR(VLOOKUP(T26,'Puntos XCO'!$A$1:$B$63,2,FALSE),0)</f>
        <v>0</v>
      </c>
      <c r="V26" s="16">
        <v>0</v>
      </c>
      <c r="W26" s="15">
        <f>IFERROR(VLOOKUP(V26,'Puntos XCC Mayor'!$A$1:$B$15,2,FALSE),0)</f>
        <v>0</v>
      </c>
      <c r="X26" s="15">
        <v>0</v>
      </c>
      <c r="Y26" s="25">
        <f>IFERROR(VLOOKUP(X26,'Puntos XCO'!$A$1:$B$63,2,FALSE),0)</f>
        <v>0</v>
      </c>
      <c r="Z26" s="16">
        <f t="shared" si="2"/>
        <v>4</v>
      </c>
      <c r="AA26" s="15">
        <f>IFERROR(VLOOKUP(Z26,'Puntos XCC Mayor'!$A$1:$B$15,2,FALSE),0)</f>
        <v>14</v>
      </c>
      <c r="AB26" s="15">
        <f t="shared" si="3"/>
        <v>6</v>
      </c>
      <c r="AC26" s="25">
        <f>IFERROR(VLOOKUP(AB26,'Puntos XCO'!$A$1:$B$63,2,FALSE),0)</f>
        <v>95</v>
      </c>
      <c r="AD26" s="16"/>
      <c r="AE26" s="15"/>
      <c r="AF26" s="15"/>
      <c r="AG26" s="25"/>
      <c r="AH26" s="27">
        <f t="shared" si="4"/>
        <v>187</v>
      </c>
      <c r="AJ26" s="3"/>
    </row>
    <row r="27" spans="1:39" ht="24.95" customHeight="1">
      <c r="A27" s="22">
        <v>13</v>
      </c>
      <c r="B27" s="22">
        <v>12</v>
      </c>
      <c r="C27" s="96">
        <v>909</v>
      </c>
      <c r="D27" s="23" t="str">
        <f t="shared" si="0"/>
        <v xml:space="preserve">SOLANO Cristian </v>
      </c>
      <c r="E27" s="24" t="str">
        <f t="shared" si="1"/>
        <v>TEAM RRS-FR-ACADEMIA AR</v>
      </c>
      <c r="F27" s="3">
        <v>7</v>
      </c>
      <c r="G27" s="15">
        <v>4</v>
      </c>
      <c r="H27" s="3">
        <v>10</v>
      </c>
      <c r="I27" s="25">
        <v>78</v>
      </c>
      <c r="J27" s="33">
        <v>0</v>
      </c>
      <c r="K27" s="22">
        <v>0</v>
      </c>
      <c r="L27" s="22">
        <v>11</v>
      </c>
      <c r="M27" s="34">
        <v>76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v>0</v>
      </c>
      <c r="W27" s="15">
        <f>IFERROR(VLOOKUP(V27,'Puntos XCC Mayor'!$A$1:$B$15,2,FALSE),0)</f>
        <v>0</v>
      </c>
      <c r="X27" s="15">
        <v>0</v>
      </c>
      <c r="Y27" s="25">
        <f>IFERROR(VLOOKUP(X27,'Puntos XCO'!$A$1:$B$63,2,FALSE),0)</f>
        <v>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158</v>
      </c>
      <c r="AJ27" s="3"/>
    </row>
    <row r="28" spans="1:39" ht="24.95" customHeight="1">
      <c r="A28" s="22">
        <v>14</v>
      </c>
      <c r="B28" s="22">
        <v>13</v>
      </c>
      <c r="C28" s="96">
        <v>901</v>
      </c>
      <c r="D28" s="23" t="str">
        <f t="shared" si="0"/>
        <v>SOLIS Marco</v>
      </c>
      <c r="E28" s="24" t="str">
        <f t="shared" si="1"/>
        <v xml:space="preserve">CICLO VICTOR VARGAS </v>
      </c>
      <c r="F28" s="3">
        <v>0</v>
      </c>
      <c r="G28" s="15">
        <v>0</v>
      </c>
      <c r="H28" s="3">
        <v>3</v>
      </c>
      <c r="I28" s="25">
        <v>120</v>
      </c>
      <c r="J28" s="33">
        <v>0</v>
      </c>
      <c r="K28" s="22">
        <v>0</v>
      </c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16">
        <v>0</v>
      </c>
      <c r="S28" s="3">
        <f>IFERROR(VLOOKUP(R28,'Puntos XCC Menor'!$A$1:$B$15,2,FALSE),0)</f>
        <v>0</v>
      </c>
      <c r="T28" s="15">
        <v>0</v>
      </c>
      <c r="U28" s="39">
        <f>IFERROR(VLOOKUP(T28,'Puntos XCO'!$A$1:$B$63,2,FALSE),0)</f>
        <v>0</v>
      </c>
      <c r="V28" s="16">
        <v>0</v>
      </c>
      <c r="W28" s="15">
        <f>IFERROR(VLOOKUP(V28,'Puntos XCC Mayor'!$A$1:$B$15,2,FALSE),0)</f>
        <v>0</v>
      </c>
      <c r="X28" s="15">
        <v>0</v>
      </c>
      <c r="Y28" s="25">
        <f>IFERROR(VLOOKUP(X28,'Puntos XCO'!$A$1:$B$63,2,FALSE),0)</f>
        <v>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120</v>
      </c>
      <c r="AJ28" s="3"/>
    </row>
    <row r="29" spans="1:39" ht="24.95" customHeight="1">
      <c r="A29" s="22">
        <v>15</v>
      </c>
      <c r="B29" s="22">
        <v>14</v>
      </c>
      <c r="C29" s="96">
        <v>916</v>
      </c>
      <c r="D29" s="23" t="str">
        <f t="shared" si="0"/>
        <v>VARGAS Dennis</v>
      </c>
      <c r="E29" s="24" t="str">
        <f t="shared" si="1"/>
        <v>X3ME/SPECIALIZED</v>
      </c>
      <c r="F29" s="3"/>
      <c r="G29" s="15"/>
      <c r="H29" s="3"/>
      <c r="I29" s="25"/>
      <c r="J29" s="33">
        <v>5</v>
      </c>
      <c r="K29" s="22">
        <v>6</v>
      </c>
      <c r="L29" s="22">
        <v>6</v>
      </c>
      <c r="M29" s="34">
        <v>95</v>
      </c>
      <c r="N29" s="32"/>
      <c r="O29" s="30"/>
      <c r="P29" s="3">
        <v>0</v>
      </c>
      <c r="Q29" s="34">
        <f>IFERROR(VLOOKUP(P29,'Puntos XCO'!$A$1:$B$63,2,FALSE),0)</f>
        <v>0</v>
      </c>
      <c r="R29" s="16">
        <v>0</v>
      </c>
      <c r="S29" s="3">
        <f>IFERROR(VLOOKUP(R29,'Puntos XCC Menor'!$A$1:$B$15,2,FALSE),0)</f>
        <v>0</v>
      </c>
      <c r="T29" s="15">
        <v>0</v>
      </c>
      <c r="U29" s="39">
        <f>IFERROR(VLOOKUP(T29,'Puntos XCO'!$A$1:$B$63,2,FALSE),0)</f>
        <v>0</v>
      </c>
      <c r="V29" s="16">
        <v>0</v>
      </c>
      <c r="W29" s="15">
        <f>IFERROR(VLOOKUP(V29,'Puntos XCC Mayor'!$A$1:$B$15,2,FALSE),0)</f>
        <v>0</v>
      </c>
      <c r="X29" s="15">
        <v>0</v>
      </c>
      <c r="Y29" s="25">
        <f>IFERROR(VLOOKUP(X29,'Puntos XCO'!$A$1:$B$63,2,FALSE),0)</f>
        <v>0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101</v>
      </c>
      <c r="AJ29" s="3"/>
    </row>
    <row r="30" spans="1:39" ht="24.95" customHeight="1">
      <c r="A30" s="22">
        <v>16</v>
      </c>
      <c r="B30" s="22">
        <v>15</v>
      </c>
      <c r="C30" s="22">
        <v>921</v>
      </c>
      <c r="D30" s="23" t="str">
        <f t="shared" si="0"/>
        <v>GONZALEZ Alejandro</v>
      </c>
      <c r="E30" s="24" t="str">
        <f t="shared" si="1"/>
        <v>S/E</v>
      </c>
      <c r="F30" s="3"/>
      <c r="G30" s="15"/>
      <c r="H30" s="15"/>
      <c r="I30" s="25"/>
      <c r="J30" s="33"/>
      <c r="K30" s="22"/>
      <c r="L30" s="22"/>
      <c r="M30" s="34"/>
      <c r="N30" s="16"/>
      <c r="O30" s="15"/>
      <c r="P30" s="3">
        <v>6</v>
      </c>
      <c r="Q30" s="34">
        <f>IFERROR(VLOOKUP(P30,'Puntos XCO'!$A$1:$B$63,2,FALSE),0)</f>
        <v>95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95</v>
      </c>
      <c r="AJ30" s="3"/>
    </row>
    <row r="31" spans="1:39" ht="24.95" customHeight="1">
      <c r="A31" s="22">
        <v>17</v>
      </c>
      <c r="B31" s="22">
        <v>16</v>
      </c>
      <c r="C31" s="96">
        <v>918</v>
      </c>
      <c r="D31" s="23" t="str">
        <f t="shared" si="0"/>
        <v xml:space="preserve">ULLOA  Warner </v>
      </c>
      <c r="E31" s="24" t="str">
        <f t="shared" si="1"/>
        <v xml:space="preserve">INDEPENDIENTE </v>
      </c>
      <c r="F31" s="3"/>
      <c r="G31" s="15"/>
      <c r="H31" s="3"/>
      <c r="I31" s="25"/>
      <c r="J31" s="33">
        <v>0</v>
      </c>
      <c r="K31" s="22">
        <v>0</v>
      </c>
      <c r="L31" s="22">
        <v>7</v>
      </c>
      <c r="M31" s="34">
        <v>90</v>
      </c>
      <c r="N31" s="32"/>
      <c r="O31" s="30"/>
      <c r="P31" s="3">
        <v>0</v>
      </c>
      <c r="Q31" s="34">
        <f>IFERROR(VLOOKUP(P31,'Puntos XCO'!$A$1:$B$63,2,FALSE),0)</f>
        <v>0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90</v>
      </c>
      <c r="AJ31" s="3"/>
    </row>
    <row r="32" spans="1:39" ht="24.95" customHeight="1">
      <c r="A32" s="22">
        <v>18</v>
      </c>
      <c r="B32" s="22">
        <v>17</v>
      </c>
      <c r="C32" s="96">
        <v>914</v>
      </c>
      <c r="D32" s="23" t="str">
        <f t="shared" si="0"/>
        <v>MENESES Rolando</v>
      </c>
      <c r="E32" s="24" t="str">
        <f t="shared" si="1"/>
        <v>GRUPETA DE LAS 5AM</v>
      </c>
      <c r="F32" s="3">
        <v>0</v>
      </c>
      <c r="G32" s="15">
        <v>0</v>
      </c>
      <c r="H32" s="3">
        <v>0</v>
      </c>
      <c r="I32" s="25">
        <v>0</v>
      </c>
      <c r="J32" s="33">
        <v>0</v>
      </c>
      <c r="K32" s="22">
        <v>0</v>
      </c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16">
        <v>0</v>
      </c>
      <c r="S32" s="3">
        <f>IFERROR(VLOOKUP(R32,'Puntos XCC Menor'!$A$1:$B$15,2,FALSE),0)</f>
        <v>0</v>
      </c>
      <c r="T32" s="15">
        <v>0</v>
      </c>
      <c r="U32" s="39">
        <f>IFERROR(VLOOKUP(T32,'Puntos XCO'!$A$1:$B$63,2,FALSE),0)</f>
        <v>0</v>
      </c>
      <c r="V32" s="16">
        <v>8</v>
      </c>
      <c r="W32" s="15">
        <f>IFERROR(VLOOKUP(V32,'Puntos XCC Mayor'!$A$1:$B$15,2,FALSE),0)</f>
        <v>8</v>
      </c>
      <c r="X32" s="15">
        <v>9</v>
      </c>
      <c r="Y32" s="25">
        <f>IFERROR(VLOOKUP(X32,'Puntos XCO'!$A$1:$B$63,2,FALSE),0)</f>
        <v>80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88</v>
      </c>
      <c r="AJ32" s="3"/>
    </row>
    <row r="33" spans="1:36" ht="24.95" customHeight="1">
      <c r="A33" s="22">
        <v>19</v>
      </c>
      <c r="B33" s="22">
        <v>18</v>
      </c>
      <c r="C33" s="96">
        <v>915</v>
      </c>
      <c r="D33" s="23" t="str">
        <f t="shared" si="0"/>
        <v xml:space="preserve">JIMÉNEZ  Nelson </v>
      </c>
      <c r="E33" s="24" t="str">
        <f t="shared" si="1"/>
        <v xml:space="preserve">LOYOLA MTB </v>
      </c>
      <c r="F33" s="3">
        <v>0</v>
      </c>
      <c r="G33" s="15">
        <v>0</v>
      </c>
      <c r="H33" s="3">
        <v>8</v>
      </c>
      <c r="I33" s="25">
        <v>85</v>
      </c>
      <c r="J33" s="33">
        <v>0</v>
      </c>
      <c r="K33" s="22">
        <v>0</v>
      </c>
      <c r="L33" s="22">
        <v>0</v>
      </c>
      <c r="M33" s="34">
        <v>0</v>
      </c>
      <c r="N33" s="32"/>
      <c r="O33" s="30"/>
      <c r="P33" s="3">
        <v>0</v>
      </c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85</v>
      </c>
      <c r="AJ33" s="3"/>
    </row>
    <row r="34" spans="1:36" ht="24.95" customHeight="1">
      <c r="A34" s="22">
        <v>20</v>
      </c>
      <c r="B34" s="22">
        <v>19</v>
      </c>
      <c r="C34" s="96">
        <v>917</v>
      </c>
      <c r="D34" s="23" t="str">
        <f t="shared" si="0"/>
        <v xml:space="preserve">HERRERA  Gustavo </v>
      </c>
      <c r="E34" s="24" t="str">
        <f t="shared" si="1"/>
        <v>DRIN TIN</v>
      </c>
      <c r="F34" s="3"/>
      <c r="G34" s="15"/>
      <c r="H34" s="3"/>
      <c r="I34" s="25"/>
      <c r="J34" s="33">
        <v>0</v>
      </c>
      <c r="K34" s="22">
        <v>0</v>
      </c>
      <c r="L34" s="22">
        <v>8</v>
      </c>
      <c r="M34" s="34">
        <v>85</v>
      </c>
      <c r="N34" s="32"/>
      <c r="O34" s="30"/>
      <c r="P34" s="3">
        <v>0</v>
      </c>
      <c r="Q34" s="34">
        <f>IFERROR(VLOOKUP(P34,'Puntos XCO'!$A$1:$B$63,2,FALSE),0)</f>
        <v>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0</v>
      </c>
      <c r="W34" s="15">
        <f>IFERROR(VLOOKUP(V34,'Puntos XCC Mayor'!$A$1:$B$15,2,FALSE),0)</f>
        <v>0</v>
      </c>
      <c r="X34" s="15">
        <v>0</v>
      </c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85</v>
      </c>
      <c r="AJ34" s="3"/>
    </row>
    <row r="35" spans="1:36" ht="24.95" customHeight="1">
      <c r="A35" s="22">
        <v>21</v>
      </c>
      <c r="B35" s="22">
        <v>21</v>
      </c>
      <c r="C35" s="48">
        <v>923</v>
      </c>
      <c r="D35" s="23" t="str">
        <f t="shared" si="0"/>
        <v xml:space="preserve">PENTÁCOLO  Gennaro </v>
      </c>
      <c r="E35" s="24" t="str">
        <f t="shared" si="1"/>
        <v xml:space="preserve">CICLO PENTA BIKE </v>
      </c>
      <c r="F35" s="3"/>
      <c r="G35" s="15"/>
      <c r="H35" s="3"/>
      <c r="I35" s="25"/>
      <c r="J35" s="33"/>
      <c r="K35" s="22"/>
      <c r="L35" s="22"/>
      <c r="M35" s="34"/>
      <c r="N35" s="32"/>
      <c r="O35" s="30"/>
      <c r="P35" s="3"/>
      <c r="Q35" s="34"/>
      <c r="R35" s="16"/>
      <c r="S35" s="3"/>
      <c r="T35" s="15"/>
      <c r="U35" s="39"/>
      <c r="V35" s="16">
        <v>10</v>
      </c>
      <c r="W35" s="15">
        <f>IFERROR(VLOOKUP(V35,'Puntos XCC Mayor'!$A$1:$B$15,2,FALSE),0)</f>
        <v>6</v>
      </c>
      <c r="X35" s="15">
        <v>0</v>
      </c>
      <c r="Y35" s="25">
        <f>IFERROR(VLOOKUP(X35,'Puntos XCO'!$A$1:$B$63,2,FALSE),0)</f>
        <v>0</v>
      </c>
      <c r="Z35" s="16">
        <f t="shared" si="2"/>
        <v>0</v>
      </c>
      <c r="AA35" s="15">
        <f>IFERROR(VLOOKUP(Z35,'Puntos XCC Mayor'!$A$1:$B$15,2,FALSE),0)</f>
        <v>0</v>
      </c>
      <c r="AB35" s="15">
        <f t="shared" si="3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4"/>
        <v>6</v>
      </c>
      <c r="AJ35" s="3"/>
    </row>
    <row r="36" spans="1:36" ht="24.95" customHeight="1">
      <c r="A36" s="3"/>
      <c r="B36" s="3"/>
      <c r="C36" s="96">
        <v>912</v>
      </c>
      <c r="D36" s="23" t="str">
        <f t="shared" si="0"/>
        <v xml:space="preserve">FERNÁNDEZ  José Luis </v>
      </c>
      <c r="E36" s="24" t="str">
        <f t="shared" si="1"/>
        <v>LUCART</v>
      </c>
      <c r="F36" s="3">
        <v>0</v>
      </c>
      <c r="G36" s="15">
        <v>0</v>
      </c>
      <c r="H36" s="3">
        <v>0</v>
      </c>
      <c r="I36" s="25">
        <v>0</v>
      </c>
      <c r="J36" s="33">
        <v>0</v>
      </c>
      <c r="K36" s="22">
        <v>0</v>
      </c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v>0</v>
      </c>
      <c r="W36" s="15">
        <f>IFERROR(VLOOKUP(V36,'Puntos XCC Mayor'!$A$1:$B$15,2,FALSE),0)</f>
        <v>0</v>
      </c>
      <c r="X36" s="15">
        <v>0</v>
      </c>
      <c r="Y36" s="25">
        <f>IFERROR(VLOOKUP(X36,'Puntos XCO'!$A$1:$B$63,2,FALSE),0)</f>
        <v>0</v>
      </c>
      <c r="Z36" s="16">
        <f t="shared" si="2"/>
        <v>0</v>
      </c>
      <c r="AA36" s="15">
        <f>IFERROR(VLOOKUP(Z36,'Puntos XCC Mayor'!$A$1:$B$15,2,FALSE),0)</f>
        <v>0</v>
      </c>
      <c r="AB36" s="15">
        <f t="shared" si="3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4"/>
        <v>0</v>
      </c>
      <c r="AJ36" s="3"/>
    </row>
    <row r="37" spans="1:36" ht="24.95" customHeight="1">
      <c r="A37" s="3"/>
      <c r="B37" s="3"/>
      <c r="C37" s="48">
        <v>920</v>
      </c>
      <c r="D37" s="23" t="str">
        <f t="shared" si="0"/>
        <v>DELGADO Angelo</v>
      </c>
      <c r="E37" s="24" t="str">
        <f t="shared" si="1"/>
        <v>7EIGHT7 PROJECT</v>
      </c>
      <c r="F37" s="3"/>
      <c r="G37" s="15"/>
      <c r="H37" s="3"/>
      <c r="I37" s="25"/>
      <c r="J37" s="33"/>
      <c r="K37" s="22"/>
      <c r="L37" s="22"/>
      <c r="M37" s="34"/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v>0</v>
      </c>
      <c r="W37" s="15">
        <f>IFERROR(VLOOKUP(V37,'Puntos XCC Mayor'!$A$1:$B$15,2,FALSE),0)</f>
        <v>0</v>
      </c>
      <c r="X37" s="15">
        <v>0</v>
      </c>
      <c r="Y37" s="25">
        <f>IFERROR(VLOOKUP(X37,'Puntos XCO'!$A$1:$B$63,2,FALSE),0)</f>
        <v>0</v>
      </c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4"/>
        <v>0</v>
      </c>
      <c r="AJ37" s="3"/>
    </row>
    <row r="38" spans="1:36" ht="24.95" customHeight="1">
      <c r="A38" s="3"/>
      <c r="B38" s="3"/>
      <c r="C38" s="22"/>
      <c r="D38" s="23"/>
      <c r="E38" s="24"/>
      <c r="F38" s="3"/>
      <c r="G38" s="15"/>
      <c r="H38" s="15"/>
      <c r="I38" s="25"/>
      <c r="J38" s="33"/>
      <c r="K38" s="22"/>
      <c r="L38" s="22"/>
      <c r="M38" s="34"/>
      <c r="N38" s="16"/>
      <c r="O38" s="15"/>
      <c r="P38" s="3"/>
      <c r="Q38" s="25"/>
      <c r="R38" s="16"/>
      <c r="S38" s="15"/>
      <c r="T38" s="15"/>
      <c r="U38" s="25"/>
      <c r="V38" s="16"/>
      <c r="W38" s="15"/>
      <c r="X38" s="15"/>
      <c r="Y38" s="25"/>
      <c r="Z38" s="16"/>
      <c r="AA38" s="15"/>
      <c r="AB38" s="15"/>
      <c r="AC38" s="25"/>
      <c r="AD38" s="16"/>
      <c r="AE38" s="15"/>
      <c r="AF38" s="15"/>
      <c r="AG38" s="25"/>
      <c r="AH38" s="27"/>
      <c r="AJ38" s="3"/>
    </row>
    <row r="39" spans="1:36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74"/>
      <c r="Q39" s="65"/>
      <c r="R39" s="65"/>
      <c r="S39" s="65"/>
      <c r="T39" s="65"/>
      <c r="U39" s="65"/>
      <c r="V39" s="65"/>
      <c r="W39" s="65"/>
      <c r="X39" s="65"/>
      <c r="Y39" s="65"/>
      <c r="Z39" s="119"/>
      <c r="AA39" s="119"/>
      <c r="AB39" s="119"/>
      <c r="AC39" s="119"/>
      <c r="AD39" s="119"/>
      <c r="AE39" s="119"/>
      <c r="AF39" s="119"/>
      <c r="AG39" s="119"/>
      <c r="AH39" s="65"/>
    </row>
    <row r="40" spans="1:36">
      <c r="M40" s="9"/>
      <c r="N40" s="9"/>
      <c r="O40" s="9"/>
      <c r="P40" s="10"/>
      <c r="Q40" s="9"/>
      <c r="R40" s="9"/>
      <c r="S40" s="9"/>
      <c r="T40" s="9"/>
      <c r="U40" s="9"/>
    </row>
    <row r="41" spans="1:36" ht="127.5" customHeight="1"/>
    <row r="42" spans="1:36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4"/>
      <c r="Q42" s="65"/>
      <c r="R42" s="65"/>
      <c r="S42" s="65"/>
      <c r="T42" s="65"/>
      <c r="U42" s="65"/>
      <c r="V42" s="65"/>
      <c r="W42" s="65"/>
      <c r="X42" s="65"/>
      <c r="Y42" s="65"/>
      <c r="Z42" s="119"/>
      <c r="AA42" s="119"/>
      <c r="AB42" s="119"/>
      <c r="AC42" s="119"/>
      <c r="AD42" s="119"/>
      <c r="AE42" s="119"/>
      <c r="AF42" s="119"/>
      <c r="AG42" s="119"/>
      <c r="AH42" s="65"/>
    </row>
  </sheetData>
  <sortState ref="B15:AH37">
    <sortCondition descending="1" ref="AH15:AH37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39:C65517 C1:C9 C12:C14">
    <cfRule type="duplicateValues" dxfId="398" priority="65" stopIfTrue="1"/>
  </conditionalFormatting>
  <conditionalFormatting sqref="F35:F36 F38">
    <cfRule type="duplicateValues" dxfId="397" priority="68" stopIfTrue="1"/>
  </conditionalFormatting>
  <conditionalFormatting sqref="B36:B38">
    <cfRule type="duplicateValues" dxfId="396" priority="69" stopIfTrue="1"/>
  </conditionalFormatting>
  <conditionalFormatting sqref="C35:C38">
    <cfRule type="duplicateValues" dxfId="395" priority="70"/>
  </conditionalFormatting>
  <conditionalFormatting sqref="C34">
    <cfRule type="duplicateValues" dxfId="394" priority="24"/>
  </conditionalFormatting>
  <conditionalFormatting sqref="C15:C33">
    <cfRule type="duplicateValues" dxfId="393" priority="17"/>
  </conditionalFormatting>
  <conditionalFormatting sqref="AJ15:AJ38">
    <cfRule type="duplicateValues" dxfId="392" priority="7860"/>
  </conditionalFormatting>
  <conditionalFormatting sqref="F37">
    <cfRule type="duplicateValues" dxfId="391" priority="6" stopIfTrue="1"/>
  </conditionalFormatting>
  <conditionalFormatting sqref="C11">
    <cfRule type="duplicateValues" dxfId="390" priority="4" stopIfTrue="1"/>
  </conditionalFormatting>
  <conditionalFormatting sqref="C11">
    <cfRule type="duplicateValues" dxfId="389" priority="5" stopIfTrue="1"/>
  </conditionalFormatting>
  <conditionalFormatting sqref="D11">
    <cfRule type="duplicateValues" dxfId="388" priority="3" stopIfTrue="1"/>
  </conditionalFormatting>
  <conditionalFormatting sqref="C10">
    <cfRule type="duplicateValues" dxfId="387" priority="1" stopIfTrue="1"/>
  </conditionalFormatting>
  <conditionalFormatting sqref="C10">
    <cfRule type="duplicateValues" dxfId="38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pageSetUpPr fitToPage="1"/>
  </sheetPr>
  <dimension ref="A8:AM25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0.5703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160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935</v>
      </c>
      <c r="D15" s="23" t="str">
        <f t="shared" ref="D15:D20" si="0">VLOOKUP(C15,PLANILLA,2,FALSE)</f>
        <v xml:space="preserve">GONZALEZ  Alejandra </v>
      </c>
      <c r="E15" s="24" t="str">
        <f t="shared" ref="E15:E20" si="1">VLOOKUP(C15,PLANILLA,4,FALSE)</f>
        <v xml:space="preserve">CLETA BOUTIQUE </v>
      </c>
      <c r="F15" s="3"/>
      <c r="G15" s="15"/>
      <c r="H15" s="3"/>
      <c r="I15" s="25"/>
      <c r="J15" s="33">
        <v>1</v>
      </c>
      <c r="K15" s="22">
        <v>10</v>
      </c>
      <c r="L15" s="22">
        <v>1</v>
      </c>
      <c r="M15" s="34">
        <v>200</v>
      </c>
      <c r="N15" s="32"/>
      <c r="O15" s="30"/>
      <c r="P15" s="3">
        <v>0</v>
      </c>
      <c r="Q15" s="34">
        <f>IFERROR(VLOOKUP(P15,'Puntos XCO'!$A$1:$B$63,2,FALSE),0)</f>
        <v>0</v>
      </c>
      <c r="R15" s="16">
        <v>0</v>
      </c>
      <c r="S15" s="3">
        <f>IFERROR(VLOOKUP(R15,'Puntos XCC Menor'!$A$1:$B$15,2,FALSE),0)</f>
        <v>0</v>
      </c>
      <c r="T15" s="15">
        <v>1</v>
      </c>
      <c r="U15" s="39">
        <f>IFERROR(VLOOKUP(T15,'Puntos XCO'!$A$1:$B$63,2,FALSE),0)</f>
        <v>200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>
        <f t="shared" ref="Z15:Z20" si="2">IFERROR(VLOOKUP($C15,RESXCC_1,9,FALSE),0)</f>
        <v>0</v>
      </c>
      <c r="AA15" s="15">
        <f>IFERROR(VLOOKUP(Z15,'Puntos XCC Mayor'!$A$1:$B$15,2,FALSE),0)</f>
        <v>0</v>
      </c>
      <c r="AB15" s="15">
        <f t="shared" ref="AB15:AB20" si="3">IFERROR(VLOOKUP($C15,RESXCO,9,FALSE),0)</f>
        <v>0</v>
      </c>
      <c r="AC15" s="25">
        <f>IFERROR(VLOOKUP(AB15,'Puntos XCO'!$A$1:$B$63,2,FALSE),0)</f>
        <v>0</v>
      </c>
      <c r="AD15" s="16"/>
      <c r="AE15" s="15"/>
      <c r="AF15" s="15"/>
      <c r="AG15" s="25"/>
      <c r="AH15" s="27">
        <f t="shared" ref="AH15:AH20" si="4">G15+I15+K15+M15+O15+Q15+S15+U15+W15+Y15+AA15+AC15+AE15+AG15</f>
        <v>635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932</v>
      </c>
      <c r="D16" s="23" t="str">
        <f t="shared" si="0"/>
        <v>HERNÁNDEZ Yuliana</v>
      </c>
      <c r="E16" s="24" t="str">
        <f t="shared" si="1"/>
        <v xml:space="preserve">SAPPHIRE TABA CYCLING TEAM </v>
      </c>
      <c r="F16" s="3">
        <v>0</v>
      </c>
      <c r="G16" s="15">
        <v>0</v>
      </c>
      <c r="H16" s="3">
        <v>1</v>
      </c>
      <c r="I16" s="25">
        <v>200</v>
      </c>
      <c r="J16" s="33">
        <v>0</v>
      </c>
      <c r="K16" s="22">
        <v>0</v>
      </c>
      <c r="L16" s="22">
        <v>2</v>
      </c>
      <c r="M16" s="34">
        <v>150</v>
      </c>
      <c r="N16" s="32">
        <f>IFERROR(VLOOKUP(C16,RESXCC_1,9,FALSE),0)</f>
        <v>0</v>
      </c>
      <c r="O16" s="30"/>
      <c r="P16" s="3">
        <v>0</v>
      </c>
      <c r="Q16" s="34">
        <f>IFERROR(VLOOKUP(P16,'Puntos XCO'!$A$1:$B$63,2,FALSE),0)</f>
        <v>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v>2</v>
      </c>
      <c r="W16" s="15">
        <f>IFERROR(VLOOKUP(V16,'Puntos XCC Mayor'!$A$1:$B$15,2,FALSE),0)</f>
        <v>20</v>
      </c>
      <c r="X16" s="15">
        <v>3</v>
      </c>
      <c r="Y16" s="25">
        <f>IFERROR(VLOOKUP(X16,'Puntos XCO'!$A$1:$B$63,2,FALSE),0)</f>
        <v>120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0</v>
      </c>
      <c r="AC16" s="25">
        <f>IFERROR(VLOOKUP(AB16,'Puntos XCO'!$A$1:$B$63,2,FALSE),0)</f>
        <v>0</v>
      </c>
      <c r="AD16" s="16"/>
      <c r="AE16" s="15"/>
      <c r="AF16" s="15"/>
      <c r="AG16" s="25"/>
      <c r="AH16" s="27">
        <f t="shared" si="4"/>
        <v>490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934</v>
      </c>
      <c r="D17" s="23" t="str">
        <f t="shared" si="0"/>
        <v xml:space="preserve">BADILLA  Valeria </v>
      </c>
      <c r="E17" s="24" t="str">
        <f t="shared" si="1"/>
        <v>FISIOSANA - VEINTE24</v>
      </c>
      <c r="F17" s="3">
        <v>1</v>
      </c>
      <c r="G17" s="15">
        <v>10</v>
      </c>
      <c r="H17" s="3">
        <v>3</v>
      </c>
      <c r="I17" s="25">
        <v>120</v>
      </c>
      <c r="J17" s="33">
        <v>0</v>
      </c>
      <c r="K17" s="22">
        <v>0</v>
      </c>
      <c r="L17" s="22">
        <v>0</v>
      </c>
      <c r="M17" s="34">
        <v>0</v>
      </c>
      <c r="N17" s="32"/>
      <c r="O17" s="30"/>
      <c r="P17" s="3">
        <v>0</v>
      </c>
      <c r="Q17" s="34">
        <f>IFERROR(VLOOKUP(P17,'Puntos XCO'!$A$1:$B$63,2,FALSE),0)</f>
        <v>0</v>
      </c>
      <c r="R17" s="16">
        <v>0</v>
      </c>
      <c r="S17" s="3">
        <f>IFERROR(VLOOKUP(R17,'Puntos XCC Menor'!$A$1:$B$15,2,FALSE),0)</f>
        <v>0</v>
      </c>
      <c r="T17" s="15">
        <v>2</v>
      </c>
      <c r="U17" s="39">
        <f>IFERROR(VLOOKUP(T17,'Puntos XCO'!$A$1:$B$63,2,FALSE),0)</f>
        <v>150</v>
      </c>
      <c r="V17" s="16">
        <v>3</v>
      </c>
      <c r="W17" s="15">
        <f>IFERROR(VLOOKUP(V17,'Puntos XCC Mayor'!$A$1:$B$15,2,FALSE),0)</f>
        <v>16</v>
      </c>
      <c r="X17" s="15">
        <v>4</v>
      </c>
      <c r="Y17" s="25">
        <f>IFERROR(VLOOKUP(X17,'Puntos XCO'!$A$1:$B$63,2,FALSE),0)</f>
        <v>110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406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931</v>
      </c>
      <c r="D18" s="23" t="str">
        <f t="shared" si="0"/>
        <v>ZÚÑIGA Laura</v>
      </c>
      <c r="E18" s="24" t="str">
        <f t="shared" si="1"/>
        <v xml:space="preserve">VEINTE24 </v>
      </c>
      <c r="F18" s="3">
        <v>0</v>
      </c>
      <c r="G18" s="15">
        <v>0</v>
      </c>
      <c r="H18" s="3">
        <v>2</v>
      </c>
      <c r="I18" s="25">
        <v>150</v>
      </c>
      <c r="J18" s="33">
        <v>0</v>
      </c>
      <c r="K18" s="22">
        <v>0</v>
      </c>
      <c r="L18" s="22">
        <v>3</v>
      </c>
      <c r="M18" s="34">
        <v>120</v>
      </c>
      <c r="N18" s="32"/>
      <c r="O18" s="30"/>
      <c r="P18" s="3">
        <v>0</v>
      </c>
      <c r="Q18" s="34">
        <f>IFERROR(VLOOKUP(P18,'Puntos XCO'!$A$1:$B$63,2,FALSE),0)</f>
        <v>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v>0</v>
      </c>
      <c r="W18" s="15">
        <f>IFERROR(VLOOKUP(V18,'Puntos XCC Mayor'!$A$1:$B$15,2,FALSE),0)</f>
        <v>0</v>
      </c>
      <c r="X18" s="15">
        <v>0</v>
      </c>
      <c r="Y18" s="25">
        <f>IFERROR(VLOOKUP(X18,'Puntos XCO'!$A$1:$B$63,2,FALSE),0)</f>
        <v>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4"/>
        <v>270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936</v>
      </c>
      <c r="D19" s="23" t="str">
        <f t="shared" si="0"/>
        <v>GUERRERO Arlette</v>
      </c>
      <c r="E19" s="24" t="str">
        <f t="shared" si="1"/>
        <v>MMR SPORTIVSTORE</v>
      </c>
      <c r="F19" s="3"/>
      <c r="G19" s="15"/>
      <c r="H19" s="3"/>
      <c r="I19" s="25"/>
      <c r="J19" s="33"/>
      <c r="K19" s="22"/>
      <c r="L19" s="22"/>
      <c r="M19" s="34"/>
      <c r="N19" s="32"/>
      <c r="O19" s="30"/>
      <c r="P19" s="3"/>
      <c r="Q19" s="34"/>
      <c r="R19" s="16"/>
      <c r="S19" s="3"/>
      <c r="T19" s="15"/>
      <c r="U19" s="39"/>
      <c r="V19" s="16">
        <v>0</v>
      </c>
      <c r="W19" s="15">
        <f>IFERROR(VLOOKUP(V19,'Puntos XCC Mayor'!$A$1:$B$15,2,FALSE),0)</f>
        <v>0</v>
      </c>
      <c r="X19" s="15">
        <v>2</v>
      </c>
      <c r="Y19" s="25">
        <f>IFERROR(VLOOKUP(X19,'Puntos XCO'!$A$1:$B$63,2,FALSE),0)</f>
        <v>150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4"/>
        <v>150</v>
      </c>
      <c r="AJ19" s="2"/>
      <c r="AK19" s="13"/>
      <c r="AL19" s="12"/>
      <c r="AM19" s="14"/>
    </row>
    <row r="20" spans="1:39" ht="24.95" customHeight="1">
      <c r="A20" s="22"/>
      <c r="B20" s="22"/>
      <c r="C20" s="22">
        <v>933</v>
      </c>
      <c r="D20" s="23" t="str">
        <f t="shared" si="0"/>
        <v xml:space="preserve">ALFARO Ana Semiramis </v>
      </c>
      <c r="E20" s="24" t="str">
        <f t="shared" si="1"/>
        <v>INFINITY - ONE TWO CYCLING - GAVIA88</v>
      </c>
      <c r="F20" s="3">
        <v>0</v>
      </c>
      <c r="G20" s="15">
        <v>0</v>
      </c>
      <c r="H20" s="3">
        <v>0</v>
      </c>
      <c r="I20" s="25">
        <v>0</v>
      </c>
      <c r="J20" s="33">
        <v>0</v>
      </c>
      <c r="K20" s="22">
        <v>0</v>
      </c>
      <c r="L20" s="22">
        <v>0</v>
      </c>
      <c r="M20" s="34">
        <v>0</v>
      </c>
      <c r="N20" s="32"/>
      <c r="O20" s="30"/>
      <c r="P20" s="3">
        <v>0</v>
      </c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4"/>
        <v>0</v>
      </c>
      <c r="AJ20" s="2"/>
      <c r="AK20" s="13"/>
      <c r="AL20" s="12"/>
      <c r="AM20" s="14"/>
    </row>
    <row r="21" spans="1:39" ht="24.95" customHeight="1">
      <c r="A21" s="3"/>
      <c r="B21" s="3"/>
      <c r="C21" s="28"/>
      <c r="D21" s="23"/>
      <c r="E21" s="24"/>
      <c r="F21" s="3"/>
      <c r="G21" s="15"/>
      <c r="H21" s="15"/>
      <c r="I21" s="25"/>
      <c r="J21" s="26"/>
      <c r="K21" s="15"/>
      <c r="L21" s="15"/>
      <c r="M21" s="25"/>
      <c r="N21" s="16"/>
      <c r="O21" s="15"/>
      <c r="P21" s="3"/>
      <c r="Q21" s="25"/>
      <c r="R21" s="16"/>
      <c r="S21" s="15"/>
      <c r="T21" s="15"/>
      <c r="U21" s="25"/>
      <c r="V21" s="16"/>
      <c r="W21" s="15"/>
      <c r="X21" s="15"/>
      <c r="Y21" s="25"/>
      <c r="Z21" s="16"/>
      <c r="AA21" s="15"/>
      <c r="AB21" s="15"/>
      <c r="AC21" s="25"/>
      <c r="AD21" s="16"/>
      <c r="AE21" s="15"/>
      <c r="AF21" s="15"/>
      <c r="AG21" s="25"/>
      <c r="AH21" s="27"/>
      <c r="AJ21" s="3"/>
    </row>
    <row r="22" spans="1:39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74"/>
      <c r="Q22" s="65"/>
      <c r="R22" s="65"/>
      <c r="S22" s="65"/>
      <c r="T22" s="65"/>
      <c r="U22" s="65"/>
      <c r="V22" s="65"/>
      <c r="W22" s="65"/>
      <c r="X22" s="65"/>
      <c r="Y22" s="65"/>
      <c r="Z22" s="119"/>
      <c r="AA22" s="119"/>
      <c r="AB22" s="119"/>
      <c r="AC22" s="119"/>
      <c r="AD22" s="119"/>
      <c r="AE22" s="119"/>
      <c r="AF22" s="119"/>
      <c r="AG22" s="119"/>
      <c r="AH22" s="65"/>
    </row>
    <row r="23" spans="1:39">
      <c r="M23" s="9"/>
      <c r="N23" s="9"/>
      <c r="O23" s="9"/>
      <c r="P23" s="10"/>
      <c r="Q23" s="9"/>
      <c r="R23" s="9"/>
      <c r="S23" s="9"/>
      <c r="T23" s="9"/>
      <c r="U23" s="9"/>
    </row>
    <row r="24" spans="1:39" ht="127.5" customHeight="1"/>
    <row r="25" spans="1:39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4"/>
      <c r="Q25" s="65"/>
      <c r="R25" s="65"/>
      <c r="S25" s="65"/>
      <c r="T25" s="65"/>
      <c r="U25" s="65"/>
      <c r="V25" s="65"/>
      <c r="W25" s="65"/>
      <c r="X25" s="65"/>
      <c r="Y25" s="65"/>
      <c r="Z25" s="119"/>
      <c r="AA25" s="119"/>
      <c r="AB25" s="119"/>
      <c r="AC25" s="119"/>
      <c r="AD25" s="119"/>
      <c r="AE25" s="119"/>
      <c r="AF25" s="119"/>
      <c r="AG25" s="119"/>
      <c r="AH25" s="65"/>
    </row>
  </sheetData>
  <sortState ref="B15:AH20">
    <sortCondition descending="1" ref="AH15:AH20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2:C65500 C1:C9 C12:C14">
    <cfRule type="duplicateValues" dxfId="385" priority="57" stopIfTrue="1"/>
  </conditionalFormatting>
  <conditionalFormatting sqref="F21">
    <cfRule type="duplicateValues" dxfId="384" priority="58" stopIfTrue="1"/>
  </conditionalFormatting>
  <conditionalFormatting sqref="B21">
    <cfRule type="duplicateValues" dxfId="383" priority="59" stopIfTrue="1"/>
  </conditionalFormatting>
  <conditionalFormatting sqref="AJ15:AJ21">
    <cfRule type="duplicateValues" dxfId="382" priority="7116"/>
  </conditionalFormatting>
  <conditionalFormatting sqref="C15">
    <cfRule type="duplicateValues" dxfId="381" priority="16"/>
  </conditionalFormatting>
  <conditionalFormatting sqref="C11">
    <cfRule type="duplicateValues" dxfId="380" priority="4" stopIfTrue="1"/>
  </conditionalFormatting>
  <conditionalFormatting sqref="C11">
    <cfRule type="duplicateValues" dxfId="379" priority="5" stopIfTrue="1"/>
  </conditionalFormatting>
  <conditionalFormatting sqref="D11">
    <cfRule type="duplicateValues" dxfId="378" priority="3" stopIfTrue="1"/>
  </conditionalFormatting>
  <conditionalFormatting sqref="C10">
    <cfRule type="duplicateValues" dxfId="377" priority="1" stopIfTrue="1"/>
  </conditionalFormatting>
  <conditionalFormatting sqref="C10">
    <cfRule type="duplicateValues" dxfId="37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M25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0.5703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160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7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951</v>
      </c>
      <c r="D15" s="23" t="str">
        <f t="shared" ref="D15:D20" si="0">VLOOKUP(C15,PLANILLA,2,FALSE)</f>
        <v>LORIA Dilcen</v>
      </c>
      <c r="E15" s="24" t="str">
        <f t="shared" ref="E15:E20" si="1">VLOOKUP(C15,PLANILLA,4,FALSE)</f>
        <v>FISIONORTE/ JONATHANQUESADA.CYCLING</v>
      </c>
      <c r="F15" s="3">
        <v>1</v>
      </c>
      <c r="G15" s="15">
        <v>10</v>
      </c>
      <c r="H15" s="3">
        <v>1</v>
      </c>
      <c r="I15" s="25">
        <v>200</v>
      </c>
      <c r="J15" s="33">
        <v>1</v>
      </c>
      <c r="K15" s="22">
        <v>10</v>
      </c>
      <c r="L15" s="22">
        <v>2</v>
      </c>
      <c r="M15" s="34">
        <v>150</v>
      </c>
      <c r="N15" s="32">
        <f>IFERROR(VLOOKUP(C15,RESXCC_1,9,FALSE),0)</f>
        <v>1</v>
      </c>
      <c r="O15" s="30"/>
      <c r="P15" s="3">
        <v>2</v>
      </c>
      <c r="Q15" s="34">
        <f>IFERROR(VLOOKUP(P15,'Puntos XCO'!$A$1:$B$63,2,FALSE),0)</f>
        <v>150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1</v>
      </c>
      <c r="W15" s="15">
        <f>IFERROR(VLOOKUP(V15,'Puntos XCC Mayor'!$A$1:$B$15,2,FALSE),0)</f>
        <v>25</v>
      </c>
      <c r="X15" s="15">
        <v>1</v>
      </c>
      <c r="Y15" s="25">
        <f>IFERROR(VLOOKUP(X15,'Puntos XCO'!$A$1:$B$63,2,FALSE),0)</f>
        <v>200</v>
      </c>
      <c r="Z15" s="16">
        <f t="shared" ref="Z15:Z20" si="2">IFERROR(VLOOKUP($C15,RESXCC_1,9,FALSE),0)</f>
        <v>1</v>
      </c>
      <c r="AA15" s="15">
        <f>IFERROR(VLOOKUP(Z15,'Puntos XCC Mayor'!$A$1:$B$15,2,FALSE),0)</f>
        <v>25</v>
      </c>
      <c r="AB15" s="15">
        <f t="shared" ref="AB15:AB20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0" si="4">G15+I15+K15+M15+O15+Q15+S15+U15+W15+Y15+AA15+AC15+AE15+AG15</f>
        <v>1180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955</v>
      </c>
      <c r="D16" s="23" t="str">
        <f t="shared" si="0"/>
        <v xml:space="preserve">ALVARADO  Lisbeth </v>
      </c>
      <c r="E16" s="24" t="str">
        <f t="shared" si="1"/>
        <v xml:space="preserve">ROES CENTELA </v>
      </c>
      <c r="F16" s="3"/>
      <c r="G16" s="15"/>
      <c r="H16" s="3"/>
      <c r="I16" s="25"/>
      <c r="J16" s="33">
        <v>0</v>
      </c>
      <c r="K16" s="22">
        <v>0</v>
      </c>
      <c r="L16" s="22">
        <v>1</v>
      </c>
      <c r="M16" s="34">
        <v>200</v>
      </c>
      <c r="N16" s="32"/>
      <c r="O16" s="30"/>
      <c r="P16" s="3">
        <v>1</v>
      </c>
      <c r="Q16" s="34">
        <f>IFERROR(VLOOKUP(P16,'Puntos XCO'!$A$1:$B$63,2,FALSE),0)</f>
        <v>200</v>
      </c>
      <c r="R16" s="16">
        <v>0</v>
      </c>
      <c r="S16" s="3">
        <f>IFERROR(VLOOKUP(R16,'Puntos XCC Menor'!$A$1:$B$15,2,FALSE),0)</f>
        <v>0</v>
      </c>
      <c r="T16" s="15">
        <v>0</v>
      </c>
      <c r="U16" s="39">
        <f>IFERROR(VLOOKUP(T16,'Puntos XCO'!$A$1:$B$63,2,FALSE),0)</f>
        <v>0</v>
      </c>
      <c r="V16" s="16">
        <v>0</v>
      </c>
      <c r="W16" s="15">
        <f>IFERROR(VLOOKUP(V16,'Puntos XCC Mayor'!$A$1:$B$15,2,FALSE),0)</f>
        <v>0</v>
      </c>
      <c r="X16" s="15">
        <v>0</v>
      </c>
      <c r="Y16" s="25">
        <f>IFERROR(VLOOKUP(X16,'Puntos XCO'!$A$1:$B$63,2,FALSE),0)</f>
        <v>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0</v>
      </c>
      <c r="AC16" s="25">
        <f>IFERROR(VLOOKUP(AB16,'Puntos XCO'!$A$1:$B$63,2,FALSE),0)</f>
        <v>0</v>
      </c>
      <c r="AD16" s="16"/>
      <c r="AE16" s="15"/>
      <c r="AF16" s="15"/>
      <c r="AG16" s="25"/>
      <c r="AH16" s="27">
        <f t="shared" si="4"/>
        <v>400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956</v>
      </c>
      <c r="D17" s="23" t="str">
        <f t="shared" si="0"/>
        <v>DURÁN Anny</v>
      </c>
      <c r="E17" s="24" t="str">
        <f t="shared" si="1"/>
        <v xml:space="preserve">INDEPENDIENTE </v>
      </c>
      <c r="F17" s="3"/>
      <c r="G17" s="15"/>
      <c r="H17" s="3"/>
      <c r="I17" s="25"/>
      <c r="J17" s="33"/>
      <c r="K17" s="22"/>
      <c r="L17" s="22"/>
      <c r="M17" s="34"/>
      <c r="N17" s="32"/>
      <c r="O17" s="30"/>
      <c r="P17" s="3"/>
      <c r="Q17" s="34"/>
      <c r="R17" s="16"/>
      <c r="S17" s="3"/>
      <c r="T17" s="15"/>
      <c r="U17" s="39"/>
      <c r="V17" s="16">
        <v>2</v>
      </c>
      <c r="W17" s="15">
        <f>IFERROR(VLOOKUP(V17,'Puntos XCC Mayor'!$A$1:$B$15,2,FALSE),0)</f>
        <v>20</v>
      </c>
      <c r="X17" s="15">
        <v>2</v>
      </c>
      <c r="Y17" s="25">
        <f>IFERROR(VLOOKUP(X17,'Puntos XCO'!$A$1:$B$63,2,FALSE),0)</f>
        <v>150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170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954</v>
      </c>
      <c r="D18" s="23" t="str">
        <f t="shared" si="0"/>
        <v>MORA  Odexinia</v>
      </c>
      <c r="E18" s="24" t="str">
        <f t="shared" si="1"/>
        <v xml:space="preserve">DESAMPARADOS BIKE CAFÉ </v>
      </c>
      <c r="F18" s="3"/>
      <c r="G18" s="15"/>
      <c r="H18" s="3"/>
      <c r="I18" s="25"/>
      <c r="J18" s="33">
        <v>2</v>
      </c>
      <c r="K18" s="22">
        <v>9</v>
      </c>
      <c r="L18" s="22">
        <v>3</v>
      </c>
      <c r="M18" s="34">
        <v>120</v>
      </c>
      <c r="N18" s="32"/>
      <c r="O18" s="30"/>
      <c r="P18" s="3">
        <v>0</v>
      </c>
      <c r="Q18" s="34">
        <f>IFERROR(VLOOKUP(P18,'Puntos XCO'!$A$1:$B$63,2,FALSE),0)</f>
        <v>0</v>
      </c>
      <c r="R18" s="16">
        <v>0</v>
      </c>
      <c r="S18" s="3">
        <f>IFERROR(VLOOKUP(R18,'Puntos XCC Menor'!$A$1:$B$15,2,FALSE),0)</f>
        <v>0</v>
      </c>
      <c r="T18" s="15">
        <v>0</v>
      </c>
      <c r="U18" s="39">
        <f>IFERROR(VLOOKUP(T18,'Puntos XCO'!$A$1:$B$63,2,FALSE),0)</f>
        <v>0</v>
      </c>
      <c r="V18" s="16">
        <v>0</v>
      </c>
      <c r="W18" s="15">
        <f>IFERROR(VLOOKUP(V18,'Puntos XCC Mayor'!$A$1:$B$15,2,FALSE),0)</f>
        <v>0</v>
      </c>
      <c r="X18" s="15">
        <v>0</v>
      </c>
      <c r="Y18" s="25">
        <f>IFERROR(VLOOKUP(X18,'Puntos XCO'!$A$1:$B$63,2,FALSE),0)</f>
        <v>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4"/>
        <v>129</v>
      </c>
      <c r="AJ18" s="2"/>
      <c r="AK18" s="13"/>
      <c r="AL18" s="12"/>
      <c r="AM18" s="14"/>
    </row>
    <row r="19" spans="1:39" ht="24.95" customHeight="1">
      <c r="A19" s="22"/>
      <c r="B19" s="22"/>
      <c r="C19" s="22">
        <v>952</v>
      </c>
      <c r="D19" s="23" t="str">
        <f t="shared" si="0"/>
        <v>VARGAS Laura</v>
      </c>
      <c r="E19" s="24" t="str">
        <f t="shared" si="1"/>
        <v>SCOTT SHIMANO CYCLING TEAM</v>
      </c>
      <c r="F19" s="3">
        <v>0</v>
      </c>
      <c r="G19" s="15">
        <v>0</v>
      </c>
      <c r="H19" s="3">
        <v>0</v>
      </c>
      <c r="I19" s="25">
        <v>0</v>
      </c>
      <c r="J19" s="33">
        <v>0</v>
      </c>
      <c r="K19" s="22">
        <v>0</v>
      </c>
      <c r="L19" s="22">
        <v>0</v>
      </c>
      <c r="M19" s="34">
        <v>0</v>
      </c>
      <c r="N19" s="32"/>
      <c r="O19" s="30"/>
      <c r="P19" s="3">
        <v>0</v>
      </c>
      <c r="Q19" s="34">
        <f>IFERROR(VLOOKUP(P19,'Puntos XCO'!$A$1:$B$63,2,FALSE),0)</f>
        <v>0</v>
      </c>
      <c r="R19" s="16">
        <v>0</v>
      </c>
      <c r="S19" s="3">
        <f>IFERROR(VLOOKUP(R19,'Puntos XCC Menor'!$A$1:$B$15,2,FALSE),0)</f>
        <v>0</v>
      </c>
      <c r="T19" s="15">
        <v>0</v>
      </c>
      <c r="U19" s="39">
        <f>IFERROR(VLOOKUP(T19,'Puntos XCO'!$A$1:$B$63,2,FALSE),0)</f>
        <v>0</v>
      </c>
      <c r="V19" s="16">
        <v>0</v>
      </c>
      <c r="W19" s="15">
        <f>IFERROR(VLOOKUP(V19,'Puntos XCC Mayor'!$A$1:$B$15,2,FALSE),0)</f>
        <v>0</v>
      </c>
      <c r="X19" s="15">
        <v>0</v>
      </c>
      <c r="Y19" s="25">
        <f>IFERROR(VLOOKUP(X19,'Puntos XCO'!$A$1:$B$63,2,FALSE),0)</f>
        <v>0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4"/>
        <v>0</v>
      </c>
      <c r="AJ19" s="2"/>
      <c r="AK19" s="13"/>
      <c r="AL19" s="12"/>
      <c r="AM19" s="14"/>
    </row>
    <row r="20" spans="1:39" ht="24.95" customHeight="1">
      <c r="A20" s="22"/>
      <c r="B20" s="22"/>
      <c r="C20" s="22">
        <v>953</v>
      </c>
      <c r="D20" s="23" t="str">
        <f t="shared" si="0"/>
        <v>FERNÁNDEZ  Sindy</v>
      </c>
      <c r="E20" s="24" t="str">
        <f t="shared" si="1"/>
        <v xml:space="preserve">VELOZ CYCLING - CICLO BOUTIQUE ROES - COLYPRO </v>
      </c>
      <c r="F20" s="3"/>
      <c r="G20" s="15"/>
      <c r="H20" s="3"/>
      <c r="I20" s="25"/>
      <c r="J20" s="33">
        <v>0</v>
      </c>
      <c r="K20" s="22">
        <v>0</v>
      </c>
      <c r="L20" s="22">
        <v>0</v>
      </c>
      <c r="M20" s="34">
        <v>0</v>
      </c>
      <c r="N20" s="32"/>
      <c r="O20" s="30"/>
      <c r="P20" s="3">
        <v>0</v>
      </c>
      <c r="Q20" s="34">
        <f>IFERROR(VLOOKUP(P20,'Puntos XCO'!$A$1:$B$63,2,FALSE),0)</f>
        <v>0</v>
      </c>
      <c r="R20" s="16">
        <v>0</v>
      </c>
      <c r="S20" s="3">
        <f>IFERROR(VLOOKUP(R20,'Puntos XCC Menor'!$A$1:$B$15,2,FALSE),0)</f>
        <v>0</v>
      </c>
      <c r="T20" s="15">
        <v>0</v>
      </c>
      <c r="U20" s="39">
        <f>IFERROR(VLOOKUP(T20,'Puntos XCO'!$A$1:$B$63,2,FALSE),0)</f>
        <v>0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4"/>
        <v>0</v>
      </c>
      <c r="AJ20" s="2"/>
      <c r="AK20" s="13"/>
      <c r="AL20" s="12"/>
      <c r="AM20" s="14"/>
    </row>
    <row r="21" spans="1:39" ht="24.95" customHeight="1">
      <c r="A21" s="22"/>
      <c r="B21" s="22"/>
      <c r="C21" s="22"/>
      <c r="D21" s="23"/>
      <c r="E21" s="24"/>
      <c r="F21" s="3"/>
      <c r="G21" s="15"/>
      <c r="H21" s="3"/>
      <c r="I21" s="25"/>
      <c r="J21" s="33"/>
      <c r="K21" s="22"/>
      <c r="L21" s="22"/>
      <c r="M21" s="34"/>
      <c r="N21" s="32"/>
      <c r="O21" s="30"/>
      <c r="P21" s="3"/>
      <c r="Q21" s="34"/>
      <c r="R21" s="32"/>
      <c r="S21" s="30"/>
      <c r="T21" s="3"/>
      <c r="U21" s="39"/>
      <c r="V21" s="32"/>
      <c r="W21" s="30"/>
      <c r="X21" s="15"/>
      <c r="Y21" s="25"/>
      <c r="Z21" s="32"/>
      <c r="AA21" s="30"/>
      <c r="AB21" s="15"/>
      <c r="AC21" s="25"/>
      <c r="AD21" s="32"/>
      <c r="AE21" s="30"/>
      <c r="AF21" s="15"/>
      <c r="AG21" s="25"/>
      <c r="AH21" s="27"/>
      <c r="AJ21" s="2"/>
      <c r="AK21" s="13"/>
      <c r="AL21" s="12"/>
      <c r="AM21" s="14"/>
    </row>
    <row r="22" spans="1:39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74"/>
      <c r="Q22" s="65"/>
      <c r="R22" s="65"/>
      <c r="S22" s="65"/>
      <c r="T22" s="65"/>
      <c r="U22" s="65"/>
      <c r="V22" s="65"/>
      <c r="W22" s="65"/>
      <c r="X22" s="65"/>
      <c r="Y22" s="65"/>
      <c r="Z22" s="119"/>
      <c r="AA22" s="119"/>
      <c r="AB22" s="119"/>
      <c r="AC22" s="119"/>
      <c r="AD22" s="119"/>
      <c r="AE22" s="119"/>
      <c r="AF22" s="119"/>
      <c r="AG22" s="119"/>
      <c r="AH22" s="65"/>
    </row>
    <row r="23" spans="1:39">
      <c r="M23" s="9"/>
      <c r="N23" s="9"/>
      <c r="O23" s="9"/>
      <c r="P23" s="10"/>
      <c r="Q23" s="9"/>
      <c r="R23" s="9"/>
      <c r="S23" s="9"/>
      <c r="T23" s="9"/>
      <c r="U23" s="9"/>
    </row>
    <row r="24" spans="1:39" ht="127.5" customHeight="1"/>
    <row r="25" spans="1:39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4"/>
      <c r="Q25" s="65"/>
      <c r="R25" s="65"/>
      <c r="S25" s="65"/>
      <c r="T25" s="65"/>
      <c r="U25" s="65"/>
      <c r="V25" s="65"/>
      <c r="W25" s="65"/>
      <c r="X25" s="65"/>
      <c r="Y25" s="65"/>
      <c r="Z25" s="119"/>
      <c r="AA25" s="119"/>
      <c r="AB25" s="119"/>
      <c r="AC25" s="119"/>
      <c r="AD25" s="119"/>
      <c r="AE25" s="119"/>
      <c r="AF25" s="119"/>
      <c r="AG25" s="119"/>
      <c r="AH25" s="65"/>
    </row>
  </sheetData>
  <sortState ref="B15:AH20">
    <sortCondition descending="1" ref="AH15:AH20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2:C65500 C1:C9 C12:C14">
    <cfRule type="duplicateValues" dxfId="375" priority="27" stopIfTrue="1"/>
  </conditionalFormatting>
  <conditionalFormatting sqref="AJ15:AJ21">
    <cfRule type="duplicateValues" dxfId="374" priority="7862"/>
  </conditionalFormatting>
  <conditionalFormatting sqref="C11">
    <cfRule type="duplicateValues" dxfId="373" priority="4" stopIfTrue="1"/>
  </conditionalFormatting>
  <conditionalFormatting sqref="C11">
    <cfRule type="duplicateValues" dxfId="372" priority="5" stopIfTrue="1"/>
  </conditionalFormatting>
  <conditionalFormatting sqref="D11">
    <cfRule type="duplicateValues" dxfId="371" priority="3" stopIfTrue="1"/>
  </conditionalFormatting>
  <conditionalFormatting sqref="C10">
    <cfRule type="duplicateValues" dxfId="370" priority="1" stopIfTrue="1"/>
  </conditionalFormatting>
  <conditionalFormatting sqref="C10">
    <cfRule type="duplicateValues" dxfId="369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pageSetUpPr fitToPage="1"/>
  </sheetPr>
  <dimension ref="A8:AM51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42578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83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614</v>
      </c>
      <c r="D15" s="23" t="str">
        <f t="shared" ref="D15:D46" si="0">VLOOKUP(C15,PLANILLA,2,FALSE)</f>
        <v xml:space="preserve">MENESES Jose </v>
      </c>
      <c r="E15" s="24" t="str">
        <f t="shared" ref="E15:E46" si="1">VLOOKUP(C15,PLANILLA,4,FALSE)</f>
        <v>STYM</v>
      </c>
      <c r="F15" s="3">
        <v>0</v>
      </c>
      <c r="G15" s="15">
        <v>0</v>
      </c>
      <c r="H15" s="3">
        <v>1</v>
      </c>
      <c r="I15" s="25">
        <v>200</v>
      </c>
      <c r="J15" s="33">
        <v>0</v>
      </c>
      <c r="K15" s="22">
        <v>0</v>
      </c>
      <c r="L15" s="22">
        <v>2</v>
      </c>
      <c r="M15" s="34">
        <v>150</v>
      </c>
      <c r="N15" s="32"/>
      <c r="O15" s="30"/>
      <c r="P15" s="3">
        <v>1</v>
      </c>
      <c r="Q15" s="34">
        <f>IFERROR(VLOOKUP(P15,'Puntos XCO'!$A$1:$B$63,2,FALSE),0)</f>
        <v>200</v>
      </c>
      <c r="R15" s="16">
        <v>1</v>
      </c>
      <c r="S15" s="3">
        <f>IFERROR(VLOOKUP(R15,'Puntos XCC Menor'!$A$1:$B$15,2,FALSE),0)</f>
        <v>10</v>
      </c>
      <c r="T15" s="15">
        <v>1</v>
      </c>
      <c r="U15" s="39">
        <f>IFERROR(VLOOKUP(T15,'Puntos XCO'!$A$1:$B$63,2,FALSE),0)</f>
        <v>200</v>
      </c>
      <c r="V15" s="16">
        <v>2</v>
      </c>
      <c r="W15" s="15">
        <f>IFERROR(VLOOKUP(V15,'Puntos XCC Mayor'!$A$1:$B$15,2,FALSE),0)</f>
        <v>20</v>
      </c>
      <c r="X15" s="15">
        <v>3</v>
      </c>
      <c r="Y15" s="25">
        <f>IFERROR(VLOOKUP(X15,'Puntos XCO'!$A$1:$B$63,2,FALSE),0)</f>
        <v>120</v>
      </c>
      <c r="Z15" s="16">
        <f t="shared" ref="Z15:Z46" si="2">IFERROR(VLOOKUP($C15,RESXCC_1,9,FALSE),0)</f>
        <v>1</v>
      </c>
      <c r="AA15" s="15">
        <f>IFERROR(VLOOKUP(Z15,'Puntos XCC Mayor'!$A$1:$B$15,2,FALSE),0)</f>
        <v>25</v>
      </c>
      <c r="AB15" s="15">
        <f t="shared" ref="AB15:AB46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46" si="4">G15+I15+K15+M15+O15+Q15+S15+U15+W15+Y15+AA15+AC15+AE15+AG15</f>
        <v>1125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609</v>
      </c>
      <c r="D16" s="23" t="str">
        <f t="shared" si="0"/>
        <v>SANDI Kendall</v>
      </c>
      <c r="E16" s="24" t="str">
        <f t="shared" si="1"/>
        <v xml:space="preserve">TEAM POWERCYCLING </v>
      </c>
      <c r="F16" s="3">
        <v>1</v>
      </c>
      <c r="G16" s="15">
        <v>10</v>
      </c>
      <c r="H16" s="3">
        <v>2</v>
      </c>
      <c r="I16" s="25">
        <v>150</v>
      </c>
      <c r="J16" s="33">
        <v>7</v>
      </c>
      <c r="K16" s="22">
        <v>4</v>
      </c>
      <c r="L16" s="22">
        <v>1</v>
      </c>
      <c r="M16" s="34">
        <v>200</v>
      </c>
      <c r="N16" s="32">
        <f>IFERROR(VLOOKUP(C16,RESXCC_1,9,FALSE),0)</f>
        <v>0</v>
      </c>
      <c r="O16" s="30"/>
      <c r="P16" s="3">
        <v>3</v>
      </c>
      <c r="Q16" s="34">
        <f>IFERROR(VLOOKUP(P16,'Puntos XCO'!$A$1:$B$63,2,FALSE),0)</f>
        <v>120</v>
      </c>
      <c r="R16" s="16">
        <v>2</v>
      </c>
      <c r="S16" s="3">
        <f>IFERROR(VLOOKUP(R16,'Puntos XCC Menor'!$A$1:$B$15,2,FALSE),0)</f>
        <v>9</v>
      </c>
      <c r="T16" s="15">
        <v>3</v>
      </c>
      <c r="U16" s="39">
        <f>IFERROR(VLOOKUP(T16,'Puntos XCO'!$A$1:$B$63,2,FALSE),0)</f>
        <v>120</v>
      </c>
      <c r="V16" s="16">
        <v>3</v>
      </c>
      <c r="W16" s="15">
        <f>IFERROR(VLOOKUP(V16,'Puntos XCC Mayor'!$A$1:$B$15,2,FALSE),0)</f>
        <v>16</v>
      </c>
      <c r="X16" s="15">
        <v>2</v>
      </c>
      <c r="Y16" s="25">
        <f>IFERROR(VLOOKUP(X16,'Puntos XCO'!$A$1:$B$63,2,FALSE),0)</f>
        <v>150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0</v>
      </c>
      <c r="AC16" s="25">
        <f>IFERROR(VLOOKUP(AB16,'Puntos XCO'!$A$1:$B$63,2,FALSE),0)</f>
        <v>0</v>
      </c>
      <c r="AD16" s="16"/>
      <c r="AE16" s="15"/>
      <c r="AF16" s="15"/>
      <c r="AG16" s="25"/>
      <c r="AH16" s="27">
        <f t="shared" si="4"/>
        <v>779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618</v>
      </c>
      <c r="D17" s="23" t="str">
        <f t="shared" si="0"/>
        <v xml:space="preserve">ZAMORA  José David </v>
      </c>
      <c r="E17" s="24" t="str">
        <f t="shared" si="1"/>
        <v>VEINTE24</v>
      </c>
      <c r="F17" s="3">
        <v>0</v>
      </c>
      <c r="G17" s="15">
        <v>0</v>
      </c>
      <c r="H17" s="3">
        <v>5</v>
      </c>
      <c r="I17" s="25">
        <v>100</v>
      </c>
      <c r="J17" s="33">
        <v>0</v>
      </c>
      <c r="K17" s="22">
        <v>0</v>
      </c>
      <c r="L17" s="22">
        <v>0</v>
      </c>
      <c r="M17" s="34">
        <v>0</v>
      </c>
      <c r="N17" s="32"/>
      <c r="O17" s="30"/>
      <c r="P17" s="3">
        <v>2</v>
      </c>
      <c r="Q17" s="34">
        <f>IFERROR(VLOOKUP(P17,'Puntos XCO'!$A$1:$B$63,2,FALSE),0)</f>
        <v>150</v>
      </c>
      <c r="R17" s="16">
        <v>0</v>
      </c>
      <c r="S17" s="3">
        <f>IFERROR(VLOOKUP(R17,'Puntos XCC Menor'!$A$1:$B$15,2,FALSE),0)</f>
        <v>0</v>
      </c>
      <c r="T17" s="15">
        <v>2</v>
      </c>
      <c r="U17" s="39">
        <f>IFERROR(VLOOKUP(T17,'Puntos XCO'!$A$1:$B$63,2,FALSE),0)</f>
        <v>150</v>
      </c>
      <c r="V17" s="16">
        <v>1</v>
      </c>
      <c r="W17" s="15">
        <f>IFERROR(VLOOKUP(V17,'Puntos XCC Mayor'!$A$1:$B$15,2,FALSE),0)</f>
        <v>25</v>
      </c>
      <c r="X17" s="15">
        <v>1</v>
      </c>
      <c r="Y17" s="25">
        <f>IFERROR(VLOOKUP(X17,'Puntos XCO'!$A$1:$B$63,2,FALSE),0)</f>
        <v>200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625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5</v>
      </c>
      <c r="C18" s="22">
        <v>622</v>
      </c>
      <c r="D18" s="23" t="str">
        <f t="shared" si="0"/>
        <v xml:space="preserve">MORENO Carlos </v>
      </c>
      <c r="E18" s="24" t="str">
        <f t="shared" si="1"/>
        <v xml:space="preserve">Numu coaching </v>
      </c>
      <c r="F18" s="3"/>
      <c r="G18" s="15"/>
      <c r="H18" s="3"/>
      <c r="I18" s="25"/>
      <c r="J18" s="33">
        <v>4</v>
      </c>
      <c r="K18" s="22">
        <v>7</v>
      </c>
      <c r="L18" s="22">
        <v>3</v>
      </c>
      <c r="M18" s="34">
        <v>120</v>
      </c>
      <c r="N18" s="32"/>
      <c r="O18" s="30"/>
      <c r="P18" s="3">
        <v>4</v>
      </c>
      <c r="Q18" s="34">
        <f>IFERROR(VLOOKUP(P18,'Puntos XCO'!$A$1:$B$63,2,FALSE),0)</f>
        <v>110</v>
      </c>
      <c r="R18" s="16">
        <v>5</v>
      </c>
      <c r="S18" s="3">
        <f>IFERROR(VLOOKUP(R18,'Puntos XCC Menor'!$A$1:$B$15,2,FALSE),0)</f>
        <v>6</v>
      </c>
      <c r="T18" s="15">
        <v>6</v>
      </c>
      <c r="U18" s="39">
        <f>IFERROR(VLOOKUP(T18,'Puntos XCO'!$A$1:$B$63,2,FALSE),0)</f>
        <v>95</v>
      </c>
      <c r="V18" s="16">
        <v>5</v>
      </c>
      <c r="W18" s="15">
        <f>IFERROR(VLOOKUP(V18,'Puntos XCC Mayor'!$A$1:$B$15,2,FALSE),0)</f>
        <v>12</v>
      </c>
      <c r="X18" s="15">
        <v>7</v>
      </c>
      <c r="Y18" s="25">
        <f>IFERROR(VLOOKUP(X18,'Puntos XCO'!$A$1:$B$63,2,FALSE),0)</f>
        <v>90</v>
      </c>
      <c r="Z18" s="16">
        <f t="shared" si="2"/>
        <v>2</v>
      </c>
      <c r="AA18" s="15">
        <f>IFERROR(VLOOKUP(Z18,'Puntos XCC Mayor'!$A$1:$B$15,2,FALSE),0)</f>
        <v>20</v>
      </c>
      <c r="AB18" s="15">
        <f t="shared" si="3"/>
        <v>5</v>
      </c>
      <c r="AC18" s="25">
        <f>IFERROR(VLOOKUP(AB18,'Puntos XCO'!$A$1:$B$63,2,FALSE),0)</f>
        <v>100</v>
      </c>
      <c r="AD18" s="16"/>
      <c r="AE18" s="15"/>
      <c r="AF18" s="15"/>
      <c r="AG18" s="25"/>
      <c r="AH18" s="27">
        <f t="shared" si="4"/>
        <v>560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4</v>
      </c>
      <c r="C19" s="22">
        <v>603</v>
      </c>
      <c r="D19" s="23" t="str">
        <f t="shared" si="0"/>
        <v>RIVERA  Jackdanny</v>
      </c>
      <c r="E19" s="24" t="str">
        <f t="shared" si="1"/>
        <v xml:space="preserve">VEINTE24 CYCLING </v>
      </c>
      <c r="F19" s="3">
        <v>3</v>
      </c>
      <c r="G19" s="15">
        <v>8</v>
      </c>
      <c r="H19" s="3">
        <v>4</v>
      </c>
      <c r="I19" s="25">
        <v>110</v>
      </c>
      <c r="J19" s="33">
        <v>2</v>
      </c>
      <c r="K19" s="22">
        <v>9</v>
      </c>
      <c r="L19" s="22">
        <v>4</v>
      </c>
      <c r="M19" s="34">
        <v>110</v>
      </c>
      <c r="N19" s="32"/>
      <c r="O19" s="30"/>
      <c r="P19" s="3">
        <v>5</v>
      </c>
      <c r="Q19" s="34">
        <f>IFERROR(VLOOKUP(P19,'Puntos XCO'!$A$1:$B$63,2,FALSE),0)</f>
        <v>100</v>
      </c>
      <c r="R19" s="16">
        <v>3</v>
      </c>
      <c r="S19" s="3">
        <f>IFERROR(VLOOKUP(R19,'Puntos XCC Menor'!$A$1:$B$15,2,FALSE),0)</f>
        <v>8</v>
      </c>
      <c r="T19" s="15">
        <v>4</v>
      </c>
      <c r="U19" s="39">
        <f>IFERROR(VLOOKUP(T19,'Puntos XCO'!$A$1:$B$63,2,FALSE),0)</f>
        <v>110</v>
      </c>
      <c r="V19" s="16">
        <v>0</v>
      </c>
      <c r="W19" s="15">
        <f>IFERROR(VLOOKUP(V19,'Puntos XCC Mayor'!$A$1:$B$15,2,FALSE),0)</f>
        <v>0</v>
      </c>
      <c r="X19" s="15">
        <v>6</v>
      </c>
      <c r="Y19" s="25">
        <f>IFERROR(VLOOKUP(X19,'Puntos XCO'!$A$1:$B$63,2,FALSE),0)</f>
        <v>95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4"/>
        <v>550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6</v>
      </c>
      <c r="C20" s="22">
        <v>610</v>
      </c>
      <c r="D20" s="23" t="str">
        <f t="shared" si="0"/>
        <v>ROJAS Gonzalo</v>
      </c>
      <c r="E20" s="24" t="str">
        <f t="shared" si="1"/>
        <v>TALENTTEC</v>
      </c>
      <c r="F20" s="3">
        <v>0</v>
      </c>
      <c r="G20" s="15">
        <v>0</v>
      </c>
      <c r="H20" s="3">
        <v>10</v>
      </c>
      <c r="I20" s="25">
        <v>78</v>
      </c>
      <c r="J20" s="33">
        <v>0</v>
      </c>
      <c r="K20" s="22">
        <v>0</v>
      </c>
      <c r="L20" s="22">
        <v>10</v>
      </c>
      <c r="M20" s="34">
        <v>78</v>
      </c>
      <c r="N20" s="32"/>
      <c r="O20" s="30"/>
      <c r="P20" s="3">
        <v>7</v>
      </c>
      <c r="Q20" s="34">
        <f>IFERROR(VLOOKUP(P20,'Puntos XCO'!$A$1:$B$63,2,FALSE),0)</f>
        <v>90</v>
      </c>
      <c r="R20" s="16">
        <v>0</v>
      </c>
      <c r="S20" s="3">
        <f>IFERROR(VLOOKUP(R20,'Puntos XCC Menor'!$A$1:$B$15,2,FALSE),0)</f>
        <v>0</v>
      </c>
      <c r="T20" s="15">
        <v>7</v>
      </c>
      <c r="U20" s="39">
        <f>IFERROR(VLOOKUP(T20,'Puntos XCO'!$A$1:$B$63,2,FALSE),0)</f>
        <v>90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4"/>
        <v>336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7</v>
      </c>
      <c r="C21" s="22">
        <v>608</v>
      </c>
      <c r="D21" s="23" t="str">
        <f t="shared" si="0"/>
        <v xml:space="preserve">SANTANA  Jesús </v>
      </c>
      <c r="E21" s="24" t="str">
        <f t="shared" si="1"/>
        <v xml:space="preserve">ACISA CCDR SARAPIQUI </v>
      </c>
      <c r="F21" s="3">
        <v>5</v>
      </c>
      <c r="G21" s="15">
        <v>6</v>
      </c>
      <c r="H21" s="3">
        <v>6</v>
      </c>
      <c r="I21" s="25">
        <v>95</v>
      </c>
      <c r="J21" s="33">
        <v>1</v>
      </c>
      <c r="K21" s="22">
        <v>10</v>
      </c>
      <c r="L21" s="22">
        <v>6</v>
      </c>
      <c r="M21" s="34">
        <v>95</v>
      </c>
      <c r="N21" s="32"/>
      <c r="O21" s="30"/>
      <c r="P21" s="3">
        <v>0</v>
      </c>
      <c r="Q21" s="34">
        <f>IFERROR(VLOOKUP(P21,'Puntos XCO'!$A$1:$B$63,2,FALSE),0)</f>
        <v>0</v>
      </c>
      <c r="R21" s="16">
        <v>4</v>
      </c>
      <c r="S21" s="3">
        <f>IFERROR(VLOOKUP(R21,'Puntos XCC Menor'!$A$1:$B$15,2,FALSE),0)</f>
        <v>7</v>
      </c>
      <c r="T21" s="15">
        <v>5</v>
      </c>
      <c r="U21" s="39">
        <f>IFERROR(VLOOKUP(T21,'Puntos XCO'!$A$1:$B$63,2,FALSE),0)</f>
        <v>100</v>
      </c>
      <c r="V21" s="16">
        <v>0</v>
      </c>
      <c r="W21" s="15">
        <f>IFERROR(VLOOKUP(V21,'Puntos XCC Mayor'!$A$1:$B$15,2,FALSE),0)</f>
        <v>0</v>
      </c>
      <c r="X21" s="15">
        <v>0</v>
      </c>
      <c r="Y21" s="25">
        <f>IFERROR(VLOOKUP(X21,'Puntos XCO'!$A$1:$B$63,2,FALSE),0)</f>
        <v>0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313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8</v>
      </c>
      <c r="C22" s="22">
        <v>625</v>
      </c>
      <c r="D22" s="23" t="str">
        <f t="shared" si="0"/>
        <v>LEIVA Kenneth</v>
      </c>
      <c r="E22" s="24" t="str">
        <f t="shared" si="1"/>
        <v/>
      </c>
      <c r="F22" s="3"/>
      <c r="G22" s="15"/>
      <c r="H22" s="3"/>
      <c r="I22" s="25"/>
      <c r="J22" s="33">
        <v>0</v>
      </c>
      <c r="K22" s="22">
        <v>0</v>
      </c>
      <c r="L22" s="22">
        <v>9</v>
      </c>
      <c r="M22" s="34">
        <v>80</v>
      </c>
      <c r="N22" s="32"/>
      <c r="O22" s="30"/>
      <c r="P22" s="3">
        <v>9</v>
      </c>
      <c r="Q22" s="34">
        <f>IFERROR(VLOOKUP(P22,'Puntos XCO'!$A$1:$B$63,2,FALSE),0)</f>
        <v>80</v>
      </c>
      <c r="R22" s="16">
        <v>0</v>
      </c>
      <c r="S22" s="3">
        <f>IFERROR(VLOOKUP(R22,'Puntos XCC Menor'!$A$1:$B$15,2,FALSE),0)</f>
        <v>0</v>
      </c>
      <c r="T22" s="15">
        <v>0</v>
      </c>
      <c r="U22" s="39">
        <f>IFERROR(VLOOKUP(T22,'Puntos XCO'!$A$1:$B$63,2,FALSE),0)</f>
        <v>0</v>
      </c>
      <c r="V22" s="16">
        <v>0</v>
      </c>
      <c r="W22" s="15">
        <f>IFERROR(VLOOKUP(V22,'Puntos XCC Mayor'!$A$1:$B$15,2,FALSE),0)</f>
        <v>0</v>
      </c>
      <c r="X22" s="15">
        <v>8</v>
      </c>
      <c r="Y22" s="25">
        <f>IFERROR(VLOOKUP(X22,'Puntos XCO'!$A$1:$B$63,2,FALSE),0)</f>
        <v>85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245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9</v>
      </c>
      <c r="C23" s="22">
        <v>602</v>
      </c>
      <c r="D23" s="23" t="str">
        <f t="shared" si="0"/>
        <v>MARIN Daniel</v>
      </c>
      <c r="E23" s="24" t="str">
        <f t="shared" si="1"/>
        <v>BIKE BROS CYCLING</v>
      </c>
      <c r="F23" s="3">
        <v>10</v>
      </c>
      <c r="G23" s="15">
        <v>1</v>
      </c>
      <c r="H23" s="3">
        <v>0</v>
      </c>
      <c r="I23" s="25">
        <v>0</v>
      </c>
      <c r="J23" s="33">
        <v>3</v>
      </c>
      <c r="K23" s="22">
        <v>8</v>
      </c>
      <c r="L23" s="22">
        <v>5</v>
      </c>
      <c r="M23" s="34">
        <v>100</v>
      </c>
      <c r="N23" s="32"/>
      <c r="O23" s="30"/>
      <c r="P23" s="3">
        <v>0</v>
      </c>
      <c r="Q23" s="34">
        <f>IFERROR(VLOOKUP(P23,'Puntos XCO'!$A$1:$B$63,2,FALSE),0)</f>
        <v>0</v>
      </c>
      <c r="R23" s="16">
        <v>0</v>
      </c>
      <c r="S23" s="3">
        <f>IFERROR(VLOOKUP(R23,'Puntos XCC Menor'!$A$1:$B$15,2,FALSE),0)</f>
        <v>0</v>
      </c>
      <c r="T23" s="15">
        <v>0</v>
      </c>
      <c r="U23" s="39">
        <f>IFERROR(VLOOKUP(T23,'Puntos XCO'!$A$1:$B$63,2,FALSE),0)</f>
        <v>0</v>
      </c>
      <c r="V23" s="16">
        <v>4</v>
      </c>
      <c r="W23" s="15">
        <f>IFERROR(VLOOKUP(V23,'Puntos XCC Mayor'!$A$1:$B$15,2,FALSE),0)</f>
        <v>14</v>
      </c>
      <c r="X23" s="15">
        <v>4</v>
      </c>
      <c r="Y23" s="25">
        <f>IFERROR(VLOOKUP(X23,'Puntos XCO'!$A$1:$B$63,2,FALSE),0)</f>
        <v>110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233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22">
        <v>616</v>
      </c>
      <c r="D24" s="23" t="str">
        <f t="shared" si="0"/>
        <v xml:space="preserve">QUIRÓS  Arturo </v>
      </c>
      <c r="E24" s="24" t="str">
        <f t="shared" si="1"/>
        <v>ASOCIACIÓN VQ CARTAGO</v>
      </c>
      <c r="F24" s="3">
        <v>11</v>
      </c>
      <c r="G24" s="15">
        <v>0</v>
      </c>
      <c r="H24" s="3">
        <v>8</v>
      </c>
      <c r="I24" s="25">
        <v>85</v>
      </c>
      <c r="J24" s="33">
        <v>0</v>
      </c>
      <c r="K24" s="22">
        <v>0</v>
      </c>
      <c r="L24" s="22">
        <v>0</v>
      </c>
      <c r="M24" s="34">
        <v>0</v>
      </c>
      <c r="N24" s="32"/>
      <c r="O24" s="30"/>
      <c r="P24" s="3">
        <v>0</v>
      </c>
      <c r="Q24" s="34">
        <f>IFERROR(VLOOKUP(P24,'Puntos XCO'!$A$1:$B$63,2,FALSE),0)</f>
        <v>0</v>
      </c>
      <c r="R24" s="16">
        <v>0</v>
      </c>
      <c r="S24" s="3">
        <f>IFERROR(VLOOKUP(R24,'Puntos XCC Menor'!$A$1:$B$15,2,FALSE),0)</f>
        <v>0</v>
      </c>
      <c r="T24" s="15">
        <v>0</v>
      </c>
      <c r="U24" s="39">
        <f>IFERROR(VLOOKUP(T24,'Puntos XCO'!$A$1:$B$63,2,FALSE),0)</f>
        <v>0</v>
      </c>
      <c r="V24" s="16">
        <v>0</v>
      </c>
      <c r="W24" s="15">
        <f>IFERROR(VLOOKUP(V24,'Puntos XCC Mayor'!$A$1:$B$15,2,FALSE),0)</f>
        <v>0</v>
      </c>
      <c r="X24" s="15">
        <v>5</v>
      </c>
      <c r="Y24" s="25">
        <f>IFERROR(VLOOKUP(X24,'Puntos XCO'!$A$1:$B$63,2,FALSE),0)</f>
        <v>100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185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22">
        <v>619</v>
      </c>
      <c r="D25" s="23" t="str">
        <f t="shared" si="0"/>
        <v>GUTIERREZ  Daniel</v>
      </c>
      <c r="E25" s="24" t="str">
        <f t="shared" si="1"/>
        <v xml:space="preserve">TURRIALBA </v>
      </c>
      <c r="F25" s="3">
        <v>9</v>
      </c>
      <c r="G25" s="15">
        <v>2</v>
      </c>
      <c r="H25" s="3">
        <v>9</v>
      </c>
      <c r="I25" s="25">
        <v>80</v>
      </c>
      <c r="J25" s="33">
        <v>0</v>
      </c>
      <c r="K25" s="22">
        <v>0</v>
      </c>
      <c r="L25" s="22">
        <v>0</v>
      </c>
      <c r="M25" s="34">
        <v>0</v>
      </c>
      <c r="N25" s="32"/>
      <c r="O25" s="30"/>
      <c r="P25" s="3">
        <v>8</v>
      </c>
      <c r="Q25" s="34">
        <f>IFERROR(VLOOKUP(P25,'Puntos XCO'!$A$1:$B$63,2,FALSE),0)</f>
        <v>85</v>
      </c>
      <c r="R25" s="16">
        <v>0</v>
      </c>
      <c r="S25" s="3">
        <f>IFERROR(VLOOKUP(R25,'Puntos XCC Menor'!$A$1:$B$15,2,FALSE),0)</f>
        <v>0</v>
      </c>
      <c r="T25" s="15">
        <v>0</v>
      </c>
      <c r="U25" s="39">
        <f>IFERROR(VLOOKUP(T25,'Puntos XCO'!$A$1:$B$63,2,FALSE),0)</f>
        <v>0</v>
      </c>
      <c r="V25" s="16">
        <v>0</v>
      </c>
      <c r="W25" s="15">
        <f>IFERROR(VLOOKUP(V25,'Puntos XCC Mayor'!$A$1:$B$15,2,FALSE),0)</f>
        <v>0</v>
      </c>
      <c r="X25" s="15">
        <v>0</v>
      </c>
      <c r="Y25" s="25">
        <f>IFERROR(VLOOKUP(X25,'Puntos XCO'!$A$1:$B$63,2,FALSE),0)</f>
        <v>0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167</v>
      </c>
      <c r="AJ25" s="2"/>
      <c r="AK25" s="13"/>
      <c r="AL25" s="12"/>
      <c r="AM25" s="14"/>
    </row>
    <row r="26" spans="1:39" ht="24.95" customHeight="1">
      <c r="A26" s="22">
        <v>12</v>
      </c>
      <c r="B26" s="22"/>
      <c r="C26" s="107">
        <v>630</v>
      </c>
      <c r="D26" s="23" t="str">
        <f t="shared" si="0"/>
        <v xml:space="preserve">URBINA Kevin </v>
      </c>
      <c r="E26" s="24" t="str">
        <f t="shared" si="1"/>
        <v xml:space="preserve">Team Belsco </v>
      </c>
      <c r="F26" s="3"/>
      <c r="G26" s="15"/>
      <c r="H26" s="3"/>
      <c r="I26" s="25"/>
      <c r="J26" s="33"/>
      <c r="K26" s="22"/>
      <c r="L26" s="22"/>
      <c r="M26" s="34"/>
      <c r="N26" s="32"/>
      <c r="O26" s="30"/>
      <c r="P26" s="3"/>
      <c r="Q26" s="34"/>
      <c r="R26" s="16"/>
      <c r="S26" s="3"/>
      <c r="T26" s="15"/>
      <c r="U26" s="39"/>
      <c r="V26" s="16"/>
      <c r="W26" s="15"/>
      <c r="X26" s="15"/>
      <c r="Y26" s="25"/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2</v>
      </c>
      <c r="AC26" s="25">
        <f>IFERROR(VLOOKUP(AB26,'Puntos XCO'!$A$1:$B$63,2,FALSE),0)</f>
        <v>150</v>
      </c>
      <c r="AD26" s="16"/>
      <c r="AE26" s="15"/>
      <c r="AF26" s="15"/>
      <c r="AG26" s="25"/>
      <c r="AH26" s="27">
        <f t="shared" si="4"/>
        <v>150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12</v>
      </c>
      <c r="C27" s="22">
        <v>620</v>
      </c>
      <c r="D27" s="23" t="str">
        <f t="shared" si="0"/>
        <v>CHAVES Jose</v>
      </c>
      <c r="E27" s="24" t="str">
        <f t="shared" si="1"/>
        <v>VEINTE24</v>
      </c>
      <c r="F27" s="3">
        <v>4</v>
      </c>
      <c r="G27" s="15">
        <v>7</v>
      </c>
      <c r="H27" s="3">
        <v>3</v>
      </c>
      <c r="I27" s="25">
        <v>120</v>
      </c>
      <c r="J27" s="33">
        <v>0</v>
      </c>
      <c r="K27" s="22">
        <v>0</v>
      </c>
      <c r="L27" s="22">
        <v>0</v>
      </c>
      <c r="M27" s="34">
        <v>0</v>
      </c>
      <c r="N27" s="32"/>
      <c r="O27" s="30"/>
      <c r="P27" s="3">
        <v>0</v>
      </c>
      <c r="Q27" s="34">
        <f>IFERROR(VLOOKUP(P27,'Puntos XCO'!$A$1:$B$63,2,FALSE),0)</f>
        <v>0</v>
      </c>
      <c r="R27" s="16">
        <v>0</v>
      </c>
      <c r="S27" s="3">
        <f>IFERROR(VLOOKUP(R27,'Puntos XCC Menor'!$A$1:$B$15,2,FALSE),0)</f>
        <v>0</v>
      </c>
      <c r="T27" s="15">
        <v>0</v>
      </c>
      <c r="U27" s="39">
        <f>IFERROR(VLOOKUP(T27,'Puntos XCO'!$A$1:$B$63,2,FALSE),0)</f>
        <v>0</v>
      </c>
      <c r="V27" s="16">
        <v>0</v>
      </c>
      <c r="W27" s="15">
        <f>IFERROR(VLOOKUP(V27,'Puntos XCC Mayor'!$A$1:$B$15,2,FALSE),0)</f>
        <v>0</v>
      </c>
      <c r="X27" s="15">
        <v>0</v>
      </c>
      <c r="Y27" s="25">
        <f>IFERROR(VLOOKUP(X27,'Puntos XCO'!$A$1:$B$63,2,FALSE),0)</f>
        <v>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127</v>
      </c>
      <c r="AJ27" s="2"/>
      <c r="AK27" s="13"/>
      <c r="AL27" s="12"/>
      <c r="AM27" s="14"/>
    </row>
    <row r="28" spans="1:39" ht="24.95" customHeight="1">
      <c r="A28" s="22">
        <v>14</v>
      </c>
      <c r="B28" s="22"/>
      <c r="C28" s="107">
        <v>631</v>
      </c>
      <c r="D28" s="23" t="str">
        <f t="shared" si="0"/>
        <v>AGUILAR Yaret</v>
      </c>
      <c r="E28" s="24" t="str">
        <f t="shared" si="1"/>
        <v xml:space="preserve">RCA Trailers </v>
      </c>
      <c r="F28" s="3"/>
      <c r="G28" s="15"/>
      <c r="H28" s="3"/>
      <c r="I28" s="25"/>
      <c r="J28" s="33"/>
      <c r="K28" s="22"/>
      <c r="L28" s="22"/>
      <c r="M28" s="34"/>
      <c r="N28" s="32"/>
      <c r="O28" s="30"/>
      <c r="P28" s="3"/>
      <c r="Q28" s="34"/>
      <c r="R28" s="16"/>
      <c r="S28" s="3"/>
      <c r="T28" s="15"/>
      <c r="U28" s="39"/>
      <c r="V28" s="16"/>
      <c r="W28" s="15"/>
      <c r="X28" s="15"/>
      <c r="Y28" s="25"/>
      <c r="Z28" s="16">
        <f t="shared" si="2"/>
        <v>3</v>
      </c>
      <c r="AA28" s="15">
        <f>IFERROR(VLOOKUP(Z28,'Puntos XCC Mayor'!$A$1:$B$15,2,FALSE),0)</f>
        <v>16</v>
      </c>
      <c r="AB28" s="15">
        <f t="shared" si="3"/>
        <v>4</v>
      </c>
      <c r="AC28" s="25">
        <f>IFERROR(VLOOKUP(AB28,'Puntos XCO'!$A$1:$B$63,2,FALSE),0)</f>
        <v>110</v>
      </c>
      <c r="AD28" s="16"/>
      <c r="AE28" s="15"/>
      <c r="AF28" s="15"/>
      <c r="AG28" s="25"/>
      <c r="AH28" s="27">
        <f t="shared" si="4"/>
        <v>126</v>
      </c>
      <c r="AJ28" s="3"/>
      <c r="AM28" s="29"/>
    </row>
    <row r="29" spans="1:39" ht="24.95" customHeight="1">
      <c r="A29" s="22">
        <v>15</v>
      </c>
      <c r="B29" s="22"/>
      <c r="C29" s="107">
        <v>629</v>
      </c>
      <c r="D29" s="23" t="str">
        <f t="shared" si="0"/>
        <v>SOTO Juan jose</v>
      </c>
      <c r="E29" s="24" t="str">
        <f t="shared" si="1"/>
        <v xml:space="preserve">Acisa Sarapiquí </v>
      </c>
      <c r="F29" s="3"/>
      <c r="G29" s="15"/>
      <c r="H29" s="3"/>
      <c r="I29" s="25"/>
      <c r="J29" s="33"/>
      <c r="K29" s="22"/>
      <c r="L29" s="22"/>
      <c r="M29" s="34"/>
      <c r="N29" s="32"/>
      <c r="O29" s="30"/>
      <c r="P29" s="3"/>
      <c r="Q29" s="34"/>
      <c r="R29" s="16"/>
      <c r="S29" s="3"/>
      <c r="T29" s="15"/>
      <c r="U29" s="39"/>
      <c r="V29" s="16"/>
      <c r="W29" s="15"/>
      <c r="X29" s="15"/>
      <c r="Y29" s="25"/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3</v>
      </c>
      <c r="AC29" s="25">
        <f>IFERROR(VLOOKUP(AB29,'Puntos XCO'!$A$1:$B$63,2,FALSE),0)</f>
        <v>120</v>
      </c>
      <c r="AD29" s="16"/>
      <c r="AE29" s="15"/>
      <c r="AF29" s="15"/>
      <c r="AG29" s="25"/>
      <c r="AH29" s="27">
        <f t="shared" si="4"/>
        <v>120</v>
      </c>
      <c r="AJ29" s="3"/>
    </row>
    <row r="30" spans="1:39" ht="24.95" customHeight="1">
      <c r="A30" s="22">
        <v>16</v>
      </c>
      <c r="B30" s="22">
        <v>13</v>
      </c>
      <c r="C30" s="22">
        <v>611</v>
      </c>
      <c r="D30" s="23" t="str">
        <f t="shared" si="0"/>
        <v>SALAS Randall</v>
      </c>
      <c r="E30" s="24" t="str">
        <f t="shared" si="1"/>
        <v xml:space="preserve">ACISA </v>
      </c>
      <c r="F30" s="3">
        <v>0</v>
      </c>
      <c r="G30" s="15">
        <v>0</v>
      </c>
      <c r="H30" s="3">
        <v>0</v>
      </c>
      <c r="I30" s="25">
        <v>0</v>
      </c>
      <c r="J30" s="33">
        <v>6</v>
      </c>
      <c r="K30" s="22">
        <v>5</v>
      </c>
      <c r="L30" s="22">
        <v>7</v>
      </c>
      <c r="M30" s="34">
        <v>90</v>
      </c>
      <c r="N30" s="32"/>
      <c r="O30" s="30"/>
      <c r="P30" s="3">
        <v>0</v>
      </c>
      <c r="Q30" s="34">
        <f>IFERROR(VLOOKUP(P30,'Puntos XCO'!$A$1:$B$63,2,FALSE),0)</f>
        <v>0</v>
      </c>
      <c r="R30" s="16">
        <v>0</v>
      </c>
      <c r="S30" s="3">
        <f>IFERROR(VLOOKUP(R30,'Puntos XCC Menor'!$A$1:$B$15,2,FALSE),0)</f>
        <v>0</v>
      </c>
      <c r="T30" s="15">
        <v>0</v>
      </c>
      <c r="U30" s="39">
        <f>IFERROR(VLOOKUP(T30,'Puntos XCO'!$A$1:$B$63,2,FALSE),0)</f>
        <v>0</v>
      </c>
      <c r="V30" s="16">
        <v>0</v>
      </c>
      <c r="W30" s="15">
        <f>IFERROR(VLOOKUP(V30,'Puntos XCC Mayor'!$A$1:$B$15,2,FALSE),0)</f>
        <v>0</v>
      </c>
      <c r="X30" s="15">
        <v>0</v>
      </c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95</v>
      </c>
      <c r="AJ30" s="3"/>
    </row>
    <row r="31" spans="1:39" ht="24.95" customHeight="1">
      <c r="A31" s="22">
        <v>17</v>
      </c>
      <c r="B31" s="22">
        <v>14</v>
      </c>
      <c r="C31" s="52">
        <v>627</v>
      </c>
      <c r="D31" s="23" t="str">
        <f t="shared" si="0"/>
        <v>ARAYA Bryan</v>
      </c>
      <c r="E31" s="24" t="str">
        <f t="shared" si="1"/>
        <v>BPT/ CYCLINGLAB</v>
      </c>
      <c r="F31" s="3"/>
      <c r="G31" s="15"/>
      <c r="H31" s="15"/>
      <c r="I31" s="25"/>
      <c r="J31" s="33"/>
      <c r="K31" s="22"/>
      <c r="L31" s="22"/>
      <c r="M31" s="34"/>
      <c r="N31" s="16"/>
      <c r="O31" s="15"/>
      <c r="P31" s="3">
        <v>6</v>
      </c>
      <c r="Q31" s="34">
        <f>IFERROR(VLOOKUP(P31,'Puntos XCO'!$A$1:$B$63,2,FALSE),0)</f>
        <v>95</v>
      </c>
      <c r="R31" s="16">
        <v>0</v>
      </c>
      <c r="S31" s="3">
        <f>IFERROR(VLOOKUP(R31,'Puntos XCC Menor'!$A$1:$B$15,2,FALSE),0)</f>
        <v>0</v>
      </c>
      <c r="T31" s="15">
        <v>0</v>
      </c>
      <c r="U31" s="39">
        <f>IFERROR(VLOOKUP(T31,'Puntos XCO'!$A$1:$B$63,2,FALSE),0)</f>
        <v>0</v>
      </c>
      <c r="V31" s="16">
        <v>0</v>
      </c>
      <c r="W31" s="15">
        <f>IFERROR(VLOOKUP(V31,'Puntos XCC Mayor'!$A$1:$B$15,2,FALSE),0)</f>
        <v>0</v>
      </c>
      <c r="X31" s="15">
        <v>0</v>
      </c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95</v>
      </c>
      <c r="AJ31" s="3"/>
    </row>
    <row r="32" spans="1:39" ht="24.95" customHeight="1">
      <c r="A32" s="22">
        <v>18</v>
      </c>
      <c r="B32" s="22"/>
      <c r="C32" s="107">
        <v>632</v>
      </c>
      <c r="D32" s="23" t="str">
        <f t="shared" si="0"/>
        <v>MARIN Gabriel</v>
      </c>
      <c r="E32" s="24" t="str">
        <f t="shared" si="1"/>
        <v>DESAMPARADOS</v>
      </c>
      <c r="F32" s="3"/>
      <c r="G32" s="15"/>
      <c r="H32" s="3"/>
      <c r="I32" s="25"/>
      <c r="J32" s="33"/>
      <c r="K32" s="22"/>
      <c r="L32" s="22"/>
      <c r="M32" s="34"/>
      <c r="N32" s="32"/>
      <c r="O32" s="30"/>
      <c r="P32" s="3"/>
      <c r="Q32" s="34"/>
      <c r="R32" s="16"/>
      <c r="S32" s="3"/>
      <c r="T32" s="15"/>
      <c r="U32" s="39"/>
      <c r="V32" s="16"/>
      <c r="W32" s="15"/>
      <c r="X32" s="15"/>
      <c r="Y32" s="25"/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6</v>
      </c>
      <c r="AC32" s="25">
        <f>IFERROR(VLOOKUP(AB32,'Puntos XCO'!$A$1:$B$63,2,FALSE),0)</f>
        <v>95</v>
      </c>
      <c r="AD32" s="16"/>
      <c r="AE32" s="15"/>
      <c r="AF32" s="15"/>
      <c r="AG32" s="25"/>
      <c r="AH32" s="27">
        <f t="shared" si="4"/>
        <v>95</v>
      </c>
      <c r="AJ32" s="3"/>
    </row>
    <row r="33" spans="1:36" ht="24.95" customHeight="1">
      <c r="A33" s="22">
        <v>19</v>
      </c>
      <c r="B33" s="22">
        <v>15</v>
      </c>
      <c r="C33" s="22">
        <v>604</v>
      </c>
      <c r="D33" s="23" t="str">
        <f t="shared" si="0"/>
        <v>BARRANTES  Lenin Juran</v>
      </c>
      <c r="E33" s="24" t="str">
        <f t="shared" si="1"/>
        <v>SCOTT SHIMANO CYCLING TEAM</v>
      </c>
      <c r="F33" s="3">
        <v>0</v>
      </c>
      <c r="G33" s="15">
        <v>0</v>
      </c>
      <c r="H33" s="3">
        <v>7</v>
      </c>
      <c r="I33" s="25">
        <v>90</v>
      </c>
      <c r="J33" s="33">
        <v>0</v>
      </c>
      <c r="K33" s="22">
        <v>0</v>
      </c>
      <c r="L33" s="22">
        <v>0</v>
      </c>
      <c r="M33" s="34">
        <v>0</v>
      </c>
      <c r="N33" s="32"/>
      <c r="O33" s="30"/>
      <c r="P33" s="3">
        <v>0</v>
      </c>
      <c r="Q33" s="34">
        <f>IFERROR(VLOOKUP(P33,'Puntos XCO'!$A$1:$B$63,2,FALSE),0)</f>
        <v>0</v>
      </c>
      <c r="R33" s="16">
        <v>0</v>
      </c>
      <c r="S33" s="3">
        <f>IFERROR(VLOOKUP(R33,'Puntos XCC Menor'!$A$1:$B$15,2,FALSE),0)</f>
        <v>0</v>
      </c>
      <c r="T33" s="15">
        <v>0</v>
      </c>
      <c r="U33" s="39">
        <f>IFERROR(VLOOKUP(T33,'Puntos XCO'!$A$1:$B$63,2,FALSE),0)</f>
        <v>0</v>
      </c>
      <c r="V33" s="16">
        <v>0</v>
      </c>
      <c r="W33" s="15">
        <f>IFERROR(VLOOKUP(V33,'Puntos XCC Mayor'!$A$1:$B$15,2,FALSE),0)</f>
        <v>0</v>
      </c>
      <c r="X33" s="15">
        <v>0</v>
      </c>
      <c r="Y33" s="25">
        <f>IFERROR(VLOOKUP(X33,'Puntos XCO'!$A$1:$B$63,2,FALSE),0)</f>
        <v>0</v>
      </c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90</v>
      </c>
      <c r="AJ33" s="3"/>
    </row>
    <row r="34" spans="1:36" ht="24.95" customHeight="1">
      <c r="A34" s="22">
        <v>20</v>
      </c>
      <c r="B34" s="22">
        <v>16</v>
      </c>
      <c r="C34" s="22">
        <v>624</v>
      </c>
      <c r="D34" s="23" t="str">
        <f t="shared" si="0"/>
        <v xml:space="preserve">OCAMPO  Yalí </v>
      </c>
      <c r="E34" s="24" t="str">
        <f t="shared" si="1"/>
        <v xml:space="preserve">TEAM BELSCO </v>
      </c>
      <c r="F34" s="3"/>
      <c r="G34" s="15"/>
      <c r="H34" s="3"/>
      <c r="I34" s="25"/>
      <c r="J34" s="33">
        <v>0</v>
      </c>
      <c r="K34" s="22">
        <v>0</v>
      </c>
      <c r="L34" s="22">
        <v>8</v>
      </c>
      <c r="M34" s="34">
        <v>85</v>
      </c>
      <c r="N34" s="32"/>
      <c r="O34" s="30"/>
      <c r="P34" s="3">
        <v>0</v>
      </c>
      <c r="Q34" s="34">
        <f>IFERROR(VLOOKUP(P34,'Puntos XCO'!$A$1:$B$63,2,FALSE),0)</f>
        <v>0</v>
      </c>
      <c r="R34" s="16">
        <v>0</v>
      </c>
      <c r="S34" s="3">
        <f>IFERROR(VLOOKUP(R34,'Puntos XCC Menor'!$A$1:$B$15,2,FALSE),0)</f>
        <v>0</v>
      </c>
      <c r="T34" s="15">
        <v>0</v>
      </c>
      <c r="U34" s="39">
        <f>IFERROR(VLOOKUP(T34,'Puntos XCO'!$A$1:$B$63,2,FALSE),0)</f>
        <v>0</v>
      </c>
      <c r="V34" s="16">
        <v>0</v>
      </c>
      <c r="W34" s="15">
        <f>IFERROR(VLOOKUP(V34,'Puntos XCC Mayor'!$A$1:$B$15,2,FALSE),0)</f>
        <v>0</v>
      </c>
      <c r="X34" s="15">
        <v>0</v>
      </c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85</v>
      </c>
      <c r="AJ34" s="3"/>
    </row>
    <row r="35" spans="1:36" ht="24.95" customHeight="1">
      <c r="A35" s="22">
        <v>21</v>
      </c>
      <c r="B35" s="22">
        <v>17</v>
      </c>
      <c r="C35" s="22">
        <v>605</v>
      </c>
      <c r="D35" s="23" t="str">
        <f t="shared" si="0"/>
        <v>CUBILLO Yuster</v>
      </c>
      <c r="E35" s="24" t="str">
        <f t="shared" si="1"/>
        <v xml:space="preserve">CCDR MATINA CICLO SALAS BATAN </v>
      </c>
      <c r="F35" s="3">
        <v>13</v>
      </c>
      <c r="G35" s="15">
        <v>0</v>
      </c>
      <c r="H35" s="3">
        <v>11</v>
      </c>
      <c r="I35" s="25">
        <v>76</v>
      </c>
      <c r="J35" s="33">
        <v>0</v>
      </c>
      <c r="K35" s="22">
        <v>0</v>
      </c>
      <c r="L35" s="22">
        <v>0</v>
      </c>
      <c r="M35" s="34">
        <v>0</v>
      </c>
      <c r="N35" s="32"/>
      <c r="O35" s="30"/>
      <c r="P35" s="3">
        <v>0</v>
      </c>
      <c r="Q35" s="34">
        <f>IFERROR(VLOOKUP(P35,'Puntos XCO'!$A$1:$B$63,2,FALSE),0)</f>
        <v>0</v>
      </c>
      <c r="R35" s="16">
        <v>0</v>
      </c>
      <c r="S35" s="3">
        <f>IFERROR(VLOOKUP(R35,'Puntos XCC Menor'!$A$1:$B$15,2,FALSE),0)</f>
        <v>0</v>
      </c>
      <c r="T35" s="15">
        <v>0</v>
      </c>
      <c r="U35" s="39">
        <f>IFERROR(VLOOKUP(T35,'Puntos XCO'!$A$1:$B$63,2,FALSE),0)</f>
        <v>0</v>
      </c>
      <c r="V35" s="16">
        <v>0</v>
      </c>
      <c r="W35" s="15">
        <f>IFERROR(VLOOKUP(V35,'Puntos XCC Mayor'!$A$1:$B$15,2,FALSE),0)</f>
        <v>0</v>
      </c>
      <c r="X35" s="15">
        <v>0</v>
      </c>
      <c r="Y35" s="25">
        <f>IFERROR(VLOOKUP(X35,'Puntos XCO'!$A$1:$B$63,2,FALSE),0)</f>
        <v>0</v>
      </c>
      <c r="Z35" s="16">
        <f t="shared" si="2"/>
        <v>0</v>
      </c>
      <c r="AA35" s="15">
        <f>IFERROR(VLOOKUP(Z35,'Puntos XCC Mayor'!$A$1:$B$15,2,FALSE),0)</f>
        <v>0</v>
      </c>
      <c r="AB35" s="15">
        <f t="shared" si="3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4"/>
        <v>76</v>
      </c>
      <c r="AJ35" s="3"/>
    </row>
    <row r="36" spans="1:36" ht="24.95" customHeight="1">
      <c r="A36" s="22">
        <v>22</v>
      </c>
      <c r="B36" s="22">
        <v>18</v>
      </c>
      <c r="C36" s="22">
        <v>615</v>
      </c>
      <c r="D36" s="23" t="str">
        <f t="shared" si="0"/>
        <v xml:space="preserve">CALVO  Gabriel Andres </v>
      </c>
      <c r="E36" s="24" t="str">
        <f t="shared" si="1"/>
        <v xml:space="preserve">CDR TURRIALBA </v>
      </c>
      <c r="F36" s="3">
        <v>14</v>
      </c>
      <c r="G36" s="15">
        <v>0</v>
      </c>
      <c r="H36" s="3">
        <v>12</v>
      </c>
      <c r="I36" s="25">
        <v>74</v>
      </c>
      <c r="J36" s="33">
        <v>0</v>
      </c>
      <c r="K36" s="22">
        <v>0</v>
      </c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16">
        <v>0</v>
      </c>
      <c r="S36" s="3">
        <f>IFERROR(VLOOKUP(R36,'Puntos XCC Menor'!$A$1:$B$15,2,FALSE),0)</f>
        <v>0</v>
      </c>
      <c r="T36" s="15">
        <v>0</v>
      </c>
      <c r="U36" s="39">
        <f>IFERROR(VLOOKUP(T36,'Puntos XCO'!$A$1:$B$63,2,FALSE),0)</f>
        <v>0</v>
      </c>
      <c r="V36" s="16">
        <v>0</v>
      </c>
      <c r="W36" s="15">
        <f>IFERROR(VLOOKUP(V36,'Puntos XCC Mayor'!$A$1:$B$15,2,FALSE),0)</f>
        <v>0</v>
      </c>
      <c r="X36" s="15">
        <v>0</v>
      </c>
      <c r="Y36" s="25">
        <f>IFERROR(VLOOKUP(X36,'Puntos XCO'!$A$1:$B$63,2,FALSE),0)</f>
        <v>0</v>
      </c>
      <c r="Z36" s="16">
        <f t="shared" si="2"/>
        <v>0</v>
      </c>
      <c r="AA36" s="15">
        <f>IFERROR(VLOOKUP(Z36,'Puntos XCC Mayor'!$A$1:$B$15,2,FALSE),0)</f>
        <v>0</v>
      </c>
      <c r="AB36" s="15">
        <f t="shared" si="3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4"/>
        <v>74</v>
      </c>
      <c r="AJ36" s="3"/>
    </row>
    <row r="37" spans="1:36" ht="24.95" customHeight="1">
      <c r="A37" s="22">
        <v>23</v>
      </c>
      <c r="B37" s="22">
        <v>19</v>
      </c>
      <c r="C37" s="22">
        <v>613</v>
      </c>
      <c r="D37" s="23" t="str">
        <f t="shared" si="0"/>
        <v>SIBAJA Jean Carlo</v>
      </c>
      <c r="E37" s="24" t="str">
        <f t="shared" si="1"/>
        <v/>
      </c>
      <c r="F37" s="3">
        <v>2</v>
      </c>
      <c r="G37" s="15">
        <v>9</v>
      </c>
      <c r="H37" s="3">
        <v>0</v>
      </c>
      <c r="I37" s="25">
        <v>0</v>
      </c>
      <c r="J37" s="33">
        <v>0</v>
      </c>
      <c r="K37" s="22">
        <v>0</v>
      </c>
      <c r="L37" s="22">
        <v>0</v>
      </c>
      <c r="M37" s="34">
        <v>0</v>
      </c>
      <c r="N37" s="32"/>
      <c r="O37" s="30"/>
      <c r="P37" s="3">
        <v>0</v>
      </c>
      <c r="Q37" s="34">
        <f>IFERROR(VLOOKUP(P37,'Puntos XCO'!$A$1:$B$63,2,FALSE),0)</f>
        <v>0</v>
      </c>
      <c r="R37" s="16">
        <v>0</v>
      </c>
      <c r="S37" s="3">
        <f>IFERROR(VLOOKUP(R37,'Puntos XCC Menor'!$A$1:$B$15,2,FALSE),0)</f>
        <v>0</v>
      </c>
      <c r="T37" s="15">
        <v>0</v>
      </c>
      <c r="U37" s="39">
        <f>IFERROR(VLOOKUP(T37,'Puntos XCO'!$A$1:$B$63,2,FALSE),0)</f>
        <v>0</v>
      </c>
      <c r="V37" s="16">
        <v>0</v>
      </c>
      <c r="W37" s="15">
        <f>IFERROR(VLOOKUP(V37,'Puntos XCC Mayor'!$A$1:$B$15,2,FALSE),0)</f>
        <v>0</v>
      </c>
      <c r="X37" s="15">
        <v>0</v>
      </c>
      <c r="Y37" s="25">
        <f>IFERROR(VLOOKUP(X37,'Puntos XCO'!$A$1:$B$63,2,FALSE),0)</f>
        <v>0</v>
      </c>
      <c r="Z37" s="16">
        <f t="shared" si="2"/>
        <v>0</v>
      </c>
      <c r="AA37" s="15">
        <f>IFERROR(VLOOKUP(Z37,'Puntos XCC Mayor'!$A$1:$B$15,2,FALSE),0)</f>
        <v>0</v>
      </c>
      <c r="AB37" s="15">
        <f t="shared" si="3"/>
        <v>0</v>
      </c>
      <c r="AC37" s="25">
        <f>IFERROR(VLOOKUP(AB37,'Puntos XCO'!$A$1:$B$63,2,FALSE),0)</f>
        <v>0</v>
      </c>
      <c r="AD37" s="16"/>
      <c r="AE37" s="15"/>
      <c r="AF37" s="15"/>
      <c r="AG37" s="25"/>
      <c r="AH37" s="27">
        <f t="shared" si="4"/>
        <v>9</v>
      </c>
      <c r="AJ37" s="3"/>
    </row>
    <row r="38" spans="1:36" ht="24.95" customHeight="1">
      <c r="A38" s="22">
        <v>24</v>
      </c>
      <c r="B38" s="22">
        <v>20</v>
      </c>
      <c r="C38" s="22">
        <v>606</v>
      </c>
      <c r="D38" s="23" t="str">
        <f t="shared" si="0"/>
        <v xml:space="preserve">MENA Juan Carlos </v>
      </c>
      <c r="E38" s="24" t="str">
        <f t="shared" si="1"/>
        <v>GOCHA CYCLINGTEAM</v>
      </c>
      <c r="F38" s="3">
        <v>8</v>
      </c>
      <c r="G38" s="15">
        <v>3</v>
      </c>
      <c r="H38" s="3">
        <v>0</v>
      </c>
      <c r="I38" s="25">
        <v>0</v>
      </c>
      <c r="J38" s="33">
        <v>5</v>
      </c>
      <c r="K38" s="22">
        <v>6</v>
      </c>
      <c r="L38" s="22">
        <v>0</v>
      </c>
      <c r="M38" s="34">
        <v>0</v>
      </c>
      <c r="N38" s="32"/>
      <c r="O38" s="30"/>
      <c r="P38" s="3">
        <v>0</v>
      </c>
      <c r="Q38" s="34">
        <f>IFERROR(VLOOKUP(P38,'Puntos XCO'!$A$1:$B$63,2,FALSE),0)</f>
        <v>0</v>
      </c>
      <c r="R38" s="16">
        <v>0</v>
      </c>
      <c r="S38" s="3">
        <f>IFERROR(VLOOKUP(R38,'Puntos XCC Menor'!$A$1:$B$15,2,FALSE),0)</f>
        <v>0</v>
      </c>
      <c r="T38" s="15">
        <v>0</v>
      </c>
      <c r="U38" s="39">
        <f>IFERROR(VLOOKUP(T38,'Puntos XCO'!$A$1:$B$63,2,FALSE),0)</f>
        <v>0</v>
      </c>
      <c r="V38" s="16">
        <v>0</v>
      </c>
      <c r="W38" s="15">
        <f>IFERROR(VLOOKUP(V38,'Puntos XCC Mayor'!$A$1:$B$15,2,FALSE),0)</f>
        <v>0</v>
      </c>
      <c r="X38" s="15">
        <v>0</v>
      </c>
      <c r="Y38" s="25">
        <f>IFERROR(VLOOKUP(X38,'Puntos XCO'!$A$1:$B$63,2,FALSE),0)</f>
        <v>0</v>
      </c>
      <c r="Z38" s="16">
        <f t="shared" si="2"/>
        <v>0</v>
      </c>
      <c r="AA38" s="15">
        <f>IFERROR(VLOOKUP(Z38,'Puntos XCC Mayor'!$A$1:$B$15,2,FALSE),0)</f>
        <v>0</v>
      </c>
      <c r="AB38" s="15">
        <f t="shared" si="3"/>
        <v>0</v>
      </c>
      <c r="AC38" s="25">
        <f>IFERROR(VLOOKUP(AB38,'Puntos XCO'!$A$1:$B$63,2,FALSE),0)</f>
        <v>0</v>
      </c>
      <c r="AD38" s="16"/>
      <c r="AE38" s="15"/>
      <c r="AF38" s="15"/>
      <c r="AG38" s="25"/>
      <c r="AH38" s="27">
        <f t="shared" si="4"/>
        <v>9</v>
      </c>
      <c r="AJ38" s="3"/>
    </row>
    <row r="39" spans="1:36" ht="24.95" customHeight="1">
      <c r="A39" s="22">
        <v>25</v>
      </c>
      <c r="B39" s="22">
        <v>21</v>
      </c>
      <c r="C39" s="22">
        <v>607</v>
      </c>
      <c r="D39" s="23" t="str">
        <f t="shared" si="0"/>
        <v>ALFARO  Jonathan Alberto</v>
      </c>
      <c r="E39" s="24" t="str">
        <f t="shared" si="1"/>
        <v>QUECA</v>
      </c>
      <c r="F39" s="3">
        <v>6</v>
      </c>
      <c r="G39" s="15">
        <v>5</v>
      </c>
      <c r="H39" s="3">
        <v>0</v>
      </c>
      <c r="I39" s="25">
        <v>0</v>
      </c>
      <c r="J39" s="33">
        <v>0</v>
      </c>
      <c r="K39" s="22">
        <v>0</v>
      </c>
      <c r="L39" s="22">
        <v>0</v>
      </c>
      <c r="M39" s="34">
        <v>0</v>
      </c>
      <c r="N39" s="32"/>
      <c r="O39" s="30"/>
      <c r="P39" s="3">
        <v>0</v>
      </c>
      <c r="Q39" s="34">
        <f>IFERROR(VLOOKUP(P39,'Puntos XCO'!$A$1:$B$63,2,FALSE),0)</f>
        <v>0</v>
      </c>
      <c r="R39" s="16">
        <v>0</v>
      </c>
      <c r="S39" s="3">
        <f>IFERROR(VLOOKUP(R39,'Puntos XCC Menor'!$A$1:$B$15,2,FALSE),0)</f>
        <v>0</v>
      </c>
      <c r="T39" s="15">
        <v>0</v>
      </c>
      <c r="U39" s="39">
        <f>IFERROR(VLOOKUP(T39,'Puntos XCO'!$A$1:$B$63,2,FALSE),0)</f>
        <v>0</v>
      </c>
      <c r="V39" s="16">
        <v>0</v>
      </c>
      <c r="W39" s="15">
        <f>IFERROR(VLOOKUP(V39,'Puntos XCC Mayor'!$A$1:$B$15,2,FALSE),0)</f>
        <v>0</v>
      </c>
      <c r="X39" s="15">
        <v>0</v>
      </c>
      <c r="Y39" s="25">
        <f>IFERROR(VLOOKUP(X39,'Puntos XCO'!$A$1:$B$63,2,FALSE),0)</f>
        <v>0</v>
      </c>
      <c r="Z39" s="16">
        <f t="shared" si="2"/>
        <v>0</v>
      </c>
      <c r="AA39" s="15">
        <f>IFERROR(VLOOKUP(Z39,'Puntos XCC Mayor'!$A$1:$B$15,2,FALSE),0)</f>
        <v>0</v>
      </c>
      <c r="AB39" s="15">
        <f t="shared" si="3"/>
        <v>0</v>
      </c>
      <c r="AC39" s="25">
        <f>IFERROR(VLOOKUP(AB39,'Puntos XCO'!$A$1:$B$63,2,FALSE),0)</f>
        <v>0</v>
      </c>
      <c r="AD39" s="16"/>
      <c r="AE39" s="15"/>
      <c r="AF39" s="15"/>
      <c r="AG39" s="25"/>
      <c r="AH39" s="27">
        <f t="shared" si="4"/>
        <v>5</v>
      </c>
      <c r="AJ39" s="3"/>
    </row>
    <row r="40" spans="1:36" ht="24.95" customHeight="1">
      <c r="A40" s="22">
        <v>26</v>
      </c>
      <c r="B40" s="22">
        <v>22</v>
      </c>
      <c r="C40" s="22">
        <v>601</v>
      </c>
      <c r="D40" s="23" t="str">
        <f t="shared" si="0"/>
        <v>MORA Esteban</v>
      </c>
      <c r="E40" s="24" t="str">
        <f t="shared" si="1"/>
        <v>NA</v>
      </c>
      <c r="F40" s="3">
        <v>7</v>
      </c>
      <c r="G40" s="15">
        <v>4</v>
      </c>
      <c r="H40" s="3">
        <v>0</v>
      </c>
      <c r="I40" s="25">
        <v>0</v>
      </c>
      <c r="J40" s="33">
        <v>0</v>
      </c>
      <c r="K40" s="22">
        <v>0</v>
      </c>
      <c r="L40" s="22">
        <v>0</v>
      </c>
      <c r="M40" s="34">
        <v>0</v>
      </c>
      <c r="N40" s="32"/>
      <c r="O40" s="30"/>
      <c r="P40" s="3">
        <v>0</v>
      </c>
      <c r="Q40" s="34">
        <f>IFERROR(VLOOKUP(P40,'Puntos XCO'!$A$1:$B$63,2,FALSE),0)</f>
        <v>0</v>
      </c>
      <c r="R40" s="16">
        <v>0</v>
      </c>
      <c r="S40" s="3">
        <f>IFERROR(VLOOKUP(R40,'Puntos XCC Menor'!$A$1:$B$15,2,FALSE),0)</f>
        <v>0</v>
      </c>
      <c r="T40" s="15">
        <v>0</v>
      </c>
      <c r="U40" s="39">
        <f>IFERROR(VLOOKUP(T40,'Puntos XCO'!$A$1:$B$63,2,FALSE),0)</f>
        <v>0</v>
      </c>
      <c r="V40" s="16">
        <v>0</v>
      </c>
      <c r="W40" s="15">
        <f>IFERROR(VLOOKUP(V40,'Puntos XCC Mayor'!$A$1:$B$15,2,FALSE),0)</f>
        <v>0</v>
      </c>
      <c r="X40" s="15">
        <v>0</v>
      </c>
      <c r="Y40" s="25">
        <f>IFERROR(VLOOKUP(X40,'Puntos XCO'!$A$1:$B$63,2,FALSE),0)</f>
        <v>0</v>
      </c>
      <c r="Z40" s="16">
        <f t="shared" si="2"/>
        <v>0</v>
      </c>
      <c r="AA40" s="15">
        <f>IFERROR(VLOOKUP(Z40,'Puntos XCC Mayor'!$A$1:$B$15,2,FALSE),0)</f>
        <v>0</v>
      </c>
      <c r="AB40" s="15">
        <f t="shared" si="3"/>
        <v>0</v>
      </c>
      <c r="AC40" s="25">
        <f>IFERROR(VLOOKUP(AB40,'Puntos XCO'!$A$1:$B$63,2,FALSE),0)</f>
        <v>0</v>
      </c>
      <c r="AD40" s="16"/>
      <c r="AE40" s="15"/>
      <c r="AF40" s="15"/>
      <c r="AG40" s="25"/>
      <c r="AH40" s="27">
        <f t="shared" si="4"/>
        <v>4</v>
      </c>
      <c r="AJ40" s="3"/>
    </row>
    <row r="41" spans="1:36" ht="24.95" customHeight="1">
      <c r="A41" s="3"/>
      <c r="B41" s="22"/>
      <c r="C41" s="22">
        <v>612</v>
      </c>
      <c r="D41" s="23" t="str">
        <f t="shared" si="0"/>
        <v>QUIROS  John</v>
      </c>
      <c r="E41" s="24" t="str">
        <f t="shared" si="1"/>
        <v xml:space="preserve">JQ_ CICLO SALAS BATAN </v>
      </c>
      <c r="F41" s="3">
        <v>12</v>
      </c>
      <c r="G41" s="15">
        <v>0</v>
      </c>
      <c r="H41" s="3">
        <v>0</v>
      </c>
      <c r="I41" s="25">
        <v>0</v>
      </c>
      <c r="J41" s="33">
        <v>0</v>
      </c>
      <c r="K41" s="22">
        <v>0</v>
      </c>
      <c r="L41" s="22">
        <v>0</v>
      </c>
      <c r="M41" s="34">
        <v>0</v>
      </c>
      <c r="N41" s="32"/>
      <c r="O41" s="30"/>
      <c r="P41" s="3">
        <v>0</v>
      </c>
      <c r="Q41" s="34">
        <f>IFERROR(VLOOKUP(P41,'Puntos XCO'!$A$1:$B$63,2,FALSE),0)</f>
        <v>0</v>
      </c>
      <c r="R41" s="16">
        <v>0</v>
      </c>
      <c r="S41" s="3">
        <f>IFERROR(VLOOKUP(R41,'Puntos XCC Menor'!$A$1:$B$15,2,FALSE),0)</f>
        <v>0</v>
      </c>
      <c r="T41" s="15">
        <v>0</v>
      </c>
      <c r="U41" s="39">
        <f>IFERROR(VLOOKUP(T41,'Puntos XCO'!$A$1:$B$63,2,FALSE),0)</f>
        <v>0</v>
      </c>
      <c r="V41" s="16">
        <v>0</v>
      </c>
      <c r="W41" s="15">
        <f>IFERROR(VLOOKUP(V41,'Puntos XCC Mayor'!$A$1:$B$15,2,FALSE),0)</f>
        <v>0</v>
      </c>
      <c r="X41" s="15">
        <v>0</v>
      </c>
      <c r="Y41" s="25">
        <f>IFERROR(VLOOKUP(X41,'Puntos XCO'!$A$1:$B$63,2,FALSE),0)</f>
        <v>0</v>
      </c>
      <c r="Z41" s="16">
        <f t="shared" si="2"/>
        <v>0</v>
      </c>
      <c r="AA41" s="15">
        <f>IFERROR(VLOOKUP(Z41,'Puntos XCC Mayor'!$A$1:$B$15,2,FALSE),0)</f>
        <v>0</v>
      </c>
      <c r="AB41" s="15">
        <f t="shared" si="3"/>
        <v>0</v>
      </c>
      <c r="AC41" s="25">
        <f>IFERROR(VLOOKUP(AB41,'Puntos XCO'!$A$1:$B$63,2,FALSE),0)</f>
        <v>0</v>
      </c>
      <c r="AD41" s="16"/>
      <c r="AE41" s="15"/>
      <c r="AF41" s="15"/>
      <c r="AG41" s="25"/>
      <c r="AH41" s="27">
        <f t="shared" si="4"/>
        <v>0</v>
      </c>
      <c r="AJ41" s="3"/>
    </row>
    <row r="42" spans="1:36" ht="24.95" customHeight="1">
      <c r="A42" s="3"/>
      <c r="B42" s="22"/>
      <c r="C42" s="22">
        <v>617</v>
      </c>
      <c r="D42" s="23" t="str">
        <f t="shared" si="0"/>
        <v>BRENES Cristopher</v>
      </c>
      <c r="E42" s="24" t="str">
        <f t="shared" si="1"/>
        <v>SARAPIQUI</v>
      </c>
      <c r="F42" s="3"/>
      <c r="G42" s="15">
        <v>0</v>
      </c>
      <c r="H42" s="3">
        <v>0</v>
      </c>
      <c r="I42" s="25">
        <v>0</v>
      </c>
      <c r="J42" s="33">
        <v>0</v>
      </c>
      <c r="K42" s="22">
        <v>0</v>
      </c>
      <c r="L42" s="22">
        <v>0</v>
      </c>
      <c r="M42" s="34">
        <v>0</v>
      </c>
      <c r="N42" s="32"/>
      <c r="O42" s="30"/>
      <c r="P42" s="3">
        <v>0</v>
      </c>
      <c r="Q42" s="34">
        <f>IFERROR(VLOOKUP(P42,'Puntos XCO'!$A$1:$B$63,2,FALSE),0)</f>
        <v>0</v>
      </c>
      <c r="R42" s="16">
        <v>0</v>
      </c>
      <c r="S42" s="3">
        <f>IFERROR(VLOOKUP(R42,'Puntos XCC Menor'!$A$1:$B$15,2,FALSE),0)</f>
        <v>0</v>
      </c>
      <c r="T42" s="15">
        <v>0</v>
      </c>
      <c r="U42" s="39">
        <f>IFERROR(VLOOKUP(T42,'Puntos XCO'!$A$1:$B$63,2,FALSE),0)</f>
        <v>0</v>
      </c>
      <c r="V42" s="16">
        <v>0</v>
      </c>
      <c r="W42" s="15">
        <f>IFERROR(VLOOKUP(V42,'Puntos XCC Mayor'!$A$1:$B$15,2,FALSE),0)</f>
        <v>0</v>
      </c>
      <c r="X42" s="15">
        <v>0</v>
      </c>
      <c r="Y42" s="25">
        <f>IFERROR(VLOOKUP(X42,'Puntos XCO'!$A$1:$B$63,2,FALSE),0)</f>
        <v>0</v>
      </c>
      <c r="Z42" s="16">
        <f t="shared" si="2"/>
        <v>0</v>
      </c>
      <c r="AA42" s="15">
        <f>IFERROR(VLOOKUP(Z42,'Puntos XCC Mayor'!$A$1:$B$15,2,FALSE),0)</f>
        <v>0</v>
      </c>
      <c r="AB42" s="15">
        <f t="shared" si="3"/>
        <v>0</v>
      </c>
      <c r="AC42" s="25">
        <f>IFERROR(VLOOKUP(AB42,'Puntos XCO'!$A$1:$B$63,2,FALSE),0)</f>
        <v>0</v>
      </c>
      <c r="AD42" s="16"/>
      <c r="AE42" s="15"/>
      <c r="AF42" s="15"/>
      <c r="AG42" s="25"/>
      <c r="AH42" s="27">
        <f t="shared" si="4"/>
        <v>0</v>
      </c>
      <c r="AJ42" s="3"/>
    </row>
    <row r="43" spans="1:36" ht="24.95" customHeight="1">
      <c r="A43" s="3"/>
      <c r="B43" s="22"/>
      <c r="C43" s="22">
        <v>621</v>
      </c>
      <c r="D43" s="23" t="str">
        <f t="shared" si="0"/>
        <v xml:space="preserve">MÉNDEZ  Miguel Alonso </v>
      </c>
      <c r="E43" s="24" t="str">
        <f t="shared" si="1"/>
        <v xml:space="preserve">KOKOS MECHANIC </v>
      </c>
      <c r="F43" s="3"/>
      <c r="G43" s="15">
        <v>0</v>
      </c>
      <c r="H43" s="3">
        <v>0</v>
      </c>
      <c r="I43" s="25">
        <v>0</v>
      </c>
      <c r="J43" s="33">
        <v>0</v>
      </c>
      <c r="K43" s="22">
        <v>0</v>
      </c>
      <c r="L43" s="22">
        <v>0</v>
      </c>
      <c r="M43" s="34">
        <v>0</v>
      </c>
      <c r="N43" s="32"/>
      <c r="O43" s="30"/>
      <c r="P43" s="3">
        <v>0</v>
      </c>
      <c r="Q43" s="34">
        <f>IFERROR(VLOOKUP(P43,'Puntos XCO'!$A$1:$B$63,2,FALSE),0)</f>
        <v>0</v>
      </c>
      <c r="R43" s="16">
        <v>0</v>
      </c>
      <c r="S43" s="3">
        <f>IFERROR(VLOOKUP(R43,'Puntos XCC Menor'!$A$1:$B$15,2,FALSE),0)</f>
        <v>0</v>
      </c>
      <c r="T43" s="15">
        <v>0</v>
      </c>
      <c r="U43" s="39">
        <f>IFERROR(VLOOKUP(T43,'Puntos XCO'!$A$1:$B$63,2,FALSE),0)</f>
        <v>0</v>
      </c>
      <c r="V43" s="16">
        <v>0</v>
      </c>
      <c r="W43" s="15">
        <f>IFERROR(VLOOKUP(V43,'Puntos XCC Mayor'!$A$1:$B$15,2,FALSE),0)</f>
        <v>0</v>
      </c>
      <c r="X43" s="15">
        <v>0</v>
      </c>
      <c r="Y43" s="25">
        <f>IFERROR(VLOOKUP(X43,'Puntos XCO'!$A$1:$B$63,2,FALSE),0)</f>
        <v>0</v>
      </c>
      <c r="Z43" s="16">
        <f t="shared" si="2"/>
        <v>0</v>
      </c>
      <c r="AA43" s="15">
        <f>IFERROR(VLOOKUP(Z43,'Puntos XCC Mayor'!$A$1:$B$15,2,FALSE),0)</f>
        <v>0</v>
      </c>
      <c r="AB43" s="15">
        <f t="shared" si="3"/>
        <v>0</v>
      </c>
      <c r="AC43" s="25">
        <f>IFERROR(VLOOKUP(AB43,'Puntos XCO'!$A$1:$B$63,2,FALSE),0)</f>
        <v>0</v>
      </c>
      <c r="AD43" s="16"/>
      <c r="AE43" s="15"/>
      <c r="AF43" s="15"/>
      <c r="AG43" s="25"/>
      <c r="AH43" s="27">
        <f t="shared" si="4"/>
        <v>0</v>
      </c>
      <c r="AJ43" s="3"/>
    </row>
    <row r="44" spans="1:36" ht="24.95" customHeight="1">
      <c r="A44" s="3"/>
      <c r="B44" s="22"/>
      <c r="C44" s="22">
        <v>623</v>
      </c>
      <c r="D44" s="23" t="str">
        <f t="shared" si="0"/>
        <v xml:space="preserve">VARGAS Kenneth </v>
      </c>
      <c r="E44" s="24" t="str">
        <f t="shared" si="1"/>
        <v>MATINA</v>
      </c>
      <c r="F44" s="3"/>
      <c r="G44" s="15"/>
      <c r="H44" s="3"/>
      <c r="I44" s="25"/>
      <c r="J44" s="33">
        <v>0</v>
      </c>
      <c r="K44" s="22">
        <v>0</v>
      </c>
      <c r="L44" s="22">
        <v>0</v>
      </c>
      <c r="M44" s="34">
        <v>0</v>
      </c>
      <c r="N44" s="32"/>
      <c r="O44" s="30"/>
      <c r="P44" s="3">
        <v>0</v>
      </c>
      <c r="Q44" s="34">
        <f>IFERROR(VLOOKUP(P44,'Puntos XCO'!$A$1:$B$63,2,FALSE),0)</f>
        <v>0</v>
      </c>
      <c r="R44" s="16">
        <v>0</v>
      </c>
      <c r="S44" s="3">
        <f>IFERROR(VLOOKUP(R44,'Puntos XCC Menor'!$A$1:$B$15,2,FALSE),0)</f>
        <v>0</v>
      </c>
      <c r="T44" s="15">
        <v>0</v>
      </c>
      <c r="U44" s="39">
        <f>IFERROR(VLOOKUP(T44,'Puntos XCO'!$A$1:$B$63,2,FALSE),0)</f>
        <v>0</v>
      </c>
      <c r="V44" s="16">
        <v>0</v>
      </c>
      <c r="W44" s="15">
        <f>IFERROR(VLOOKUP(V44,'Puntos XCC Mayor'!$A$1:$B$15,2,FALSE),0)</f>
        <v>0</v>
      </c>
      <c r="X44" s="15">
        <v>0</v>
      </c>
      <c r="Y44" s="25">
        <f>IFERROR(VLOOKUP(X44,'Puntos XCO'!$A$1:$B$63,2,FALSE),0)</f>
        <v>0</v>
      </c>
      <c r="Z44" s="16">
        <f t="shared" si="2"/>
        <v>0</v>
      </c>
      <c r="AA44" s="15">
        <f>IFERROR(VLOOKUP(Z44,'Puntos XCC Mayor'!$A$1:$B$15,2,FALSE),0)</f>
        <v>0</v>
      </c>
      <c r="AB44" s="15">
        <f t="shared" si="3"/>
        <v>0</v>
      </c>
      <c r="AC44" s="25">
        <f>IFERROR(VLOOKUP(AB44,'Puntos XCO'!$A$1:$B$63,2,FALSE),0)</f>
        <v>0</v>
      </c>
      <c r="AD44" s="16"/>
      <c r="AE44" s="15"/>
      <c r="AF44" s="15"/>
      <c r="AG44" s="25"/>
      <c r="AH44" s="27">
        <f t="shared" si="4"/>
        <v>0</v>
      </c>
      <c r="AJ44" s="3"/>
    </row>
    <row r="45" spans="1:36" ht="24.95" customHeight="1">
      <c r="A45" s="3"/>
      <c r="B45" s="22"/>
      <c r="C45" s="22">
        <v>626</v>
      </c>
      <c r="D45" s="23" t="str">
        <f t="shared" si="0"/>
        <v xml:space="preserve">SÁNCHEZ  Daniel Jesús </v>
      </c>
      <c r="E45" s="24" t="str">
        <f t="shared" si="1"/>
        <v/>
      </c>
      <c r="F45" s="3"/>
      <c r="G45" s="15"/>
      <c r="H45" s="3"/>
      <c r="I45" s="25"/>
      <c r="J45" s="33">
        <v>0</v>
      </c>
      <c r="K45" s="22">
        <v>0</v>
      </c>
      <c r="L45" s="22">
        <v>0</v>
      </c>
      <c r="M45" s="34">
        <v>0</v>
      </c>
      <c r="N45" s="32"/>
      <c r="O45" s="30"/>
      <c r="P45" s="3">
        <v>0</v>
      </c>
      <c r="Q45" s="34">
        <f>IFERROR(VLOOKUP(P45,'Puntos XCO'!$A$1:$B$63,2,FALSE),0)</f>
        <v>0</v>
      </c>
      <c r="R45" s="16">
        <v>0</v>
      </c>
      <c r="S45" s="3">
        <f>IFERROR(VLOOKUP(R45,'Puntos XCC Menor'!$A$1:$B$15,2,FALSE),0)</f>
        <v>0</v>
      </c>
      <c r="T45" s="15">
        <v>0</v>
      </c>
      <c r="U45" s="39">
        <f>IFERROR(VLOOKUP(T45,'Puntos XCO'!$A$1:$B$63,2,FALSE),0)</f>
        <v>0</v>
      </c>
      <c r="V45" s="16">
        <v>0</v>
      </c>
      <c r="W45" s="15">
        <f>IFERROR(VLOOKUP(V45,'Puntos XCC Mayor'!$A$1:$B$15,2,FALSE),0)</f>
        <v>0</v>
      </c>
      <c r="X45" s="15">
        <v>0</v>
      </c>
      <c r="Y45" s="25">
        <f>IFERROR(VLOOKUP(X45,'Puntos XCO'!$A$1:$B$63,2,FALSE),0)</f>
        <v>0</v>
      </c>
      <c r="Z45" s="16">
        <f t="shared" si="2"/>
        <v>0</v>
      </c>
      <c r="AA45" s="15">
        <f>IFERROR(VLOOKUP(Z45,'Puntos XCC Mayor'!$A$1:$B$15,2,FALSE),0)</f>
        <v>0</v>
      </c>
      <c r="AB45" s="15">
        <f t="shared" si="3"/>
        <v>0</v>
      </c>
      <c r="AC45" s="25">
        <f>IFERROR(VLOOKUP(AB45,'Puntos XCO'!$A$1:$B$63,2,FALSE),0)</f>
        <v>0</v>
      </c>
      <c r="AD45" s="16"/>
      <c r="AE45" s="15"/>
      <c r="AF45" s="15"/>
      <c r="AG45" s="25"/>
      <c r="AH45" s="27">
        <f t="shared" si="4"/>
        <v>0</v>
      </c>
      <c r="AJ45" s="3"/>
    </row>
    <row r="46" spans="1:36" ht="24.95" customHeight="1">
      <c r="A46" s="3"/>
      <c r="B46" s="22"/>
      <c r="C46" s="22">
        <v>628</v>
      </c>
      <c r="D46" s="23" t="str">
        <f t="shared" si="0"/>
        <v xml:space="preserve">GAMBOA  Jose Daniel </v>
      </c>
      <c r="E46" s="24" t="str">
        <f t="shared" si="1"/>
        <v>MANTENIMIENTO GABRE</v>
      </c>
      <c r="F46" s="3"/>
      <c r="G46" s="15"/>
      <c r="H46" s="3"/>
      <c r="I46" s="25"/>
      <c r="J46" s="33"/>
      <c r="K46" s="22"/>
      <c r="L46" s="22"/>
      <c r="M46" s="34"/>
      <c r="N46" s="32"/>
      <c r="O46" s="30"/>
      <c r="P46" s="3"/>
      <c r="Q46" s="34"/>
      <c r="R46" s="16"/>
      <c r="S46" s="3"/>
      <c r="T46" s="15"/>
      <c r="U46" s="39"/>
      <c r="V46" s="16">
        <v>0</v>
      </c>
      <c r="W46" s="15">
        <f>IFERROR(VLOOKUP(V46,'Puntos XCC Mayor'!$A$1:$B$15,2,FALSE),0)</f>
        <v>0</v>
      </c>
      <c r="X46" s="15">
        <v>0</v>
      </c>
      <c r="Y46" s="25">
        <f>IFERROR(VLOOKUP(X46,'Puntos XCO'!$A$1:$B$63,2,FALSE),0)</f>
        <v>0</v>
      </c>
      <c r="Z46" s="16">
        <f t="shared" si="2"/>
        <v>0</v>
      </c>
      <c r="AA46" s="15">
        <f>IFERROR(VLOOKUP(Z46,'Puntos XCC Mayor'!$A$1:$B$15,2,FALSE),0)</f>
        <v>0</v>
      </c>
      <c r="AB46" s="15">
        <f t="shared" si="3"/>
        <v>0</v>
      </c>
      <c r="AC46" s="25">
        <f>IFERROR(VLOOKUP(AB46,'Puntos XCO'!$A$1:$B$63,2,FALSE),0)</f>
        <v>0</v>
      </c>
      <c r="AD46" s="16"/>
      <c r="AE46" s="15"/>
      <c r="AF46" s="15"/>
      <c r="AG46" s="25"/>
      <c r="AH46" s="27">
        <f t="shared" si="4"/>
        <v>0</v>
      </c>
      <c r="AJ46" s="3"/>
    </row>
    <row r="47" spans="1:36" ht="24.95" customHeight="1">
      <c r="A47" s="3"/>
      <c r="B47" s="3"/>
      <c r="C47" s="28"/>
      <c r="D47" s="23"/>
      <c r="E47" s="24"/>
      <c r="F47" s="3"/>
      <c r="G47" s="15"/>
      <c r="H47" s="15"/>
      <c r="I47" s="25"/>
      <c r="J47" s="26"/>
      <c r="K47" s="15"/>
      <c r="L47" s="15"/>
      <c r="M47" s="25"/>
      <c r="N47" s="16"/>
      <c r="O47" s="15"/>
      <c r="P47" s="3"/>
      <c r="Q47" s="25"/>
      <c r="R47" s="16"/>
      <c r="S47" s="15"/>
      <c r="T47" s="15"/>
      <c r="U47" s="25"/>
      <c r="V47" s="16"/>
      <c r="W47" s="15"/>
      <c r="X47" s="15"/>
      <c r="Y47" s="25"/>
      <c r="Z47" s="16"/>
      <c r="AA47" s="15"/>
      <c r="AB47" s="15"/>
      <c r="AC47" s="25"/>
      <c r="AD47" s="16"/>
      <c r="AE47" s="15"/>
      <c r="AF47" s="15"/>
      <c r="AG47" s="25"/>
      <c r="AH47" s="27"/>
      <c r="AJ47" s="3"/>
    </row>
    <row r="48" spans="1:36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74"/>
      <c r="Q48" s="65"/>
      <c r="R48" s="65"/>
      <c r="S48" s="65"/>
      <c r="T48" s="65"/>
      <c r="U48" s="65"/>
      <c r="V48" s="65"/>
      <c r="W48" s="65"/>
      <c r="X48" s="65"/>
      <c r="Y48" s="65"/>
      <c r="Z48" s="119"/>
      <c r="AA48" s="119"/>
      <c r="AB48" s="119"/>
      <c r="AC48" s="119"/>
      <c r="AD48" s="119"/>
      <c r="AE48" s="119"/>
      <c r="AF48" s="119"/>
      <c r="AG48" s="119"/>
      <c r="AH48" s="65"/>
    </row>
    <row r="49" spans="1:34">
      <c r="M49" s="9"/>
      <c r="N49" s="9"/>
      <c r="O49" s="9"/>
      <c r="P49" s="10"/>
      <c r="Q49" s="9"/>
      <c r="R49" s="9"/>
      <c r="S49" s="9"/>
      <c r="T49" s="9"/>
      <c r="U49" s="9"/>
    </row>
    <row r="50" spans="1:34" ht="127.5" customHeight="1"/>
    <row r="51" spans="1:34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74"/>
      <c r="Q51" s="65"/>
      <c r="R51" s="65"/>
      <c r="S51" s="65"/>
      <c r="T51" s="65"/>
      <c r="U51" s="65"/>
      <c r="V51" s="65"/>
      <c r="W51" s="65"/>
      <c r="X51" s="65"/>
      <c r="Y51" s="65"/>
      <c r="Z51" s="119"/>
      <c r="AA51" s="119"/>
      <c r="AB51" s="119"/>
      <c r="AC51" s="119"/>
      <c r="AD51" s="119"/>
      <c r="AE51" s="119"/>
      <c r="AF51" s="119"/>
      <c r="AG51" s="119"/>
      <c r="AH51" s="65"/>
    </row>
  </sheetData>
  <sortState ref="B15:AH46">
    <sortCondition descending="1" ref="AH15:AH46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48:C65526 C1:C9 C12:C14">
    <cfRule type="duplicateValues" dxfId="368" priority="56" stopIfTrue="1"/>
  </conditionalFormatting>
  <conditionalFormatting sqref="F47">
    <cfRule type="duplicateValues" dxfId="367" priority="57" stopIfTrue="1"/>
  </conditionalFormatting>
  <conditionalFormatting sqref="B47">
    <cfRule type="duplicateValues" dxfId="366" priority="58" stopIfTrue="1"/>
  </conditionalFormatting>
  <conditionalFormatting sqref="F41">
    <cfRule type="duplicateValues" dxfId="365" priority="59" stopIfTrue="1"/>
  </conditionalFormatting>
  <conditionalFormatting sqref="B41:B46">
    <cfRule type="duplicateValues" dxfId="364" priority="60" stopIfTrue="1"/>
  </conditionalFormatting>
  <conditionalFormatting sqref="C41:C42">
    <cfRule type="duplicateValues" dxfId="363" priority="61"/>
  </conditionalFormatting>
  <conditionalFormatting sqref="AJ15:AJ47">
    <cfRule type="duplicateValues" dxfId="362" priority="7285"/>
  </conditionalFormatting>
  <conditionalFormatting sqref="F42:F46">
    <cfRule type="duplicateValues" dxfId="361" priority="6" stopIfTrue="1"/>
  </conditionalFormatting>
  <conditionalFormatting sqref="C11">
    <cfRule type="duplicateValues" dxfId="360" priority="4" stopIfTrue="1"/>
  </conditionalFormatting>
  <conditionalFormatting sqref="C11">
    <cfRule type="duplicateValues" dxfId="359" priority="5" stopIfTrue="1"/>
  </conditionalFormatting>
  <conditionalFormatting sqref="D11">
    <cfRule type="duplicateValues" dxfId="358" priority="3" stopIfTrue="1"/>
  </conditionalFormatting>
  <conditionalFormatting sqref="C10">
    <cfRule type="duplicateValues" dxfId="357" priority="1" stopIfTrue="1"/>
  </conditionalFormatting>
  <conditionalFormatting sqref="C10">
    <cfRule type="duplicateValues" dxfId="35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8:AM21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5703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94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6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671</v>
      </c>
      <c r="D15" s="23" t="str">
        <f>VLOOKUP(C15,PLANILLA,2,FALSE)</f>
        <v>TRETTI Caterina</v>
      </c>
      <c r="E15" s="24" t="str">
        <f>VLOOKUP(C15,PLANILLA,4,FALSE)</f>
        <v>VEINTE24</v>
      </c>
      <c r="F15" s="3">
        <v>0</v>
      </c>
      <c r="G15" s="15">
        <v>0</v>
      </c>
      <c r="H15" s="3">
        <v>1</v>
      </c>
      <c r="I15" s="25">
        <v>200</v>
      </c>
      <c r="J15" s="33">
        <v>0</v>
      </c>
      <c r="K15" s="22">
        <v>0</v>
      </c>
      <c r="L15" s="22">
        <v>1</v>
      </c>
      <c r="M15" s="34">
        <v>200</v>
      </c>
      <c r="N15" s="32">
        <f>IFERROR(VLOOKUP(C15,RESXCC_1,9,FALSE),0)</f>
        <v>0</v>
      </c>
      <c r="O15" s="30"/>
      <c r="P15" s="3">
        <v>1</v>
      </c>
      <c r="Q15" s="34">
        <f>IFERROR(VLOOKUP(P15,'Puntos XCO'!$A$1:$B$63,2,FALSE),0)</f>
        <v>200</v>
      </c>
      <c r="R15" s="16">
        <v>0</v>
      </c>
      <c r="S15" s="3">
        <f>IFERROR(VLOOKUP(R15,'Puntos XCC Menor'!$A$1:$B$15,2,FALSE),0)</f>
        <v>0</v>
      </c>
      <c r="T15" s="15">
        <v>1</v>
      </c>
      <c r="U15" s="39">
        <f>IFERROR(VLOOKUP(T15,'Puntos XCO'!$A$1:$B$63,2,FALSE),0)</f>
        <v>200</v>
      </c>
      <c r="V15" s="16">
        <v>0</v>
      </c>
      <c r="W15" s="15">
        <f>IFERROR(VLOOKUP(V15,'Puntos XCC Mayor'!$A$1:$B$15,2,FALSE),0)</f>
        <v>0</v>
      </c>
      <c r="X15" s="15">
        <v>1</v>
      </c>
      <c r="Y15" s="25">
        <f>IFERROR(VLOOKUP(X15,'Puntos XCO'!$A$1:$B$63,2,FALSE),0)</f>
        <v>200</v>
      </c>
      <c r="Z15" s="16">
        <f>IFERROR(VLOOKUP($C15,RESXCC_1,9,FALSE),0)</f>
        <v>0</v>
      </c>
      <c r="AA15" s="15">
        <f>IFERROR(VLOOKUP(Z15,'Puntos XCC Mayor'!$A$1:$B$15,2,FALSE),0)</f>
        <v>0</v>
      </c>
      <c r="AB15" s="15">
        <f>IFERROR(VLOOKUP($C15,RESXCO,9,FALSE),0)</f>
        <v>0</v>
      </c>
      <c r="AC15" s="25">
        <f>IFERROR(VLOOKUP(AB15,'Puntos XCO'!$A$1:$B$63,2,FALSE),0)</f>
        <v>0</v>
      </c>
      <c r="AD15" s="16"/>
      <c r="AE15" s="15"/>
      <c r="AF15" s="15"/>
      <c r="AG15" s="25"/>
      <c r="AH15" s="27">
        <f>G15+I15+K15+M15+O15+Q15+S15+U15+W15+Y15+AA15+AC15+AE15+AG15</f>
        <v>1000</v>
      </c>
      <c r="AJ15" s="2"/>
      <c r="AK15" s="13"/>
      <c r="AL15" s="12"/>
      <c r="AM15" s="14"/>
    </row>
    <row r="16" spans="1:39" ht="24.95" customHeight="1">
      <c r="A16" s="3">
        <v>2</v>
      </c>
      <c r="B16" s="3">
        <v>2</v>
      </c>
      <c r="C16" s="22">
        <v>672</v>
      </c>
      <c r="D16" s="23" t="str">
        <f>VLOOKUP(C16,PLANILLA,2,FALSE)</f>
        <v xml:space="preserve">SOLÍS  Thania Daniela </v>
      </c>
      <c r="E16" s="24" t="str">
        <f>VLOOKUP(C16,PLANILLA,4,FALSE)</f>
        <v>VEINTE24</v>
      </c>
      <c r="F16" s="3"/>
      <c r="G16" s="15"/>
      <c r="H16" s="15"/>
      <c r="I16" s="25"/>
      <c r="J16" s="33">
        <v>0</v>
      </c>
      <c r="K16" s="22">
        <v>0</v>
      </c>
      <c r="L16" s="22">
        <v>2</v>
      </c>
      <c r="M16" s="34">
        <v>150</v>
      </c>
      <c r="N16" s="32"/>
      <c r="O16" s="30"/>
      <c r="P16" s="3"/>
      <c r="Q16" s="34">
        <f>IFERROR(VLOOKUP(P16,'Puntos XCO'!$A$1:$B$63,2,FALSE),0)</f>
        <v>0</v>
      </c>
      <c r="R16" s="16">
        <v>1</v>
      </c>
      <c r="S16" s="3">
        <f>IFERROR(VLOOKUP(R16,'Puntos XCC Menor'!$A$1:$B$15,2,FALSE),0)</f>
        <v>10</v>
      </c>
      <c r="T16" s="15">
        <v>2</v>
      </c>
      <c r="U16" s="39">
        <f>IFERROR(VLOOKUP(T16,'Puntos XCO'!$A$1:$B$63,2,FALSE),0)</f>
        <v>150</v>
      </c>
      <c r="V16" s="16">
        <v>0</v>
      </c>
      <c r="W16" s="15">
        <f>IFERROR(VLOOKUP(V16,'Puntos XCC Mayor'!$A$1:$B$15,2,FALSE),0)</f>
        <v>0</v>
      </c>
      <c r="X16" s="15">
        <v>0</v>
      </c>
      <c r="Y16" s="25">
        <f>IFERROR(VLOOKUP(X16,'Puntos XCO'!$A$1:$B$63,2,FALSE),0)</f>
        <v>0</v>
      </c>
      <c r="Z16" s="16">
        <f>IFERROR(VLOOKUP($C16,RESXCC_1,9,FALSE),0)</f>
        <v>0</v>
      </c>
      <c r="AA16" s="15">
        <f>IFERROR(VLOOKUP(Z16,'Puntos XCC Mayor'!$A$1:$B$15,2,FALSE),0)</f>
        <v>0</v>
      </c>
      <c r="AB16" s="15">
        <f>IFERROR(VLOOKUP($C16,RESXCO,9,FALSE),0)</f>
        <v>0</v>
      </c>
      <c r="AC16" s="25">
        <f>IFERROR(VLOOKUP(AB16,'Puntos XCO'!$A$1:$B$63,2,FALSE),0)</f>
        <v>0</v>
      </c>
      <c r="AD16" s="16"/>
      <c r="AE16" s="15"/>
      <c r="AF16" s="15"/>
      <c r="AG16" s="25"/>
      <c r="AH16" s="27">
        <f t="shared" ref="AH16" si="0">G16+I16+K16+M16+O16+Q16+S16+U16+W16+Y16+AA16+AC16+AE16+AG16</f>
        <v>310</v>
      </c>
      <c r="AJ16" s="3"/>
    </row>
    <row r="17" spans="1:36" ht="24.95" customHeight="1">
      <c r="A17" s="3"/>
      <c r="B17" s="3"/>
      <c r="C17" s="28"/>
      <c r="D17" s="23"/>
      <c r="E17" s="24"/>
      <c r="F17" s="3"/>
      <c r="G17" s="15"/>
      <c r="H17" s="15"/>
      <c r="I17" s="25"/>
      <c r="J17" s="26"/>
      <c r="K17" s="15"/>
      <c r="L17" s="15"/>
      <c r="M17" s="25"/>
      <c r="N17" s="16"/>
      <c r="O17" s="15"/>
      <c r="P17" s="3"/>
      <c r="Q17" s="25"/>
      <c r="R17" s="16"/>
      <c r="S17" s="15"/>
      <c r="T17" s="15"/>
      <c r="U17" s="25"/>
      <c r="V17" s="16"/>
      <c r="W17" s="15"/>
      <c r="X17" s="15"/>
      <c r="Y17" s="25"/>
      <c r="Z17" s="16"/>
      <c r="AA17" s="15"/>
      <c r="AB17" s="15"/>
      <c r="AC17" s="25"/>
      <c r="AD17" s="16"/>
      <c r="AE17" s="15"/>
      <c r="AF17" s="15"/>
      <c r="AG17" s="25"/>
      <c r="AH17" s="27"/>
      <c r="AJ17" s="3"/>
    </row>
    <row r="18" spans="1:36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74"/>
      <c r="Q18" s="65"/>
      <c r="R18" s="65"/>
      <c r="S18" s="65"/>
      <c r="T18" s="65"/>
      <c r="U18" s="65"/>
      <c r="V18" s="65"/>
      <c r="W18" s="65"/>
      <c r="X18" s="65"/>
      <c r="Y18" s="65"/>
      <c r="Z18" s="119"/>
      <c r="AA18" s="119"/>
      <c r="AB18" s="119"/>
      <c r="AC18" s="119"/>
      <c r="AD18" s="119"/>
      <c r="AE18" s="119"/>
      <c r="AF18" s="119"/>
      <c r="AG18" s="119"/>
      <c r="AH18" s="65"/>
    </row>
    <row r="19" spans="1:36">
      <c r="M19" s="9"/>
      <c r="N19" s="9"/>
      <c r="O19" s="9"/>
      <c r="P19" s="10"/>
      <c r="Q19" s="9"/>
      <c r="R19" s="9"/>
      <c r="S19" s="9"/>
      <c r="T19" s="9"/>
      <c r="U19" s="9"/>
    </row>
    <row r="20" spans="1:36" ht="127.5" customHeight="1"/>
    <row r="21" spans="1:36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74"/>
      <c r="Q21" s="65"/>
      <c r="R21" s="65"/>
      <c r="S21" s="65"/>
      <c r="T21" s="65"/>
      <c r="U21" s="65"/>
      <c r="V21" s="65"/>
      <c r="W21" s="65"/>
      <c r="X21" s="65"/>
      <c r="Y21" s="65"/>
      <c r="Z21" s="119"/>
      <c r="AA21" s="119"/>
      <c r="AB21" s="119"/>
      <c r="AC21" s="119"/>
      <c r="AD21" s="119"/>
      <c r="AE21" s="119"/>
      <c r="AF21" s="119"/>
      <c r="AG21" s="119"/>
      <c r="AH21" s="65"/>
    </row>
  </sheetData>
  <sortState ref="B15:AH17">
    <sortCondition descending="1" ref="AH15:AH17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18:C65496 C1:C9 C12:C14">
    <cfRule type="duplicateValues" dxfId="355" priority="51" stopIfTrue="1"/>
  </conditionalFormatting>
  <conditionalFormatting sqref="F17">
    <cfRule type="duplicateValues" dxfId="354" priority="52" stopIfTrue="1"/>
  </conditionalFormatting>
  <conditionalFormatting sqref="B17">
    <cfRule type="duplicateValues" dxfId="353" priority="53" stopIfTrue="1"/>
  </conditionalFormatting>
  <conditionalFormatting sqref="F16">
    <cfRule type="duplicateValues" dxfId="352" priority="54" stopIfTrue="1"/>
  </conditionalFormatting>
  <conditionalFormatting sqref="C16">
    <cfRule type="duplicateValues" dxfId="351" priority="56"/>
  </conditionalFormatting>
  <conditionalFormatting sqref="AJ15:AJ17">
    <cfRule type="duplicateValues" dxfId="350" priority="7287"/>
  </conditionalFormatting>
  <conditionalFormatting sqref="C11">
    <cfRule type="duplicateValues" dxfId="349" priority="4" stopIfTrue="1"/>
  </conditionalFormatting>
  <conditionalFormatting sqref="C11">
    <cfRule type="duplicateValues" dxfId="348" priority="5" stopIfTrue="1"/>
  </conditionalFormatting>
  <conditionalFormatting sqref="D11">
    <cfRule type="duplicateValues" dxfId="347" priority="3" stopIfTrue="1"/>
  </conditionalFormatting>
  <conditionalFormatting sqref="C10">
    <cfRule type="duplicateValues" dxfId="346" priority="1" stopIfTrue="1"/>
  </conditionalFormatting>
  <conditionalFormatting sqref="C10">
    <cfRule type="duplicateValues" dxfId="345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2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M29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7" width="7.85546875" bestFit="1" customWidth="1"/>
    <col min="8" max="8" width="6.42578125" bestFit="1" customWidth="1"/>
    <col min="9" max="9" width="7.85546875" bestFit="1" customWidth="1"/>
    <col min="10" max="10" width="6.42578125" customWidth="1"/>
    <col min="11" max="11" width="7.85546875" bestFit="1" customWidth="1"/>
    <col min="12" max="12" width="6.42578125" bestFit="1" customWidth="1"/>
    <col min="13" max="13" width="7.85546875" bestFit="1" customWidth="1"/>
    <col min="14" max="14" width="6.42578125" bestFit="1" customWidth="1"/>
    <col min="15" max="15" width="7.85546875" bestFit="1" customWidth="1"/>
    <col min="16" max="16" width="6.42578125" style="38" bestFit="1" customWidth="1"/>
    <col min="17" max="17" width="7.85546875" bestFit="1" customWidth="1"/>
    <col min="18" max="18" width="6.42578125" bestFit="1" customWidth="1"/>
    <col min="19" max="19" width="7.85546875" bestFit="1" customWidth="1"/>
    <col min="20" max="20" width="6.42578125" bestFit="1" customWidth="1"/>
    <col min="21" max="21" width="7.85546875" bestFit="1" customWidth="1"/>
    <col min="22" max="22" width="6.42578125" bestFit="1" customWidth="1"/>
    <col min="23" max="23" width="7.85546875" bestFit="1" customWidth="1"/>
    <col min="24" max="24" width="6.42578125" bestFit="1" customWidth="1"/>
    <col min="25" max="25" width="7.85546875" bestFit="1" customWidth="1"/>
    <col min="26" max="26" width="6.42578125" bestFit="1" customWidth="1"/>
    <col min="27" max="27" width="7.85546875" bestFit="1" customWidth="1"/>
    <col min="28" max="28" width="6.42578125" bestFit="1" customWidth="1"/>
    <col min="29" max="29" width="7.85546875" bestFit="1" customWidth="1"/>
    <col min="30" max="30" width="6.42578125" bestFit="1" customWidth="1"/>
    <col min="31" max="31" width="7.85546875" bestFit="1" customWidth="1"/>
    <col min="32" max="32" width="6.42578125" bestFit="1" customWidth="1"/>
    <col min="33" max="33" width="7.85546875" bestFit="1" customWidth="1"/>
    <col min="34" max="34" width="11.4257812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163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36" t="s">
        <v>0</v>
      </c>
      <c r="B13" s="136"/>
      <c r="C13" s="65"/>
      <c r="D13" s="65"/>
      <c r="E13" s="67"/>
      <c r="F13" s="136">
        <v>1</v>
      </c>
      <c r="G13" s="136"/>
      <c r="H13" s="136"/>
      <c r="I13" s="137"/>
      <c r="J13" s="138">
        <v>2</v>
      </c>
      <c r="K13" s="136"/>
      <c r="L13" s="136"/>
      <c r="M13" s="137"/>
      <c r="N13" s="138">
        <v>3</v>
      </c>
      <c r="O13" s="136"/>
      <c r="P13" s="136"/>
      <c r="Q13" s="137"/>
      <c r="R13" s="138">
        <v>4</v>
      </c>
      <c r="S13" s="136"/>
      <c r="T13" s="136"/>
      <c r="U13" s="137"/>
      <c r="V13" s="138">
        <v>5</v>
      </c>
      <c r="W13" s="136"/>
      <c r="X13" s="136"/>
      <c r="Y13" s="137"/>
      <c r="Z13" s="138">
        <v>6</v>
      </c>
      <c r="AA13" s="136"/>
      <c r="AB13" s="136"/>
      <c r="AC13" s="137"/>
      <c r="AD13" s="138">
        <v>7</v>
      </c>
      <c r="AE13" s="136"/>
      <c r="AF13" s="136"/>
      <c r="AG13" s="137"/>
      <c r="AH13" s="128" t="s">
        <v>47</v>
      </c>
    </row>
    <row r="14" spans="1:39" ht="33" customHeight="1">
      <c r="A14" s="68" t="s">
        <v>1</v>
      </c>
      <c r="B14" s="68" t="s">
        <v>2</v>
      </c>
      <c r="C14" s="68" t="s">
        <v>3</v>
      </c>
      <c r="D14" s="69" t="s">
        <v>4</v>
      </c>
      <c r="E14" s="70" t="s">
        <v>5</v>
      </c>
      <c r="F14" s="71" t="s">
        <v>43</v>
      </c>
      <c r="G14" s="71" t="s">
        <v>44</v>
      </c>
      <c r="H14" s="71" t="s">
        <v>45</v>
      </c>
      <c r="I14" s="72" t="s">
        <v>46</v>
      </c>
      <c r="J14" s="73" t="s">
        <v>43</v>
      </c>
      <c r="K14" s="71" t="s">
        <v>44</v>
      </c>
      <c r="L14" s="71" t="s">
        <v>45</v>
      </c>
      <c r="M14" s="72" t="s">
        <v>46</v>
      </c>
      <c r="N14" s="73" t="s">
        <v>43</v>
      </c>
      <c r="O14" s="71" t="s">
        <v>44</v>
      </c>
      <c r="P14" s="71" t="s">
        <v>45</v>
      </c>
      <c r="Q14" s="72" t="s">
        <v>46</v>
      </c>
      <c r="R14" s="73" t="s">
        <v>43</v>
      </c>
      <c r="S14" s="71" t="s">
        <v>44</v>
      </c>
      <c r="T14" s="71" t="s">
        <v>45</v>
      </c>
      <c r="U14" s="72" t="s">
        <v>46</v>
      </c>
      <c r="V14" s="73" t="s">
        <v>43</v>
      </c>
      <c r="W14" s="71" t="s">
        <v>44</v>
      </c>
      <c r="X14" s="71" t="s">
        <v>45</v>
      </c>
      <c r="Y14" s="72" t="s">
        <v>46</v>
      </c>
      <c r="Z14" s="73" t="s">
        <v>43</v>
      </c>
      <c r="AA14" s="71" t="s">
        <v>44</v>
      </c>
      <c r="AB14" s="71" t="s">
        <v>45</v>
      </c>
      <c r="AC14" s="72" t="s">
        <v>46</v>
      </c>
      <c r="AD14" s="73" t="s">
        <v>43</v>
      </c>
      <c r="AE14" s="71" t="s">
        <v>44</v>
      </c>
      <c r="AF14" s="71" t="s">
        <v>45</v>
      </c>
      <c r="AG14" s="72" t="s">
        <v>46</v>
      </c>
      <c r="AH14" s="128"/>
    </row>
    <row r="15" spans="1:39" ht="24.95" customHeight="1">
      <c r="A15" s="22">
        <v>1</v>
      </c>
      <c r="B15" s="22">
        <v>1</v>
      </c>
      <c r="C15" s="22">
        <v>981</v>
      </c>
      <c r="D15" s="23" t="str">
        <f t="shared" ref="D15:D24" si="0">VLOOKUP(C15,PLANILLA,2,FALSE)</f>
        <v xml:space="preserve">ALFARO Dany </v>
      </c>
      <c r="E15" s="24" t="str">
        <f t="shared" ref="E15:E24" si="1">VLOOKUP(C15,PLANILLA,4,FALSE)</f>
        <v xml:space="preserve">Servicio automotriz Dany NEO CICLYNG </v>
      </c>
      <c r="F15" s="3"/>
      <c r="G15" s="15"/>
      <c r="H15" s="3"/>
      <c r="I15" s="25"/>
      <c r="J15" s="33"/>
      <c r="K15" s="22"/>
      <c r="L15" s="22">
        <v>1</v>
      </c>
      <c r="M15" s="34">
        <v>200</v>
      </c>
      <c r="N15" s="32"/>
      <c r="O15" s="30"/>
      <c r="P15" s="3">
        <v>0</v>
      </c>
      <c r="Q15" s="34">
        <f>IFERROR(VLOOKUP(P15,'Puntos XCO'!$A$1:$B$63,2,FALSE),0)</f>
        <v>0</v>
      </c>
      <c r="R15" s="32"/>
      <c r="S15" s="30"/>
      <c r="T15" s="15">
        <v>1</v>
      </c>
      <c r="U15" s="39">
        <f>IFERROR(VLOOKUP(T15,'Puntos XCO'!$A$1:$B$63,2,FALSE),0)</f>
        <v>200</v>
      </c>
      <c r="V15" s="16">
        <v>0</v>
      </c>
      <c r="W15" s="15">
        <f>IFERROR(VLOOKUP(V15,'Puntos XCC Mayor'!$A$1:$B$15,2,FALSE),0)</f>
        <v>0</v>
      </c>
      <c r="X15" s="15">
        <v>1</v>
      </c>
      <c r="Y15" s="25">
        <f>IFERROR(VLOOKUP(X15,'Puntos XCO'!$A$1:$B$63,2,FALSE),0)</f>
        <v>200</v>
      </c>
      <c r="Z15" s="16">
        <f t="shared" ref="Z15:Z24" si="2">IFERROR(VLOOKUP($C15,RESXCC_1,9,FALSE),0)</f>
        <v>1</v>
      </c>
      <c r="AA15" s="15">
        <f>IFERROR(VLOOKUP(Z15,'Puntos XCC Mayor'!$A$1:$B$15,2,FALSE),0)</f>
        <v>25</v>
      </c>
      <c r="AB15" s="15">
        <f t="shared" ref="AB15:AB24" si="3">IFERROR(VLOOKUP($C15,RESXCO,9,FALSE),0)</f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4" si="4">G15+I15+K15+M15+O15+Q15+S15+U15+W15+Y15+AA15+AC15+AE15+AG15</f>
        <v>825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3</v>
      </c>
      <c r="C16" s="22">
        <v>978</v>
      </c>
      <c r="D16" s="23" t="str">
        <f t="shared" si="0"/>
        <v>JIMÉNEZ Roylan</v>
      </c>
      <c r="E16" s="24" t="str">
        <f t="shared" si="1"/>
        <v xml:space="preserve">Skala-tri-Cyc Ciclo Fofo Taller Roy </v>
      </c>
      <c r="F16" s="3"/>
      <c r="G16" s="15"/>
      <c r="H16" s="3">
        <v>0</v>
      </c>
      <c r="I16" s="25">
        <v>0</v>
      </c>
      <c r="J16" s="33"/>
      <c r="K16" s="22"/>
      <c r="L16" s="22">
        <v>0</v>
      </c>
      <c r="M16" s="34">
        <v>0</v>
      </c>
      <c r="N16" s="32"/>
      <c r="O16" s="30"/>
      <c r="P16" s="3">
        <v>0</v>
      </c>
      <c r="Q16" s="34">
        <f>IFERROR(VLOOKUP(P16,'Puntos XCO'!$A$1:$B$63,2,FALSE),0)</f>
        <v>0</v>
      </c>
      <c r="R16" s="32"/>
      <c r="S16" s="30"/>
      <c r="T16" s="15">
        <v>2</v>
      </c>
      <c r="U16" s="39">
        <f>IFERROR(VLOOKUP(T16,'Puntos XCO'!$A$1:$B$63,2,FALSE),0)</f>
        <v>150</v>
      </c>
      <c r="V16" s="16">
        <v>0</v>
      </c>
      <c r="W16" s="15">
        <f>IFERROR(VLOOKUP(V16,'Puntos XCC Mayor'!$A$1:$B$15,2,FALSE),0)</f>
        <v>0</v>
      </c>
      <c r="X16" s="15">
        <v>3</v>
      </c>
      <c r="Y16" s="25">
        <f>IFERROR(VLOOKUP(X16,'Puntos XCO'!$A$1:$B$63,2,FALSE),0)</f>
        <v>120</v>
      </c>
      <c r="Z16" s="16">
        <f t="shared" si="2"/>
        <v>2</v>
      </c>
      <c r="AA16" s="15">
        <f>IFERROR(VLOOKUP(Z16,'Puntos XCC Mayor'!$A$1:$B$15,2,FALSE),0)</f>
        <v>20</v>
      </c>
      <c r="AB16" s="15">
        <f t="shared" si="3"/>
        <v>2</v>
      </c>
      <c r="AC16" s="25">
        <f>IFERROR(VLOOKUP(AB16,'Puntos XCO'!$A$1:$B$63,2,FALSE),0)</f>
        <v>150</v>
      </c>
      <c r="AD16" s="16"/>
      <c r="AE16" s="15"/>
      <c r="AF16" s="15"/>
      <c r="AG16" s="25"/>
      <c r="AH16" s="27">
        <f t="shared" si="4"/>
        <v>440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2</v>
      </c>
      <c r="C17" s="22">
        <v>982</v>
      </c>
      <c r="D17" s="23" t="str">
        <f t="shared" si="0"/>
        <v>VARGAS Omar</v>
      </c>
      <c r="E17" s="24" t="str">
        <f t="shared" si="1"/>
        <v>ANCM-Comi casi Endurero</v>
      </c>
      <c r="F17" s="3"/>
      <c r="G17" s="15"/>
      <c r="H17" s="3"/>
      <c r="I17" s="25"/>
      <c r="J17" s="33"/>
      <c r="K17" s="22"/>
      <c r="L17" s="22">
        <v>3</v>
      </c>
      <c r="M17" s="34">
        <v>120</v>
      </c>
      <c r="N17" s="32"/>
      <c r="O17" s="30"/>
      <c r="P17" s="3">
        <v>0</v>
      </c>
      <c r="Q17" s="34">
        <f>IFERROR(VLOOKUP(P17,'Puntos XCO'!$A$1:$B$63,2,FALSE),0)</f>
        <v>0</v>
      </c>
      <c r="R17" s="32"/>
      <c r="S17" s="30"/>
      <c r="T17" s="15">
        <v>0</v>
      </c>
      <c r="U17" s="39">
        <f>IFERROR(VLOOKUP(T17,'Puntos XCO'!$A$1:$B$63,2,FALSE),0)</f>
        <v>0</v>
      </c>
      <c r="V17" s="16">
        <v>0</v>
      </c>
      <c r="W17" s="15">
        <f>IFERROR(VLOOKUP(V17,'Puntos XCC Mayor'!$A$1:$B$15,2,FALSE),0)</f>
        <v>0</v>
      </c>
      <c r="X17" s="15">
        <v>2</v>
      </c>
      <c r="Y17" s="25">
        <f>IFERROR(VLOOKUP(X17,'Puntos XCO'!$A$1:$B$63,2,FALSE),0)</f>
        <v>150</v>
      </c>
      <c r="Z17" s="16">
        <f t="shared" si="2"/>
        <v>3</v>
      </c>
      <c r="AA17" s="15">
        <f>IFERROR(VLOOKUP(Z17,'Puntos XCC Mayor'!$A$1:$B$15,2,FALSE),0)</f>
        <v>16</v>
      </c>
      <c r="AB17" s="15">
        <f t="shared" si="3"/>
        <v>3</v>
      </c>
      <c r="AC17" s="25">
        <f>IFERROR(VLOOKUP(AB17,'Puntos XCO'!$A$1:$B$63,2,FALSE),0)</f>
        <v>120</v>
      </c>
      <c r="AD17" s="16"/>
      <c r="AE17" s="15"/>
      <c r="AF17" s="15"/>
      <c r="AG17" s="25"/>
      <c r="AH17" s="27">
        <f t="shared" si="4"/>
        <v>406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977</v>
      </c>
      <c r="D18" s="23" t="str">
        <f t="shared" si="0"/>
        <v xml:space="preserve">MORA Leonardo </v>
      </c>
      <c r="E18" s="24" t="str">
        <f t="shared" si="1"/>
        <v xml:space="preserve">GALERÍA DEPORTIVA </v>
      </c>
      <c r="F18" s="3"/>
      <c r="G18" s="15"/>
      <c r="H18" s="3">
        <v>1</v>
      </c>
      <c r="I18" s="25">
        <v>200</v>
      </c>
      <c r="J18" s="33"/>
      <c r="K18" s="22"/>
      <c r="L18" s="22">
        <v>0</v>
      </c>
      <c r="M18" s="34">
        <v>0</v>
      </c>
      <c r="N18" s="32"/>
      <c r="O18" s="30"/>
      <c r="P18" s="3">
        <v>0</v>
      </c>
      <c r="Q18" s="34">
        <f>IFERROR(VLOOKUP(P18,'Puntos XCO'!$A$1:$B$63,2,FALSE),0)</f>
        <v>0</v>
      </c>
      <c r="R18" s="16"/>
      <c r="S18" s="3"/>
      <c r="T18" s="15">
        <v>0</v>
      </c>
      <c r="U18" s="39">
        <f>IFERROR(VLOOKUP(T18,'Puntos XCO'!$A$1:$B$63,2,FALSE),0)</f>
        <v>0</v>
      </c>
      <c r="V18" s="16">
        <v>0</v>
      </c>
      <c r="W18" s="15">
        <f>IFERROR(VLOOKUP(V18,'Puntos XCC Mayor'!$A$1:$B$15,2,FALSE),0)</f>
        <v>0</v>
      </c>
      <c r="X18" s="15">
        <v>0</v>
      </c>
      <c r="Y18" s="25">
        <f>IFERROR(VLOOKUP(X18,'Puntos XCO'!$A$1:$B$63,2,FALSE),0)</f>
        <v>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4"/>
        <v>200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976</v>
      </c>
      <c r="D19" s="23" t="str">
        <f t="shared" si="0"/>
        <v>LEIVA Kenneth</v>
      </c>
      <c r="E19" s="24" t="str">
        <f t="shared" si="1"/>
        <v/>
      </c>
      <c r="F19" s="3"/>
      <c r="G19" s="15"/>
      <c r="H19" s="3">
        <v>2</v>
      </c>
      <c r="I19" s="25">
        <v>150</v>
      </c>
      <c r="J19" s="33"/>
      <c r="K19" s="22"/>
      <c r="L19" s="22">
        <v>0</v>
      </c>
      <c r="M19" s="34">
        <v>0</v>
      </c>
      <c r="N19" s="32"/>
      <c r="O19" s="30"/>
      <c r="P19" s="3">
        <v>0</v>
      </c>
      <c r="Q19" s="34">
        <f>IFERROR(VLOOKUP(P19,'Puntos XCO'!$A$1:$B$63,2,FALSE),0)</f>
        <v>0</v>
      </c>
      <c r="R19" s="32"/>
      <c r="S19" s="30"/>
      <c r="T19" s="15">
        <v>0</v>
      </c>
      <c r="U19" s="39">
        <f>IFERROR(VLOOKUP(T19,'Puntos XCO'!$A$1:$B$63,2,FALSE),0)</f>
        <v>0</v>
      </c>
      <c r="V19" s="16">
        <v>0</v>
      </c>
      <c r="W19" s="15">
        <f>IFERROR(VLOOKUP(V19,'Puntos XCC Mayor'!$A$1:$B$15,2,FALSE),0)</f>
        <v>0</v>
      </c>
      <c r="X19" s="15">
        <v>0</v>
      </c>
      <c r="Y19" s="25">
        <f>IFERROR(VLOOKUP(X19,'Puntos XCO'!$A$1:$B$63,2,FALSE),0)</f>
        <v>0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4"/>
        <v>150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6</v>
      </c>
      <c r="C20" s="22">
        <v>980</v>
      </c>
      <c r="D20" s="23" t="str">
        <f t="shared" si="0"/>
        <v>CISNEROS Cristofer</v>
      </c>
      <c r="E20" s="24" t="str">
        <f t="shared" si="1"/>
        <v>TEAM CQ PZ</v>
      </c>
      <c r="F20" s="3"/>
      <c r="G20" s="15"/>
      <c r="H20" s="3"/>
      <c r="I20" s="25"/>
      <c r="J20" s="33"/>
      <c r="K20" s="22"/>
      <c r="L20" s="22">
        <v>2</v>
      </c>
      <c r="M20" s="34">
        <v>150</v>
      </c>
      <c r="N20" s="32"/>
      <c r="O20" s="30"/>
      <c r="P20" s="3">
        <v>0</v>
      </c>
      <c r="Q20" s="34">
        <f>IFERROR(VLOOKUP(P20,'Puntos XCO'!$A$1:$B$63,2,FALSE),0)</f>
        <v>0</v>
      </c>
      <c r="R20" s="32"/>
      <c r="S20" s="30"/>
      <c r="T20" s="15">
        <v>0</v>
      </c>
      <c r="U20" s="39">
        <f>IFERROR(VLOOKUP(T20,'Puntos XCO'!$A$1:$B$63,2,FALSE),0)</f>
        <v>0</v>
      </c>
      <c r="V20" s="16">
        <v>0</v>
      </c>
      <c r="W20" s="15">
        <f>IFERROR(VLOOKUP(V20,'Puntos XCC Mayor'!$A$1:$B$15,2,FALSE),0)</f>
        <v>0</v>
      </c>
      <c r="X20" s="15">
        <v>0</v>
      </c>
      <c r="Y20" s="25">
        <f>IFERROR(VLOOKUP(X20,'Puntos XCO'!$A$1:$B$63,2,FALSE),0)</f>
        <v>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4"/>
        <v>150</v>
      </c>
      <c r="AJ20" s="2"/>
      <c r="AK20" s="13"/>
      <c r="AL20" s="12"/>
      <c r="AM20" s="14"/>
    </row>
    <row r="21" spans="1:39" ht="24.95" customHeight="1">
      <c r="A21" s="22">
        <v>7</v>
      </c>
      <c r="B21" s="22"/>
      <c r="C21" s="107">
        <v>984</v>
      </c>
      <c r="D21" s="23" t="str">
        <f t="shared" si="0"/>
        <v xml:space="preserve">BELL Emanuel </v>
      </c>
      <c r="E21" s="24" t="str">
        <f t="shared" si="1"/>
        <v>Ciclo Bell</v>
      </c>
      <c r="F21" s="3"/>
      <c r="G21" s="15"/>
      <c r="H21" s="3"/>
      <c r="I21" s="25"/>
      <c r="J21" s="33"/>
      <c r="K21" s="22"/>
      <c r="L21" s="22"/>
      <c r="M21" s="34"/>
      <c r="N21" s="32"/>
      <c r="O21" s="30"/>
      <c r="P21" s="3"/>
      <c r="Q21" s="34"/>
      <c r="R21" s="32"/>
      <c r="S21" s="30"/>
      <c r="T21" s="15"/>
      <c r="U21" s="39"/>
      <c r="V21" s="16"/>
      <c r="W21" s="15"/>
      <c r="X21" s="15"/>
      <c r="Y21" s="25"/>
      <c r="Z21" s="16">
        <f t="shared" si="2"/>
        <v>4</v>
      </c>
      <c r="AA21" s="15">
        <f>IFERROR(VLOOKUP(Z21,'Puntos XCC Mayor'!$A$1:$B$15,2,FALSE),0)</f>
        <v>14</v>
      </c>
      <c r="AB21" s="15">
        <f t="shared" si="3"/>
        <v>4</v>
      </c>
      <c r="AC21" s="25">
        <f>IFERROR(VLOOKUP(AB21,'Puntos XCO'!$A$1:$B$63,2,FALSE),0)</f>
        <v>110</v>
      </c>
      <c r="AD21" s="16"/>
      <c r="AE21" s="15"/>
      <c r="AF21" s="15"/>
      <c r="AG21" s="25"/>
      <c r="AH21" s="27">
        <f t="shared" si="4"/>
        <v>124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7</v>
      </c>
      <c r="C22" s="22">
        <v>979</v>
      </c>
      <c r="D22" s="23" t="str">
        <f t="shared" si="0"/>
        <v xml:space="preserve">MATA  Jefrey Alexander </v>
      </c>
      <c r="E22" s="24" t="str">
        <f t="shared" si="1"/>
        <v>GRUPETA 5AM</v>
      </c>
      <c r="F22" s="3"/>
      <c r="G22" s="15"/>
      <c r="H22" s="3">
        <v>3</v>
      </c>
      <c r="I22" s="25">
        <v>120</v>
      </c>
      <c r="J22" s="33"/>
      <c r="K22" s="22"/>
      <c r="L22" s="22">
        <v>0</v>
      </c>
      <c r="M22" s="34">
        <v>0</v>
      </c>
      <c r="N22" s="32"/>
      <c r="O22" s="30"/>
      <c r="P22" s="3">
        <v>0</v>
      </c>
      <c r="Q22" s="34">
        <f>IFERROR(VLOOKUP(P22,'Puntos XCO'!$A$1:$B$63,2,FALSE),0)</f>
        <v>0</v>
      </c>
      <c r="R22" s="32"/>
      <c r="S22" s="30"/>
      <c r="T22" s="15">
        <v>0</v>
      </c>
      <c r="U22" s="39">
        <f>IFERROR(VLOOKUP(T22,'Puntos XCO'!$A$1:$B$63,2,FALSE),0)</f>
        <v>0</v>
      </c>
      <c r="V22" s="16">
        <v>0</v>
      </c>
      <c r="W22" s="15">
        <f>IFERROR(VLOOKUP(V22,'Puntos XCC Mayor'!$A$1:$B$15,2,FALSE),0)</f>
        <v>0</v>
      </c>
      <c r="X22" s="15">
        <v>0</v>
      </c>
      <c r="Y22" s="25">
        <f>IFERROR(VLOOKUP(X22,'Puntos XCO'!$A$1:$B$63,2,FALSE),0)</f>
        <v>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120</v>
      </c>
      <c r="AJ22" s="2"/>
      <c r="AK22" s="13"/>
      <c r="AL22" s="12"/>
      <c r="AM22" s="14"/>
    </row>
    <row r="23" spans="1:39" ht="24.95" customHeight="1">
      <c r="A23" s="22">
        <v>9</v>
      </c>
      <c r="B23" s="22"/>
      <c r="C23" s="107">
        <v>985</v>
      </c>
      <c r="D23" s="23" t="str">
        <f t="shared" si="0"/>
        <v>RODRIGUEZ RODOLFO</v>
      </c>
      <c r="E23" s="24" t="str">
        <f t="shared" si="1"/>
        <v>TALLER EUROPEOS-EL RINCON DEL MATE</v>
      </c>
      <c r="F23" s="3"/>
      <c r="G23" s="15"/>
      <c r="H23" s="3"/>
      <c r="I23" s="25"/>
      <c r="J23" s="33"/>
      <c r="K23" s="22"/>
      <c r="L23" s="22"/>
      <c r="M23" s="34"/>
      <c r="N23" s="32"/>
      <c r="O23" s="30"/>
      <c r="P23" s="3"/>
      <c r="Q23" s="34"/>
      <c r="R23" s="32"/>
      <c r="S23" s="30"/>
      <c r="T23" s="15"/>
      <c r="U23" s="39"/>
      <c r="V23" s="16"/>
      <c r="W23" s="15"/>
      <c r="X23" s="15"/>
      <c r="Y23" s="25"/>
      <c r="Z23" s="16">
        <f t="shared" si="2"/>
        <v>5</v>
      </c>
      <c r="AA23" s="15">
        <f>IFERROR(VLOOKUP(Z23,'Puntos XCC Mayor'!$A$1:$B$15,2,FALSE),0)</f>
        <v>12</v>
      </c>
      <c r="AB23" s="15">
        <f t="shared" si="3"/>
        <v>5</v>
      </c>
      <c r="AC23" s="25">
        <f>IFERROR(VLOOKUP(AB23,'Puntos XCO'!$A$1:$B$63,2,FALSE),0)</f>
        <v>100</v>
      </c>
      <c r="AD23" s="16"/>
      <c r="AE23" s="15"/>
      <c r="AF23" s="15"/>
      <c r="AG23" s="25"/>
      <c r="AH23" s="27">
        <f t="shared" si="4"/>
        <v>112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8</v>
      </c>
      <c r="C24" s="22">
        <v>983</v>
      </c>
      <c r="D24" s="23" t="str">
        <f t="shared" si="0"/>
        <v>CALDERON Alejandro</v>
      </c>
      <c r="E24" s="24" t="str">
        <f t="shared" si="1"/>
        <v>EL PALIDAZO CYCLING CLUB</v>
      </c>
      <c r="F24" s="3"/>
      <c r="G24" s="15"/>
      <c r="H24" s="3"/>
      <c r="I24" s="25"/>
      <c r="J24" s="33"/>
      <c r="K24" s="22"/>
      <c r="L24" s="22"/>
      <c r="M24" s="34"/>
      <c r="N24" s="32"/>
      <c r="O24" s="30"/>
      <c r="P24" s="3"/>
      <c r="Q24" s="34"/>
      <c r="R24" s="32"/>
      <c r="S24" s="30"/>
      <c r="T24" s="15"/>
      <c r="U24" s="39"/>
      <c r="V24" s="16">
        <v>0</v>
      </c>
      <c r="W24" s="15">
        <f>IFERROR(VLOOKUP(V24,'Puntos XCC Mayor'!$A$1:$B$15,2,FALSE),0)</f>
        <v>0</v>
      </c>
      <c r="X24" s="15">
        <v>4</v>
      </c>
      <c r="Y24" s="25">
        <f>IFERROR(VLOOKUP(X24,'Puntos XCO'!$A$1:$B$63,2,FALSE),0)</f>
        <v>110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110</v>
      </c>
      <c r="AJ24" s="2"/>
      <c r="AK24" s="13"/>
      <c r="AL24" s="12"/>
      <c r="AM24" s="14"/>
    </row>
    <row r="25" spans="1:39" ht="24.95" customHeight="1">
      <c r="A25" s="3"/>
      <c r="B25" s="3"/>
      <c r="C25" s="28"/>
      <c r="D25" s="23"/>
      <c r="E25" s="24"/>
      <c r="F25" s="3"/>
      <c r="G25" s="15"/>
      <c r="H25" s="15"/>
      <c r="I25" s="25"/>
      <c r="J25" s="26"/>
      <c r="K25" s="15"/>
      <c r="L25" s="15"/>
      <c r="M25" s="25"/>
      <c r="N25" s="16"/>
      <c r="O25" s="15"/>
      <c r="P25" s="3"/>
      <c r="Q25" s="25"/>
      <c r="R25" s="16"/>
      <c r="S25" s="15"/>
      <c r="T25" s="15"/>
      <c r="U25" s="25"/>
      <c r="V25" s="16"/>
      <c r="W25" s="15"/>
      <c r="X25" s="15"/>
      <c r="Y25" s="25"/>
      <c r="Z25" s="16"/>
      <c r="AA25" s="15"/>
      <c r="AB25" s="15"/>
      <c r="AC25" s="25"/>
      <c r="AD25" s="16"/>
      <c r="AE25" s="15"/>
      <c r="AF25" s="15"/>
      <c r="AG25" s="25"/>
      <c r="AH25" s="27"/>
      <c r="AJ25" s="3"/>
    </row>
    <row r="26" spans="1:39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74"/>
      <c r="Q26" s="65"/>
      <c r="R26" s="65"/>
      <c r="S26" s="65"/>
      <c r="T26" s="65"/>
      <c r="U26" s="65"/>
      <c r="V26" s="65"/>
      <c r="W26" s="65"/>
      <c r="X26" s="65"/>
      <c r="Y26" s="65"/>
      <c r="Z26" s="119"/>
      <c r="AA26" s="119"/>
      <c r="AB26" s="119"/>
      <c r="AC26" s="119"/>
      <c r="AD26" s="119"/>
      <c r="AE26" s="119"/>
      <c r="AF26" s="119"/>
      <c r="AG26" s="119"/>
      <c r="AH26" s="65"/>
    </row>
    <row r="27" spans="1:39">
      <c r="M27" s="9"/>
      <c r="N27" s="9"/>
      <c r="O27" s="9"/>
      <c r="P27" s="10"/>
      <c r="Q27" s="9"/>
      <c r="R27" s="9"/>
      <c r="S27" s="9"/>
      <c r="T27" s="9"/>
      <c r="U27" s="9"/>
    </row>
    <row r="28" spans="1:39" ht="127.5" customHeight="1"/>
    <row r="29" spans="1:3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4"/>
      <c r="Q29" s="65"/>
      <c r="R29" s="65"/>
      <c r="S29" s="65"/>
      <c r="T29" s="65"/>
      <c r="U29" s="65"/>
      <c r="V29" s="65"/>
      <c r="W29" s="65"/>
      <c r="X29" s="65"/>
      <c r="Y29" s="65"/>
      <c r="Z29" s="119"/>
      <c r="AA29" s="119"/>
      <c r="AB29" s="119"/>
      <c r="AC29" s="119"/>
      <c r="AD29" s="119"/>
      <c r="AE29" s="119"/>
      <c r="AF29" s="119"/>
      <c r="AG29" s="119"/>
      <c r="AH29" s="65"/>
    </row>
  </sheetData>
  <sortState ref="B15:AH24">
    <sortCondition descending="1" ref="AH15:AH24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6:C65504 C1:C9 C12:C14">
    <cfRule type="duplicateValues" dxfId="344" priority="27" stopIfTrue="1"/>
  </conditionalFormatting>
  <conditionalFormatting sqref="F25">
    <cfRule type="duplicateValues" dxfId="343" priority="28" stopIfTrue="1"/>
  </conditionalFormatting>
  <conditionalFormatting sqref="B25">
    <cfRule type="duplicateValues" dxfId="342" priority="29" stopIfTrue="1"/>
  </conditionalFormatting>
  <conditionalFormatting sqref="AJ15:AJ25">
    <cfRule type="duplicateValues" dxfId="341" priority="7290"/>
  </conditionalFormatting>
  <conditionalFormatting sqref="C11">
    <cfRule type="duplicateValues" dxfId="340" priority="4" stopIfTrue="1"/>
  </conditionalFormatting>
  <conditionalFormatting sqref="C11">
    <cfRule type="duplicateValues" dxfId="339" priority="5" stopIfTrue="1"/>
  </conditionalFormatting>
  <conditionalFormatting sqref="D11">
    <cfRule type="duplicateValues" dxfId="338" priority="3" stopIfTrue="1"/>
  </conditionalFormatting>
  <conditionalFormatting sqref="C10">
    <cfRule type="duplicateValues" dxfId="337" priority="1" stopIfTrue="1"/>
  </conditionalFormatting>
  <conditionalFormatting sqref="C10">
    <cfRule type="duplicateValues" dxfId="336" priority="2" stopIfTrue="1"/>
  </conditionalFormatting>
  <pageMargins left="0.70866141732283472" right="0.70866141732283472" top="0.74803149606299213" bottom="0.74803149606299213" header="0.31496062992125984" footer="0.31496062992125984"/>
  <pageSetup paperSize="9" scale="50" fitToHeight="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M26"/>
  <sheetViews>
    <sheetView showGridLines="0" zoomScale="70" zoomScaleNormal="70" zoomScaleSheetLayoutView="90" workbookViewId="0">
      <selection activeCell="A10" sqref="A10:AH11"/>
    </sheetView>
  </sheetViews>
  <sheetFormatPr baseColWidth="10" defaultRowHeight="15"/>
  <cols>
    <col min="1" max="1" width="10.28515625" customWidth="1"/>
    <col min="2" max="2" width="13.28515625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11" width="7.85546875" customWidth="1"/>
    <col min="12" max="12" width="6.42578125" bestFit="1" customWidth="1"/>
    <col min="13" max="15" width="7.85546875" customWidth="1"/>
    <col min="16" max="16" width="7.85546875" style="38" customWidth="1"/>
    <col min="17" max="33" width="7.85546875" customWidth="1"/>
    <col min="34" max="34" width="11.710937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102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43" t="s">
        <v>0</v>
      </c>
      <c r="B13" s="143"/>
      <c r="C13" s="81"/>
      <c r="D13" s="81"/>
      <c r="E13" s="82"/>
      <c r="F13" s="143">
        <v>1</v>
      </c>
      <c r="G13" s="143"/>
      <c r="H13" s="143"/>
      <c r="I13" s="144"/>
      <c r="J13" s="145">
        <v>2</v>
      </c>
      <c r="K13" s="143"/>
      <c r="L13" s="143"/>
      <c r="M13" s="144"/>
      <c r="N13" s="145">
        <v>3</v>
      </c>
      <c r="O13" s="143"/>
      <c r="P13" s="143"/>
      <c r="Q13" s="144"/>
      <c r="R13" s="145">
        <v>4</v>
      </c>
      <c r="S13" s="143"/>
      <c r="T13" s="143"/>
      <c r="U13" s="144"/>
      <c r="V13" s="145">
        <v>5</v>
      </c>
      <c r="W13" s="143"/>
      <c r="X13" s="143"/>
      <c r="Y13" s="144"/>
      <c r="Z13" s="145">
        <v>6</v>
      </c>
      <c r="AA13" s="143"/>
      <c r="AB13" s="143"/>
      <c r="AC13" s="144"/>
      <c r="AD13" s="145">
        <v>7</v>
      </c>
      <c r="AE13" s="143"/>
      <c r="AF13" s="143"/>
      <c r="AG13" s="144"/>
      <c r="AH13" s="146" t="s">
        <v>47</v>
      </c>
    </row>
    <row r="14" spans="1:39" ht="33" customHeight="1">
      <c r="A14" s="83" t="s">
        <v>1</v>
      </c>
      <c r="B14" s="83" t="s">
        <v>2</v>
      </c>
      <c r="C14" s="83" t="s">
        <v>3</v>
      </c>
      <c r="D14" s="84" t="s">
        <v>4</v>
      </c>
      <c r="E14" s="85" t="s">
        <v>5</v>
      </c>
      <c r="F14" s="86"/>
      <c r="G14" s="86"/>
      <c r="H14" s="86" t="s">
        <v>45</v>
      </c>
      <c r="I14" s="87" t="s">
        <v>46</v>
      </c>
      <c r="J14" s="88"/>
      <c r="K14" s="86"/>
      <c r="L14" s="86" t="s">
        <v>45</v>
      </c>
      <c r="M14" s="87" t="s">
        <v>46</v>
      </c>
      <c r="N14" s="88"/>
      <c r="O14" s="86"/>
      <c r="P14" s="86" t="s">
        <v>45</v>
      </c>
      <c r="Q14" s="87" t="s">
        <v>46</v>
      </c>
      <c r="R14" s="88"/>
      <c r="S14" s="86"/>
      <c r="T14" s="86" t="s">
        <v>45</v>
      </c>
      <c r="U14" s="87" t="s">
        <v>46</v>
      </c>
      <c r="V14" s="88"/>
      <c r="W14" s="86"/>
      <c r="X14" s="86" t="s">
        <v>45</v>
      </c>
      <c r="Y14" s="87" t="s">
        <v>46</v>
      </c>
      <c r="Z14" s="88"/>
      <c r="AA14" s="86"/>
      <c r="AB14" s="86" t="s">
        <v>45</v>
      </c>
      <c r="AC14" s="87" t="s">
        <v>46</v>
      </c>
      <c r="AD14" s="88"/>
      <c r="AE14" s="86"/>
      <c r="AF14" s="86" t="s">
        <v>45</v>
      </c>
      <c r="AG14" s="87" t="s">
        <v>46</v>
      </c>
      <c r="AH14" s="146"/>
    </row>
    <row r="15" spans="1:39" ht="24.95" customHeight="1">
      <c r="A15" s="22">
        <v>1</v>
      </c>
      <c r="B15" s="22">
        <v>1</v>
      </c>
      <c r="C15" s="22">
        <v>961</v>
      </c>
      <c r="D15" s="23" t="str">
        <f t="shared" ref="D15:D21" si="0">VLOOKUP(C15,PLANILLA,2,FALSE)</f>
        <v xml:space="preserve">GUZMAN Aaron </v>
      </c>
      <c r="E15" s="24" t="str">
        <f t="shared" ref="E15:E21" si="1">VLOOKUP(C15,PLANILLA,4,FALSE)</f>
        <v>Acisa</v>
      </c>
      <c r="F15" s="3"/>
      <c r="G15" s="15"/>
      <c r="H15" s="3">
        <v>2</v>
      </c>
      <c r="I15" s="25">
        <v>150</v>
      </c>
      <c r="J15" s="33"/>
      <c r="K15" s="22"/>
      <c r="L15" s="22">
        <v>1</v>
      </c>
      <c r="M15" s="34">
        <v>200</v>
      </c>
      <c r="N15" s="32"/>
      <c r="O15" s="30"/>
      <c r="P15" s="3"/>
      <c r="Q15" s="34">
        <f>IFERROR(VLOOKUP(P15,'Puntos XCO'!$A$1:$B$63,2,FALSE),0)</f>
        <v>0</v>
      </c>
      <c r="R15" s="32"/>
      <c r="S15" s="30"/>
      <c r="T15" s="15">
        <v>1</v>
      </c>
      <c r="U15" s="39">
        <f>IFERROR(VLOOKUP(T15,'Puntos XCO'!$A$1:$B$63,2,FALSE),0)</f>
        <v>200</v>
      </c>
      <c r="V15" s="16"/>
      <c r="W15" s="15"/>
      <c r="X15" s="15">
        <f t="shared" ref="X15:X20" si="2">IFERROR(VLOOKUP(C15,RESXCO,9,FALSE),0)</f>
        <v>1</v>
      </c>
      <c r="Y15" s="25">
        <f>IFERROR(VLOOKUP(X15,'Puntos XCO'!$A$1:$B$63,2,FALSE),0)</f>
        <v>200</v>
      </c>
      <c r="Z15" s="16"/>
      <c r="AA15" s="15"/>
      <c r="AB15" s="15">
        <v>1</v>
      </c>
      <c r="AC15" s="25">
        <f>IFERROR(VLOOKUP(AB15,'Puntos XCO'!$A$1:$B$63,2,FALSE),0)</f>
        <v>200</v>
      </c>
      <c r="AD15" s="16"/>
      <c r="AE15" s="15"/>
      <c r="AF15" s="15"/>
      <c r="AG15" s="25"/>
      <c r="AH15" s="27">
        <f t="shared" ref="AH15:AH21" si="3">G15+I15+K15+M15+O15+Q15+S15+U15+W15+Y15+AA15+AC15+AE15+AG15</f>
        <v>950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962</v>
      </c>
      <c r="D16" s="23" t="str">
        <f t="shared" si="0"/>
        <v>GUZMAN Alex</v>
      </c>
      <c r="E16" s="24" t="str">
        <f t="shared" si="1"/>
        <v>Acisa</v>
      </c>
      <c r="F16" s="3"/>
      <c r="G16" s="15"/>
      <c r="H16" s="3">
        <v>1</v>
      </c>
      <c r="I16" s="25">
        <v>200</v>
      </c>
      <c r="J16" s="33"/>
      <c r="K16" s="22"/>
      <c r="L16" s="22">
        <v>4</v>
      </c>
      <c r="M16" s="34">
        <v>110</v>
      </c>
      <c r="N16" s="32"/>
      <c r="O16" s="30"/>
      <c r="P16" s="3"/>
      <c r="Q16" s="34">
        <f>IFERROR(VLOOKUP(P16,'Puntos XCO'!$A$1:$B$63,2,FALSE),0)</f>
        <v>0</v>
      </c>
      <c r="R16" s="32"/>
      <c r="S16" s="30"/>
      <c r="T16" s="15">
        <v>2</v>
      </c>
      <c r="U16" s="39">
        <f>IFERROR(VLOOKUP(T16,'Puntos XCO'!$A$1:$B$63,2,FALSE),0)</f>
        <v>150</v>
      </c>
      <c r="V16" s="32"/>
      <c r="W16" s="30"/>
      <c r="X16" s="15">
        <f t="shared" si="2"/>
        <v>3</v>
      </c>
      <c r="Y16" s="25">
        <f>IFERROR(VLOOKUP(X16,'Puntos XCO'!$A$1:$B$63,2,FALSE),0)</f>
        <v>120</v>
      </c>
      <c r="Z16" s="16"/>
      <c r="AA16" s="15"/>
      <c r="AB16" s="15">
        <v>3</v>
      </c>
      <c r="AC16" s="25">
        <f>IFERROR(VLOOKUP(AB16,'Puntos XCO'!$A$1:$B$63,2,FALSE),0)</f>
        <v>120</v>
      </c>
      <c r="AD16" s="16"/>
      <c r="AE16" s="15"/>
      <c r="AF16" s="15"/>
      <c r="AG16" s="25"/>
      <c r="AH16" s="27">
        <f t="shared" si="3"/>
        <v>700</v>
      </c>
      <c r="AJ16" s="2"/>
      <c r="AK16" s="13"/>
      <c r="AL16" s="12"/>
      <c r="AM16" s="14"/>
    </row>
    <row r="17" spans="1:36" ht="24.95" customHeight="1">
      <c r="A17" s="22">
        <v>3</v>
      </c>
      <c r="B17" s="22">
        <v>3</v>
      </c>
      <c r="C17" s="22">
        <v>964</v>
      </c>
      <c r="D17" s="23" t="str">
        <f t="shared" si="0"/>
        <v xml:space="preserve">TENORIO Carlos </v>
      </c>
      <c r="E17" s="24" t="str">
        <f t="shared" si="1"/>
        <v xml:space="preserve">ACISA SARAPIQUI </v>
      </c>
      <c r="F17" s="3"/>
      <c r="G17" s="15"/>
      <c r="H17" s="15"/>
      <c r="I17" s="25"/>
      <c r="J17" s="33"/>
      <c r="K17" s="22"/>
      <c r="L17" s="22">
        <v>2</v>
      </c>
      <c r="M17" s="34">
        <v>150</v>
      </c>
      <c r="N17" s="32"/>
      <c r="O17" s="30"/>
      <c r="P17" s="3"/>
      <c r="Q17" s="34">
        <f>IFERROR(VLOOKUP(P17,'Puntos XCO'!$A$1:$B$63,2,FALSE),0)</f>
        <v>0</v>
      </c>
      <c r="R17" s="32"/>
      <c r="S17" s="30"/>
      <c r="T17" s="15">
        <v>3</v>
      </c>
      <c r="U17" s="39">
        <f>IFERROR(VLOOKUP(T17,'Puntos XCO'!$A$1:$B$63,2,FALSE),0)</f>
        <v>120</v>
      </c>
      <c r="V17" s="32"/>
      <c r="W17" s="30"/>
      <c r="X17" s="15">
        <f t="shared" si="2"/>
        <v>4</v>
      </c>
      <c r="Y17" s="25">
        <f>IFERROR(VLOOKUP(X17,'Puntos XCO'!$A$1:$B$63,2,FALSE),0)</f>
        <v>110</v>
      </c>
      <c r="Z17" s="16"/>
      <c r="AA17" s="15"/>
      <c r="AB17" s="15">
        <v>2</v>
      </c>
      <c r="AC17" s="25">
        <f>IFERROR(VLOOKUP(AB17,'Puntos XCO'!$A$1:$B$63,2,FALSE),0)</f>
        <v>150</v>
      </c>
      <c r="AD17" s="16"/>
      <c r="AE17" s="15"/>
      <c r="AF17" s="15"/>
      <c r="AG17" s="25"/>
      <c r="AH17" s="27">
        <f t="shared" si="3"/>
        <v>530</v>
      </c>
      <c r="AJ17" s="3"/>
    </row>
    <row r="18" spans="1:36" ht="24.95" customHeight="1">
      <c r="A18" s="22">
        <v>4</v>
      </c>
      <c r="B18" s="22">
        <v>4</v>
      </c>
      <c r="C18" s="22">
        <v>963</v>
      </c>
      <c r="D18" s="23" t="str">
        <f t="shared" si="0"/>
        <v xml:space="preserve">SALAS Mauricio </v>
      </c>
      <c r="E18" s="24" t="str">
        <f t="shared" si="1"/>
        <v xml:space="preserve">AUTOS SALAS </v>
      </c>
      <c r="F18" s="3"/>
      <c r="G18" s="15"/>
      <c r="H18" s="15"/>
      <c r="I18" s="25"/>
      <c r="J18" s="33"/>
      <c r="K18" s="22"/>
      <c r="L18" s="22">
        <v>3</v>
      </c>
      <c r="M18" s="34">
        <v>120</v>
      </c>
      <c r="N18" s="32"/>
      <c r="O18" s="30"/>
      <c r="P18" s="3"/>
      <c r="Q18" s="34">
        <f>IFERROR(VLOOKUP(P18,'Puntos XCO'!$A$1:$B$63,2,FALSE),0)</f>
        <v>0</v>
      </c>
      <c r="R18" s="32"/>
      <c r="S18" s="30"/>
      <c r="T18" s="15">
        <v>0</v>
      </c>
      <c r="U18" s="39">
        <f>IFERROR(VLOOKUP(T18,'Puntos XCO'!$A$1:$B$63,2,FALSE),0)</f>
        <v>0</v>
      </c>
      <c r="V18" s="32"/>
      <c r="W18" s="30"/>
      <c r="X18" s="15">
        <f t="shared" si="2"/>
        <v>0</v>
      </c>
      <c r="Y18" s="25">
        <f>IFERROR(VLOOKUP(X18,'Puntos XCO'!$A$1:$B$63,2,FALSE),0)</f>
        <v>0</v>
      </c>
      <c r="Z18" s="16"/>
      <c r="AA18" s="15"/>
      <c r="AB18" s="15"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3"/>
        <v>120</v>
      </c>
      <c r="AJ18" s="3"/>
    </row>
    <row r="19" spans="1:36" ht="24.95" customHeight="1">
      <c r="A19" s="22">
        <v>5</v>
      </c>
      <c r="B19" s="22">
        <v>5</v>
      </c>
      <c r="C19" s="22">
        <v>965</v>
      </c>
      <c r="D19" s="23" t="str">
        <f t="shared" si="0"/>
        <v>CALDERON Gerardo</v>
      </c>
      <c r="E19" s="24" t="str">
        <f t="shared" si="1"/>
        <v>CAMEL 4X4</v>
      </c>
      <c r="F19" s="3"/>
      <c r="G19" s="15"/>
      <c r="H19" s="15"/>
      <c r="I19" s="25"/>
      <c r="J19" s="33"/>
      <c r="K19" s="22"/>
      <c r="L19" s="22"/>
      <c r="M19" s="34"/>
      <c r="N19" s="32"/>
      <c r="O19" s="30"/>
      <c r="P19" s="3"/>
      <c r="Q19" s="34"/>
      <c r="R19" s="32"/>
      <c r="S19" s="30"/>
      <c r="T19" s="15"/>
      <c r="U19" s="39"/>
      <c r="V19" s="32"/>
      <c r="W19" s="30"/>
      <c r="X19" s="15">
        <f t="shared" si="2"/>
        <v>0</v>
      </c>
      <c r="Y19" s="25">
        <f>IFERROR(VLOOKUP(X19,'Puntos XCO'!$A$1:$B$63,2,FALSE),0)</f>
        <v>0</v>
      </c>
      <c r="Z19" s="16"/>
      <c r="AA19" s="15"/>
      <c r="AB19" s="15">
        <v>4</v>
      </c>
      <c r="AC19" s="25">
        <f>IFERROR(VLOOKUP(AB19,'Puntos XCO'!$A$1:$B$63,2,FALSE),0)</f>
        <v>110</v>
      </c>
      <c r="AD19" s="16"/>
      <c r="AE19" s="15"/>
      <c r="AF19" s="15"/>
      <c r="AG19" s="25"/>
      <c r="AH19" s="27">
        <f t="shared" si="3"/>
        <v>110</v>
      </c>
      <c r="AJ19" s="3"/>
    </row>
    <row r="20" spans="1:36" ht="24.95" customHeight="1">
      <c r="A20" s="3"/>
      <c r="B20" s="3"/>
      <c r="C20" s="22">
        <v>966</v>
      </c>
      <c r="D20" s="23" t="str">
        <f t="shared" si="0"/>
        <v xml:space="preserve">HERRERA  Miguel </v>
      </c>
      <c r="E20" s="24" t="str">
        <f t="shared" si="1"/>
        <v>CHURUCA SA.</v>
      </c>
      <c r="F20" s="3"/>
      <c r="G20" s="15"/>
      <c r="H20" s="15"/>
      <c r="I20" s="25"/>
      <c r="J20" s="33"/>
      <c r="K20" s="22"/>
      <c r="L20" s="22"/>
      <c r="M20" s="34"/>
      <c r="N20" s="32"/>
      <c r="O20" s="30"/>
      <c r="P20" s="3"/>
      <c r="Q20" s="34"/>
      <c r="R20" s="32"/>
      <c r="S20" s="30"/>
      <c r="T20" s="15"/>
      <c r="U20" s="39"/>
      <c r="V20" s="32"/>
      <c r="W20" s="30"/>
      <c r="X20" s="15">
        <f t="shared" si="2"/>
        <v>0</v>
      </c>
      <c r="Y20" s="25">
        <f>IFERROR(VLOOKUP(X20,'Puntos XCO'!$A$1:$B$63,2,FALSE),0)</f>
        <v>0</v>
      </c>
      <c r="Z20" s="16"/>
      <c r="AA20" s="15"/>
      <c r="AB20" s="15"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3"/>
        <v>0</v>
      </c>
      <c r="AJ20" s="3"/>
    </row>
    <row r="21" spans="1:36" ht="24.95" customHeight="1">
      <c r="A21" s="3"/>
      <c r="B21" s="3"/>
      <c r="C21" s="107">
        <v>967</v>
      </c>
      <c r="D21" s="23" t="str">
        <f t="shared" si="0"/>
        <v xml:space="preserve">AGUILAR Randy </v>
      </c>
      <c r="E21" s="24" t="str">
        <f t="shared" si="1"/>
        <v xml:space="preserve">Bikestation Riders </v>
      </c>
      <c r="F21" s="3"/>
      <c r="G21" s="15"/>
      <c r="H21" s="15"/>
      <c r="I21" s="25"/>
      <c r="J21" s="33"/>
      <c r="K21" s="22"/>
      <c r="L21" s="22"/>
      <c r="M21" s="34"/>
      <c r="N21" s="32"/>
      <c r="O21" s="30"/>
      <c r="P21" s="3"/>
      <c r="Q21" s="34"/>
      <c r="R21" s="32"/>
      <c r="S21" s="30"/>
      <c r="T21" s="15"/>
      <c r="U21" s="39"/>
      <c r="V21" s="32"/>
      <c r="W21" s="30"/>
      <c r="X21" s="15"/>
      <c r="Y21" s="25"/>
      <c r="Z21" s="16"/>
      <c r="AA21" s="15"/>
      <c r="AB21" s="15"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3"/>
        <v>0</v>
      </c>
      <c r="AJ21" s="3"/>
    </row>
    <row r="22" spans="1:36" ht="24.95" customHeight="1">
      <c r="A22" s="3"/>
      <c r="B22" s="3"/>
      <c r="C22" s="28"/>
      <c r="D22" s="23"/>
      <c r="E22" s="24"/>
      <c r="F22" s="3"/>
      <c r="G22" s="15"/>
      <c r="H22" s="15"/>
      <c r="I22" s="25"/>
      <c r="J22" s="26"/>
      <c r="K22" s="15"/>
      <c r="L22" s="15"/>
      <c r="M22" s="25"/>
      <c r="N22" s="16"/>
      <c r="O22" s="15"/>
      <c r="P22" s="3"/>
      <c r="Q22" s="25"/>
      <c r="R22" s="16"/>
      <c r="S22" s="15"/>
      <c r="T22" s="15"/>
      <c r="U22" s="25"/>
      <c r="V22" s="16"/>
      <c r="W22" s="15"/>
      <c r="X22" s="15"/>
      <c r="Y22" s="25"/>
      <c r="Z22" s="16"/>
      <c r="AA22" s="15"/>
      <c r="AB22" s="15"/>
      <c r="AC22" s="25"/>
      <c r="AD22" s="16"/>
      <c r="AE22" s="15"/>
      <c r="AF22" s="15"/>
      <c r="AG22" s="25"/>
      <c r="AH22" s="27"/>
      <c r="AJ22" s="3"/>
    </row>
    <row r="23" spans="1:36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9"/>
      <c r="Q23" s="81"/>
      <c r="R23" s="81"/>
      <c r="S23" s="81"/>
      <c r="T23" s="81"/>
      <c r="U23" s="81"/>
      <c r="V23" s="81"/>
      <c r="W23" s="81"/>
      <c r="X23" s="81"/>
      <c r="Y23" s="81"/>
      <c r="Z23" s="120"/>
      <c r="AA23" s="120"/>
      <c r="AB23" s="120"/>
      <c r="AC23" s="120"/>
      <c r="AD23" s="120"/>
      <c r="AE23" s="120"/>
      <c r="AF23" s="120"/>
      <c r="AG23" s="120"/>
      <c r="AH23" s="81"/>
    </row>
    <row r="24" spans="1:36">
      <c r="M24" s="9"/>
      <c r="N24" s="9"/>
      <c r="O24" s="9"/>
      <c r="P24" s="10"/>
      <c r="Q24" s="9"/>
      <c r="R24" s="9"/>
      <c r="S24" s="9"/>
      <c r="T24" s="9"/>
      <c r="U24" s="9"/>
    </row>
    <row r="25" spans="1:36" ht="127.5" customHeight="1"/>
    <row r="26" spans="1:3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9"/>
      <c r="Q26" s="81"/>
      <c r="R26" s="81"/>
      <c r="S26" s="81"/>
      <c r="T26" s="81"/>
      <c r="U26" s="81"/>
      <c r="V26" s="81"/>
      <c r="W26" s="81"/>
      <c r="X26" s="81"/>
      <c r="Y26" s="81"/>
      <c r="Z26" s="120"/>
      <c r="AA26" s="120"/>
      <c r="AB26" s="120"/>
      <c r="AC26" s="120"/>
      <c r="AD26" s="120"/>
      <c r="AE26" s="120"/>
      <c r="AF26" s="120"/>
      <c r="AG26" s="120"/>
      <c r="AH26" s="81"/>
    </row>
  </sheetData>
  <sortState ref="B15:AH21">
    <sortCondition descending="1" ref="AH15:AH21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23:C65501 C1:C9 C12:C14">
    <cfRule type="duplicateValues" dxfId="335" priority="27" stopIfTrue="1"/>
  </conditionalFormatting>
  <conditionalFormatting sqref="F22">
    <cfRule type="duplicateValues" dxfId="334" priority="28" stopIfTrue="1"/>
  </conditionalFormatting>
  <conditionalFormatting sqref="B22">
    <cfRule type="duplicateValues" dxfId="333" priority="29" stopIfTrue="1"/>
  </conditionalFormatting>
  <conditionalFormatting sqref="F17:F20">
    <cfRule type="duplicateValues" dxfId="332" priority="30" stopIfTrue="1"/>
  </conditionalFormatting>
  <conditionalFormatting sqref="C17:C20">
    <cfRule type="duplicateValues" dxfId="331" priority="32"/>
  </conditionalFormatting>
  <conditionalFormatting sqref="AJ15:AJ22">
    <cfRule type="duplicateValues" dxfId="330" priority="7294"/>
  </conditionalFormatting>
  <conditionalFormatting sqref="F21">
    <cfRule type="duplicateValues" dxfId="329" priority="6" stopIfTrue="1"/>
  </conditionalFormatting>
  <conditionalFormatting sqref="C11">
    <cfRule type="duplicateValues" dxfId="328" priority="4" stopIfTrue="1"/>
  </conditionalFormatting>
  <conditionalFormatting sqref="C11">
    <cfRule type="duplicateValues" dxfId="327" priority="5" stopIfTrue="1"/>
  </conditionalFormatting>
  <conditionalFormatting sqref="D11">
    <cfRule type="duplicateValues" dxfId="326" priority="3" stopIfTrue="1"/>
  </conditionalFormatting>
  <conditionalFormatting sqref="C10">
    <cfRule type="duplicateValues" dxfId="325" priority="1" stopIfTrue="1"/>
  </conditionalFormatting>
  <conditionalFormatting sqref="C10">
    <cfRule type="duplicateValues" dxfId="324" priority="2" stopIfTrue="1"/>
  </conditionalFormatting>
  <pageMargins left="0.70866141732283472" right="0.70866141732283472" top="0.74803149606299213" bottom="0.74803149606299213" header="0.31496062992125984" footer="0.31496062992125984"/>
  <pageSetup paperSize="9" scale="48" fitToHeight="2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M41"/>
  <sheetViews>
    <sheetView showGridLines="0" zoomScale="70" zoomScaleNormal="70" zoomScaleSheetLayoutView="90" workbookViewId="0">
      <selection activeCell="E29" sqref="E29"/>
    </sheetView>
  </sheetViews>
  <sheetFormatPr baseColWidth="10" defaultRowHeight="15"/>
  <cols>
    <col min="1" max="1" width="10.28515625" customWidth="1"/>
    <col min="2" max="2" width="10.42578125" bestFit="1" customWidth="1"/>
    <col min="3" max="3" width="8.85546875" customWidth="1"/>
    <col min="4" max="4" width="29.28515625" bestFit="1" customWidth="1"/>
    <col min="5" max="5" width="42.5703125" bestFit="1" customWidth="1"/>
    <col min="6" max="6" width="7.85546875" style="2" customWidth="1"/>
    <col min="7" max="15" width="7.85546875" customWidth="1"/>
    <col min="16" max="16" width="7.85546875" style="38" customWidth="1"/>
    <col min="17" max="33" width="7.85546875" customWidth="1"/>
    <col min="34" max="34" width="10.7109375" style="2" customWidth="1"/>
    <col min="35" max="35" width="10.5703125" customWidth="1"/>
    <col min="36" max="36" width="30.140625" customWidth="1"/>
    <col min="37" max="37" width="25.7109375" bestFit="1" customWidth="1"/>
    <col min="38" max="38" width="23.85546875" bestFit="1" customWidth="1"/>
    <col min="39" max="39" width="33.140625" bestFit="1" customWidth="1"/>
  </cols>
  <sheetData>
    <row r="8" spans="1:39" ht="26.25">
      <c r="A8" s="129" t="s">
        <v>542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9" ht="16.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9" ht="15.75">
      <c r="A10" s="130" t="s">
        <v>1701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2"/>
    </row>
    <row r="11" spans="1:39" ht="16.5" thickBot="1">
      <c r="A11" s="133" t="s">
        <v>1702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5"/>
    </row>
    <row r="12" spans="1:39" ht="6.75" customHeight="1"/>
    <row r="13" spans="1:39" ht="20.100000000000001" customHeight="1">
      <c r="A13" s="143" t="s">
        <v>0</v>
      </c>
      <c r="B13" s="143"/>
      <c r="C13" s="90"/>
      <c r="D13" s="90"/>
      <c r="E13" s="91"/>
      <c r="F13" s="143">
        <v>1</v>
      </c>
      <c r="G13" s="143"/>
      <c r="H13" s="143"/>
      <c r="I13" s="144"/>
      <c r="J13" s="145">
        <v>2</v>
      </c>
      <c r="K13" s="143"/>
      <c r="L13" s="143"/>
      <c r="M13" s="144"/>
      <c r="N13" s="145">
        <v>3</v>
      </c>
      <c r="O13" s="143"/>
      <c r="P13" s="143"/>
      <c r="Q13" s="144"/>
      <c r="R13" s="145">
        <v>4</v>
      </c>
      <c r="S13" s="143"/>
      <c r="T13" s="143"/>
      <c r="U13" s="144"/>
      <c r="V13" s="145">
        <v>5</v>
      </c>
      <c r="W13" s="143"/>
      <c r="X13" s="143"/>
      <c r="Y13" s="144"/>
      <c r="Z13" s="145">
        <v>6</v>
      </c>
      <c r="AA13" s="143"/>
      <c r="AB13" s="143"/>
      <c r="AC13" s="144"/>
      <c r="AD13" s="145">
        <v>7</v>
      </c>
      <c r="AE13" s="143"/>
      <c r="AF13" s="143"/>
      <c r="AG13" s="144"/>
      <c r="AH13" s="146" t="s">
        <v>47</v>
      </c>
    </row>
    <row r="14" spans="1:39" ht="33" customHeight="1">
      <c r="A14" s="83" t="s">
        <v>1</v>
      </c>
      <c r="B14" s="83" t="s">
        <v>2</v>
      </c>
      <c r="C14" s="83" t="s">
        <v>3</v>
      </c>
      <c r="D14" s="84" t="s">
        <v>4</v>
      </c>
      <c r="E14" s="85" t="s">
        <v>5</v>
      </c>
      <c r="F14" s="86"/>
      <c r="G14" s="86"/>
      <c r="H14" s="86" t="s">
        <v>556</v>
      </c>
      <c r="I14" s="87" t="s">
        <v>557</v>
      </c>
      <c r="J14" s="88"/>
      <c r="K14" s="86"/>
      <c r="L14" s="86" t="s">
        <v>556</v>
      </c>
      <c r="M14" s="87" t="s">
        <v>557</v>
      </c>
      <c r="N14" s="88"/>
      <c r="O14" s="86"/>
      <c r="P14" s="86" t="s">
        <v>556</v>
      </c>
      <c r="Q14" s="87" t="s">
        <v>557</v>
      </c>
      <c r="R14" s="88"/>
      <c r="S14" s="86"/>
      <c r="T14" s="86" t="s">
        <v>556</v>
      </c>
      <c r="U14" s="87" t="s">
        <v>557</v>
      </c>
      <c r="V14" s="88"/>
      <c r="W14" s="86"/>
      <c r="X14" s="86" t="s">
        <v>556</v>
      </c>
      <c r="Y14" s="87" t="s">
        <v>557</v>
      </c>
      <c r="Z14" s="88"/>
      <c r="AA14" s="86"/>
      <c r="AB14" s="86" t="s">
        <v>556</v>
      </c>
      <c r="AC14" s="87" t="s">
        <v>557</v>
      </c>
      <c r="AD14" s="88"/>
      <c r="AE14" s="86"/>
      <c r="AF14" s="86" t="s">
        <v>556</v>
      </c>
      <c r="AG14" s="87" t="s">
        <v>557</v>
      </c>
      <c r="AH14" s="146"/>
    </row>
    <row r="15" spans="1:39" ht="24.95" customHeight="1">
      <c r="A15" s="22">
        <v>1</v>
      </c>
      <c r="B15" s="22">
        <v>1</v>
      </c>
      <c r="C15" s="22">
        <v>1010</v>
      </c>
      <c r="D15" s="23" t="str">
        <f t="shared" ref="D15:D36" si="0">VLOOKUP(C15,PLANILLA,2,FALSE)</f>
        <v>ROJAS Melvin</v>
      </c>
      <c r="E15" s="24" t="str">
        <f t="shared" ref="E15:E36" si="1">VLOOKUP(C15,PLANILLA,4,FALSE)</f>
        <v>BOBBYS CYCLING TEAM</v>
      </c>
      <c r="F15" s="3"/>
      <c r="G15" s="15"/>
      <c r="H15" s="3">
        <v>1</v>
      </c>
      <c r="I15" s="25">
        <v>200</v>
      </c>
      <c r="J15" s="33"/>
      <c r="K15" s="22"/>
      <c r="L15" s="22">
        <v>1</v>
      </c>
      <c r="M15" s="34">
        <v>200</v>
      </c>
      <c r="N15" s="32"/>
      <c r="O15" s="30"/>
      <c r="P15" s="3">
        <v>0</v>
      </c>
      <c r="Q15" s="34">
        <f>IFERROR(VLOOKUP(P15,'Puntos XCO'!$A$1:$B$63,2,FALSE),0)</f>
        <v>0</v>
      </c>
      <c r="R15" s="32"/>
      <c r="S15" s="30"/>
      <c r="T15" s="3"/>
      <c r="U15" s="39">
        <f>IFERROR(VLOOKUP(T15,'Puntos XCO'!$A$1:$B$63,2,FALSE),0)</f>
        <v>0</v>
      </c>
      <c r="V15" s="32"/>
      <c r="W15" s="30"/>
      <c r="X15" s="15"/>
      <c r="Y15" s="25">
        <f>IFERROR(VLOOKUP(X15,'Puntos XCO'!$A$1:$B$63,2,FALSE),0)</f>
        <v>0</v>
      </c>
      <c r="Z15" s="16">
        <f t="shared" ref="Z15:Z36" si="2">IFERROR(VLOOKUP($C15,RESXCC_1,9,FALSE),0)</f>
        <v>0</v>
      </c>
      <c r="AA15" s="15">
        <f>IFERROR(VLOOKUP(Z15,'Puntos XCC Mayor'!$A$1:$B$15,2,FALSE),0)</f>
        <v>0</v>
      </c>
      <c r="AB15" s="15">
        <f t="shared" ref="AB15:AB36" si="3">IFERROR(VLOOKUP($C15,RESXCO,9,FALSE),0)</f>
        <v>0</v>
      </c>
      <c r="AC15" s="25">
        <f>IFERROR(VLOOKUP(AB15,'Puntos XCO'!$A$1:$B$63,2,FALSE),0)</f>
        <v>0</v>
      </c>
      <c r="AD15" s="16"/>
      <c r="AE15" s="15"/>
      <c r="AF15" s="15"/>
      <c r="AG15" s="25"/>
      <c r="AH15" s="27">
        <f>G15+I15+K15+M15+O15+Q15+S15+U15+W15+Y15+AA15+AC15+AE15+AG15</f>
        <v>400</v>
      </c>
      <c r="AJ15" s="2"/>
      <c r="AK15" s="13"/>
      <c r="AL15" s="12"/>
      <c r="AM15" s="14"/>
    </row>
    <row r="16" spans="1:39" ht="24.95" customHeight="1">
      <c r="A16" s="22">
        <v>2</v>
      </c>
      <c r="B16" s="22">
        <v>2</v>
      </c>
      <c r="C16" s="22">
        <v>1009</v>
      </c>
      <c r="D16" s="23" t="str">
        <f t="shared" si="0"/>
        <v>HERRERA Jeffrey</v>
      </c>
      <c r="E16" s="24" t="str">
        <f t="shared" si="1"/>
        <v>TEAM CORECO/MOMENTUM SPORTS</v>
      </c>
      <c r="F16" s="3"/>
      <c r="G16" s="15"/>
      <c r="H16" s="3">
        <v>2</v>
      </c>
      <c r="I16" s="25">
        <v>150</v>
      </c>
      <c r="J16" s="33"/>
      <c r="K16" s="22"/>
      <c r="L16" s="22">
        <v>4</v>
      </c>
      <c r="M16" s="34">
        <v>110</v>
      </c>
      <c r="N16" s="32"/>
      <c r="O16" s="30"/>
      <c r="P16" s="3">
        <v>0</v>
      </c>
      <c r="Q16" s="34">
        <f>IFERROR(VLOOKUP(P16,'Puntos XCO'!$A$1:$B$63,2,FALSE),0)</f>
        <v>0</v>
      </c>
      <c r="R16" s="32"/>
      <c r="S16" s="30"/>
      <c r="T16" s="3"/>
      <c r="U16" s="39">
        <f>IFERROR(VLOOKUP(T16,'Puntos XCO'!$A$1:$B$63,2,FALSE),0)</f>
        <v>0</v>
      </c>
      <c r="V16" s="32"/>
      <c r="W16" s="30"/>
      <c r="X16" s="15"/>
      <c r="Y16" s="25">
        <f>IFERROR(VLOOKUP(X16,'Puntos XCO'!$A$1:$B$63,2,FALSE),0)</f>
        <v>0</v>
      </c>
      <c r="Z16" s="16">
        <f t="shared" si="2"/>
        <v>0</v>
      </c>
      <c r="AA16" s="15">
        <f>IFERROR(VLOOKUP(Z16,'Puntos XCC Mayor'!$A$1:$B$15,2,FALSE),0)</f>
        <v>0</v>
      </c>
      <c r="AB16" s="15">
        <f t="shared" si="3"/>
        <v>0</v>
      </c>
      <c r="AC16" s="25">
        <f>IFERROR(VLOOKUP(AB16,'Puntos XCO'!$A$1:$B$63,2,FALSE),0)</f>
        <v>0</v>
      </c>
      <c r="AD16" s="16"/>
      <c r="AE16" s="15"/>
      <c r="AF16" s="15"/>
      <c r="AG16" s="25"/>
      <c r="AH16" s="27">
        <f t="shared" ref="AH16:AH36" si="4">G16+I16+K16+M16+O16+Q16+S16+U16+W16+Y16+AA16+AC16+AE16+AG16</f>
        <v>260</v>
      </c>
      <c r="AJ16" s="2"/>
      <c r="AK16" s="13"/>
      <c r="AL16" s="12"/>
      <c r="AM16" s="14"/>
    </row>
    <row r="17" spans="1:39" ht="24.95" customHeight="1">
      <c r="A17" s="22">
        <v>3</v>
      </c>
      <c r="B17" s="22">
        <v>3</v>
      </c>
      <c r="C17" s="22">
        <v>1011</v>
      </c>
      <c r="D17" s="23" t="str">
        <f t="shared" si="0"/>
        <v>MONGE Andres</v>
      </c>
      <c r="E17" s="24" t="str">
        <f t="shared" si="1"/>
        <v>POWERCYCLING STORE</v>
      </c>
      <c r="F17" s="3"/>
      <c r="G17" s="15"/>
      <c r="H17" s="3">
        <v>4</v>
      </c>
      <c r="I17" s="25">
        <v>110</v>
      </c>
      <c r="J17" s="33"/>
      <c r="K17" s="22"/>
      <c r="L17" s="22">
        <v>3</v>
      </c>
      <c r="M17" s="34">
        <v>120</v>
      </c>
      <c r="N17" s="32"/>
      <c r="O17" s="30"/>
      <c r="P17" s="3">
        <v>0</v>
      </c>
      <c r="Q17" s="34">
        <f>IFERROR(VLOOKUP(P17,'Puntos XCO'!$A$1:$B$63,2,FALSE),0)</f>
        <v>0</v>
      </c>
      <c r="R17" s="32"/>
      <c r="S17" s="30"/>
      <c r="T17" s="3"/>
      <c r="U17" s="39">
        <f>IFERROR(VLOOKUP(T17,'Puntos XCO'!$A$1:$B$63,2,FALSE),0)</f>
        <v>0</v>
      </c>
      <c r="V17" s="32"/>
      <c r="W17" s="30"/>
      <c r="X17" s="15"/>
      <c r="Y17" s="25">
        <f>IFERROR(VLOOKUP(X17,'Puntos XCO'!$A$1:$B$63,2,FALSE),0)</f>
        <v>0</v>
      </c>
      <c r="Z17" s="16">
        <f t="shared" si="2"/>
        <v>0</v>
      </c>
      <c r="AA17" s="15">
        <f>IFERROR(VLOOKUP(Z17,'Puntos XCC Mayor'!$A$1:$B$15,2,FALSE),0)</f>
        <v>0</v>
      </c>
      <c r="AB17" s="15">
        <f t="shared" si="3"/>
        <v>0</v>
      </c>
      <c r="AC17" s="25">
        <f>IFERROR(VLOOKUP(AB17,'Puntos XCO'!$A$1:$B$63,2,FALSE),0)</f>
        <v>0</v>
      </c>
      <c r="AD17" s="16"/>
      <c r="AE17" s="15"/>
      <c r="AF17" s="15"/>
      <c r="AG17" s="25"/>
      <c r="AH17" s="27">
        <f t="shared" si="4"/>
        <v>230</v>
      </c>
      <c r="AJ17" s="2"/>
      <c r="AK17" s="13"/>
      <c r="AL17" s="12"/>
      <c r="AM17" s="14"/>
    </row>
    <row r="18" spans="1:39" ht="24.95" customHeight="1">
      <c r="A18" s="22">
        <v>4</v>
      </c>
      <c r="B18" s="22">
        <v>4</v>
      </c>
      <c r="C18" s="22">
        <v>1018</v>
      </c>
      <c r="D18" s="23" t="str">
        <f t="shared" si="0"/>
        <v xml:space="preserve">MEZA Alexander </v>
      </c>
      <c r="E18" s="24" t="str">
        <f t="shared" si="1"/>
        <v xml:space="preserve">AGENCIADAGRO </v>
      </c>
      <c r="F18" s="3"/>
      <c r="G18" s="15"/>
      <c r="H18" s="3">
        <v>7</v>
      </c>
      <c r="I18" s="25">
        <v>90</v>
      </c>
      <c r="J18" s="33"/>
      <c r="K18" s="22"/>
      <c r="L18" s="22">
        <v>5</v>
      </c>
      <c r="M18" s="34">
        <v>100</v>
      </c>
      <c r="N18" s="32"/>
      <c r="O18" s="30"/>
      <c r="P18" s="3">
        <v>0</v>
      </c>
      <c r="Q18" s="34">
        <f>IFERROR(VLOOKUP(P18,'Puntos XCO'!$A$1:$B$63,2,FALSE),0)</f>
        <v>0</v>
      </c>
      <c r="R18" s="32"/>
      <c r="S18" s="30"/>
      <c r="T18" s="3"/>
      <c r="U18" s="39">
        <f>IFERROR(VLOOKUP(T18,'Puntos XCO'!$A$1:$B$63,2,FALSE),0)</f>
        <v>0</v>
      </c>
      <c r="V18" s="32"/>
      <c r="W18" s="30"/>
      <c r="X18" s="15"/>
      <c r="Y18" s="25">
        <f>IFERROR(VLOOKUP(X18,'Puntos XCO'!$A$1:$B$63,2,FALSE),0)</f>
        <v>0</v>
      </c>
      <c r="Z18" s="16">
        <f t="shared" si="2"/>
        <v>0</v>
      </c>
      <c r="AA18" s="15">
        <f>IFERROR(VLOOKUP(Z18,'Puntos XCC Mayor'!$A$1:$B$15,2,FALSE),0)</f>
        <v>0</v>
      </c>
      <c r="AB18" s="15">
        <f t="shared" si="3"/>
        <v>0</v>
      </c>
      <c r="AC18" s="25">
        <f>IFERROR(VLOOKUP(AB18,'Puntos XCO'!$A$1:$B$63,2,FALSE),0)</f>
        <v>0</v>
      </c>
      <c r="AD18" s="16"/>
      <c r="AE18" s="15"/>
      <c r="AF18" s="15"/>
      <c r="AG18" s="25"/>
      <c r="AH18" s="27">
        <f t="shared" si="4"/>
        <v>190</v>
      </c>
      <c r="AJ18" s="2"/>
      <c r="AK18" s="13"/>
      <c r="AL18" s="12"/>
      <c r="AM18" s="14"/>
    </row>
    <row r="19" spans="1:39" ht="24.95" customHeight="1">
      <c r="A19" s="22">
        <v>5</v>
      </c>
      <c r="B19" s="22">
        <v>5</v>
      </c>
      <c r="C19" s="22">
        <v>1002</v>
      </c>
      <c r="D19" s="23" t="str">
        <f t="shared" si="0"/>
        <v xml:space="preserve">DOBLES  Chisthpher </v>
      </c>
      <c r="E19" s="24" t="str">
        <f t="shared" si="1"/>
        <v xml:space="preserve">CONGELADOS ADIS / PROTUBE /OKAPI DRINKS / TODO CR </v>
      </c>
      <c r="F19" s="3"/>
      <c r="G19" s="15"/>
      <c r="H19" s="3">
        <v>0</v>
      </c>
      <c r="I19" s="25">
        <v>0</v>
      </c>
      <c r="J19" s="33"/>
      <c r="K19" s="22"/>
      <c r="L19" s="22">
        <v>2</v>
      </c>
      <c r="M19" s="34">
        <v>150</v>
      </c>
      <c r="N19" s="32"/>
      <c r="O19" s="30"/>
      <c r="P19" s="3">
        <v>0</v>
      </c>
      <c r="Q19" s="34">
        <f>IFERROR(VLOOKUP(P19,'Puntos XCO'!$A$1:$B$63,2,FALSE),0)</f>
        <v>0</v>
      </c>
      <c r="R19" s="32"/>
      <c r="S19" s="30"/>
      <c r="T19" s="3"/>
      <c r="U19" s="39">
        <f>IFERROR(VLOOKUP(T19,'Puntos XCO'!$A$1:$B$63,2,FALSE),0)</f>
        <v>0</v>
      </c>
      <c r="V19" s="32"/>
      <c r="W19" s="30"/>
      <c r="X19" s="15"/>
      <c r="Y19" s="25">
        <f>IFERROR(VLOOKUP(X19,'Puntos XCO'!$A$1:$B$63,2,FALSE),0)</f>
        <v>0</v>
      </c>
      <c r="Z19" s="16">
        <f t="shared" si="2"/>
        <v>0</v>
      </c>
      <c r="AA19" s="15">
        <f>IFERROR(VLOOKUP(Z19,'Puntos XCC Mayor'!$A$1:$B$15,2,FALSE),0)</f>
        <v>0</v>
      </c>
      <c r="AB19" s="15">
        <f t="shared" si="3"/>
        <v>0</v>
      </c>
      <c r="AC19" s="25">
        <f>IFERROR(VLOOKUP(AB19,'Puntos XCO'!$A$1:$B$63,2,FALSE),0)</f>
        <v>0</v>
      </c>
      <c r="AD19" s="16"/>
      <c r="AE19" s="15"/>
      <c r="AF19" s="15"/>
      <c r="AG19" s="25"/>
      <c r="AH19" s="27">
        <f t="shared" si="4"/>
        <v>150</v>
      </c>
      <c r="AJ19" s="2"/>
      <c r="AK19" s="13"/>
      <c r="AL19" s="12"/>
      <c r="AM19" s="14"/>
    </row>
    <row r="20" spans="1:39" ht="24.95" customHeight="1">
      <c r="A20" s="22">
        <v>6</v>
      </c>
      <c r="B20" s="22">
        <v>6</v>
      </c>
      <c r="C20" s="22">
        <v>1016</v>
      </c>
      <c r="D20" s="23" t="str">
        <f t="shared" si="0"/>
        <v xml:space="preserve">BOLAÑOS Jean Carlo </v>
      </c>
      <c r="E20" s="24" t="str">
        <f t="shared" si="1"/>
        <v xml:space="preserve">TEAM BIKE CENTER COSTA RICA </v>
      </c>
      <c r="F20" s="3"/>
      <c r="G20" s="15"/>
      <c r="H20" s="3">
        <v>3</v>
      </c>
      <c r="I20" s="25">
        <v>120</v>
      </c>
      <c r="J20" s="33"/>
      <c r="K20" s="22"/>
      <c r="L20" s="22">
        <v>0</v>
      </c>
      <c r="M20" s="34">
        <v>0</v>
      </c>
      <c r="N20" s="32"/>
      <c r="O20" s="30"/>
      <c r="P20" s="3">
        <v>0</v>
      </c>
      <c r="Q20" s="34">
        <f>IFERROR(VLOOKUP(P20,'Puntos XCO'!$A$1:$B$63,2,FALSE),0)</f>
        <v>0</v>
      </c>
      <c r="R20" s="32"/>
      <c r="S20" s="30"/>
      <c r="T20" s="3"/>
      <c r="U20" s="39">
        <f>IFERROR(VLOOKUP(T20,'Puntos XCO'!$A$1:$B$63,2,FALSE),0)</f>
        <v>0</v>
      </c>
      <c r="V20" s="32"/>
      <c r="W20" s="30"/>
      <c r="X20" s="15"/>
      <c r="Y20" s="25">
        <f>IFERROR(VLOOKUP(X20,'Puntos XCO'!$A$1:$B$63,2,FALSE),0)</f>
        <v>0</v>
      </c>
      <c r="Z20" s="16">
        <f t="shared" si="2"/>
        <v>0</v>
      </c>
      <c r="AA20" s="15">
        <f>IFERROR(VLOOKUP(Z20,'Puntos XCC Mayor'!$A$1:$B$15,2,FALSE),0)</f>
        <v>0</v>
      </c>
      <c r="AB20" s="15">
        <f t="shared" si="3"/>
        <v>0</v>
      </c>
      <c r="AC20" s="25">
        <f>IFERROR(VLOOKUP(AB20,'Puntos XCO'!$A$1:$B$63,2,FALSE),0)</f>
        <v>0</v>
      </c>
      <c r="AD20" s="16"/>
      <c r="AE20" s="15"/>
      <c r="AF20" s="15"/>
      <c r="AG20" s="25"/>
      <c r="AH20" s="27">
        <f t="shared" si="4"/>
        <v>120</v>
      </c>
      <c r="AJ20" s="2"/>
      <c r="AK20" s="13"/>
      <c r="AL20" s="12"/>
      <c r="AM20" s="14"/>
    </row>
    <row r="21" spans="1:39" ht="24.95" customHeight="1">
      <c r="A21" s="22">
        <v>7</v>
      </c>
      <c r="B21" s="22">
        <v>7</v>
      </c>
      <c r="C21" s="22">
        <v>1014</v>
      </c>
      <c r="D21" s="23" t="str">
        <f t="shared" si="0"/>
        <v>MENESES  Mario Alfredo</v>
      </c>
      <c r="E21" s="24" t="str">
        <f t="shared" si="1"/>
        <v>ADNBIKESCR</v>
      </c>
      <c r="F21" s="3"/>
      <c r="G21" s="15"/>
      <c r="H21" s="3">
        <v>5</v>
      </c>
      <c r="I21" s="25">
        <v>100</v>
      </c>
      <c r="J21" s="33"/>
      <c r="K21" s="22"/>
      <c r="L21" s="22">
        <v>0</v>
      </c>
      <c r="M21" s="34">
        <v>0</v>
      </c>
      <c r="N21" s="32"/>
      <c r="O21" s="30"/>
      <c r="P21" s="3">
        <v>0</v>
      </c>
      <c r="Q21" s="34">
        <f>IFERROR(VLOOKUP(P21,'Puntos XCO'!$A$1:$B$63,2,FALSE),0)</f>
        <v>0</v>
      </c>
      <c r="R21" s="32"/>
      <c r="S21" s="30"/>
      <c r="T21" s="3"/>
      <c r="U21" s="39">
        <f>IFERROR(VLOOKUP(T21,'Puntos XCO'!$A$1:$B$63,2,FALSE),0)</f>
        <v>0</v>
      </c>
      <c r="V21" s="32"/>
      <c r="W21" s="30"/>
      <c r="X21" s="15"/>
      <c r="Y21" s="25">
        <f>IFERROR(VLOOKUP(X21,'Puntos XCO'!$A$1:$B$63,2,FALSE),0)</f>
        <v>0</v>
      </c>
      <c r="Z21" s="16">
        <f t="shared" si="2"/>
        <v>0</v>
      </c>
      <c r="AA21" s="15">
        <f>IFERROR(VLOOKUP(Z21,'Puntos XCC Mayor'!$A$1:$B$15,2,FALSE),0)</f>
        <v>0</v>
      </c>
      <c r="AB21" s="15">
        <f t="shared" si="3"/>
        <v>0</v>
      </c>
      <c r="AC21" s="25">
        <f>IFERROR(VLOOKUP(AB21,'Puntos XCO'!$A$1:$B$63,2,FALSE),0)</f>
        <v>0</v>
      </c>
      <c r="AD21" s="16"/>
      <c r="AE21" s="15"/>
      <c r="AF21" s="15"/>
      <c r="AG21" s="25"/>
      <c r="AH21" s="27">
        <f t="shared" si="4"/>
        <v>100</v>
      </c>
      <c r="AJ21" s="2"/>
      <c r="AK21" s="13"/>
      <c r="AL21" s="12"/>
      <c r="AM21" s="14"/>
    </row>
    <row r="22" spans="1:39" ht="24.95" customHeight="1">
      <c r="A22" s="22">
        <v>8</v>
      </c>
      <c r="B22" s="22">
        <v>8</v>
      </c>
      <c r="C22" s="22">
        <v>1013</v>
      </c>
      <c r="D22" s="23" t="str">
        <f t="shared" si="0"/>
        <v>ZUÑIGA Douglas</v>
      </c>
      <c r="E22" s="24" t="str">
        <f t="shared" si="1"/>
        <v>GAVIA88</v>
      </c>
      <c r="F22" s="3"/>
      <c r="G22" s="15"/>
      <c r="H22" s="3">
        <v>6</v>
      </c>
      <c r="I22" s="25">
        <v>95</v>
      </c>
      <c r="J22" s="33"/>
      <c r="K22" s="22"/>
      <c r="L22" s="22">
        <v>0</v>
      </c>
      <c r="M22" s="34">
        <v>0</v>
      </c>
      <c r="N22" s="32"/>
      <c r="O22" s="30"/>
      <c r="P22" s="3">
        <v>0</v>
      </c>
      <c r="Q22" s="34">
        <f>IFERROR(VLOOKUP(P22,'Puntos XCO'!$A$1:$B$63,2,FALSE),0)</f>
        <v>0</v>
      </c>
      <c r="R22" s="32"/>
      <c r="S22" s="30"/>
      <c r="T22" s="3"/>
      <c r="U22" s="39">
        <f>IFERROR(VLOOKUP(T22,'Puntos XCO'!$A$1:$B$63,2,FALSE),0)</f>
        <v>0</v>
      </c>
      <c r="V22" s="32"/>
      <c r="W22" s="30"/>
      <c r="X22" s="15"/>
      <c r="Y22" s="25">
        <f>IFERROR(VLOOKUP(X22,'Puntos XCO'!$A$1:$B$63,2,FALSE),0)</f>
        <v>0</v>
      </c>
      <c r="Z22" s="16">
        <f t="shared" si="2"/>
        <v>0</v>
      </c>
      <c r="AA22" s="15">
        <f>IFERROR(VLOOKUP(Z22,'Puntos XCC Mayor'!$A$1:$B$15,2,FALSE),0)</f>
        <v>0</v>
      </c>
      <c r="AB22" s="15">
        <f t="shared" si="3"/>
        <v>0</v>
      </c>
      <c r="AC22" s="25">
        <f>IFERROR(VLOOKUP(AB22,'Puntos XCO'!$A$1:$B$63,2,FALSE),0)</f>
        <v>0</v>
      </c>
      <c r="AD22" s="16"/>
      <c r="AE22" s="15"/>
      <c r="AF22" s="15"/>
      <c r="AG22" s="25"/>
      <c r="AH22" s="27">
        <f t="shared" si="4"/>
        <v>95</v>
      </c>
      <c r="AJ22" s="2"/>
      <c r="AK22" s="13"/>
      <c r="AL22" s="12"/>
      <c r="AM22" s="14"/>
    </row>
    <row r="23" spans="1:39" ht="24.95" customHeight="1">
      <c r="A23" s="22">
        <v>9</v>
      </c>
      <c r="B23" s="22">
        <v>9</v>
      </c>
      <c r="C23" s="22">
        <v>1020</v>
      </c>
      <c r="D23" s="23" t="str">
        <f t="shared" si="0"/>
        <v xml:space="preserve">CHAVES  Luis </v>
      </c>
      <c r="E23" s="24" t="str">
        <f t="shared" si="1"/>
        <v xml:space="preserve">ESC CIC GUIDO BLANCO </v>
      </c>
      <c r="F23" s="3"/>
      <c r="G23" s="15"/>
      <c r="H23" s="3"/>
      <c r="I23" s="25"/>
      <c r="J23" s="33"/>
      <c r="K23" s="22"/>
      <c r="L23" s="22">
        <v>6</v>
      </c>
      <c r="M23" s="34">
        <v>95</v>
      </c>
      <c r="N23" s="32"/>
      <c r="O23" s="30"/>
      <c r="P23" s="3">
        <v>0</v>
      </c>
      <c r="Q23" s="34">
        <f>IFERROR(VLOOKUP(P23,'Puntos XCO'!$A$1:$B$63,2,FALSE),0)</f>
        <v>0</v>
      </c>
      <c r="R23" s="32"/>
      <c r="S23" s="30"/>
      <c r="T23" s="3"/>
      <c r="U23" s="39">
        <f>IFERROR(VLOOKUP(T23,'Puntos XCO'!$A$1:$B$63,2,FALSE),0)</f>
        <v>0</v>
      </c>
      <c r="V23" s="32"/>
      <c r="W23" s="30"/>
      <c r="X23" s="15"/>
      <c r="Y23" s="25">
        <f>IFERROR(VLOOKUP(X23,'Puntos XCO'!$A$1:$B$63,2,FALSE),0)</f>
        <v>0</v>
      </c>
      <c r="Z23" s="16">
        <f t="shared" si="2"/>
        <v>0</v>
      </c>
      <c r="AA23" s="15">
        <f>IFERROR(VLOOKUP(Z23,'Puntos XCC Mayor'!$A$1:$B$15,2,FALSE),0)</f>
        <v>0</v>
      </c>
      <c r="AB23" s="15">
        <f t="shared" si="3"/>
        <v>0</v>
      </c>
      <c r="AC23" s="25">
        <f>IFERROR(VLOOKUP(AB23,'Puntos XCO'!$A$1:$B$63,2,FALSE),0)</f>
        <v>0</v>
      </c>
      <c r="AD23" s="16"/>
      <c r="AE23" s="15"/>
      <c r="AF23" s="15"/>
      <c r="AG23" s="25"/>
      <c r="AH23" s="27">
        <f t="shared" si="4"/>
        <v>95</v>
      </c>
      <c r="AJ23" s="2"/>
      <c r="AK23" s="13"/>
      <c r="AL23" s="12"/>
      <c r="AM23" s="14"/>
    </row>
    <row r="24" spans="1:39" ht="24.95" customHeight="1">
      <c r="A24" s="22">
        <v>10</v>
      </c>
      <c r="B24" s="22">
        <v>10</v>
      </c>
      <c r="C24" s="22">
        <v>1021</v>
      </c>
      <c r="D24" s="23" t="str">
        <f t="shared" si="0"/>
        <v>JIMENEZ Jefry</v>
      </c>
      <c r="E24" s="24" t="str">
        <f t="shared" si="1"/>
        <v>TEAM A+</v>
      </c>
      <c r="F24" s="3"/>
      <c r="G24" s="15"/>
      <c r="H24" s="3"/>
      <c r="I24" s="25"/>
      <c r="J24" s="33"/>
      <c r="K24" s="22"/>
      <c r="L24" s="22">
        <v>7</v>
      </c>
      <c r="M24" s="34">
        <v>90</v>
      </c>
      <c r="N24" s="32"/>
      <c r="O24" s="30"/>
      <c r="P24" s="3">
        <v>0</v>
      </c>
      <c r="Q24" s="34">
        <f>IFERROR(VLOOKUP(P24,'Puntos XCO'!$A$1:$B$63,2,FALSE),0)</f>
        <v>0</v>
      </c>
      <c r="R24" s="32"/>
      <c r="S24" s="30"/>
      <c r="T24" s="3"/>
      <c r="U24" s="39">
        <f>IFERROR(VLOOKUP(T24,'Puntos XCO'!$A$1:$B$63,2,FALSE),0)</f>
        <v>0</v>
      </c>
      <c r="V24" s="32"/>
      <c r="W24" s="30"/>
      <c r="X24" s="15"/>
      <c r="Y24" s="25">
        <f>IFERROR(VLOOKUP(X24,'Puntos XCO'!$A$1:$B$63,2,FALSE),0)</f>
        <v>0</v>
      </c>
      <c r="Z24" s="16">
        <f t="shared" si="2"/>
        <v>0</v>
      </c>
      <c r="AA24" s="15">
        <f>IFERROR(VLOOKUP(Z24,'Puntos XCC Mayor'!$A$1:$B$15,2,FALSE),0)</f>
        <v>0</v>
      </c>
      <c r="AB24" s="15">
        <f t="shared" si="3"/>
        <v>0</v>
      </c>
      <c r="AC24" s="25">
        <f>IFERROR(VLOOKUP(AB24,'Puntos XCO'!$A$1:$B$63,2,FALSE),0)</f>
        <v>0</v>
      </c>
      <c r="AD24" s="16"/>
      <c r="AE24" s="15"/>
      <c r="AF24" s="15"/>
      <c r="AG24" s="25"/>
      <c r="AH24" s="27">
        <f t="shared" si="4"/>
        <v>90</v>
      </c>
      <c r="AJ24" s="2"/>
      <c r="AK24" s="13"/>
      <c r="AL24" s="12"/>
      <c r="AM24" s="14"/>
    </row>
    <row r="25" spans="1:39" ht="24.95" customHeight="1">
      <c r="A25" s="22">
        <v>11</v>
      </c>
      <c r="B25" s="22">
        <v>11</v>
      </c>
      <c r="C25" s="22">
        <v>1015</v>
      </c>
      <c r="D25" s="23" t="str">
        <f t="shared" si="0"/>
        <v>JIMENEZ Carlos Eduardo</v>
      </c>
      <c r="E25" s="24" t="str">
        <f t="shared" si="1"/>
        <v>BIKEWAY/ADAMAGRO</v>
      </c>
      <c r="F25" s="3"/>
      <c r="G25" s="15"/>
      <c r="H25" s="3">
        <v>8</v>
      </c>
      <c r="I25" s="25">
        <v>85</v>
      </c>
      <c r="J25" s="33"/>
      <c r="K25" s="22"/>
      <c r="L25" s="22">
        <v>0</v>
      </c>
      <c r="M25" s="34">
        <v>0</v>
      </c>
      <c r="N25" s="32"/>
      <c r="O25" s="30"/>
      <c r="P25" s="3">
        <v>0</v>
      </c>
      <c r="Q25" s="34">
        <f>IFERROR(VLOOKUP(P25,'Puntos XCO'!$A$1:$B$63,2,FALSE),0)</f>
        <v>0</v>
      </c>
      <c r="R25" s="32"/>
      <c r="S25" s="30"/>
      <c r="T25" s="3"/>
      <c r="U25" s="39">
        <f>IFERROR(VLOOKUP(T25,'Puntos XCO'!$A$1:$B$63,2,FALSE),0)</f>
        <v>0</v>
      </c>
      <c r="V25" s="32"/>
      <c r="W25" s="30"/>
      <c r="X25" s="15"/>
      <c r="Y25" s="25">
        <f>IFERROR(VLOOKUP(X25,'Puntos XCO'!$A$1:$B$63,2,FALSE),0)</f>
        <v>0</v>
      </c>
      <c r="Z25" s="16">
        <f t="shared" si="2"/>
        <v>0</v>
      </c>
      <c r="AA25" s="15">
        <f>IFERROR(VLOOKUP(Z25,'Puntos XCC Mayor'!$A$1:$B$15,2,FALSE),0)</f>
        <v>0</v>
      </c>
      <c r="AB25" s="15">
        <f t="shared" si="3"/>
        <v>0</v>
      </c>
      <c r="AC25" s="25">
        <f>IFERROR(VLOOKUP(AB25,'Puntos XCO'!$A$1:$B$63,2,FALSE),0)</f>
        <v>0</v>
      </c>
      <c r="AD25" s="16"/>
      <c r="AE25" s="15"/>
      <c r="AF25" s="15"/>
      <c r="AG25" s="25"/>
      <c r="AH25" s="27">
        <f t="shared" si="4"/>
        <v>85</v>
      </c>
      <c r="AJ25" s="2"/>
      <c r="AK25" s="13"/>
      <c r="AL25" s="12"/>
      <c r="AM25" s="14"/>
    </row>
    <row r="26" spans="1:39" ht="24.95" customHeight="1">
      <c r="A26" s="22">
        <v>12</v>
      </c>
      <c r="B26" s="22">
        <v>12</v>
      </c>
      <c r="C26" s="22">
        <v>1006</v>
      </c>
      <c r="D26" s="23" t="str">
        <f t="shared" si="0"/>
        <v>PESSOA Pablo</v>
      </c>
      <c r="E26" s="24" t="str">
        <f t="shared" si="1"/>
        <v>SCOTT SHIMANO CYCLING TEAM</v>
      </c>
      <c r="F26" s="3"/>
      <c r="G26" s="15"/>
      <c r="H26" s="3">
        <v>9</v>
      </c>
      <c r="I26" s="25">
        <v>80</v>
      </c>
      <c r="J26" s="33"/>
      <c r="K26" s="22"/>
      <c r="L26" s="22">
        <v>0</v>
      </c>
      <c r="M26" s="34">
        <v>0</v>
      </c>
      <c r="N26" s="32"/>
      <c r="O26" s="30"/>
      <c r="P26" s="3">
        <v>0</v>
      </c>
      <c r="Q26" s="34">
        <f>IFERROR(VLOOKUP(P26,'Puntos XCO'!$A$1:$B$63,2,FALSE),0)</f>
        <v>0</v>
      </c>
      <c r="R26" s="32"/>
      <c r="S26" s="30"/>
      <c r="T26" s="3"/>
      <c r="U26" s="39">
        <f>IFERROR(VLOOKUP(T26,'Puntos XCO'!$A$1:$B$63,2,FALSE),0)</f>
        <v>0</v>
      </c>
      <c r="V26" s="32"/>
      <c r="W26" s="30"/>
      <c r="X26" s="15"/>
      <c r="Y26" s="25">
        <f>IFERROR(VLOOKUP(X26,'Puntos XCO'!$A$1:$B$63,2,FALSE),0)</f>
        <v>0</v>
      </c>
      <c r="Z26" s="16">
        <f t="shared" si="2"/>
        <v>0</v>
      </c>
      <c r="AA26" s="15">
        <f>IFERROR(VLOOKUP(Z26,'Puntos XCC Mayor'!$A$1:$B$15,2,FALSE),0)</f>
        <v>0</v>
      </c>
      <c r="AB26" s="15">
        <f t="shared" si="3"/>
        <v>0</v>
      </c>
      <c r="AC26" s="25">
        <f>IFERROR(VLOOKUP(AB26,'Puntos XCO'!$A$1:$B$63,2,FALSE),0)</f>
        <v>0</v>
      </c>
      <c r="AD26" s="16"/>
      <c r="AE26" s="15"/>
      <c r="AF26" s="15"/>
      <c r="AG26" s="25"/>
      <c r="AH26" s="27">
        <f t="shared" si="4"/>
        <v>80</v>
      </c>
      <c r="AJ26" s="2"/>
      <c r="AK26" s="13"/>
      <c r="AL26" s="12"/>
      <c r="AM26" s="14"/>
    </row>
    <row r="27" spans="1:39" ht="24.95" customHeight="1">
      <c r="A27" s="22">
        <v>13</v>
      </c>
      <c r="B27" s="22">
        <v>13</v>
      </c>
      <c r="C27" s="22">
        <v>1001</v>
      </c>
      <c r="D27" s="23" t="str">
        <f t="shared" si="0"/>
        <v xml:space="preserve">TENORIO  Carlos </v>
      </c>
      <c r="E27" s="24" t="str">
        <f t="shared" si="1"/>
        <v>ACISA SARAPIQUI</v>
      </c>
      <c r="F27" s="3"/>
      <c r="G27" s="15"/>
      <c r="H27" s="3">
        <v>10</v>
      </c>
      <c r="I27" s="25">
        <v>78</v>
      </c>
      <c r="J27" s="33"/>
      <c r="K27" s="22"/>
      <c r="L27" s="22">
        <v>0</v>
      </c>
      <c r="M27" s="34">
        <v>0</v>
      </c>
      <c r="N27" s="32"/>
      <c r="O27" s="30"/>
      <c r="P27" s="3">
        <v>0</v>
      </c>
      <c r="Q27" s="34">
        <f>IFERROR(VLOOKUP(P27,'Puntos XCO'!$A$1:$B$63,2,FALSE),0)</f>
        <v>0</v>
      </c>
      <c r="R27" s="32"/>
      <c r="S27" s="30"/>
      <c r="T27" s="3"/>
      <c r="U27" s="39">
        <f>IFERROR(VLOOKUP(T27,'Puntos XCO'!$A$1:$B$63,2,FALSE),0)</f>
        <v>0</v>
      </c>
      <c r="V27" s="32"/>
      <c r="W27" s="30"/>
      <c r="X27" s="15"/>
      <c r="Y27" s="25">
        <f>IFERROR(VLOOKUP(X27,'Puntos XCO'!$A$1:$B$63,2,FALSE),0)</f>
        <v>0</v>
      </c>
      <c r="Z27" s="16">
        <f t="shared" si="2"/>
        <v>0</v>
      </c>
      <c r="AA27" s="15">
        <f>IFERROR(VLOOKUP(Z27,'Puntos XCC Mayor'!$A$1:$B$15,2,FALSE),0)</f>
        <v>0</v>
      </c>
      <c r="AB27" s="15">
        <f t="shared" si="3"/>
        <v>0</v>
      </c>
      <c r="AC27" s="25">
        <f>IFERROR(VLOOKUP(AB27,'Puntos XCO'!$A$1:$B$63,2,FALSE),0)</f>
        <v>0</v>
      </c>
      <c r="AD27" s="16"/>
      <c r="AE27" s="15"/>
      <c r="AF27" s="15"/>
      <c r="AG27" s="25"/>
      <c r="AH27" s="27">
        <f t="shared" si="4"/>
        <v>78</v>
      </c>
      <c r="AJ27" s="2"/>
      <c r="AK27" s="13"/>
      <c r="AL27" s="12"/>
      <c r="AM27" s="14"/>
    </row>
    <row r="28" spans="1:39" ht="24.95" customHeight="1">
      <c r="A28" s="22">
        <v>14</v>
      </c>
      <c r="B28" s="22">
        <v>14</v>
      </c>
      <c r="C28" s="22">
        <v>1004</v>
      </c>
      <c r="D28" s="23" t="str">
        <f t="shared" si="0"/>
        <v xml:space="preserve">RAMIREZ  Cristian </v>
      </c>
      <c r="E28" s="24" t="str">
        <f t="shared" si="1"/>
        <v xml:space="preserve">TEAM RAMIREZ REPAUT </v>
      </c>
      <c r="F28" s="3"/>
      <c r="G28" s="15"/>
      <c r="H28" s="3">
        <v>11</v>
      </c>
      <c r="I28" s="25">
        <v>76</v>
      </c>
      <c r="J28" s="33"/>
      <c r="K28" s="22"/>
      <c r="L28" s="22">
        <v>0</v>
      </c>
      <c r="M28" s="34">
        <v>0</v>
      </c>
      <c r="N28" s="32"/>
      <c r="O28" s="30"/>
      <c r="P28" s="3">
        <v>0</v>
      </c>
      <c r="Q28" s="34">
        <f>IFERROR(VLOOKUP(P28,'Puntos XCO'!$A$1:$B$63,2,FALSE),0)</f>
        <v>0</v>
      </c>
      <c r="R28" s="32"/>
      <c r="S28" s="30"/>
      <c r="T28" s="3"/>
      <c r="U28" s="39">
        <f>IFERROR(VLOOKUP(T28,'Puntos XCO'!$A$1:$B$63,2,FALSE),0)</f>
        <v>0</v>
      </c>
      <c r="V28" s="32"/>
      <c r="W28" s="30"/>
      <c r="X28" s="15"/>
      <c r="Y28" s="25">
        <f>IFERROR(VLOOKUP(X28,'Puntos XCO'!$A$1:$B$63,2,FALSE),0)</f>
        <v>0</v>
      </c>
      <c r="Z28" s="16">
        <f t="shared" si="2"/>
        <v>0</v>
      </c>
      <c r="AA28" s="15">
        <f>IFERROR(VLOOKUP(Z28,'Puntos XCC Mayor'!$A$1:$B$15,2,FALSE),0)</f>
        <v>0</v>
      </c>
      <c r="AB28" s="15">
        <f t="shared" si="3"/>
        <v>0</v>
      </c>
      <c r="AC28" s="25">
        <f>IFERROR(VLOOKUP(AB28,'Puntos XCO'!$A$1:$B$63,2,FALSE),0)</f>
        <v>0</v>
      </c>
      <c r="AD28" s="16"/>
      <c r="AE28" s="15"/>
      <c r="AF28" s="15"/>
      <c r="AG28" s="25"/>
      <c r="AH28" s="27">
        <f t="shared" si="4"/>
        <v>76</v>
      </c>
      <c r="AJ28" s="2"/>
      <c r="AK28" s="13"/>
      <c r="AL28" s="12"/>
      <c r="AM28" s="14"/>
    </row>
    <row r="29" spans="1:39" ht="24.95" customHeight="1">
      <c r="A29" s="22"/>
      <c r="B29" s="3"/>
      <c r="C29" s="22">
        <v>1003</v>
      </c>
      <c r="D29" s="23" t="str">
        <f t="shared" si="0"/>
        <v>REDONDO Mevin</v>
      </c>
      <c r="E29" s="24" t="str">
        <f t="shared" si="1"/>
        <v>BEST PC</v>
      </c>
      <c r="F29" s="3"/>
      <c r="G29" s="15"/>
      <c r="H29" s="3">
        <v>0</v>
      </c>
      <c r="I29" s="25">
        <v>0</v>
      </c>
      <c r="J29" s="33"/>
      <c r="K29" s="22"/>
      <c r="L29" s="22">
        <v>0</v>
      </c>
      <c r="M29" s="34">
        <v>0</v>
      </c>
      <c r="N29" s="32"/>
      <c r="O29" s="30"/>
      <c r="P29" s="3">
        <v>0</v>
      </c>
      <c r="Q29" s="34">
        <f>IFERROR(VLOOKUP(P29,'Puntos XCO'!$A$1:$B$63,2,FALSE),0)</f>
        <v>0</v>
      </c>
      <c r="R29" s="32"/>
      <c r="S29" s="30"/>
      <c r="T29" s="3"/>
      <c r="U29" s="39">
        <f>IFERROR(VLOOKUP(T29,'Puntos XCO'!$A$1:$B$63,2,FALSE),0)</f>
        <v>0</v>
      </c>
      <c r="V29" s="32"/>
      <c r="W29" s="30"/>
      <c r="X29" s="15"/>
      <c r="Y29" s="25">
        <f>IFERROR(VLOOKUP(X29,'Puntos XCO'!$A$1:$B$63,2,FALSE),0)</f>
        <v>0</v>
      </c>
      <c r="Z29" s="16">
        <f t="shared" si="2"/>
        <v>0</v>
      </c>
      <c r="AA29" s="15">
        <f>IFERROR(VLOOKUP(Z29,'Puntos XCC Mayor'!$A$1:$B$15,2,FALSE),0)</f>
        <v>0</v>
      </c>
      <c r="AB29" s="15">
        <f t="shared" si="3"/>
        <v>0</v>
      </c>
      <c r="AC29" s="25">
        <f>IFERROR(VLOOKUP(AB29,'Puntos XCO'!$A$1:$B$63,2,FALSE),0)</f>
        <v>0</v>
      </c>
      <c r="AD29" s="16"/>
      <c r="AE29" s="15"/>
      <c r="AF29" s="15"/>
      <c r="AG29" s="25"/>
      <c r="AH29" s="27">
        <f t="shared" si="4"/>
        <v>0</v>
      </c>
      <c r="AJ29" s="2"/>
      <c r="AK29" s="13"/>
      <c r="AL29" s="12"/>
      <c r="AM29" s="14"/>
    </row>
    <row r="30" spans="1:39" ht="24.95" customHeight="1">
      <c r="A30" s="22"/>
      <c r="B30" s="3"/>
      <c r="C30" s="22">
        <v>1005</v>
      </c>
      <c r="D30" s="23" t="str">
        <f t="shared" si="0"/>
        <v>GUZMÁN Alex</v>
      </c>
      <c r="E30" s="24" t="str">
        <f t="shared" si="1"/>
        <v>ACISA</v>
      </c>
      <c r="F30" s="3"/>
      <c r="G30" s="15"/>
      <c r="H30" s="3">
        <v>0</v>
      </c>
      <c r="I30" s="25">
        <v>0</v>
      </c>
      <c r="J30" s="33"/>
      <c r="K30" s="22"/>
      <c r="L30" s="22">
        <v>0</v>
      </c>
      <c r="M30" s="34">
        <v>0</v>
      </c>
      <c r="N30" s="32"/>
      <c r="O30" s="30"/>
      <c r="P30" s="3">
        <v>0</v>
      </c>
      <c r="Q30" s="34">
        <f>IFERROR(VLOOKUP(P30,'Puntos XCO'!$A$1:$B$63,2,FALSE),0)</f>
        <v>0</v>
      </c>
      <c r="R30" s="32"/>
      <c r="S30" s="30"/>
      <c r="T30" s="3"/>
      <c r="U30" s="39">
        <f>IFERROR(VLOOKUP(T30,'Puntos XCO'!$A$1:$B$63,2,FALSE),0)</f>
        <v>0</v>
      </c>
      <c r="V30" s="32"/>
      <c r="W30" s="30"/>
      <c r="X30" s="15"/>
      <c r="Y30" s="25">
        <f>IFERROR(VLOOKUP(X30,'Puntos XCO'!$A$1:$B$63,2,FALSE),0)</f>
        <v>0</v>
      </c>
      <c r="Z30" s="16">
        <f t="shared" si="2"/>
        <v>0</v>
      </c>
      <c r="AA30" s="15">
        <f>IFERROR(VLOOKUP(Z30,'Puntos XCC Mayor'!$A$1:$B$15,2,FALSE),0)</f>
        <v>0</v>
      </c>
      <c r="AB30" s="15">
        <f t="shared" si="3"/>
        <v>0</v>
      </c>
      <c r="AC30" s="25">
        <f>IFERROR(VLOOKUP(AB30,'Puntos XCO'!$A$1:$B$63,2,FALSE),0)</f>
        <v>0</v>
      </c>
      <c r="AD30" s="16"/>
      <c r="AE30" s="15"/>
      <c r="AF30" s="15"/>
      <c r="AG30" s="25"/>
      <c r="AH30" s="27">
        <f t="shared" si="4"/>
        <v>0</v>
      </c>
      <c r="AJ30" s="2"/>
      <c r="AK30" s="13"/>
      <c r="AL30" s="12"/>
      <c r="AM30" s="14"/>
    </row>
    <row r="31" spans="1:39" ht="24.95" customHeight="1">
      <c r="A31" s="22"/>
      <c r="B31" s="3"/>
      <c r="C31" s="22">
        <v>1007</v>
      </c>
      <c r="D31" s="23" t="str">
        <f t="shared" si="0"/>
        <v>MENA Juan Carlos</v>
      </c>
      <c r="E31" s="24" t="str">
        <f t="shared" si="1"/>
        <v>GOCHA CYCLING TEAM</v>
      </c>
      <c r="F31" s="3"/>
      <c r="G31" s="15"/>
      <c r="H31" s="3">
        <v>0</v>
      </c>
      <c r="I31" s="25">
        <v>0</v>
      </c>
      <c r="J31" s="33"/>
      <c r="K31" s="22"/>
      <c r="L31" s="22">
        <v>0</v>
      </c>
      <c r="M31" s="34">
        <v>0</v>
      </c>
      <c r="N31" s="32"/>
      <c r="O31" s="30"/>
      <c r="P31" s="3">
        <v>0</v>
      </c>
      <c r="Q31" s="34">
        <f>IFERROR(VLOOKUP(P31,'Puntos XCO'!$A$1:$B$63,2,FALSE),0)</f>
        <v>0</v>
      </c>
      <c r="R31" s="32"/>
      <c r="S31" s="30"/>
      <c r="T31" s="3"/>
      <c r="U31" s="39">
        <f>IFERROR(VLOOKUP(T31,'Puntos XCO'!$A$1:$B$63,2,FALSE),0)</f>
        <v>0</v>
      </c>
      <c r="V31" s="32"/>
      <c r="W31" s="30"/>
      <c r="X31" s="15"/>
      <c r="Y31" s="25">
        <f>IFERROR(VLOOKUP(X31,'Puntos XCO'!$A$1:$B$63,2,FALSE),0)</f>
        <v>0</v>
      </c>
      <c r="Z31" s="16">
        <f t="shared" si="2"/>
        <v>0</v>
      </c>
      <c r="AA31" s="15">
        <f>IFERROR(VLOOKUP(Z31,'Puntos XCC Mayor'!$A$1:$B$15,2,FALSE),0)</f>
        <v>0</v>
      </c>
      <c r="AB31" s="15">
        <f t="shared" si="3"/>
        <v>0</v>
      </c>
      <c r="AC31" s="25">
        <f>IFERROR(VLOOKUP(AB31,'Puntos XCO'!$A$1:$B$63,2,FALSE),0)</f>
        <v>0</v>
      </c>
      <c r="AD31" s="16"/>
      <c r="AE31" s="15"/>
      <c r="AF31" s="15"/>
      <c r="AG31" s="25"/>
      <c r="AH31" s="27">
        <f t="shared" si="4"/>
        <v>0</v>
      </c>
      <c r="AJ31" s="2"/>
      <c r="AK31" s="13"/>
      <c r="AL31" s="12"/>
      <c r="AM31" s="14"/>
    </row>
    <row r="32" spans="1:39" ht="24.95" customHeight="1">
      <c r="A32" s="22"/>
      <c r="B32" s="3"/>
      <c r="C32" s="22">
        <v>1008</v>
      </c>
      <c r="D32" s="23" t="str">
        <f t="shared" si="0"/>
        <v>CAMPOS Matias Alejandro</v>
      </c>
      <c r="E32" s="24" t="str">
        <f t="shared" si="1"/>
        <v>PZ CICLYNG TEAM</v>
      </c>
      <c r="F32" s="3"/>
      <c r="G32" s="15"/>
      <c r="H32" s="3">
        <v>0</v>
      </c>
      <c r="I32" s="25">
        <v>0</v>
      </c>
      <c r="J32" s="33"/>
      <c r="K32" s="22"/>
      <c r="L32" s="22">
        <v>0</v>
      </c>
      <c r="M32" s="34">
        <v>0</v>
      </c>
      <c r="N32" s="32"/>
      <c r="O32" s="30"/>
      <c r="P32" s="3">
        <v>0</v>
      </c>
      <c r="Q32" s="34">
        <f>IFERROR(VLOOKUP(P32,'Puntos XCO'!$A$1:$B$63,2,FALSE),0)</f>
        <v>0</v>
      </c>
      <c r="R32" s="32"/>
      <c r="S32" s="30"/>
      <c r="T32" s="3"/>
      <c r="U32" s="39">
        <f>IFERROR(VLOOKUP(T32,'Puntos XCO'!$A$1:$B$63,2,FALSE),0)</f>
        <v>0</v>
      </c>
      <c r="V32" s="32"/>
      <c r="W32" s="30"/>
      <c r="X32" s="15"/>
      <c r="Y32" s="25">
        <f>IFERROR(VLOOKUP(X32,'Puntos XCO'!$A$1:$B$63,2,FALSE),0)</f>
        <v>0</v>
      </c>
      <c r="Z32" s="16">
        <f t="shared" si="2"/>
        <v>0</v>
      </c>
      <c r="AA32" s="15">
        <f>IFERROR(VLOOKUP(Z32,'Puntos XCC Mayor'!$A$1:$B$15,2,FALSE),0)</f>
        <v>0</v>
      </c>
      <c r="AB32" s="15">
        <f t="shared" si="3"/>
        <v>0</v>
      </c>
      <c r="AC32" s="25">
        <f>IFERROR(VLOOKUP(AB32,'Puntos XCO'!$A$1:$B$63,2,FALSE),0)</f>
        <v>0</v>
      </c>
      <c r="AD32" s="16"/>
      <c r="AE32" s="15"/>
      <c r="AF32" s="15"/>
      <c r="AG32" s="25"/>
      <c r="AH32" s="27">
        <f t="shared" si="4"/>
        <v>0</v>
      </c>
      <c r="AJ32" s="2"/>
      <c r="AK32" s="13"/>
      <c r="AL32" s="12"/>
      <c r="AM32" s="14"/>
    </row>
    <row r="33" spans="1:39" ht="24.95" customHeight="1">
      <c r="A33" s="22"/>
      <c r="B33" s="3"/>
      <c r="C33" s="22">
        <v>1012</v>
      </c>
      <c r="D33" s="23" t="str">
        <f t="shared" si="0"/>
        <v>SANDI Hector</v>
      </c>
      <c r="E33" s="24" t="str">
        <f t="shared" si="1"/>
        <v xml:space="preserve">COLYPRO/ANDARIEG@S </v>
      </c>
      <c r="F33" s="3"/>
      <c r="G33" s="15"/>
      <c r="H33" s="3">
        <v>0</v>
      </c>
      <c r="I33" s="25">
        <v>0</v>
      </c>
      <c r="J33" s="33"/>
      <c r="K33" s="22"/>
      <c r="L33" s="22">
        <v>0</v>
      </c>
      <c r="M33" s="34">
        <v>0</v>
      </c>
      <c r="N33" s="32"/>
      <c r="O33" s="30"/>
      <c r="P33" s="3">
        <v>0</v>
      </c>
      <c r="Q33" s="34">
        <f>IFERROR(VLOOKUP(P33,'Puntos XCO'!$A$1:$B$63,2,FALSE),0)</f>
        <v>0</v>
      </c>
      <c r="R33" s="32"/>
      <c r="S33" s="30"/>
      <c r="T33" s="3"/>
      <c r="U33" s="39">
        <f>IFERROR(VLOOKUP(T33,'Puntos XCO'!$A$1:$B$63,2,FALSE),0)</f>
        <v>0</v>
      </c>
      <c r="V33" s="32"/>
      <c r="W33" s="30"/>
      <c r="X33" s="15"/>
      <c r="Y33" s="25">
        <f>IFERROR(VLOOKUP(X33,'Puntos XCO'!$A$1:$B$63,2,FALSE),0)</f>
        <v>0</v>
      </c>
      <c r="Z33" s="16">
        <f t="shared" si="2"/>
        <v>0</v>
      </c>
      <c r="AA33" s="15">
        <f>IFERROR(VLOOKUP(Z33,'Puntos XCC Mayor'!$A$1:$B$15,2,FALSE),0)</f>
        <v>0</v>
      </c>
      <c r="AB33" s="15">
        <f t="shared" si="3"/>
        <v>0</v>
      </c>
      <c r="AC33" s="25">
        <f>IFERROR(VLOOKUP(AB33,'Puntos XCO'!$A$1:$B$63,2,FALSE),0)</f>
        <v>0</v>
      </c>
      <c r="AD33" s="16"/>
      <c r="AE33" s="15"/>
      <c r="AF33" s="15"/>
      <c r="AG33" s="25"/>
      <c r="AH33" s="27">
        <f t="shared" si="4"/>
        <v>0</v>
      </c>
      <c r="AJ33" s="2"/>
      <c r="AK33" s="13"/>
      <c r="AL33" s="12"/>
      <c r="AM33" s="14"/>
    </row>
    <row r="34" spans="1:39" ht="24.95" customHeight="1">
      <c r="A34" s="22"/>
      <c r="B34" s="3"/>
      <c r="C34" s="22">
        <v>1017</v>
      </c>
      <c r="D34" s="23" t="str">
        <f t="shared" si="0"/>
        <v xml:space="preserve">MÉNDEZ  Miguel Alonso </v>
      </c>
      <c r="E34" s="24" t="str">
        <f t="shared" si="1"/>
        <v xml:space="preserve">KOKOS MECHANIC </v>
      </c>
      <c r="F34" s="3"/>
      <c r="G34" s="15"/>
      <c r="H34" s="3">
        <v>0</v>
      </c>
      <c r="I34" s="25">
        <v>0</v>
      </c>
      <c r="J34" s="33"/>
      <c r="K34" s="22"/>
      <c r="L34" s="22">
        <v>0</v>
      </c>
      <c r="M34" s="34">
        <v>0</v>
      </c>
      <c r="N34" s="32"/>
      <c r="O34" s="30"/>
      <c r="P34" s="3">
        <v>0</v>
      </c>
      <c r="Q34" s="34">
        <f>IFERROR(VLOOKUP(P34,'Puntos XCO'!$A$1:$B$63,2,FALSE),0)</f>
        <v>0</v>
      </c>
      <c r="R34" s="32"/>
      <c r="S34" s="30"/>
      <c r="T34" s="3"/>
      <c r="U34" s="39">
        <f>IFERROR(VLOOKUP(T34,'Puntos XCO'!$A$1:$B$63,2,FALSE),0)</f>
        <v>0</v>
      </c>
      <c r="V34" s="32"/>
      <c r="W34" s="30"/>
      <c r="X34" s="15"/>
      <c r="Y34" s="25">
        <f>IFERROR(VLOOKUP(X34,'Puntos XCO'!$A$1:$B$63,2,FALSE),0)</f>
        <v>0</v>
      </c>
      <c r="Z34" s="16">
        <f t="shared" si="2"/>
        <v>0</v>
      </c>
      <c r="AA34" s="15">
        <f>IFERROR(VLOOKUP(Z34,'Puntos XCC Mayor'!$A$1:$B$15,2,FALSE),0)</f>
        <v>0</v>
      </c>
      <c r="AB34" s="15">
        <f t="shared" si="3"/>
        <v>0</v>
      </c>
      <c r="AC34" s="25">
        <f>IFERROR(VLOOKUP(AB34,'Puntos XCO'!$A$1:$B$63,2,FALSE),0)</f>
        <v>0</v>
      </c>
      <c r="AD34" s="16"/>
      <c r="AE34" s="15"/>
      <c r="AF34" s="15"/>
      <c r="AG34" s="25"/>
      <c r="AH34" s="27">
        <f t="shared" si="4"/>
        <v>0</v>
      </c>
      <c r="AJ34" s="2"/>
      <c r="AK34" s="13"/>
      <c r="AL34" s="12"/>
      <c r="AM34" s="14"/>
    </row>
    <row r="35" spans="1:39" ht="24.95" customHeight="1">
      <c r="A35" s="22"/>
      <c r="B35" s="3"/>
      <c r="C35" s="22">
        <v>1019</v>
      </c>
      <c r="D35" s="23" t="str">
        <f t="shared" si="0"/>
        <v>VARGAS Efren</v>
      </c>
      <c r="E35" s="24" t="str">
        <f t="shared" si="1"/>
        <v>TEAM CORECO/MOMENTUM SPORTS</v>
      </c>
      <c r="F35" s="3"/>
      <c r="G35" s="15"/>
      <c r="H35" s="3"/>
      <c r="I35" s="25"/>
      <c r="J35" s="33"/>
      <c r="K35" s="22"/>
      <c r="L35" s="22">
        <v>0</v>
      </c>
      <c r="M35" s="34">
        <v>0</v>
      </c>
      <c r="N35" s="32"/>
      <c r="O35" s="30"/>
      <c r="P35" s="3">
        <v>0</v>
      </c>
      <c r="Q35" s="34">
        <f>IFERROR(VLOOKUP(P35,'Puntos XCO'!$A$1:$B$63,2,FALSE),0)</f>
        <v>0</v>
      </c>
      <c r="R35" s="32"/>
      <c r="S35" s="30"/>
      <c r="T35" s="3"/>
      <c r="U35" s="39">
        <f>IFERROR(VLOOKUP(T35,'Puntos XCO'!$A$1:$B$63,2,FALSE),0)</f>
        <v>0</v>
      </c>
      <c r="V35" s="32"/>
      <c r="W35" s="30"/>
      <c r="X35" s="15"/>
      <c r="Y35" s="25">
        <f>IFERROR(VLOOKUP(X35,'Puntos XCO'!$A$1:$B$63,2,FALSE),0)</f>
        <v>0</v>
      </c>
      <c r="Z35" s="16">
        <f t="shared" si="2"/>
        <v>0</v>
      </c>
      <c r="AA35" s="15">
        <f>IFERROR(VLOOKUP(Z35,'Puntos XCC Mayor'!$A$1:$B$15,2,FALSE),0)</f>
        <v>0</v>
      </c>
      <c r="AB35" s="15">
        <f t="shared" si="3"/>
        <v>0</v>
      </c>
      <c r="AC35" s="25">
        <f>IFERROR(VLOOKUP(AB35,'Puntos XCO'!$A$1:$B$63,2,FALSE),0)</f>
        <v>0</v>
      </c>
      <c r="AD35" s="16"/>
      <c r="AE35" s="15"/>
      <c r="AF35" s="15"/>
      <c r="AG35" s="25"/>
      <c r="AH35" s="27">
        <f t="shared" si="4"/>
        <v>0</v>
      </c>
      <c r="AJ35" s="2"/>
      <c r="AK35" s="13"/>
      <c r="AL35" s="12"/>
      <c r="AM35" s="14"/>
    </row>
    <row r="36" spans="1:39" ht="24.95" customHeight="1">
      <c r="A36" s="22"/>
      <c r="B36" s="3"/>
      <c r="C36" s="22">
        <v>1022</v>
      </c>
      <c r="D36" s="23" t="str">
        <f t="shared" si="0"/>
        <v>VARGAS Gustavo</v>
      </c>
      <c r="E36" s="24" t="str">
        <f t="shared" si="1"/>
        <v>DUROS COMO ROCA</v>
      </c>
      <c r="F36" s="3"/>
      <c r="G36" s="15"/>
      <c r="H36" s="3"/>
      <c r="I36" s="25"/>
      <c r="J36" s="33"/>
      <c r="K36" s="22"/>
      <c r="L36" s="22">
        <v>0</v>
      </c>
      <c r="M36" s="34">
        <v>0</v>
      </c>
      <c r="N36" s="32"/>
      <c r="O36" s="30"/>
      <c r="P36" s="3">
        <v>0</v>
      </c>
      <c r="Q36" s="34">
        <f>IFERROR(VLOOKUP(P36,'Puntos XCO'!$A$1:$B$63,2,FALSE),0)</f>
        <v>0</v>
      </c>
      <c r="R36" s="32"/>
      <c r="S36" s="30"/>
      <c r="T36" s="3"/>
      <c r="U36" s="39">
        <f>IFERROR(VLOOKUP(T36,'Puntos XCO'!$A$1:$B$63,2,FALSE),0)</f>
        <v>0</v>
      </c>
      <c r="V36" s="32"/>
      <c r="W36" s="30"/>
      <c r="X36" s="15"/>
      <c r="Y36" s="25">
        <f>IFERROR(VLOOKUP(X36,'Puntos XCO'!$A$1:$B$63,2,FALSE),0)</f>
        <v>0</v>
      </c>
      <c r="Z36" s="16">
        <f t="shared" si="2"/>
        <v>0</v>
      </c>
      <c r="AA36" s="15">
        <f>IFERROR(VLOOKUP(Z36,'Puntos XCC Mayor'!$A$1:$B$15,2,FALSE),0)</f>
        <v>0</v>
      </c>
      <c r="AB36" s="15">
        <f t="shared" si="3"/>
        <v>0</v>
      </c>
      <c r="AC36" s="25">
        <f>IFERROR(VLOOKUP(AB36,'Puntos XCO'!$A$1:$B$63,2,FALSE),0)</f>
        <v>0</v>
      </c>
      <c r="AD36" s="16"/>
      <c r="AE36" s="15"/>
      <c r="AF36" s="15"/>
      <c r="AG36" s="25"/>
      <c r="AH36" s="27">
        <f t="shared" si="4"/>
        <v>0</v>
      </c>
      <c r="AJ36" s="2"/>
      <c r="AK36" s="13"/>
      <c r="AL36" s="12"/>
      <c r="AM36" s="14"/>
    </row>
    <row r="37" spans="1:39" ht="24.95" customHeight="1">
      <c r="A37" s="3"/>
      <c r="B37" s="3"/>
      <c r="C37" s="22"/>
      <c r="D37" s="23"/>
      <c r="E37" s="24"/>
      <c r="F37" s="3"/>
      <c r="G37" s="15"/>
      <c r="H37" s="15"/>
      <c r="I37" s="25"/>
      <c r="J37" s="33"/>
      <c r="K37" s="22"/>
      <c r="L37" s="22"/>
      <c r="M37" s="34"/>
      <c r="N37" s="16"/>
      <c r="O37" s="15"/>
      <c r="P37" s="3"/>
      <c r="Q37" s="25"/>
      <c r="R37" s="16"/>
      <c r="S37" s="15"/>
      <c r="T37" s="15"/>
      <c r="U37" s="25"/>
      <c r="V37" s="16"/>
      <c r="W37" s="15"/>
      <c r="X37" s="15"/>
      <c r="Y37" s="25"/>
      <c r="Z37" s="16"/>
      <c r="AA37" s="15"/>
      <c r="AB37" s="15"/>
      <c r="AC37" s="25"/>
      <c r="AD37" s="16"/>
      <c r="AE37" s="15"/>
      <c r="AF37" s="15"/>
      <c r="AG37" s="25"/>
      <c r="AH37" s="27"/>
      <c r="AJ37" s="3"/>
    </row>
    <row r="38" spans="1:39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89"/>
      <c r="Q38" s="90"/>
      <c r="R38" s="90"/>
      <c r="S38" s="90"/>
      <c r="T38" s="90"/>
      <c r="U38" s="90"/>
      <c r="V38" s="90"/>
      <c r="W38" s="90"/>
      <c r="X38" s="90"/>
      <c r="Y38" s="90"/>
      <c r="Z38" s="120"/>
      <c r="AA38" s="120"/>
      <c r="AB38" s="120"/>
      <c r="AC38" s="120"/>
      <c r="AD38" s="120"/>
      <c r="AE38" s="120"/>
      <c r="AF38" s="120"/>
      <c r="AG38" s="120"/>
      <c r="AH38" s="90"/>
    </row>
    <row r="39" spans="1:39">
      <c r="M39" s="9"/>
      <c r="N39" s="9"/>
      <c r="O39" s="9"/>
      <c r="P39" s="10"/>
      <c r="Q39" s="9"/>
      <c r="R39" s="9"/>
      <c r="S39" s="9"/>
      <c r="T39" s="9"/>
      <c r="U39" s="9"/>
    </row>
    <row r="40" spans="1:39" ht="127.5" customHeight="1"/>
    <row r="41" spans="1:39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89"/>
      <c r="Q41" s="90"/>
      <c r="R41" s="90"/>
      <c r="S41" s="90"/>
      <c r="T41" s="90"/>
      <c r="U41" s="90"/>
      <c r="V41" s="90"/>
      <c r="W41" s="90"/>
      <c r="X41" s="90"/>
      <c r="Y41" s="90"/>
      <c r="Z41" s="120"/>
      <c r="AA41" s="120"/>
      <c r="AB41" s="120"/>
      <c r="AC41" s="120"/>
      <c r="AD41" s="120"/>
      <c r="AE41" s="120"/>
      <c r="AF41" s="120"/>
      <c r="AG41" s="120"/>
      <c r="AH41" s="90"/>
    </row>
  </sheetData>
  <sortState ref="B15:AH36">
    <sortCondition descending="1" ref="AH15:AH36"/>
    <sortCondition ref="L15:L36"/>
  </sortState>
  <mergeCells count="12">
    <mergeCell ref="A8:AH8"/>
    <mergeCell ref="A10:AH10"/>
    <mergeCell ref="A11:AH11"/>
    <mergeCell ref="A13:B13"/>
    <mergeCell ref="F13:I13"/>
    <mergeCell ref="J13:M13"/>
    <mergeCell ref="N13:Q13"/>
    <mergeCell ref="R13:U13"/>
    <mergeCell ref="V13:Y13"/>
    <mergeCell ref="AH13:AH14"/>
    <mergeCell ref="Z13:AC13"/>
    <mergeCell ref="AD13:AG13"/>
  </mergeCells>
  <conditionalFormatting sqref="C38:C65516 C1:C9 C12:C14">
    <cfRule type="duplicateValues" dxfId="323" priority="21" stopIfTrue="1"/>
  </conditionalFormatting>
  <conditionalFormatting sqref="F37">
    <cfRule type="duplicateValues" dxfId="322" priority="24" stopIfTrue="1"/>
  </conditionalFormatting>
  <conditionalFormatting sqref="B37">
    <cfRule type="duplicateValues" dxfId="321" priority="25" stopIfTrue="1"/>
  </conditionalFormatting>
  <conditionalFormatting sqref="C37">
    <cfRule type="duplicateValues" dxfId="320" priority="26"/>
  </conditionalFormatting>
  <conditionalFormatting sqref="AJ15:AJ37">
    <cfRule type="duplicateValues" dxfId="319" priority="7865"/>
  </conditionalFormatting>
  <conditionalFormatting sqref="C11">
    <cfRule type="duplicateValues" dxfId="318" priority="4" stopIfTrue="1"/>
  </conditionalFormatting>
  <conditionalFormatting sqref="C11">
    <cfRule type="duplicateValues" dxfId="317" priority="5" stopIfTrue="1"/>
  </conditionalFormatting>
  <conditionalFormatting sqref="D11">
    <cfRule type="duplicateValues" dxfId="316" priority="3" stopIfTrue="1"/>
  </conditionalFormatting>
  <conditionalFormatting sqref="C10">
    <cfRule type="duplicateValues" dxfId="315" priority="1" stopIfTrue="1"/>
  </conditionalFormatting>
  <conditionalFormatting sqref="C10">
    <cfRule type="duplicateValues" dxfId="314" priority="2" stopIfTrue="1"/>
  </conditionalFormatting>
  <pageMargins left="0.70866141732283472" right="0.70866141732283472" top="0.74803149606299213" bottom="0.74803149606299213" header="0.31496062992125984" footer="0.31496062992125984"/>
  <pageSetup paperSize="9" scale="48" fitToHeight="2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B63"/>
  <sheetViews>
    <sheetView topLeftCell="A12" workbookViewId="0">
      <selection activeCell="D28" sqref="D28"/>
    </sheetView>
  </sheetViews>
  <sheetFormatPr baseColWidth="10" defaultRowHeight="15"/>
  <sheetData>
    <row r="1" spans="1:2">
      <c r="A1">
        <v>1</v>
      </c>
      <c r="B1">
        <v>200</v>
      </c>
    </row>
    <row r="2" spans="1:2">
      <c r="A2">
        <v>2</v>
      </c>
      <c r="B2">
        <v>150</v>
      </c>
    </row>
    <row r="3" spans="1:2">
      <c r="A3">
        <v>3</v>
      </c>
      <c r="B3">
        <v>120</v>
      </c>
    </row>
    <row r="4" spans="1:2">
      <c r="A4">
        <v>4</v>
      </c>
      <c r="B4">
        <v>110</v>
      </c>
    </row>
    <row r="5" spans="1:2">
      <c r="A5">
        <v>5</v>
      </c>
      <c r="B5">
        <v>100</v>
      </c>
    </row>
    <row r="6" spans="1:2">
      <c r="A6">
        <v>6</v>
      </c>
      <c r="B6">
        <v>95</v>
      </c>
    </row>
    <row r="7" spans="1:2">
      <c r="A7">
        <v>7</v>
      </c>
      <c r="B7">
        <v>90</v>
      </c>
    </row>
    <row r="8" spans="1:2">
      <c r="A8">
        <v>8</v>
      </c>
      <c r="B8">
        <v>85</v>
      </c>
    </row>
    <row r="9" spans="1:2">
      <c r="A9">
        <v>9</v>
      </c>
      <c r="B9">
        <v>80</v>
      </c>
    </row>
    <row r="10" spans="1:2">
      <c r="A10">
        <v>10</v>
      </c>
      <c r="B10">
        <v>78</v>
      </c>
    </row>
    <row r="11" spans="1:2">
      <c r="A11">
        <v>11</v>
      </c>
      <c r="B11">
        <v>76</v>
      </c>
    </row>
    <row r="12" spans="1:2">
      <c r="A12">
        <v>12</v>
      </c>
      <c r="B12">
        <v>74</v>
      </c>
    </row>
    <row r="13" spans="1:2">
      <c r="A13">
        <v>13</v>
      </c>
      <c r="B13">
        <v>72</v>
      </c>
    </row>
    <row r="14" spans="1:2">
      <c r="A14">
        <v>14</v>
      </c>
      <c r="B14">
        <v>70</v>
      </c>
    </row>
    <row r="15" spans="1:2">
      <c r="A15">
        <v>15</v>
      </c>
      <c r="B15">
        <v>68</v>
      </c>
    </row>
    <row r="16" spans="1:2">
      <c r="A16">
        <v>16</v>
      </c>
      <c r="B16">
        <v>66</v>
      </c>
    </row>
    <row r="17" spans="1:2">
      <c r="A17">
        <v>17</v>
      </c>
      <c r="B17">
        <v>64</v>
      </c>
    </row>
    <row r="18" spans="1:2">
      <c r="A18">
        <v>18</v>
      </c>
      <c r="B18">
        <v>62</v>
      </c>
    </row>
    <row r="19" spans="1:2">
      <c r="A19">
        <v>19</v>
      </c>
      <c r="B19">
        <v>60</v>
      </c>
    </row>
    <row r="20" spans="1:2">
      <c r="A20">
        <v>20</v>
      </c>
      <c r="B20">
        <v>58</v>
      </c>
    </row>
    <row r="21" spans="1:2">
      <c r="A21">
        <v>21</v>
      </c>
      <c r="B21">
        <v>56</v>
      </c>
    </row>
    <row r="22" spans="1:2">
      <c r="A22">
        <v>22</v>
      </c>
      <c r="B22">
        <v>54</v>
      </c>
    </row>
    <row r="23" spans="1:2">
      <c r="A23">
        <v>23</v>
      </c>
      <c r="B23">
        <v>52</v>
      </c>
    </row>
    <row r="24" spans="1:2">
      <c r="A24">
        <v>24</v>
      </c>
      <c r="B24">
        <v>50</v>
      </c>
    </row>
    <row r="25" spans="1:2">
      <c r="A25">
        <v>25</v>
      </c>
      <c r="B25">
        <v>48</v>
      </c>
    </row>
    <row r="26" spans="1:2">
      <c r="A26">
        <v>26</v>
      </c>
      <c r="B26">
        <v>46</v>
      </c>
    </row>
    <row r="27" spans="1:2">
      <c r="A27">
        <v>27</v>
      </c>
      <c r="B27">
        <v>44</v>
      </c>
    </row>
    <row r="28" spans="1:2">
      <c r="A28">
        <v>28</v>
      </c>
      <c r="B28">
        <v>42</v>
      </c>
    </row>
    <row r="29" spans="1:2">
      <c r="A29">
        <v>29</v>
      </c>
      <c r="B29">
        <v>40</v>
      </c>
    </row>
    <row r="30" spans="1:2">
      <c r="A30">
        <v>30</v>
      </c>
      <c r="B30">
        <v>38</v>
      </c>
    </row>
    <row r="31" spans="1:2">
      <c r="A31">
        <v>31</v>
      </c>
      <c r="B31">
        <v>36</v>
      </c>
    </row>
    <row r="32" spans="1:2">
      <c r="A32">
        <v>32</v>
      </c>
      <c r="B32">
        <v>34</v>
      </c>
    </row>
    <row r="33" spans="1:2">
      <c r="A33">
        <v>33</v>
      </c>
      <c r="B33">
        <v>32</v>
      </c>
    </row>
    <row r="34" spans="1:2">
      <c r="A34">
        <v>34</v>
      </c>
      <c r="B34">
        <v>30</v>
      </c>
    </row>
    <row r="35" spans="1:2">
      <c r="A35">
        <v>35</v>
      </c>
      <c r="B35">
        <v>29</v>
      </c>
    </row>
    <row r="36" spans="1:2">
      <c r="A36">
        <v>36</v>
      </c>
      <c r="B36">
        <v>28</v>
      </c>
    </row>
    <row r="37" spans="1:2">
      <c r="A37">
        <v>37</v>
      </c>
      <c r="B37">
        <v>27</v>
      </c>
    </row>
    <row r="38" spans="1:2">
      <c r="A38">
        <v>38</v>
      </c>
      <c r="B38">
        <v>26</v>
      </c>
    </row>
    <row r="39" spans="1:2">
      <c r="A39">
        <v>39</v>
      </c>
      <c r="B39">
        <v>25</v>
      </c>
    </row>
    <row r="40" spans="1:2">
      <c r="A40">
        <v>40</v>
      </c>
      <c r="B40">
        <v>24</v>
      </c>
    </row>
    <row r="41" spans="1:2">
      <c r="A41">
        <v>41</v>
      </c>
      <c r="B41">
        <v>23</v>
      </c>
    </row>
    <row r="42" spans="1:2">
      <c r="A42">
        <v>42</v>
      </c>
      <c r="B42">
        <v>22</v>
      </c>
    </row>
    <row r="43" spans="1:2">
      <c r="A43">
        <v>43</v>
      </c>
      <c r="B43">
        <v>21</v>
      </c>
    </row>
    <row r="44" spans="1:2">
      <c r="A44">
        <v>44</v>
      </c>
      <c r="B44">
        <v>20</v>
      </c>
    </row>
    <row r="45" spans="1:2">
      <c r="A45">
        <v>45</v>
      </c>
      <c r="B45">
        <v>19</v>
      </c>
    </row>
    <row r="46" spans="1:2">
      <c r="A46">
        <v>46</v>
      </c>
      <c r="B46">
        <v>18</v>
      </c>
    </row>
    <row r="47" spans="1:2">
      <c r="A47">
        <v>47</v>
      </c>
      <c r="B47">
        <v>17</v>
      </c>
    </row>
    <row r="48" spans="1:2">
      <c r="A48">
        <v>48</v>
      </c>
      <c r="B48">
        <v>16</v>
      </c>
    </row>
    <row r="49" spans="1:2">
      <c r="A49">
        <v>49</v>
      </c>
      <c r="B49">
        <v>15</v>
      </c>
    </row>
    <row r="50" spans="1:2">
      <c r="A50">
        <v>50</v>
      </c>
      <c r="B50">
        <v>14</v>
      </c>
    </row>
    <row r="51" spans="1:2">
      <c r="A51">
        <v>51</v>
      </c>
      <c r="B51">
        <v>13</v>
      </c>
    </row>
    <row r="52" spans="1:2">
      <c r="A52">
        <v>52</v>
      </c>
      <c r="B52">
        <v>12</v>
      </c>
    </row>
    <row r="53" spans="1:2">
      <c r="A53">
        <v>53</v>
      </c>
      <c r="B53">
        <v>11</v>
      </c>
    </row>
    <row r="54" spans="1:2">
      <c r="A54">
        <v>54</v>
      </c>
      <c r="B54">
        <v>10</v>
      </c>
    </row>
    <row r="55" spans="1:2">
      <c r="A55">
        <v>55</v>
      </c>
      <c r="B55">
        <v>9</v>
      </c>
    </row>
    <row r="56" spans="1:2">
      <c r="A56">
        <v>56</v>
      </c>
      <c r="B56">
        <v>8</v>
      </c>
    </row>
    <row r="57" spans="1:2">
      <c r="A57">
        <v>57</v>
      </c>
      <c r="B57">
        <v>7</v>
      </c>
    </row>
    <row r="58" spans="1:2">
      <c r="A58">
        <v>58</v>
      </c>
      <c r="B58">
        <v>6</v>
      </c>
    </row>
    <row r="59" spans="1:2">
      <c r="A59">
        <v>59</v>
      </c>
      <c r="B59">
        <v>5</v>
      </c>
    </row>
    <row r="60" spans="1:2">
      <c r="A60">
        <v>60</v>
      </c>
      <c r="B60">
        <v>4</v>
      </c>
    </row>
    <row r="61" spans="1:2">
      <c r="A61">
        <v>61</v>
      </c>
      <c r="B61">
        <v>3</v>
      </c>
    </row>
    <row r="62" spans="1:2">
      <c r="A62">
        <v>62</v>
      </c>
      <c r="B62">
        <v>2</v>
      </c>
    </row>
    <row r="63" spans="1:2">
      <c r="A63">
        <v>63</v>
      </c>
      <c r="B63">
        <v>1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B15"/>
  <sheetViews>
    <sheetView workbookViewId="0">
      <selection activeCell="D12" sqref="D12"/>
    </sheetView>
  </sheetViews>
  <sheetFormatPr baseColWidth="10" defaultRowHeight="15"/>
  <sheetData>
    <row r="1" spans="1:2">
      <c r="A1">
        <v>1</v>
      </c>
      <c r="B1">
        <v>25</v>
      </c>
    </row>
    <row r="2" spans="1:2">
      <c r="A2">
        <v>2</v>
      </c>
      <c r="B2">
        <v>20</v>
      </c>
    </row>
    <row r="3" spans="1:2">
      <c r="A3">
        <v>3</v>
      </c>
      <c r="B3">
        <v>16</v>
      </c>
    </row>
    <row r="4" spans="1:2">
      <c r="A4">
        <v>4</v>
      </c>
      <c r="B4">
        <v>14</v>
      </c>
    </row>
    <row r="5" spans="1:2">
      <c r="A5">
        <v>5</v>
      </c>
      <c r="B5">
        <v>12</v>
      </c>
    </row>
    <row r="6" spans="1:2">
      <c r="A6">
        <v>6</v>
      </c>
      <c r="B6">
        <v>10</v>
      </c>
    </row>
    <row r="7" spans="1:2">
      <c r="A7">
        <v>7</v>
      </c>
      <c r="B7">
        <v>9</v>
      </c>
    </row>
    <row r="8" spans="1:2">
      <c r="A8">
        <v>8</v>
      </c>
      <c r="B8">
        <v>8</v>
      </c>
    </row>
    <row r="9" spans="1:2">
      <c r="A9">
        <v>9</v>
      </c>
      <c r="B9">
        <v>7</v>
      </c>
    </row>
    <row r="10" spans="1:2">
      <c r="A10">
        <v>10</v>
      </c>
      <c r="B10">
        <v>6</v>
      </c>
    </row>
    <row r="11" spans="1:2">
      <c r="A11">
        <v>11</v>
      </c>
      <c r="B11">
        <v>5</v>
      </c>
    </row>
    <row r="12" spans="1:2">
      <c r="A12">
        <v>12</v>
      </c>
      <c r="B12">
        <v>4</v>
      </c>
    </row>
    <row r="13" spans="1:2">
      <c r="A13">
        <v>13</v>
      </c>
      <c r="B13">
        <v>3</v>
      </c>
    </row>
    <row r="14" spans="1:2">
      <c r="A14">
        <v>14</v>
      </c>
      <c r="B14">
        <v>2</v>
      </c>
    </row>
    <row r="15" spans="1:2">
      <c r="A15">
        <v>15</v>
      </c>
      <c r="B15">
        <v>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10"/>
  <sheetViews>
    <sheetView workbookViewId="0">
      <selection activeCell="C8" sqref="C8"/>
    </sheetView>
  </sheetViews>
  <sheetFormatPr baseColWidth="10" defaultRowHeight="15"/>
  <sheetData>
    <row r="1" spans="1:2">
      <c r="A1">
        <v>1</v>
      </c>
      <c r="B1">
        <v>10</v>
      </c>
    </row>
    <row r="2" spans="1:2">
      <c r="A2">
        <v>2</v>
      </c>
      <c r="B2">
        <v>9</v>
      </c>
    </row>
    <row r="3" spans="1:2">
      <c r="A3">
        <v>3</v>
      </c>
      <c r="B3">
        <v>8</v>
      </c>
    </row>
    <row r="4" spans="1:2">
      <c r="A4">
        <v>4</v>
      </c>
      <c r="B4">
        <v>7</v>
      </c>
    </row>
    <row r="5" spans="1:2">
      <c r="A5">
        <v>5</v>
      </c>
      <c r="B5">
        <v>6</v>
      </c>
    </row>
    <row r="6" spans="1:2">
      <c r="A6">
        <v>6</v>
      </c>
      <c r="B6">
        <v>5</v>
      </c>
    </row>
    <row r="7" spans="1:2">
      <c r="A7">
        <v>7</v>
      </c>
      <c r="B7">
        <v>4</v>
      </c>
    </row>
    <row r="8" spans="1:2">
      <c r="A8">
        <v>8</v>
      </c>
      <c r="B8">
        <v>3</v>
      </c>
    </row>
    <row r="9" spans="1:2">
      <c r="A9">
        <v>9</v>
      </c>
      <c r="B9">
        <v>2</v>
      </c>
    </row>
    <row r="10" spans="1:2">
      <c r="A10">
        <v>10</v>
      </c>
      <c r="B10">
        <v>1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3615"/>
  <sheetViews>
    <sheetView topLeftCell="A70" workbookViewId="0">
      <selection activeCell="E94" sqref="E94"/>
    </sheetView>
  </sheetViews>
  <sheetFormatPr baseColWidth="10" defaultRowHeight="15"/>
  <cols>
    <col min="2" max="2" width="15.5703125" style="58" customWidth="1"/>
    <col min="3" max="3" width="25.85546875" bestFit="1" customWidth="1"/>
    <col min="4" max="4" width="16.42578125" customWidth="1"/>
    <col min="5" max="5" width="40.7109375" customWidth="1"/>
    <col min="6" max="6" width="36.140625" customWidth="1"/>
    <col min="7" max="7" width="6" style="36" customWidth="1"/>
  </cols>
  <sheetData>
    <row r="1" spans="2:7">
      <c r="B1" s="18" t="s">
        <v>3</v>
      </c>
      <c r="C1" s="19" t="s">
        <v>4</v>
      </c>
      <c r="D1" s="19" t="s">
        <v>48</v>
      </c>
      <c r="E1" s="19" t="s">
        <v>5</v>
      </c>
      <c r="F1" s="19" t="s">
        <v>49</v>
      </c>
      <c r="G1" s="35"/>
    </row>
    <row r="2" spans="2:7">
      <c r="B2" s="18"/>
      <c r="C2" s="19"/>
      <c r="D2" s="19"/>
      <c r="E2" s="19"/>
      <c r="F2" s="19"/>
      <c r="G2" s="35"/>
    </row>
    <row r="3" spans="2:7">
      <c r="B3" s="18"/>
      <c r="C3" s="19"/>
      <c r="D3" s="19"/>
      <c r="E3" s="19"/>
      <c r="F3" s="19"/>
      <c r="G3" s="35"/>
    </row>
    <row r="4" spans="2:7">
      <c r="B4" s="18"/>
      <c r="C4" s="19" t="s">
        <v>1700</v>
      </c>
      <c r="D4" s="19"/>
      <c r="E4" s="19"/>
      <c r="F4" s="19"/>
      <c r="G4" s="35"/>
    </row>
    <row r="5" spans="2:7">
      <c r="B5" s="3">
        <v>3</v>
      </c>
      <c r="C5" s="92" t="s">
        <v>1629</v>
      </c>
      <c r="D5" s="93">
        <v>10009200331</v>
      </c>
      <c r="E5" s="93" t="s">
        <v>1630</v>
      </c>
      <c r="F5" s="8" t="s">
        <v>50</v>
      </c>
      <c r="G5" s="35"/>
    </row>
    <row r="6" spans="2:7">
      <c r="B6" s="3">
        <v>25</v>
      </c>
      <c r="C6" s="92" t="s">
        <v>1633</v>
      </c>
      <c r="D6" s="93">
        <v>10137346425</v>
      </c>
      <c r="E6" s="93" t="s">
        <v>1555</v>
      </c>
      <c r="F6" s="8" t="s">
        <v>50</v>
      </c>
      <c r="G6" s="35"/>
    </row>
    <row r="7" spans="2:7">
      <c r="B7" s="3">
        <v>12</v>
      </c>
      <c r="C7" s="92" t="s">
        <v>138</v>
      </c>
      <c r="D7" s="93">
        <v>10051220327</v>
      </c>
      <c r="E7" s="93" t="s">
        <v>1551</v>
      </c>
      <c r="F7" s="8" t="s">
        <v>50</v>
      </c>
      <c r="G7" s="35"/>
    </row>
    <row r="8" spans="2:7">
      <c r="B8" s="3">
        <v>27</v>
      </c>
      <c r="C8" s="92" t="s">
        <v>1634</v>
      </c>
      <c r="D8" s="93">
        <v>10103820090</v>
      </c>
      <c r="E8" s="93" t="s">
        <v>1555</v>
      </c>
      <c r="F8" s="8" t="s">
        <v>50</v>
      </c>
      <c r="G8" s="35"/>
    </row>
    <row r="9" spans="2:7">
      <c r="B9" s="3">
        <v>26</v>
      </c>
      <c r="C9" s="92" t="s">
        <v>1631</v>
      </c>
      <c r="D9" s="93">
        <v>10089547148</v>
      </c>
      <c r="E9" s="93" t="s">
        <v>1632</v>
      </c>
      <c r="F9" s="8" t="s">
        <v>50</v>
      </c>
      <c r="G9" s="35"/>
    </row>
    <row r="10" spans="2:7">
      <c r="B10" s="3">
        <v>9</v>
      </c>
      <c r="C10" s="92" t="s">
        <v>106</v>
      </c>
      <c r="D10" s="93">
        <v>10105198201</v>
      </c>
      <c r="E10" s="93" t="s">
        <v>1646</v>
      </c>
      <c r="F10" s="8" t="s">
        <v>50</v>
      </c>
      <c r="G10" s="35"/>
    </row>
    <row r="11" spans="2:7">
      <c r="B11" s="3">
        <v>37</v>
      </c>
      <c r="C11" s="92" t="s">
        <v>187</v>
      </c>
      <c r="D11" s="93">
        <v>10120252500</v>
      </c>
      <c r="E11" s="93" t="s">
        <v>1635</v>
      </c>
      <c r="F11" s="8" t="s">
        <v>50</v>
      </c>
      <c r="G11" s="35"/>
    </row>
    <row r="12" spans="2:7">
      <c r="B12" s="3">
        <v>30</v>
      </c>
      <c r="C12" s="92" t="s">
        <v>171</v>
      </c>
      <c r="D12" s="93">
        <v>10140483767</v>
      </c>
      <c r="E12" s="93" t="s">
        <v>85</v>
      </c>
      <c r="F12" s="8" t="s">
        <v>50</v>
      </c>
      <c r="G12" s="35"/>
    </row>
    <row r="13" spans="2:7">
      <c r="B13" s="3">
        <v>32</v>
      </c>
      <c r="C13" s="92" t="s">
        <v>177</v>
      </c>
      <c r="D13" s="93">
        <v>10101989521</v>
      </c>
      <c r="E13" s="93" t="s">
        <v>1640</v>
      </c>
      <c r="F13" s="8" t="s">
        <v>50</v>
      </c>
      <c r="G13" s="35"/>
    </row>
    <row r="14" spans="2:7">
      <c r="B14" s="3">
        <v>31</v>
      </c>
      <c r="C14" s="92" t="s">
        <v>1688</v>
      </c>
      <c r="D14" s="93">
        <v>10144142687</v>
      </c>
      <c r="E14" s="93" t="s">
        <v>1689</v>
      </c>
      <c r="F14" s="8" t="s">
        <v>50</v>
      </c>
      <c r="G14" s="35"/>
    </row>
    <row r="15" spans="2:7">
      <c r="B15" s="3">
        <v>41</v>
      </c>
      <c r="C15" s="93" t="s">
        <v>1636</v>
      </c>
      <c r="D15" s="93">
        <v>10113754005</v>
      </c>
      <c r="E15" s="92" t="s">
        <v>1637</v>
      </c>
      <c r="F15" s="8" t="s">
        <v>50</v>
      </c>
      <c r="G15" s="35"/>
    </row>
    <row r="16" spans="2:7">
      <c r="B16" s="3">
        <v>40</v>
      </c>
      <c r="C16" s="92" t="s">
        <v>1641</v>
      </c>
      <c r="D16" s="93">
        <v>10154842595</v>
      </c>
      <c r="E16" s="93" t="s">
        <v>1642</v>
      </c>
      <c r="F16" s="8" t="s">
        <v>50</v>
      </c>
      <c r="G16" s="35"/>
    </row>
    <row r="17" spans="2:7">
      <c r="B17" s="105">
        <v>42</v>
      </c>
      <c r="C17" s="92" t="s">
        <v>1643</v>
      </c>
      <c r="D17" s="93">
        <v>10165153493</v>
      </c>
      <c r="E17" s="93" t="s">
        <v>1644</v>
      </c>
      <c r="F17" s="8" t="s">
        <v>50</v>
      </c>
      <c r="G17" s="35"/>
    </row>
    <row r="18" spans="2:7">
      <c r="B18" s="105">
        <v>43</v>
      </c>
      <c r="C18" s="92" t="s">
        <v>1638</v>
      </c>
      <c r="D18" s="93">
        <v>10129941382</v>
      </c>
      <c r="E18" s="93" t="s">
        <v>1639</v>
      </c>
      <c r="F18" s="8" t="s">
        <v>50</v>
      </c>
      <c r="G18" s="35"/>
    </row>
    <row r="19" spans="2:7">
      <c r="B19" s="105"/>
      <c r="C19" s="93"/>
      <c r="D19" s="93"/>
      <c r="E19" s="92"/>
      <c r="F19" s="8" t="s">
        <v>50</v>
      </c>
      <c r="G19" s="35"/>
    </row>
    <row r="20" spans="2:7">
      <c r="B20" s="107"/>
      <c r="C20" s="92"/>
      <c r="D20" s="93"/>
      <c r="E20" s="92"/>
      <c r="F20" s="8" t="s">
        <v>50</v>
      </c>
      <c r="G20" s="35"/>
    </row>
    <row r="21" spans="2:7">
      <c r="B21" s="105"/>
      <c r="C21" s="92"/>
      <c r="D21" s="93"/>
      <c r="E21" s="93"/>
      <c r="F21" s="8" t="s">
        <v>50</v>
      </c>
      <c r="G21" s="35"/>
    </row>
    <row r="22" spans="2:7">
      <c r="B22" s="3"/>
      <c r="C22" s="92"/>
      <c r="D22" s="93"/>
      <c r="E22" s="93"/>
      <c r="F22" s="8" t="s">
        <v>50</v>
      </c>
      <c r="G22" s="35"/>
    </row>
    <row r="23" spans="2:7">
      <c r="B23" s="3"/>
      <c r="C23" s="92"/>
      <c r="D23" s="93"/>
      <c r="E23" s="93"/>
      <c r="F23" s="8" t="s">
        <v>50</v>
      </c>
      <c r="G23" s="35"/>
    </row>
    <row r="24" spans="2:7">
      <c r="B24" s="3"/>
      <c r="C24" s="93"/>
      <c r="D24" s="93"/>
      <c r="E24" s="92"/>
      <c r="F24" s="8" t="s">
        <v>50</v>
      </c>
      <c r="G24" s="35"/>
    </row>
    <row r="25" spans="2:7">
      <c r="B25" s="3"/>
      <c r="C25" s="97"/>
      <c r="D25" s="97"/>
      <c r="E25" s="94"/>
      <c r="F25" s="8" t="s">
        <v>50</v>
      </c>
      <c r="G25" s="35"/>
    </row>
    <row r="26" spans="2:7">
      <c r="B26" s="22"/>
      <c r="C26" s="97"/>
      <c r="D26" s="97"/>
      <c r="E26" s="94"/>
      <c r="F26" s="8" t="s">
        <v>50</v>
      </c>
      <c r="G26" s="35"/>
    </row>
    <row r="27" spans="2:7">
      <c r="B27" s="3"/>
      <c r="C27" s="92"/>
      <c r="D27" s="93"/>
      <c r="E27" s="93"/>
      <c r="F27" s="8" t="s">
        <v>50</v>
      </c>
      <c r="G27" s="35"/>
    </row>
    <row r="28" spans="2:7">
      <c r="B28" s="3"/>
      <c r="C28" s="92"/>
      <c r="D28" s="93"/>
      <c r="E28" s="93"/>
      <c r="F28" s="8" t="s">
        <v>50</v>
      </c>
      <c r="G28" s="35"/>
    </row>
    <row r="29" spans="2:7">
      <c r="B29" s="10"/>
      <c r="C29" s="8"/>
      <c r="D29" s="54"/>
      <c r="E29" s="54"/>
      <c r="F29" s="8" t="s">
        <v>50</v>
      </c>
      <c r="G29" s="35"/>
    </row>
    <row r="30" spans="2:7">
      <c r="B30" s="10"/>
      <c r="C30" s="8"/>
      <c r="D30" s="54"/>
      <c r="E30" s="54"/>
      <c r="F30" s="8" t="s">
        <v>50</v>
      </c>
      <c r="G30" s="35"/>
    </row>
    <row r="31" spans="2:7" ht="15.75">
      <c r="B31" s="40"/>
      <c r="C31" s="8"/>
      <c r="D31" s="54"/>
      <c r="E31" s="54"/>
      <c r="F31" s="8"/>
      <c r="G31" s="35"/>
    </row>
    <row r="32" spans="2:7">
      <c r="B32" s="3">
        <v>84</v>
      </c>
      <c r="C32" s="94" t="s">
        <v>1690</v>
      </c>
      <c r="D32" s="93">
        <v>10052898528</v>
      </c>
      <c r="E32" s="93" t="s">
        <v>1691</v>
      </c>
      <c r="F32" s="8" t="s">
        <v>51</v>
      </c>
      <c r="G32" s="35"/>
    </row>
    <row r="33" spans="2:7">
      <c r="B33" s="3">
        <v>91</v>
      </c>
      <c r="C33" s="94" t="s">
        <v>1624</v>
      </c>
      <c r="D33" s="93">
        <v>10077498132</v>
      </c>
      <c r="E33" s="93" t="s">
        <v>1555</v>
      </c>
      <c r="F33" s="8" t="s">
        <v>51</v>
      </c>
      <c r="G33" s="35"/>
    </row>
    <row r="34" spans="2:7">
      <c r="B34" s="22">
        <v>92</v>
      </c>
      <c r="C34" s="94" t="s">
        <v>1625</v>
      </c>
      <c r="D34" s="93">
        <v>10077498435</v>
      </c>
      <c r="E34" s="93" t="s">
        <v>1555</v>
      </c>
      <c r="F34" s="8" t="s">
        <v>51</v>
      </c>
      <c r="G34" s="35"/>
    </row>
    <row r="35" spans="2:7">
      <c r="B35" s="22">
        <v>94</v>
      </c>
      <c r="C35" s="94" t="s">
        <v>1622</v>
      </c>
      <c r="D35" s="93">
        <v>10076571982</v>
      </c>
      <c r="E35" s="93" t="s">
        <v>1623</v>
      </c>
      <c r="F35" s="8" t="s">
        <v>51</v>
      </c>
      <c r="G35" s="35"/>
    </row>
    <row r="36" spans="2:7">
      <c r="B36" s="22">
        <v>90</v>
      </c>
      <c r="C36" s="92" t="s">
        <v>1621</v>
      </c>
      <c r="D36" s="93">
        <v>10104125238</v>
      </c>
      <c r="E36" s="93" t="s">
        <v>100</v>
      </c>
      <c r="F36" s="8" t="s">
        <v>51</v>
      </c>
      <c r="G36" s="35"/>
    </row>
    <row r="37" spans="2:7">
      <c r="B37" s="22">
        <v>88</v>
      </c>
      <c r="C37" s="92" t="s">
        <v>1692</v>
      </c>
      <c r="D37" s="93">
        <v>10101990228</v>
      </c>
      <c r="E37" s="93" t="s">
        <v>100</v>
      </c>
      <c r="F37" s="8" t="s">
        <v>51</v>
      </c>
      <c r="G37" s="35"/>
    </row>
    <row r="38" spans="2:7">
      <c r="B38" s="22"/>
      <c r="C38" s="92"/>
      <c r="D38" s="93"/>
      <c r="E38" s="93"/>
      <c r="F38" s="8" t="s">
        <v>51</v>
      </c>
      <c r="G38" s="35"/>
    </row>
    <row r="39" spans="2:7">
      <c r="B39" s="7"/>
      <c r="C39" s="8"/>
      <c r="D39" s="54"/>
      <c r="E39" s="54"/>
      <c r="F39" s="8" t="s">
        <v>51</v>
      </c>
      <c r="G39" s="35"/>
    </row>
    <row r="40" spans="2:7">
      <c r="B40" s="22"/>
      <c r="C40" s="94"/>
      <c r="D40" s="93"/>
      <c r="E40" s="93"/>
      <c r="F40" s="8" t="s">
        <v>51</v>
      </c>
      <c r="G40" s="35"/>
    </row>
    <row r="41" spans="2:7">
      <c r="B41" s="3"/>
      <c r="C41" s="94"/>
      <c r="D41" s="93"/>
      <c r="E41" s="93"/>
      <c r="F41" s="8" t="s">
        <v>51</v>
      </c>
      <c r="G41" s="35"/>
    </row>
    <row r="42" spans="2:7">
      <c r="B42" s="22"/>
      <c r="C42" s="94"/>
      <c r="D42" s="93"/>
      <c r="E42" s="93"/>
      <c r="F42" s="8" t="s">
        <v>51</v>
      </c>
      <c r="G42" s="35"/>
    </row>
    <row r="43" spans="2:7">
      <c r="B43" s="10"/>
      <c r="C43" s="8"/>
      <c r="D43" s="54"/>
      <c r="E43" s="54"/>
      <c r="F43" s="8"/>
      <c r="G43" s="35"/>
    </row>
    <row r="44" spans="2:7">
      <c r="B44" s="3">
        <v>103</v>
      </c>
      <c r="C44" s="92" t="s">
        <v>1598</v>
      </c>
      <c r="D44" s="93">
        <v>10154951521</v>
      </c>
      <c r="E44" s="93" t="s">
        <v>100</v>
      </c>
      <c r="F44" s="8" t="s">
        <v>52</v>
      </c>
      <c r="G44" s="35"/>
    </row>
    <row r="45" spans="2:7">
      <c r="B45" s="3">
        <v>105</v>
      </c>
      <c r="C45" s="92" t="s">
        <v>208</v>
      </c>
      <c r="D45" s="93">
        <v>10141533185</v>
      </c>
      <c r="E45" s="93" t="s">
        <v>1601</v>
      </c>
      <c r="F45" s="8" t="s">
        <v>52</v>
      </c>
      <c r="G45" s="35"/>
    </row>
    <row r="46" spans="2:7">
      <c r="B46" s="3">
        <v>158</v>
      </c>
      <c r="C46" s="92" t="s">
        <v>1603</v>
      </c>
      <c r="D46" s="93">
        <v>10089728923</v>
      </c>
      <c r="E46" s="93" t="s">
        <v>1604</v>
      </c>
      <c r="F46" s="8" t="s">
        <v>52</v>
      </c>
      <c r="G46" s="35"/>
    </row>
    <row r="47" spans="2:7">
      <c r="B47" s="3">
        <v>104</v>
      </c>
      <c r="C47" s="92" t="s">
        <v>1365</v>
      </c>
      <c r="D47" s="93">
        <v>10116215680</v>
      </c>
      <c r="E47" s="93" t="s">
        <v>1555</v>
      </c>
      <c r="F47" s="8" t="s">
        <v>52</v>
      </c>
      <c r="G47" s="35"/>
    </row>
    <row r="48" spans="2:7">
      <c r="B48" s="3">
        <v>113</v>
      </c>
      <c r="C48" s="92" t="s">
        <v>1599</v>
      </c>
      <c r="D48" s="93">
        <v>10126522639</v>
      </c>
      <c r="E48" s="93" t="s">
        <v>84</v>
      </c>
      <c r="F48" s="8" t="s">
        <v>52</v>
      </c>
      <c r="G48" s="35"/>
    </row>
    <row r="49" spans="2:7">
      <c r="B49" s="3">
        <v>106</v>
      </c>
      <c r="C49" s="92" t="s">
        <v>1600</v>
      </c>
      <c r="D49" s="93">
        <v>10119593506</v>
      </c>
      <c r="E49" s="93" t="s">
        <v>71</v>
      </c>
      <c r="F49" s="8" t="s">
        <v>52</v>
      </c>
      <c r="G49" s="35"/>
    </row>
    <row r="50" spans="2:7">
      <c r="B50" s="3">
        <v>109</v>
      </c>
      <c r="C50" s="92" t="s">
        <v>602</v>
      </c>
      <c r="D50" s="93">
        <v>10161160935</v>
      </c>
      <c r="E50" s="93" t="s">
        <v>1205</v>
      </c>
      <c r="F50" s="8" t="s">
        <v>52</v>
      </c>
      <c r="G50" s="35"/>
    </row>
    <row r="51" spans="2:7">
      <c r="B51" s="3">
        <v>107</v>
      </c>
      <c r="C51" s="92" t="s">
        <v>1031</v>
      </c>
      <c r="D51" s="93">
        <v>10171946426</v>
      </c>
      <c r="E51" s="93" t="s">
        <v>1605</v>
      </c>
      <c r="F51" s="8" t="s">
        <v>52</v>
      </c>
      <c r="G51" s="35"/>
    </row>
    <row r="52" spans="2:7">
      <c r="B52" s="3">
        <v>112</v>
      </c>
      <c r="C52" s="92" t="s">
        <v>247</v>
      </c>
      <c r="D52" s="93">
        <v>10164774385</v>
      </c>
      <c r="E52" s="93" t="s">
        <v>1694</v>
      </c>
      <c r="F52" s="8" t="s">
        <v>52</v>
      </c>
      <c r="G52" s="35"/>
    </row>
    <row r="53" spans="2:7">
      <c r="B53" s="3">
        <v>114</v>
      </c>
      <c r="C53" s="92" t="s">
        <v>1612</v>
      </c>
      <c r="D53" s="93">
        <v>10165016683</v>
      </c>
      <c r="E53" s="93" t="s">
        <v>1532</v>
      </c>
      <c r="F53" s="8" t="s">
        <v>52</v>
      </c>
      <c r="G53" s="35"/>
    </row>
    <row r="54" spans="2:7">
      <c r="B54" s="3">
        <v>110</v>
      </c>
      <c r="C54" s="92" t="s">
        <v>1602</v>
      </c>
      <c r="D54" s="93">
        <v>10131930286</v>
      </c>
      <c r="E54" s="93" t="s">
        <v>978</v>
      </c>
      <c r="F54" s="8" t="s">
        <v>52</v>
      </c>
      <c r="G54" s="35"/>
    </row>
    <row r="55" spans="2:7">
      <c r="B55" s="3">
        <v>160</v>
      </c>
      <c r="C55" s="92" t="s">
        <v>236</v>
      </c>
      <c r="D55" s="93">
        <v>10171940059</v>
      </c>
      <c r="E55" s="93" t="s">
        <v>1609</v>
      </c>
      <c r="F55" s="8" t="s">
        <v>52</v>
      </c>
      <c r="G55" s="35"/>
    </row>
    <row r="56" spans="2:7">
      <c r="B56" s="3">
        <v>119</v>
      </c>
      <c r="C56" s="92" t="s">
        <v>1613</v>
      </c>
      <c r="D56" s="93">
        <v>10161411014</v>
      </c>
      <c r="E56" s="93" t="s">
        <v>84</v>
      </c>
      <c r="F56" s="8" t="s">
        <v>52</v>
      </c>
      <c r="G56" s="35"/>
    </row>
    <row r="57" spans="2:7">
      <c r="B57" s="3">
        <v>132</v>
      </c>
      <c r="C57" s="92" t="s">
        <v>1611</v>
      </c>
      <c r="D57" s="93">
        <v>10152089819</v>
      </c>
      <c r="E57" s="93" t="s">
        <v>127</v>
      </c>
      <c r="F57" s="8" t="s">
        <v>52</v>
      </c>
      <c r="G57" s="35"/>
    </row>
    <row r="58" spans="2:7">
      <c r="B58" s="3">
        <v>122</v>
      </c>
      <c r="C58" s="92" t="s">
        <v>1210</v>
      </c>
      <c r="D58" s="93">
        <v>10133141372</v>
      </c>
      <c r="E58" s="93" t="s">
        <v>1578</v>
      </c>
      <c r="F58" s="8" t="s">
        <v>52</v>
      </c>
      <c r="G58" s="35"/>
    </row>
    <row r="59" spans="2:7">
      <c r="B59" s="3">
        <v>120</v>
      </c>
      <c r="C59" s="92" t="s">
        <v>1212</v>
      </c>
      <c r="D59" s="93">
        <v>10164526027</v>
      </c>
      <c r="E59" s="93" t="s">
        <v>1539</v>
      </c>
      <c r="F59" s="8" t="s">
        <v>52</v>
      </c>
      <c r="G59" s="35"/>
    </row>
    <row r="60" spans="2:7">
      <c r="B60" s="3">
        <v>163</v>
      </c>
      <c r="C60" s="92" t="s">
        <v>1614</v>
      </c>
      <c r="D60" s="93">
        <v>10142353645</v>
      </c>
      <c r="E60" s="93" t="s">
        <v>1615</v>
      </c>
      <c r="F60" s="8" t="s">
        <v>52</v>
      </c>
      <c r="G60" s="35"/>
    </row>
    <row r="61" spans="2:7">
      <c r="B61" s="3">
        <v>162</v>
      </c>
      <c r="C61" s="92" t="s">
        <v>1619</v>
      </c>
      <c r="D61" s="93">
        <v>10161111728</v>
      </c>
      <c r="E61" s="93" t="s">
        <v>130</v>
      </c>
      <c r="F61" s="8" t="s">
        <v>52</v>
      </c>
      <c r="G61" s="35"/>
    </row>
    <row r="62" spans="2:7">
      <c r="B62" s="3">
        <v>166</v>
      </c>
      <c r="C62" s="92" t="s">
        <v>1620</v>
      </c>
      <c r="D62" s="93">
        <v>10131783069</v>
      </c>
      <c r="E62" s="93" t="s">
        <v>84</v>
      </c>
      <c r="F62" s="8" t="s">
        <v>52</v>
      </c>
      <c r="G62" s="35"/>
    </row>
    <row r="63" spans="2:7">
      <c r="B63" s="3">
        <v>125</v>
      </c>
      <c r="C63" s="92" t="s">
        <v>1049</v>
      </c>
      <c r="D63" s="93">
        <v>10171432932</v>
      </c>
      <c r="E63" s="93" t="s">
        <v>240</v>
      </c>
      <c r="F63" s="8" t="s">
        <v>52</v>
      </c>
      <c r="G63" s="35"/>
    </row>
    <row r="64" spans="2:7">
      <c r="B64" s="3">
        <v>147</v>
      </c>
      <c r="C64" s="92" t="s">
        <v>261</v>
      </c>
      <c r="D64" s="93">
        <v>10173505601</v>
      </c>
      <c r="E64" s="93" t="s">
        <v>1563</v>
      </c>
      <c r="F64" s="8" t="s">
        <v>52</v>
      </c>
      <c r="G64" s="35"/>
    </row>
    <row r="65" spans="2:7">
      <c r="B65" s="3">
        <v>131</v>
      </c>
      <c r="C65" s="92" t="s">
        <v>1608</v>
      </c>
      <c r="D65" s="93">
        <v>10152089718</v>
      </c>
      <c r="E65" s="93" t="s">
        <v>127</v>
      </c>
      <c r="F65" s="8" t="s">
        <v>52</v>
      </c>
      <c r="G65" s="35"/>
    </row>
    <row r="66" spans="2:7">
      <c r="B66" s="3">
        <v>161</v>
      </c>
      <c r="C66" s="92" t="s">
        <v>1378</v>
      </c>
      <c r="D66" s="93">
        <v>10152284728</v>
      </c>
      <c r="E66" s="93" t="s">
        <v>172</v>
      </c>
      <c r="F66" s="8" t="s">
        <v>52</v>
      </c>
      <c r="G66" s="35"/>
    </row>
    <row r="67" spans="2:7">
      <c r="B67" s="3">
        <v>130</v>
      </c>
      <c r="C67" s="92" t="s">
        <v>1610</v>
      </c>
      <c r="D67" s="93">
        <v>10141535512</v>
      </c>
      <c r="E67" s="93" t="s">
        <v>127</v>
      </c>
      <c r="F67" s="8" t="s">
        <v>52</v>
      </c>
      <c r="G67" s="35"/>
    </row>
    <row r="68" spans="2:7">
      <c r="B68" s="3">
        <v>164</v>
      </c>
      <c r="C68" s="92" t="s">
        <v>1616</v>
      </c>
      <c r="D68" s="93">
        <v>10164035670</v>
      </c>
      <c r="E68" s="93" t="s">
        <v>1617</v>
      </c>
      <c r="F68" s="8" t="s">
        <v>52</v>
      </c>
      <c r="G68" s="35"/>
    </row>
    <row r="69" spans="2:7">
      <c r="B69" s="105">
        <v>172</v>
      </c>
      <c r="C69" s="92" t="s">
        <v>1618</v>
      </c>
      <c r="D69" s="93">
        <v>10089603530</v>
      </c>
      <c r="E69" s="93" t="s">
        <v>125</v>
      </c>
      <c r="F69" s="8" t="s">
        <v>52</v>
      </c>
      <c r="G69" s="35"/>
    </row>
    <row r="70" spans="2:7">
      <c r="B70" s="105">
        <v>173</v>
      </c>
      <c r="C70" s="92" t="s">
        <v>1695</v>
      </c>
      <c r="D70" s="93" t="s">
        <v>66</v>
      </c>
      <c r="E70" s="93" t="s">
        <v>1696</v>
      </c>
      <c r="F70" s="8" t="s">
        <v>52</v>
      </c>
      <c r="G70" s="35"/>
    </row>
    <row r="71" spans="2:7">
      <c r="B71" s="105">
        <v>174</v>
      </c>
      <c r="C71" s="92" t="s">
        <v>1606</v>
      </c>
      <c r="D71" s="93">
        <v>10127944394</v>
      </c>
      <c r="E71" s="93" t="s">
        <v>1607</v>
      </c>
      <c r="F71" s="8" t="s">
        <v>52</v>
      </c>
      <c r="G71" s="35"/>
    </row>
    <row r="72" spans="2:7">
      <c r="B72" s="3"/>
      <c r="C72" s="92"/>
      <c r="D72" s="93"/>
      <c r="E72" s="93"/>
      <c r="F72" s="8" t="s">
        <v>52</v>
      </c>
      <c r="G72" s="35"/>
    </row>
    <row r="73" spans="2:7">
      <c r="B73" s="3"/>
      <c r="C73" s="92"/>
      <c r="D73" s="93"/>
      <c r="E73" s="93"/>
      <c r="F73" s="8" t="s">
        <v>52</v>
      </c>
      <c r="G73" s="35"/>
    </row>
    <row r="74" spans="2:7">
      <c r="B74" s="3"/>
      <c r="C74" s="92"/>
      <c r="D74" s="93"/>
      <c r="E74" s="93"/>
      <c r="F74" s="8" t="s">
        <v>52</v>
      </c>
      <c r="G74" s="35"/>
    </row>
    <row r="75" spans="2:7">
      <c r="B75" s="105"/>
      <c r="C75" s="92"/>
      <c r="D75" s="93"/>
      <c r="E75" s="93"/>
      <c r="F75" s="8" t="s">
        <v>52</v>
      </c>
      <c r="G75" s="35"/>
    </row>
    <row r="76" spans="2:7">
      <c r="B76" s="105"/>
      <c r="C76" s="92"/>
      <c r="D76" s="93"/>
      <c r="E76" s="93"/>
      <c r="F76" s="8" t="s">
        <v>52</v>
      </c>
      <c r="G76" s="35"/>
    </row>
    <row r="77" spans="2:7">
      <c r="B77" s="105"/>
      <c r="C77" s="92"/>
      <c r="D77" s="93"/>
      <c r="E77" s="93"/>
      <c r="F77" s="8" t="s">
        <v>52</v>
      </c>
      <c r="G77" s="35"/>
    </row>
    <row r="78" spans="2:7">
      <c r="B78" s="3"/>
      <c r="C78" s="92"/>
      <c r="D78" s="93"/>
      <c r="E78" s="93"/>
      <c r="F78" s="8" t="s">
        <v>52</v>
      </c>
      <c r="G78" s="35"/>
    </row>
    <row r="79" spans="2:7">
      <c r="B79" s="3"/>
      <c r="C79" s="92"/>
      <c r="D79" s="93"/>
      <c r="E79" s="93"/>
      <c r="F79" s="8" t="s">
        <v>52</v>
      </c>
      <c r="G79" s="35"/>
    </row>
    <row r="80" spans="2:7">
      <c r="B80" s="3"/>
      <c r="C80" s="92"/>
      <c r="D80" s="93"/>
      <c r="E80" s="93"/>
      <c r="F80" s="8" t="s">
        <v>52</v>
      </c>
      <c r="G80" s="35"/>
    </row>
    <row r="81" spans="2:7">
      <c r="B81" s="3"/>
      <c r="C81" s="92"/>
      <c r="D81" s="93"/>
      <c r="E81" s="93"/>
      <c r="F81" s="8" t="s">
        <v>52</v>
      </c>
      <c r="G81" s="35"/>
    </row>
    <row r="82" spans="2:7">
      <c r="B82" s="3"/>
      <c r="C82" s="92"/>
      <c r="D82" s="93"/>
      <c r="E82" s="93"/>
      <c r="F82" s="8" t="s">
        <v>52</v>
      </c>
      <c r="G82" s="35"/>
    </row>
    <row r="83" spans="2:7">
      <c r="B83" s="3"/>
      <c r="C83" s="92"/>
      <c r="D83" s="93"/>
      <c r="E83" s="93"/>
      <c r="F83" s="8" t="s">
        <v>52</v>
      </c>
      <c r="G83" s="35"/>
    </row>
    <row r="84" spans="2:7">
      <c r="B84" s="3"/>
      <c r="C84" s="92"/>
      <c r="D84" s="93"/>
      <c r="E84" s="93"/>
      <c r="F84" s="8" t="s">
        <v>52</v>
      </c>
      <c r="G84" s="35"/>
    </row>
    <row r="85" spans="2:7">
      <c r="B85" s="3"/>
      <c r="C85" s="92"/>
      <c r="D85" s="93"/>
      <c r="E85" s="93"/>
      <c r="F85" s="8" t="s">
        <v>52</v>
      </c>
      <c r="G85" s="35"/>
    </row>
    <row r="86" spans="2:7">
      <c r="B86" s="3"/>
      <c r="C86" s="92"/>
      <c r="D86" s="93"/>
      <c r="E86" s="93"/>
      <c r="F86" s="8" t="s">
        <v>52</v>
      </c>
      <c r="G86" s="35"/>
    </row>
    <row r="87" spans="2:7">
      <c r="B87" s="3"/>
      <c r="C87" s="92"/>
      <c r="D87" s="93"/>
      <c r="E87" s="93"/>
      <c r="F87" s="8" t="s">
        <v>52</v>
      </c>
      <c r="G87" s="35"/>
    </row>
    <row r="88" spans="2:7">
      <c r="B88" s="3"/>
      <c r="C88" s="92"/>
      <c r="D88" s="93"/>
      <c r="E88" s="93"/>
      <c r="F88" s="8" t="s">
        <v>52</v>
      </c>
      <c r="G88" s="35"/>
    </row>
    <row r="89" spans="2:7">
      <c r="B89" s="3"/>
      <c r="C89" s="92"/>
      <c r="D89" s="93"/>
      <c r="E89" s="93"/>
      <c r="F89" s="8" t="s">
        <v>52</v>
      </c>
      <c r="G89" s="35"/>
    </row>
    <row r="90" spans="2:7">
      <c r="B90" s="3"/>
      <c r="C90" s="92"/>
      <c r="D90" s="93"/>
      <c r="E90" s="93"/>
      <c r="F90" s="8" t="s">
        <v>52</v>
      </c>
      <c r="G90" s="35"/>
    </row>
    <row r="91" spans="2:7">
      <c r="B91" s="3"/>
      <c r="C91" s="92"/>
      <c r="D91" s="93"/>
      <c r="E91" s="93"/>
      <c r="F91" s="8" t="s">
        <v>52</v>
      </c>
      <c r="G91" s="35"/>
    </row>
    <row r="92" spans="2:7">
      <c r="B92" s="3"/>
      <c r="C92" s="92"/>
      <c r="D92" s="93"/>
      <c r="E92" s="93"/>
      <c r="F92" s="8" t="s">
        <v>52</v>
      </c>
      <c r="G92" s="35"/>
    </row>
    <row r="93" spans="2:7">
      <c r="B93" s="3"/>
      <c r="C93" s="92"/>
      <c r="D93" s="93"/>
      <c r="E93" s="93"/>
      <c r="F93" s="8"/>
      <c r="G93" s="35"/>
    </row>
    <row r="94" spans="2:7">
      <c r="B94" s="3">
        <v>263</v>
      </c>
      <c r="C94" s="92" t="s">
        <v>1626</v>
      </c>
      <c r="D94" s="93">
        <v>10122460056</v>
      </c>
      <c r="E94" s="93" t="s">
        <v>376</v>
      </c>
      <c r="F94" s="8" t="s">
        <v>53</v>
      </c>
      <c r="G94" s="35"/>
    </row>
    <row r="95" spans="2:7">
      <c r="B95" s="3">
        <v>266</v>
      </c>
      <c r="C95" s="92" t="s">
        <v>1627</v>
      </c>
      <c r="D95" s="93">
        <v>10103913858</v>
      </c>
      <c r="E95" s="93" t="s">
        <v>1628</v>
      </c>
      <c r="F95" s="8" t="s">
        <v>53</v>
      </c>
      <c r="G95" s="35"/>
    </row>
    <row r="96" spans="2:7">
      <c r="B96" s="105">
        <v>268</v>
      </c>
      <c r="C96" s="92" t="s">
        <v>1698</v>
      </c>
      <c r="D96" s="93">
        <v>10152125686</v>
      </c>
      <c r="E96" s="93" t="s">
        <v>1699</v>
      </c>
      <c r="F96" s="8" t="s">
        <v>53</v>
      </c>
      <c r="G96" s="35"/>
    </row>
    <row r="97" spans="2:7">
      <c r="B97" s="105"/>
      <c r="C97" s="92"/>
      <c r="D97" s="93"/>
      <c r="E97" s="93"/>
      <c r="F97" s="8" t="s">
        <v>53</v>
      </c>
      <c r="G97" s="35"/>
    </row>
    <row r="98" spans="2:7">
      <c r="B98" s="105"/>
      <c r="C98" s="92"/>
      <c r="D98" s="93"/>
      <c r="E98" s="93"/>
      <c r="F98" s="8" t="s">
        <v>53</v>
      </c>
      <c r="G98" s="35"/>
    </row>
    <row r="99" spans="2:7">
      <c r="B99" s="22"/>
      <c r="C99" s="92"/>
      <c r="D99" s="93"/>
      <c r="E99" s="93"/>
      <c r="F99" s="8"/>
      <c r="G99" s="35"/>
    </row>
    <row r="100" spans="2:7">
      <c r="B100" s="22">
        <v>307</v>
      </c>
      <c r="C100" s="23" t="s">
        <v>282</v>
      </c>
      <c r="D100" s="60">
        <v>10153824200</v>
      </c>
      <c r="E100" s="93" t="s">
        <v>1532</v>
      </c>
      <c r="F100" s="8" t="s">
        <v>54</v>
      </c>
      <c r="G100" s="35"/>
    </row>
    <row r="101" spans="2:7">
      <c r="B101" s="22">
        <v>301</v>
      </c>
      <c r="C101" s="92" t="s">
        <v>1565</v>
      </c>
      <c r="D101" s="93">
        <v>120760930</v>
      </c>
      <c r="E101" s="93" t="s">
        <v>1555</v>
      </c>
      <c r="F101" s="8" t="s">
        <v>54</v>
      </c>
      <c r="G101" s="35"/>
    </row>
    <row r="102" spans="2:7">
      <c r="B102" s="22">
        <v>311</v>
      </c>
      <c r="C102" s="92" t="s">
        <v>1597</v>
      </c>
      <c r="D102" s="93">
        <v>10128424344</v>
      </c>
      <c r="E102" s="93" t="s">
        <v>1532</v>
      </c>
      <c r="F102" s="8" t="s">
        <v>54</v>
      </c>
      <c r="G102" s="35"/>
    </row>
    <row r="103" spans="2:7">
      <c r="B103" s="22">
        <v>303</v>
      </c>
      <c r="C103" s="92" t="s">
        <v>1571</v>
      </c>
      <c r="D103" s="93">
        <v>10152378694</v>
      </c>
      <c r="E103" s="93" t="s">
        <v>1572</v>
      </c>
      <c r="F103" s="8" t="s">
        <v>54</v>
      </c>
      <c r="G103" s="35"/>
    </row>
    <row r="104" spans="2:7">
      <c r="B104" s="22">
        <v>302</v>
      </c>
      <c r="C104" s="92" t="s">
        <v>1566</v>
      </c>
      <c r="D104" s="93">
        <v>10128933895</v>
      </c>
      <c r="E104" s="93" t="s">
        <v>1555</v>
      </c>
      <c r="F104" s="8" t="s">
        <v>54</v>
      </c>
      <c r="G104" s="35"/>
    </row>
    <row r="105" spans="2:7">
      <c r="B105" s="22">
        <v>304</v>
      </c>
      <c r="C105" s="92" t="s">
        <v>1354</v>
      </c>
      <c r="D105" s="93">
        <v>10156150681</v>
      </c>
      <c r="E105" s="92" t="s">
        <v>1551</v>
      </c>
      <c r="F105" s="8" t="s">
        <v>54</v>
      </c>
      <c r="G105" s="35"/>
    </row>
    <row r="106" spans="2:7">
      <c r="B106" s="22">
        <v>325</v>
      </c>
      <c r="C106" s="92" t="s">
        <v>299</v>
      </c>
      <c r="D106" s="93">
        <v>10152418609</v>
      </c>
      <c r="E106" s="93" t="s">
        <v>240</v>
      </c>
      <c r="F106" s="8" t="s">
        <v>54</v>
      </c>
      <c r="G106" s="35"/>
    </row>
    <row r="107" spans="2:7">
      <c r="B107" s="22">
        <v>337</v>
      </c>
      <c r="C107" s="92" t="s">
        <v>1693</v>
      </c>
      <c r="D107" s="93">
        <v>10173459020</v>
      </c>
      <c r="E107" s="93" t="s">
        <v>1667</v>
      </c>
      <c r="F107" s="8" t="s">
        <v>54</v>
      </c>
      <c r="G107" s="35"/>
    </row>
    <row r="108" spans="2:7">
      <c r="B108" s="22">
        <v>327</v>
      </c>
      <c r="C108" s="92" t="s">
        <v>301</v>
      </c>
      <c r="D108" s="93">
        <v>10171445864</v>
      </c>
      <c r="E108" s="92" t="s">
        <v>240</v>
      </c>
      <c r="F108" s="8" t="s">
        <v>54</v>
      </c>
      <c r="G108" s="35"/>
    </row>
    <row r="109" spans="2:7">
      <c r="B109" s="22">
        <v>333</v>
      </c>
      <c r="C109" s="92" t="s">
        <v>1349</v>
      </c>
      <c r="D109" s="93">
        <v>504930380</v>
      </c>
      <c r="E109" s="93" t="s">
        <v>1578</v>
      </c>
      <c r="F109" s="8" t="s">
        <v>54</v>
      </c>
      <c r="G109" s="35"/>
    </row>
    <row r="110" spans="2:7">
      <c r="B110" s="22">
        <v>314</v>
      </c>
      <c r="C110" s="92" t="s">
        <v>1573</v>
      </c>
      <c r="D110" s="93">
        <v>10164592614</v>
      </c>
      <c r="E110" s="92" t="s">
        <v>1574</v>
      </c>
      <c r="F110" s="8" t="s">
        <v>54</v>
      </c>
      <c r="G110" s="35"/>
    </row>
    <row r="111" spans="2:7">
      <c r="B111" s="22">
        <v>326</v>
      </c>
      <c r="C111" s="92" t="s">
        <v>667</v>
      </c>
      <c r="D111" s="93">
        <v>10120480953</v>
      </c>
      <c r="E111" s="93" t="s">
        <v>130</v>
      </c>
      <c r="F111" s="8" t="s">
        <v>54</v>
      </c>
      <c r="G111" s="35"/>
    </row>
    <row r="112" spans="2:7">
      <c r="B112" s="22">
        <v>305</v>
      </c>
      <c r="C112" s="92" t="s">
        <v>1178</v>
      </c>
      <c r="D112" s="93">
        <v>10152909669</v>
      </c>
      <c r="E112" s="93" t="s">
        <v>1588</v>
      </c>
      <c r="F112" s="8" t="s">
        <v>54</v>
      </c>
      <c r="G112" s="35"/>
    </row>
    <row r="113" spans="2:7">
      <c r="B113" s="22">
        <v>319</v>
      </c>
      <c r="C113" s="92" t="s">
        <v>1589</v>
      </c>
      <c r="D113" s="93">
        <v>10155992956</v>
      </c>
      <c r="E113" s="93" t="s">
        <v>1500</v>
      </c>
      <c r="F113" s="8" t="s">
        <v>54</v>
      </c>
      <c r="G113" s="35"/>
    </row>
    <row r="114" spans="2:7">
      <c r="B114" s="22">
        <v>309</v>
      </c>
      <c r="C114" s="92" t="s">
        <v>1579</v>
      </c>
      <c r="D114" s="93">
        <v>10171656840</v>
      </c>
      <c r="E114" s="93" t="s">
        <v>1532</v>
      </c>
      <c r="F114" s="8" t="s">
        <v>54</v>
      </c>
      <c r="G114" s="35"/>
    </row>
    <row r="115" spans="2:7">
      <c r="B115" s="22">
        <v>332</v>
      </c>
      <c r="C115" s="92" t="s">
        <v>308</v>
      </c>
      <c r="D115" s="93">
        <v>10166671242</v>
      </c>
      <c r="E115" s="93" t="s">
        <v>112</v>
      </c>
      <c r="F115" s="8" t="s">
        <v>54</v>
      </c>
      <c r="G115" s="35"/>
    </row>
    <row r="116" spans="2:7">
      <c r="B116" s="22">
        <v>310</v>
      </c>
      <c r="C116" s="92" t="s">
        <v>278</v>
      </c>
      <c r="D116" s="93">
        <v>10140942495</v>
      </c>
      <c r="E116" s="93" t="s">
        <v>1532</v>
      </c>
      <c r="F116" s="8" t="s">
        <v>54</v>
      </c>
      <c r="G116" s="35"/>
    </row>
    <row r="117" spans="2:7">
      <c r="B117" s="22">
        <v>342</v>
      </c>
      <c r="C117" s="92" t="s">
        <v>1351</v>
      </c>
      <c r="D117" s="93">
        <v>10166012652</v>
      </c>
      <c r="E117" s="93" t="s">
        <v>310</v>
      </c>
      <c r="F117" s="8" t="s">
        <v>54</v>
      </c>
      <c r="G117" s="35"/>
    </row>
    <row r="118" spans="2:7">
      <c r="B118" s="22">
        <v>306</v>
      </c>
      <c r="C118" s="92" t="s">
        <v>964</v>
      </c>
      <c r="D118" s="93">
        <v>10170771312</v>
      </c>
      <c r="E118" s="93" t="s">
        <v>1530</v>
      </c>
      <c r="F118" s="8" t="s">
        <v>54</v>
      </c>
      <c r="G118" s="35"/>
    </row>
    <row r="119" spans="2:7">
      <c r="B119" s="22">
        <v>346</v>
      </c>
      <c r="C119" s="92" t="s">
        <v>1567</v>
      </c>
      <c r="D119" s="93">
        <v>10127119086</v>
      </c>
      <c r="E119" s="93" t="s">
        <v>1568</v>
      </c>
      <c r="F119" s="8" t="s">
        <v>54</v>
      </c>
      <c r="G119" s="35"/>
    </row>
    <row r="120" spans="2:7">
      <c r="B120" s="22">
        <v>348</v>
      </c>
      <c r="C120" s="92" t="s">
        <v>680</v>
      </c>
      <c r="D120" s="93">
        <v>10165439746</v>
      </c>
      <c r="E120" s="93" t="s">
        <v>1582</v>
      </c>
      <c r="F120" s="8" t="s">
        <v>54</v>
      </c>
      <c r="G120" s="35"/>
    </row>
    <row r="121" spans="2:7">
      <c r="B121" s="22">
        <v>343</v>
      </c>
      <c r="C121" s="23" t="s">
        <v>1591</v>
      </c>
      <c r="D121" s="93">
        <v>10176617176</v>
      </c>
      <c r="E121" s="93" t="s">
        <v>107</v>
      </c>
      <c r="F121" s="8" t="s">
        <v>54</v>
      </c>
      <c r="G121" s="35"/>
    </row>
    <row r="122" spans="2:7">
      <c r="B122" s="22">
        <v>320</v>
      </c>
      <c r="C122" s="92" t="s">
        <v>659</v>
      </c>
      <c r="D122" s="93">
        <v>10136994902</v>
      </c>
      <c r="E122" s="93" t="s">
        <v>1581</v>
      </c>
      <c r="F122" s="8" t="s">
        <v>54</v>
      </c>
      <c r="G122" s="35"/>
    </row>
    <row r="123" spans="2:7">
      <c r="B123" s="22">
        <v>329</v>
      </c>
      <c r="C123" s="23" t="s">
        <v>1577</v>
      </c>
      <c r="D123" s="60">
        <v>10144442579</v>
      </c>
      <c r="E123" s="93" t="s">
        <v>1500</v>
      </c>
      <c r="F123" s="8" t="s">
        <v>54</v>
      </c>
      <c r="G123" s="35"/>
    </row>
    <row r="124" spans="2:7">
      <c r="B124" s="22">
        <v>341</v>
      </c>
      <c r="C124" s="92" t="s">
        <v>670</v>
      </c>
      <c r="D124" s="93">
        <v>209350007</v>
      </c>
      <c r="E124" s="93" t="s">
        <v>1578</v>
      </c>
      <c r="F124" s="8" t="s">
        <v>54</v>
      </c>
      <c r="G124" s="35"/>
    </row>
    <row r="125" spans="2:7">
      <c r="B125" s="22">
        <v>316</v>
      </c>
      <c r="C125" s="92" t="s">
        <v>1580</v>
      </c>
      <c r="D125" s="93">
        <v>10160796577</v>
      </c>
      <c r="E125" s="93" t="s">
        <v>84</v>
      </c>
      <c r="F125" s="8" t="s">
        <v>54</v>
      </c>
      <c r="G125" s="35"/>
    </row>
    <row r="126" spans="2:7">
      <c r="B126" s="22">
        <v>315</v>
      </c>
      <c r="C126" s="23" t="s">
        <v>1583</v>
      </c>
      <c r="D126" s="93">
        <v>10155740655</v>
      </c>
      <c r="E126" s="93" t="s">
        <v>1584</v>
      </c>
      <c r="F126" s="8" t="s">
        <v>54</v>
      </c>
      <c r="G126" s="35"/>
    </row>
    <row r="127" spans="2:7">
      <c r="B127" s="22">
        <v>335</v>
      </c>
      <c r="C127" s="92" t="s">
        <v>1585</v>
      </c>
      <c r="D127" s="93">
        <v>10154135004</v>
      </c>
      <c r="E127" s="93" t="s">
        <v>1586</v>
      </c>
      <c r="F127" s="8" t="s">
        <v>54</v>
      </c>
      <c r="G127" s="35"/>
    </row>
    <row r="128" spans="2:7">
      <c r="B128" s="22">
        <v>317</v>
      </c>
      <c r="C128" s="92" t="s">
        <v>1593</v>
      </c>
      <c r="D128" s="93">
        <v>10156702066</v>
      </c>
      <c r="E128" s="92" t="s">
        <v>84</v>
      </c>
      <c r="F128" s="8" t="s">
        <v>54</v>
      </c>
      <c r="G128" s="35"/>
    </row>
    <row r="129" spans="2:7">
      <c r="B129" s="22">
        <v>324</v>
      </c>
      <c r="C129" s="92" t="s">
        <v>297</v>
      </c>
      <c r="D129" s="93">
        <v>1016110819</v>
      </c>
      <c r="E129" s="92" t="s">
        <v>1592</v>
      </c>
      <c r="F129" s="8" t="s">
        <v>54</v>
      </c>
      <c r="G129" s="35"/>
    </row>
    <row r="130" spans="2:7">
      <c r="B130" s="22">
        <v>351</v>
      </c>
      <c r="C130" s="92" t="s">
        <v>1188</v>
      </c>
      <c r="D130" s="93">
        <v>10152378795</v>
      </c>
      <c r="E130" s="92" t="s">
        <v>1578</v>
      </c>
      <c r="F130" s="8" t="s">
        <v>54</v>
      </c>
      <c r="G130" s="35"/>
    </row>
    <row r="131" spans="2:7">
      <c r="B131" s="22">
        <v>340</v>
      </c>
      <c r="C131" s="92" t="s">
        <v>1359</v>
      </c>
      <c r="D131" s="93">
        <v>10166711557</v>
      </c>
      <c r="E131" s="93" t="s">
        <v>126</v>
      </c>
      <c r="F131" s="8" t="s">
        <v>54</v>
      </c>
      <c r="G131" s="35"/>
    </row>
    <row r="132" spans="2:7">
      <c r="B132" s="22">
        <v>352</v>
      </c>
      <c r="C132" s="92" t="s">
        <v>1594</v>
      </c>
      <c r="D132" s="93">
        <v>10173412843</v>
      </c>
      <c r="E132" s="93" t="s">
        <v>84</v>
      </c>
      <c r="F132" s="8" t="s">
        <v>54</v>
      </c>
      <c r="G132" s="35"/>
    </row>
    <row r="133" spans="2:7">
      <c r="B133" s="22">
        <v>312</v>
      </c>
      <c r="C133" s="92" t="s">
        <v>1358</v>
      </c>
      <c r="D133" s="93">
        <v>10162918251</v>
      </c>
      <c r="E133" s="93" t="s">
        <v>898</v>
      </c>
      <c r="F133" s="8" t="s">
        <v>54</v>
      </c>
      <c r="G133" s="35"/>
    </row>
    <row r="134" spans="2:7">
      <c r="B134" s="22">
        <v>355</v>
      </c>
      <c r="C134" s="92" t="s">
        <v>1355</v>
      </c>
      <c r="D134" s="93">
        <v>1111</v>
      </c>
      <c r="E134" s="92" t="s">
        <v>1587</v>
      </c>
      <c r="F134" s="8" t="s">
        <v>54</v>
      </c>
      <c r="G134" s="35"/>
    </row>
    <row r="135" spans="2:7">
      <c r="B135" s="22">
        <v>345</v>
      </c>
      <c r="C135" s="92" t="s">
        <v>1595</v>
      </c>
      <c r="D135" s="93">
        <v>10173505092</v>
      </c>
      <c r="E135" s="93" t="s">
        <v>591</v>
      </c>
      <c r="F135" s="8" t="s">
        <v>54</v>
      </c>
      <c r="G135" s="35"/>
    </row>
    <row r="136" spans="2:7">
      <c r="B136" s="22">
        <v>334</v>
      </c>
      <c r="C136" s="23" t="s">
        <v>1569</v>
      </c>
      <c r="D136" s="60">
        <v>10162499737</v>
      </c>
      <c r="E136" s="93" t="s">
        <v>1570</v>
      </c>
      <c r="F136" s="8" t="s">
        <v>54</v>
      </c>
      <c r="G136" s="35"/>
    </row>
    <row r="137" spans="2:7">
      <c r="B137" s="107">
        <v>358</v>
      </c>
      <c r="C137" s="92" t="s">
        <v>1590</v>
      </c>
      <c r="D137" s="93">
        <v>13386</v>
      </c>
      <c r="E137" s="93" t="s">
        <v>125</v>
      </c>
      <c r="F137" s="8" t="s">
        <v>54</v>
      </c>
      <c r="G137" s="35"/>
    </row>
    <row r="138" spans="2:7">
      <c r="B138" s="107">
        <v>359</v>
      </c>
      <c r="C138" s="92" t="s">
        <v>1575</v>
      </c>
      <c r="D138" s="93">
        <v>10164042845</v>
      </c>
      <c r="E138" s="93" t="s">
        <v>1576</v>
      </c>
      <c r="F138" s="8" t="s">
        <v>54</v>
      </c>
      <c r="G138" s="35"/>
    </row>
    <row r="139" spans="2:7">
      <c r="B139" s="22"/>
      <c r="C139" s="92"/>
      <c r="D139" s="93"/>
      <c r="E139" s="93"/>
      <c r="F139" s="8" t="s">
        <v>54</v>
      </c>
      <c r="G139" s="35"/>
    </row>
    <row r="140" spans="2:7">
      <c r="B140" s="22"/>
      <c r="C140" s="23"/>
      <c r="D140" s="93"/>
      <c r="E140" s="93"/>
      <c r="F140" s="8" t="s">
        <v>54</v>
      </c>
      <c r="G140" s="35"/>
    </row>
    <row r="141" spans="2:7">
      <c r="B141" s="22"/>
      <c r="C141" s="23"/>
      <c r="D141" s="93"/>
      <c r="E141" s="93"/>
      <c r="F141" s="8"/>
      <c r="G141" s="35"/>
    </row>
    <row r="142" spans="2:7">
      <c r="B142" s="22">
        <v>381</v>
      </c>
      <c r="C142" s="92" t="s">
        <v>1546</v>
      </c>
      <c r="D142" s="93">
        <v>10125653679</v>
      </c>
      <c r="E142" s="93" t="s">
        <v>1547</v>
      </c>
      <c r="F142" s="8" t="s">
        <v>55</v>
      </c>
      <c r="G142" s="35"/>
    </row>
    <row r="143" spans="2:7">
      <c r="B143" s="22">
        <v>387</v>
      </c>
      <c r="C143" s="92" t="s">
        <v>1548</v>
      </c>
      <c r="D143" s="93">
        <v>10156809877</v>
      </c>
      <c r="E143" s="92" t="s">
        <v>100</v>
      </c>
      <c r="F143" s="8" t="s">
        <v>55</v>
      </c>
      <c r="G143" s="35"/>
    </row>
    <row r="144" spans="2:7">
      <c r="B144" s="22">
        <v>384</v>
      </c>
      <c r="C144" s="92" t="s">
        <v>1330</v>
      </c>
      <c r="D144" s="93">
        <v>10141538340</v>
      </c>
      <c r="E144" s="93" t="s">
        <v>1331</v>
      </c>
      <c r="F144" s="8" t="s">
        <v>55</v>
      </c>
      <c r="G144" s="35"/>
    </row>
    <row r="145" spans="2:7">
      <c r="B145" s="22">
        <v>382</v>
      </c>
      <c r="C145" s="92" t="s">
        <v>1549</v>
      </c>
      <c r="D145" s="93">
        <v>10128546909</v>
      </c>
      <c r="E145" s="93" t="s">
        <v>1550</v>
      </c>
      <c r="F145" s="8" t="s">
        <v>55</v>
      </c>
      <c r="G145" s="35"/>
    </row>
    <row r="146" spans="2:7">
      <c r="B146" s="22">
        <v>386</v>
      </c>
      <c r="C146" s="92" t="s">
        <v>1329</v>
      </c>
      <c r="D146" s="93">
        <v>10152378391</v>
      </c>
      <c r="E146" s="93" t="s">
        <v>1551</v>
      </c>
      <c r="F146" s="8" t="s">
        <v>55</v>
      </c>
      <c r="G146" s="35"/>
    </row>
    <row r="147" spans="2:7">
      <c r="B147" s="22">
        <v>385</v>
      </c>
      <c r="C147" s="93" t="s">
        <v>683</v>
      </c>
      <c r="D147" s="93">
        <v>10171339063</v>
      </c>
      <c r="E147" s="92" t="s">
        <v>1532</v>
      </c>
      <c r="F147" s="8" t="s">
        <v>55</v>
      </c>
      <c r="G147" s="35"/>
    </row>
    <row r="148" spans="2:7">
      <c r="B148" s="22">
        <v>390</v>
      </c>
      <c r="C148" s="92" t="s">
        <v>1552</v>
      </c>
      <c r="D148" s="93">
        <v>10152964031</v>
      </c>
      <c r="E148" s="93" t="s">
        <v>1553</v>
      </c>
      <c r="F148" s="8" t="s">
        <v>55</v>
      </c>
      <c r="G148" s="35"/>
    </row>
    <row r="149" spans="2:7">
      <c r="B149" s="22"/>
      <c r="C149" s="92"/>
      <c r="D149" s="93"/>
      <c r="E149" s="92"/>
      <c r="F149" s="8" t="s">
        <v>55</v>
      </c>
      <c r="G149" s="35"/>
    </row>
    <row r="150" spans="2:7">
      <c r="B150" s="22"/>
      <c r="C150" s="92"/>
      <c r="D150" s="93"/>
      <c r="E150" s="92"/>
      <c r="F150" s="8" t="s">
        <v>55</v>
      </c>
      <c r="G150" s="35"/>
    </row>
    <row r="151" spans="2:7">
      <c r="B151" s="22"/>
      <c r="C151" s="92"/>
      <c r="D151" s="93"/>
      <c r="E151" s="93"/>
      <c r="F151" s="8"/>
      <c r="G151" s="35"/>
    </row>
    <row r="152" spans="2:7">
      <c r="B152" s="22">
        <v>510</v>
      </c>
      <c r="C152" s="92" t="s">
        <v>1514</v>
      </c>
      <c r="D152" s="93">
        <v>10126142218</v>
      </c>
      <c r="E152" s="93" t="s">
        <v>125</v>
      </c>
      <c r="F152" s="8" t="s">
        <v>56</v>
      </c>
      <c r="G152" s="35"/>
    </row>
    <row r="153" spans="2:7">
      <c r="B153" s="22">
        <v>518</v>
      </c>
      <c r="C153" s="92" t="s">
        <v>930</v>
      </c>
      <c r="D153" s="93">
        <v>10141584517</v>
      </c>
      <c r="E153" s="92" t="s">
        <v>1513</v>
      </c>
      <c r="F153" s="8" t="s">
        <v>56</v>
      </c>
      <c r="G153" s="35"/>
    </row>
    <row r="154" spans="2:7">
      <c r="B154" s="22">
        <v>502</v>
      </c>
      <c r="C154" s="92" t="s">
        <v>336</v>
      </c>
      <c r="D154" s="93">
        <v>10139359880</v>
      </c>
      <c r="E154" s="92" t="s">
        <v>84</v>
      </c>
      <c r="F154" s="8" t="s">
        <v>56</v>
      </c>
      <c r="G154" s="35"/>
    </row>
    <row r="155" spans="2:7">
      <c r="B155" s="22">
        <v>501</v>
      </c>
      <c r="C155" s="92" t="s">
        <v>1511</v>
      </c>
      <c r="D155" s="93">
        <v>10171463345</v>
      </c>
      <c r="E155" s="92" t="s">
        <v>1512</v>
      </c>
      <c r="F155" s="8" t="s">
        <v>56</v>
      </c>
      <c r="G155" s="35"/>
    </row>
    <row r="156" spans="2:7">
      <c r="B156" s="22">
        <v>505</v>
      </c>
      <c r="C156" s="92" t="s">
        <v>690</v>
      </c>
      <c r="D156" s="93">
        <v>10156807554</v>
      </c>
      <c r="E156" s="93" t="s">
        <v>340</v>
      </c>
      <c r="F156" s="8" t="s">
        <v>56</v>
      </c>
      <c r="G156" s="35"/>
    </row>
    <row r="157" spans="2:7">
      <c r="B157" s="22">
        <v>512</v>
      </c>
      <c r="C157" s="92" t="s">
        <v>689</v>
      </c>
      <c r="D157" s="93">
        <v>10131905735</v>
      </c>
      <c r="E157" s="93" t="s">
        <v>128</v>
      </c>
      <c r="F157" s="8" t="s">
        <v>56</v>
      </c>
      <c r="G157" s="35"/>
    </row>
    <row r="158" spans="2:7">
      <c r="B158" s="22">
        <v>507</v>
      </c>
      <c r="C158" s="92" t="s">
        <v>1515</v>
      </c>
      <c r="D158" s="93">
        <v>10129054440</v>
      </c>
      <c r="E158" s="92" t="s">
        <v>150</v>
      </c>
      <c r="F158" s="8" t="s">
        <v>56</v>
      </c>
      <c r="G158" s="35"/>
    </row>
    <row r="159" spans="2:7">
      <c r="B159" s="22">
        <v>503</v>
      </c>
      <c r="C159" s="92" t="s">
        <v>337</v>
      </c>
      <c r="D159" s="93">
        <v>10142567550</v>
      </c>
      <c r="E159" s="92" t="s">
        <v>154</v>
      </c>
      <c r="F159" s="8" t="s">
        <v>56</v>
      </c>
      <c r="G159" s="35"/>
    </row>
    <row r="160" spans="2:7">
      <c r="B160" s="22">
        <v>521</v>
      </c>
      <c r="C160" s="92" t="s">
        <v>362</v>
      </c>
      <c r="D160" s="93">
        <v>10153425183</v>
      </c>
      <c r="E160" s="93" t="s">
        <v>1500</v>
      </c>
      <c r="F160" s="8" t="s">
        <v>56</v>
      </c>
      <c r="G160" s="35"/>
    </row>
    <row r="161" spans="2:7">
      <c r="B161" s="22">
        <v>504</v>
      </c>
      <c r="C161" s="92" t="s">
        <v>947</v>
      </c>
      <c r="D161" s="93">
        <v>10154828350</v>
      </c>
      <c r="E161" s="93" t="s">
        <v>124</v>
      </c>
      <c r="F161" s="8" t="s">
        <v>56</v>
      </c>
      <c r="G161" s="35"/>
    </row>
    <row r="162" spans="2:7">
      <c r="B162" s="22">
        <v>514</v>
      </c>
      <c r="C162" s="92" t="s">
        <v>351</v>
      </c>
      <c r="D162" s="93">
        <v>10157013578</v>
      </c>
      <c r="E162" s="93" t="s">
        <v>1524</v>
      </c>
      <c r="F162" s="8" t="s">
        <v>56</v>
      </c>
      <c r="G162" s="35"/>
    </row>
    <row r="163" spans="2:7">
      <c r="B163" s="22">
        <v>516</v>
      </c>
      <c r="C163" s="92" t="s">
        <v>1528</v>
      </c>
      <c r="D163" s="93">
        <v>10172014730</v>
      </c>
      <c r="E163" s="93" t="s">
        <v>84</v>
      </c>
      <c r="F163" s="8" t="s">
        <v>56</v>
      </c>
      <c r="G163" s="35"/>
    </row>
    <row r="164" spans="2:7">
      <c r="B164" s="22">
        <v>506</v>
      </c>
      <c r="C164" s="92" t="s">
        <v>1529</v>
      </c>
      <c r="D164" s="93">
        <v>10171702512</v>
      </c>
      <c r="E164" s="93" t="s">
        <v>1530</v>
      </c>
      <c r="F164" s="8" t="s">
        <v>56</v>
      </c>
      <c r="G164" s="35"/>
    </row>
    <row r="165" spans="2:7">
      <c r="B165" s="22">
        <v>515</v>
      </c>
      <c r="C165" s="92" t="s">
        <v>948</v>
      </c>
      <c r="D165" s="93">
        <v>10171999875</v>
      </c>
      <c r="E165" s="92" t="s">
        <v>130</v>
      </c>
      <c r="F165" s="8" t="s">
        <v>56</v>
      </c>
      <c r="G165" s="35"/>
    </row>
    <row r="166" spans="2:7">
      <c r="B166" s="22">
        <v>509</v>
      </c>
      <c r="C166" s="92" t="s">
        <v>1538</v>
      </c>
      <c r="D166" s="93">
        <v>10164774688</v>
      </c>
      <c r="E166" s="92" t="s">
        <v>1539</v>
      </c>
      <c r="F166" s="8" t="s">
        <v>56</v>
      </c>
      <c r="G166" s="35"/>
    </row>
    <row r="167" spans="2:7">
      <c r="B167" s="22">
        <v>523</v>
      </c>
      <c r="C167" s="92" t="s">
        <v>1525</v>
      </c>
      <c r="D167" s="95">
        <v>10155993259</v>
      </c>
      <c r="E167" s="93" t="s">
        <v>1500</v>
      </c>
      <c r="F167" s="8" t="s">
        <v>56</v>
      </c>
      <c r="G167" s="35"/>
    </row>
    <row r="168" spans="2:7">
      <c r="B168" s="22">
        <v>513</v>
      </c>
      <c r="C168" s="92" t="s">
        <v>1543</v>
      </c>
      <c r="D168" s="93">
        <v>121480958</v>
      </c>
      <c r="E168" s="93" t="s">
        <v>130</v>
      </c>
      <c r="F168" s="8" t="s">
        <v>56</v>
      </c>
      <c r="G168" s="35"/>
    </row>
    <row r="169" spans="2:7">
      <c r="B169" s="22">
        <v>508</v>
      </c>
      <c r="C169" s="92" t="s">
        <v>1531</v>
      </c>
      <c r="D169" s="93">
        <v>10171656133</v>
      </c>
      <c r="E169" s="93" t="s">
        <v>1532</v>
      </c>
      <c r="F169" s="8" t="s">
        <v>56</v>
      </c>
      <c r="G169" s="35"/>
    </row>
    <row r="170" spans="2:7">
      <c r="B170" s="22">
        <v>530</v>
      </c>
      <c r="C170" s="92" t="s">
        <v>941</v>
      </c>
      <c r="D170" s="93">
        <v>10173144172</v>
      </c>
      <c r="E170" s="92" t="s">
        <v>1518</v>
      </c>
      <c r="F170" s="8" t="s">
        <v>56</v>
      </c>
      <c r="G170" s="35"/>
    </row>
    <row r="171" spans="2:7">
      <c r="B171" s="22">
        <v>537</v>
      </c>
      <c r="C171" s="92" t="s">
        <v>1544</v>
      </c>
      <c r="D171" s="93">
        <v>10175124992</v>
      </c>
      <c r="E171" s="92" t="s">
        <v>1545</v>
      </c>
      <c r="F171" s="8" t="s">
        <v>56</v>
      </c>
      <c r="G171" s="35"/>
    </row>
    <row r="172" spans="2:7">
      <c r="B172" s="22">
        <v>529</v>
      </c>
      <c r="C172" s="92" t="s">
        <v>1517</v>
      </c>
      <c r="D172" s="93">
        <v>10162504282</v>
      </c>
      <c r="E172" s="93" t="s">
        <v>125</v>
      </c>
      <c r="F172" s="8" t="s">
        <v>56</v>
      </c>
      <c r="G172" s="35"/>
    </row>
    <row r="173" spans="2:7">
      <c r="B173" s="22">
        <v>538</v>
      </c>
      <c r="C173" s="92" t="s">
        <v>1326</v>
      </c>
      <c r="D173" s="93" t="s">
        <v>66</v>
      </c>
      <c r="E173" s="93" t="s">
        <v>1533</v>
      </c>
      <c r="F173" s="8" t="s">
        <v>56</v>
      </c>
      <c r="G173" s="35"/>
    </row>
    <row r="174" spans="2:7">
      <c r="B174" s="22">
        <v>531</v>
      </c>
      <c r="C174" s="92" t="s">
        <v>1522</v>
      </c>
      <c r="D174" s="93">
        <v>10102760669</v>
      </c>
      <c r="E174" s="92" t="s">
        <v>1523</v>
      </c>
      <c r="F174" s="8" t="s">
        <v>56</v>
      </c>
      <c r="G174" s="35"/>
    </row>
    <row r="175" spans="2:7">
      <c r="B175" s="22">
        <v>539</v>
      </c>
      <c r="C175" s="92" t="s">
        <v>1516</v>
      </c>
      <c r="D175" s="93" t="s">
        <v>66</v>
      </c>
      <c r="E175" s="93" t="s">
        <v>1513</v>
      </c>
      <c r="F175" s="8" t="s">
        <v>56</v>
      </c>
      <c r="G175" s="35"/>
    </row>
    <row r="176" spans="2:7">
      <c r="B176" s="22">
        <v>519</v>
      </c>
      <c r="C176" s="92" t="s">
        <v>1526</v>
      </c>
      <c r="D176" s="93">
        <v>10132818884</v>
      </c>
      <c r="E176" s="93" t="s">
        <v>1527</v>
      </c>
      <c r="F176" s="8" t="s">
        <v>56</v>
      </c>
      <c r="G176" s="35"/>
    </row>
    <row r="177" spans="2:7">
      <c r="B177" s="22">
        <v>540</v>
      </c>
      <c r="C177" s="92" t="s">
        <v>1521</v>
      </c>
      <c r="D177" s="93">
        <v>10175690525</v>
      </c>
      <c r="E177" s="92" t="s">
        <v>112</v>
      </c>
      <c r="F177" s="8" t="s">
        <v>56</v>
      </c>
      <c r="G177" s="35"/>
    </row>
    <row r="178" spans="2:7">
      <c r="B178" s="22">
        <v>526</v>
      </c>
      <c r="C178" s="92" t="s">
        <v>1519</v>
      </c>
      <c r="D178" s="93">
        <v>10173358380</v>
      </c>
      <c r="E178" s="92" t="s">
        <v>1520</v>
      </c>
      <c r="F178" s="8" t="s">
        <v>56</v>
      </c>
      <c r="G178" s="35"/>
    </row>
    <row r="179" spans="2:7">
      <c r="B179" s="22">
        <v>536</v>
      </c>
      <c r="C179" s="92" t="s">
        <v>1327</v>
      </c>
      <c r="D179" s="93">
        <v>10175690727</v>
      </c>
      <c r="E179" s="93" t="s">
        <v>65</v>
      </c>
      <c r="F179" s="8" t="s">
        <v>56</v>
      </c>
      <c r="G179" s="35"/>
    </row>
    <row r="180" spans="2:7">
      <c r="B180" s="107">
        <v>543</v>
      </c>
      <c r="C180" s="92" t="s">
        <v>1536</v>
      </c>
      <c r="D180" s="93" t="s">
        <v>66</v>
      </c>
      <c r="E180" s="93" t="s">
        <v>1537</v>
      </c>
      <c r="F180" s="8" t="s">
        <v>56</v>
      </c>
      <c r="G180" s="35"/>
    </row>
    <row r="181" spans="2:7">
      <c r="B181" s="107">
        <v>544</v>
      </c>
      <c r="C181" s="92" t="s">
        <v>1534</v>
      </c>
      <c r="D181" s="95" t="s">
        <v>66</v>
      </c>
      <c r="E181" s="92" t="s">
        <v>1487</v>
      </c>
      <c r="F181" s="8" t="s">
        <v>56</v>
      </c>
      <c r="G181" s="35"/>
    </row>
    <row r="182" spans="2:7">
      <c r="B182" s="107">
        <v>545</v>
      </c>
      <c r="C182" s="92" t="s">
        <v>1541</v>
      </c>
      <c r="D182" s="93"/>
      <c r="E182" s="92" t="s">
        <v>1542</v>
      </c>
      <c r="F182" s="8" t="s">
        <v>56</v>
      </c>
      <c r="G182" s="35"/>
    </row>
    <row r="183" spans="2:7">
      <c r="B183" s="22"/>
      <c r="C183" s="92"/>
      <c r="D183" s="93"/>
      <c r="E183" s="92"/>
      <c r="F183" s="8" t="s">
        <v>56</v>
      </c>
      <c r="G183" s="35"/>
    </row>
    <row r="184" spans="2:7">
      <c r="B184" s="22"/>
      <c r="C184" s="92"/>
      <c r="D184" s="93"/>
      <c r="E184" s="92"/>
      <c r="F184" s="8"/>
      <c r="G184" s="35"/>
    </row>
    <row r="185" spans="2:7">
      <c r="B185" s="22">
        <v>581</v>
      </c>
      <c r="C185" s="92" t="s">
        <v>1554</v>
      </c>
      <c r="D185" s="17">
        <v>121480116</v>
      </c>
      <c r="E185" t="s">
        <v>1555</v>
      </c>
      <c r="F185" s="8" t="s">
        <v>57</v>
      </c>
      <c r="G185" s="35"/>
    </row>
    <row r="186" spans="2:7">
      <c r="B186" s="22">
        <v>583</v>
      </c>
      <c r="C186" s="92" t="s">
        <v>1558</v>
      </c>
      <c r="D186" s="93">
        <v>10154228768</v>
      </c>
      <c r="E186" s="92" t="s">
        <v>124</v>
      </c>
      <c r="F186" s="8" t="s">
        <v>57</v>
      </c>
      <c r="G186" s="35"/>
    </row>
    <row r="187" spans="2:7">
      <c r="B187" s="22">
        <v>584</v>
      </c>
      <c r="C187" s="92" t="s">
        <v>369</v>
      </c>
      <c r="D187" s="93">
        <v>10154309503</v>
      </c>
      <c r="E187" s="93" t="s">
        <v>1563</v>
      </c>
      <c r="F187" s="8" t="s">
        <v>57</v>
      </c>
      <c r="G187" s="35"/>
    </row>
    <row r="188" spans="2:7">
      <c r="B188" s="22">
        <v>582</v>
      </c>
      <c r="C188" s="92" t="s">
        <v>1167</v>
      </c>
      <c r="D188" s="93">
        <v>10131906139</v>
      </c>
      <c r="E188" s="93" t="s">
        <v>130</v>
      </c>
      <c r="F188" s="8" t="s">
        <v>57</v>
      </c>
      <c r="G188" s="35"/>
    </row>
    <row r="189" spans="2:7">
      <c r="B189" s="22">
        <v>586</v>
      </c>
      <c r="C189" s="92" t="s">
        <v>1556</v>
      </c>
      <c r="D189" s="17" t="s">
        <v>66</v>
      </c>
      <c r="E189" t="s">
        <v>150</v>
      </c>
      <c r="F189" s="8" t="s">
        <v>57</v>
      </c>
      <c r="G189" s="35"/>
    </row>
    <row r="190" spans="2:7">
      <c r="B190" s="22">
        <v>589</v>
      </c>
      <c r="C190" s="92" t="s">
        <v>374</v>
      </c>
      <c r="D190" s="93">
        <v>10164743366</v>
      </c>
      <c r="E190" s="93" t="s">
        <v>449</v>
      </c>
      <c r="F190" s="8" t="s">
        <v>57</v>
      </c>
      <c r="G190" s="35"/>
    </row>
    <row r="191" spans="2:7">
      <c r="B191" s="22">
        <v>588</v>
      </c>
      <c r="C191" s="92" t="s">
        <v>1560</v>
      </c>
      <c r="D191" s="93">
        <v>10164743770</v>
      </c>
      <c r="E191" s="93" t="s">
        <v>1561</v>
      </c>
      <c r="F191" s="8" t="s">
        <v>57</v>
      </c>
      <c r="G191" s="35"/>
    </row>
    <row r="192" spans="2:7">
      <c r="B192" s="22">
        <v>587</v>
      </c>
      <c r="C192" s="92" t="s">
        <v>1562</v>
      </c>
      <c r="D192" s="93">
        <v>10176563323</v>
      </c>
      <c r="E192" s="92" t="s">
        <v>150</v>
      </c>
      <c r="F192" s="8" t="s">
        <v>57</v>
      </c>
      <c r="G192" s="35"/>
    </row>
    <row r="193" spans="2:7">
      <c r="B193" s="22">
        <v>596</v>
      </c>
      <c r="C193" s="92" t="s">
        <v>1557</v>
      </c>
      <c r="D193" s="93">
        <v>10153426601</v>
      </c>
      <c r="E193" s="93" t="s">
        <v>1506</v>
      </c>
      <c r="F193" s="8" t="s">
        <v>57</v>
      </c>
      <c r="G193" s="35"/>
    </row>
    <row r="194" spans="2:7">
      <c r="B194" s="22">
        <v>590</v>
      </c>
      <c r="C194" s="92" t="s">
        <v>1559</v>
      </c>
      <c r="D194" s="93">
        <v>10172211558</v>
      </c>
      <c r="E194" s="93" t="s">
        <v>111</v>
      </c>
      <c r="F194" s="8" t="s">
        <v>57</v>
      </c>
      <c r="G194" s="35"/>
    </row>
    <row r="195" spans="2:7">
      <c r="B195" s="22">
        <v>595</v>
      </c>
      <c r="C195" s="92" t="s">
        <v>1564</v>
      </c>
      <c r="D195" s="93">
        <v>10173517826</v>
      </c>
      <c r="E195" s="93" t="s">
        <v>1500</v>
      </c>
      <c r="F195" s="8" t="s">
        <v>57</v>
      </c>
      <c r="G195" s="35"/>
    </row>
    <row r="196" spans="2:7">
      <c r="B196" s="22">
        <v>593</v>
      </c>
      <c r="C196" s="93" t="s">
        <v>735</v>
      </c>
      <c r="D196" s="93" t="s">
        <v>66</v>
      </c>
      <c r="E196" s="92" t="s">
        <v>1542</v>
      </c>
      <c r="F196" s="8" t="s">
        <v>57</v>
      </c>
      <c r="G196" s="35"/>
    </row>
    <row r="197" spans="2:7">
      <c r="B197" s="107"/>
      <c r="C197" s="92"/>
      <c r="D197" s="17"/>
      <c r="F197" s="8" t="s">
        <v>57</v>
      </c>
      <c r="G197" s="35"/>
    </row>
    <row r="198" spans="2:7">
      <c r="B198" s="41"/>
      <c r="C198" s="8"/>
      <c r="D198" s="54"/>
      <c r="E198" s="54"/>
      <c r="F198" s="8" t="s">
        <v>57</v>
      </c>
      <c r="G198" s="35"/>
    </row>
    <row r="199" spans="2:7">
      <c r="B199" s="41"/>
      <c r="C199" s="8"/>
      <c r="D199" s="54"/>
      <c r="E199" s="54"/>
      <c r="F199" s="8" t="s">
        <v>57</v>
      </c>
      <c r="G199" s="35"/>
    </row>
    <row r="200" spans="2:7" ht="15.75">
      <c r="B200" s="52"/>
      <c r="C200" s="8"/>
      <c r="D200" s="54"/>
      <c r="E200" s="54"/>
      <c r="F200" s="8"/>
      <c r="G200" s="35"/>
    </row>
    <row r="201" spans="2:7">
      <c r="B201" s="7"/>
      <c r="C201" s="8"/>
      <c r="D201" s="54"/>
      <c r="E201" s="54"/>
      <c r="F201" s="8"/>
      <c r="G201" s="35"/>
    </row>
    <row r="202" spans="2:7">
      <c r="B202" s="22">
        <v>401</v>
      </c>
      <c r="C202" s="92" t="s">
        <v>377</v>
      </c>
      <c r="D202" s="93">
        <v>10162383236</v>
      </c>
      <c r="E202" s="93" t="s">
        <v>1485</v>
      </c>
      <c r="F202" s="8" t="s">
        <v>158</v>
      </c>
      <c r="G202" s="35"/>
    </row>
    <row r="203" spans="2:7">
      <c r="B203" s="22">
        <v>406</v>
      </c>
      <c r="C203" s="92" t="s">
        <v>1489</v>
      </c>
      <c r="D203" s="93">
        <v>10172211659</v>
      </c>
      <c r="E203" s="93" t="s">
        <v>1490</v>
      </c>
      <c r="F203" s="8" t="s">
        <v>158</v>
      </c>
      <c r="G203" s="35"/>
    </row>
    <row r="204" spans="2:7">
      <c r="B204" s="22">
        <v>402</v>
      </c>
      <c r="C204" s="92" t="s">
        <v>745</v>
      </c>
      <c r="D204" s="93" t="s">
        <v>66</v>
      </c>
      <c r="E204" s="93" t="s">
        <v>1681</v>
      </c>
      <c r="F204" s="8" t="s">
        <v>158</v>
      </c>
      <c r="G204" s="35"/>
    </row>
    <row r="205" spans="2:7">
      <c r="B205" s="22">
        <v>404</v>
      </c>
      <c r="C205" s="92" t="s">
        <v>380</v>
      </c>
      <c r="D205" s="93">
        <v>10130330796</v>
      </c>
      <c r="E205" s="93" t="s">
        <v>65</v>
      </c>
      <c r="F205" s="8" t="s">
        <v>158</v>
      </c>
      <c r="G205" s="35"/>
    </row>
    <row r="206" spans="2:7">
      <c r="B206" s="22">
        <v>407</v>
      </c>
      <c r="C206" s="92" t="s">
        <v>1488</v>
      </c>
      <c r="D206" s="93" t="s">
        <v>66</v>
      </c>
      <c r="E206" s="92" t="s">
        <v>84</v>
      </c>
      <c r="F206" s="8" t="s">
        <v>158</v>
      </c>
      <c r="G206" s="35"/>
    </row>
    <row r="207" spans="2:7">
      <c r="B207" s="22">
        <v>409</v>
      </c>
      <c r="C207" s="92" t="s">
        <v>1144</v>
      </c>
      <c r="D207" s="93">
        <v>10173513378</v>
      </c>
      <c r="E207" s="93" t="s">
        <v>1494</v>
      </c>
      <c r="F207" s="8" t="s">
        <v>158</v>
      </c>
      <c r="G207" s="35"/>
    </row>
    <row r="208" spans="2:7">
      <c r="B208" s="22">
        <v>411</v>
      </c>
      <c r="C208" s="92" t="s">
        <v>1682</v>
      </c>
      <c r="D208" s="93">
        <v>10151394247</v>
      </c>
      <c r="E208" s="93" t="s">
        <v>1683</v>
      </c>
      <c r="F208" s="8" t="s">
        <v>158</v>
      </c>
      <c r="G208" s="35"/>
    </row>
    <row r="209" spans="2:7">
      <c r="B209" s="22">
        <v>413</v>
      </c>
      <c r="C209" s="92" t="s">
        <v>1684</v>
      </c>
      <c r="D209" s="93">
        <v>10113255059</v>
      </c>
      <c r="E209" s="93" t="s">
        <v>1685</v>
      </c>
      <c r="F209" s="8" t="s">
        <v>158</v>
      </c>
      <c r="G209" s="35"/>
    </row>
    <row r="210" spans="2:7">
      <c r="B210" s="22">
        <v>417</v>
      </c>
      <c r="C210" s="92" t="s">
        <v>1309</v>
      </c>
      <c r="D210" s="93">
        <v>10175618177</v>
      </c>
      <c r="E210" s="93" t="s">
        <v>1495</v>
      </c>
      <c r="F210" s="8" t="s">
        <v>158</v>
      </c>
      <c r="G210" s="35"/>
    </row>
    <row r="211" spans="2:7">
      <c r="B211" s="107">
        <v>420</v>
      </c>
      <c r="C211" s="92" t="s">
        <v>1491</v>
      </c>
      <c r="D211" s="93">
        <v>10177779257</v>
      </c>
      <c r="E211" s="93" t="s">
        <v>65</v>
      </c>
      <c r="F211" s="8" t="s">
        <v>158</v>
      </c>
      <c r="G211" s="35"/>
    </row>
    <row r="212" spans="2:7">
      <c r="B212" s="107">
        <v>421</v>
      </c>
      <c r="C212" s="92" t="s">
        <v>1486</v>
      </c>
      <c r="D212" s="93" t="s">
        <v>66</v>
      </c>
      <c r="E212" s="93" t="s">
        <v>1487</v>
      </c>
      <c r="F212" s="8" t="s">
        <v>158</v>
      </c>
      <c r="G212" s="35"/>
    </row>
    <row r="213" spans="2:7">
      <c r="B213" s="107">
        <v>422</v>
      </c>
      <c r="C213" s="92" t="s">
        <v>1496</v>
      </c>
      <c r="D213" s="93" t="s">
        <v>66</v>
      </c>
      <c r="E213" s="93" t="s">
        <v>1487</v>
      </c>
      <c r="F213" s="8" t="s">
        <v>158</v>
      </c>
      <c r="G213" s="35"/>
    </row>
    <row r="214" spans="2:7">
      <c r="B214" s="107">
        <v>423</v>
      </c>
      <c r="C214" s="92" t="s">
        <v>1498</v>
      </c>
      <c r="D214" s="93">
        <v>10175538254</v>
      </c>
      <c r="E214" s="93" t="s">
        <v>1487</v>
      </c>
      <c r="F214" s="8" t="s">
        <v>158</v>
      </c>
      <c r="G214" s="35"/>
    </row>
    <row r="215" spans="2:7">
      <c r="B215" s="107">
        <v>424</v>
      </c>
      <c r="C215" s="92" t="s">
        <v>1492</v>
      </c>
      <c r="D215" s="93" t="s">
        <v>66</v>
      </c>
      <c r="E215" s="93" t="s">
        <v>1493</v>
      </c>
      <c r="F215" s="8" t="s">
        <v>158</v>
      </c>
      <c r="G215" s="35"/>
    </row>
    <row r="216" spans="2:7">
      <c r="B216" s="107">
        <v>425</v>
      </c>
      <c r="C216" s="92" t="s">
        <v>1497</v>
      </c>
      <c r="D216" s="93"/>
      <c r="E216" s="93" t="s">
        <v>1494</v>
      </c>
      <c r="F216" s="8" t="s">
        <v>158</v>
      </c>
      <c r="G216" s="35"/>
    </row>
    <row r="217" spans="2:7">
      <c r="B217" s="107" t="s">
        <v>1686</v>
      </c>
      <c r="C217" s="92" t="s">
        <v>1687</v>
      </c>
      <c r="D217" s="93"/>
      <c r="E217" s="93"/>
      <c r="F217" s="8" t="s">
        <v>158</v>
      </c>
      <c r="G217" s="35"/>
    </row>
    <row r="218" spans="2:7">
      <c r="B218" s="22"/>
      <c r="C218" s="92"/>
      <c r="D218" s="93"/>
      <c r="E218" s="92"/>
      <c r="F218" s="8"/>
      <c r="G218" s="35"/>
    </row>
    <row r="219" spans="2:7">
      <c r="B219" s="22">
        <v>484</v>
      </c>
      <c r="C219" s="92" t="s">
        <v>1503</v>
      </c>
      <c r="D219" s="93">
        <v>10162507114</v>
      </c>
      <c r="E219" s="93" t="s">
        <v>125</v>
      </c>
      <c r="F219" s="8" t="s">
        <v>159</v>
      </c>
      <c r="G219" s="35"/>
    </row>
    <row r="220" spans="2:7">
      <c r="B220" s="22">
        <v>482</v>
      </c>
      <c r="C220" s="92" t="s">
        <v>1501</v>
      </c>
      <c r="D220" s="93">
        <v>10171940261</v>
      </c>
      <c r="E220" s="92" t="s">
        <v>1502</v>
      </c>
      <c r="F220" s="8" t="s">
        <v>159</v>
      </c>
      <c r="G220" s="35"/>
    </row>
    <row r="221" spans="2:7">
      <c r="B221" s="22">
        <v>483</v>
      </c>
      <c r="C221" s="92" t="s">
        <v>755</v>
      </c>
      <c r="D221" s="93">
        <v>10156361455</v>
      </c>
      <c r="E221" s="93" t="s">
        <v>1504</v>
      </c>
      <c r="F221" s="8" t="s">
        <v>159</v>
      </c>
      <c r="G221" s="35"/>
    </row>
    <row r="222" spans="2:7">
      <c r="B222" s="22">
        <v>486</v>
      </c>
      <c r="C222" s="92" t="s">
        <v>1510</v>
      </c>
      <c r="D222" s="93">
        <v>10175803184</v>
      </c>
      <c r="E222" s="93" t="s">
        <v>150</v>
      </c>
      <c r="F222" s="8" t="s">
        <v>159</v>
      </c>
      <c r="G222" s="35"/>
    </row>
    <row r="223" spans="2:7">
      <c r="B223" s="22">
        <v>489</v>
      </c>
      <c r="C223" s="92" t="s">
        <v>1499</v>
      </c>
      <c r="D223" s="93">
        <v>10105006019</v>
      </c>
      <c r="E223" s="93" t="s">
        <v>1500</v>
      </c>
      <c r="F223" s="8" t="s">
        <v>159</v>
      </c>
      <c r="G223" s="35"/>
    </row>
    <row r="224" spans="2:7">
      <c r="B224" s="22">
        <v>488</v>
      </c>
      <c r="C224" s="92" t="s">
        <v>1505</v>
      </c>
      <c r="D224" s="93">
        <v>10162509639</v>
      </c>
      <c r="E224" s="93" t="s">
        <v>1506</v>
      </c>
      <c r="F224" s="8" t="s">
        <v>159</v>
      </c>
      <c r="G224" s="35"/>
    </row>
    <row r="225" spans="2:7">
      <c r="B225" s="107">
        <v>490</v>
      </c>
      <c r="C225" s="92" t="s">
        <v>1507</v>
      </c>
      <c r="D225" s="93" t="s">
        <v>66</v>
      </c>
      <c r="E225" s="92" t="s">
        <v>1508</v>
      </c>
      <c r="F225" s="8" t="s">
        <v>159</v>
      </c>
      <c r="G225" s="35"/>
    </row>
    <row r="226" spans="2:7">
      <c r="B226" s="107">
        <v>491</v>
      </c>
      <c r="C226" s="92" t="s">
        <v>1509</v>
      </c>
      <c r="D226" s="93" t="s">
        <v>66</v>
      </c>
      <c r="E226" s="92" t="s">
        <v>1487</v>
      </c>
      <c r="F226" s="8" t="s">
        <v>159</v>
      </c>
      <c r="G226" s="35"/>
    </row>
    <row r="227" spans="2:7">
      <c r="B227" s="22"/>
      <c r="C227" s="92"/>
      <c r="D227" s="93"/>
      <c r="E227" s="93"/>
      <c r="F227" s="8"/>
      <c r="G227" s="35"/>
    </row>
    <row r="228" spans="2:7">
      <c r="B228" s="22">
        <v>701</v>
      </c>
      <c r="C228" s="93" t="s">
        <v>760</v>
      </c>
      <c r="D228" s="93">
        <v>10079383568</v>
      </c>
      <c r="E228" s="93" t="s">
        <v>1450</v>
      </c>
      <c r="F228" s="8" t="s">
        <v>58</v>
      </c>
      <c r="G228" s="35"/>
    </row>
    <row r="229" spans="2:7">
      <c r="B229" s="22">
        <v>708</v>
      </c>
      <c r="C229" s="92" t="s">
        <v>1660</v>
      </c>
      <c r="D229" s="93">
        <v>10056033143</v>
      </c>
      <c r="E229" s="93" t="s">
        <v>1661</v>
      </c>
      <c r="F229" s="8" t="s">
        <v>58</v>
      </c>
      <c r="G229" s="35"/>
    </row>
    <row r="230" spans="2:7">
      <c r="B230" s="22">
        <v>713</v>
      </c>
      <c r="C230" s="92" t="s">
        <v>1447</v>
      </c>
      <c r="D230" s="93">
        <v>10006255268</v>
      </c>
      <c r="E230" s="93" t="s">
        <v>1449</v>
      </c>
      <c r="F230" s="8" t="s">
        <v>58</v>
      </c>
      <c r="G230" s="35"/>
    </row>
    <row r="231" spans="2:7">
      <c r="B231" s="22">
        <v>714</v>
      </c>
      <c r="C231" s="92" t="s">
        <v>1662</v>
      </c>
      <c r="D231" s="93">
        <v>10155585455</v>
      </c>
      <c r="E231" s="93" t="s">
        <v>1239</v>
      </c>
      <c r="F231" s="8" t="s">
        <v>58</v>
      </c>
      <c r="G231" s="35"/>
    </row>
    <row r="232" spans="2:7">
      <c r="B232" s="22"/>
      <c r="C232" s="92"/>
      <c r="D232" s="93"/>
      <c r="E232" s="93"/>
      <c r="F232" s="8" t="s">
        <v>58</v>
      </c>
      <c r="G232" s="35"/>
    </row>
    <row r="233" spans="2:7">
      <c r="B233" s="22"/>
      <c r="C233" s="92"/>
      <c r="D233" s="93"/>
      <c r="E233" s="93"/>
      <c r="F233" s="8" t="s">
        <v>58</v>
      </c>
      <c r="G233" s="35"/>
    </row>
    <row r="234" spans="2:7">
      <c r="B234" s="107"/>
      <c r="C234" s="92"/>
      <c r="D234" s="93"/>
      <c r="E234" s="93"/>
      <c r="F234" s="8" t="s">
        <v>58</v>
      </c>
      <c r="G234" s="35"/>
    </row>
    <row r="235" spans="2:7" ht="15.75">
      <c r="B235" s="21"/>
      <c r="C235" s="8"/>
      <c r="D235" s="54"/>
      <c r="E235" s="54"/>
      <c r="F235" s="8"/>
      <c r="G235" s="35"/>
    </row>
    <row r="236" spans="2:7">
      <c r="B236" s="22">
        <v>752</v>
      </c>
      <c r="C236" s="92" t="s">
        <v>1663</v>
      </c>
      <c r="D236" s="93">
        <v>10001352223</v>
      </c>
      <c r="E236" s="93" t="s">
        <v>1664</v>
      </c>
      <c r="F236" s="8" t="s">
        <v>59</v>
      </c>
      <c r="G236" s="35"/>
    </row>
    <row r="237" spans="2:7">
      <c r="B237" s="22">
        <v>751</v>
      </c>
      <c r="C237" s="92" t="s">
        <v>1665</v>
      </c>
      <c r="D237" s="93">
        <v>10127988349</v>
      </c>
      <c r="E237" s="93" t="s">
        <v>100</v>
      </c>
      <c r="F237" s="8" t="s">
        <v>59</v>
      </c>
      <c r="G237" s="35"/>
    </row>
    <row r="238" spans="2:7">
      <c r="B238" s="22">
        <v>758</v>
      </c>
      <c r="C238" s="92" t="s">
        <v>1190</v>
      </c>
      <c r="D238" s="93">
        <v>10140636745</v>
      </c>
      <c r="E238" s="93" t="s">
        <v>957</v>
      </c>
      <c r="F238" s="8" t="s">
        <v>59</v>
      </c>
      <c r="G238" s="35"/>
    </row>
    <row r="239" spans="2:7">
      <c r="B239" s="22">
        <v>756</v>
      </c>
      <c r="C239" s="92" t="s">
        <v>412</v>
      </c>
      <c r="D239" s="93">
        <v>10137070781</v>
      </c>
      <c r="E239" s="93" t="s">
        <v>503</v>
      </c>
      <c r="F239" s="8" t="s">
        <v>59</v>
      </c>
      <c r="G239" s="35"/>
    </row>
    <row r="240" spans="2:7">
      <c r="B240" s="22">
        <v>763</v>
      </c>
      <c r="C240" s="92" t="s">
        <v>1451</v>
      </c>
      <c r="D240" s="93">
        <v>10103825447</v>
      </c>
      <c r="E240" s="93" t="s">
        <v>1452</v>
      </c>
      <c r="F240" s="8" t="s">
        <v>59</v>
      </c>
      <c r="G240" s="35"/>
    </row>
    <row r="241" spans="2:7">
      <c r="B241" s="22">
        <v>768</v>
      </c>
      <c r="C241" s="92" t="s">
        <v>1666</v>
      </c>
      <c r="D241" s="93">
        <v>10061819595</v>
      </c>
      <c r="E241" s="93" t="s">
        <v>1667</v>
      </c>
      <c r="F241" s="8" t="s">
        <v>59</v>
      </c>
      <c r="G241" s="35"/>
    </row>
    <row r="242" spans="2:7">
      <c r="B242" s="22"/>
      <c r="C242" s="92"/>
      <c r="D242" s="93"/>
      <c r="E242" s="93"/>
      <c r="F242" s="8" t="s">
        <v>59</v>
      </c>
      <c r="G242" s="35"/>
    </row>
    <row r="243" spans="2:7">
      <c r="B243" s="22"/>
      <c r="C243" s="92"/>
      <c r="D243" s="93"/>
      <c r="E243" s="93"/>
      <c r="F243" s="8" t="s">
        <v>59</v>
      </c>
      <c r="G243" s="35"/>
    </row>
    <row r="244" spans="2:7">
      <c r="B244" s="22"/>
      <c r="C244" s="92"/>
      <c r="D244" s="93"/>
      <c r="E244" s="93"/>
      <c r="F244" s="8" t="s">
        <v>59</v>
      </c>
      <c r="G244" s="35"/>
    </row>
    <row r="245" spans="2:7">
      <c r="B245" s="22"/>
      <c r="C245" s="92"/>
      <c r="D245" s="93"/>
      <c r="E245" s="93"/>
      <c r="F245" s="8" t="s">
        <v>59</v>
      </c>
      <c r="G245" s="35"/>
    </row>
    <row r="246" spans="2:7">
      <c r="B246" s="22"/>
      <c r="C246" s="92"/>
      <c r="D246" s="93"/>
      <c r="E246" s="93"/>
      <c r="F246" s="8" t="s">
        <v>59</v>
      </c>
      <c r="G246" s="35"/>
    </row>
    <row r="247" spans="2:7">
      <c r="B247" s="22"/>
      <c r="C247" s="92"/>
      <c r="D247" s="93"/>
      <c r="E247" s="93"/>
      <c r="F247" s="8" t="s">
        <v>59</v>
      </c>
      <c r="G247" s="35"/>
    </row>
    <row r="248" spans="2:7">
      <c r="B248" s="107"/>
      <c r="C248" s="92"/>
      <c r="D248" s="93"/>
      <c r="E248" s="93"/>
      <c r="F248" s="8" t="s">
        <v>59</v>
      </c>
      <c r="G248" s="35"/>
    </row>
    <row r="249" spans="2:7">
      <c r="B249" s="107"/>
      <c r="C249" s="92"/>
      <c r="D249" s="93"/>
      <c r="E249" s="93"/>
      <c r="F249" s="8" t="s">
        <v>59</v>
      </c>
      <c r="G249" s="35"/>
    </row>
    <row r="250" spans="2:7">
      <c r="B250" s="22"/>
      <c r="C250" s="92"/>
      <c r="D250" s="93"/>
      <c r="E250" s="93"/>
      <c r="F250" s="8" t="s">
        <v>59</v>
      </c>
      <c r="G250" s="35"/>
    </row>
    <row r="251" spans="2:7">
      <c r="B251" s="104"/>
      <c r="C251" s="8"/>
      <c r="D251" s="54"/>
      <c r="E251" s="54"/>
      <c r="F251" s="8"/>
      <c r="G251" s="35"/>
    </row>
    <row r="252" spans="2:7">
      <c r="B252" s="96">
        <v>810</v>
      </c>
      <c r="C252" s="92" t="s">
        <v>1672</v>
      </c>
      <c r="D252" s="93">
        <v>10061985206</v>
      </c>
      <c r="E252" s="93" t="s">
        <v>100</v>
      </c>
      <c r="F252" s="8" t="s">
        <v>72</v>
      </c>
      <c r="G252" s="35"/>
    </row>
    <row r="253" spans="2:7">
      <c r="B253" s="96">
        <v>820</v>
      </c>
      <c r="C253" s="92" t="s">
        <v>1673</v>
      </c>
      <c r="D253" s="93">
        <v>10094103118</v>
      </c>
      <c r="E253" s="93" t="s">
        <v>792</v>
      </c>
      <c r="F253" s="8" t="s">
        <v>72</v>
      </c>
      <c r="G253" s="35"/>
    </row>
    <row r="254" spans="2:7">
      <c r="B254" s="96">
        <v>801</v>
      </c>
      <c r="C254" s="92" t="s">
        <v>1460</v>
      </c>
      <c r="D254" s="93">
        <v>10102979628</v>
      </c>
      <c r="E254" s="93" t="s">
        <v>427</v>
      </c>
      <c r="F254" s="8" t="s">
        <v>72</v>
      </c>
      <c r="G254" s="35"/>
    </row>
    <row r="255" spans="2:7">
      <c r="B255" s="96">
        <v>813</v>
      </c>
      <c r="C255" s="97" t="s">
        <v>784</v>
      </c>
      <c r="D255" s="98">
        <v>10051209819</v>
      </c>
      <c r="E255" s="98" t="s">
        <v>1461</v>
      </c>
      <c r="F255" s="8" t="s">
        <v>72</v>
      </c>
      <c r="G255" s="35"/>
    </row>
    <row r="256" spans="2:7">
      <c r="B256" s="96">
        <v>814</v>
      </c>
      <c r="C256" s="97" t="s">
        <v>88</v>
      </c>
      <c r="D256" s="98">
        <v>10114540513</v>
      </c>
      <c r="E256" s="98" t="s">
        <v>89</v>
      </c>
      <c r="F256" s="8" t="s">
        <v>72</v>
      </c>
      <c r="G256" s="35"/>
    </row>
    <row r="257" spans="2:7">
      <c r="B257" s="96">
        <v>805</v>
      </c>
      <c r="C257" s="92" t="s">
        <v>785</v>
      </c>
      <c r="D257" s="93">
        <v>10122661938</v>
      </c>
      <c r="E257" s="93" t="s">
        <v>1466</v>
      </c>
      <c r="F257" s="8" t="s">
        <v>72</v>
      </c>
      <c r="G257" s="35"/>
    </row>
    <row r="258" spans="2:7">
      <c r="B258" s="96">
        <v>809</v>
      </c>
      <c r="C258" s="92" t="s">
        <v>435</v>
      </c>
      <c r="D258" s="93">
        <v>10114420473</v>
      </c>
      <c r="E258" s="93" t="s">
        <v>1195</v>
      </c>
      <c r="F258" s="8" t="s">
        <v>72</v>
      </c>
      <c r="G258" s="35"/>
    </row>
    <row r="259" spans="2:7">
      <c r="B259" s="96">
        <v>825</v>
      </c>
      <c r="C259" s="92" t="s">
        <v>1462</v>
      </c>
      <c r="D259" s="93">
        <v>10111579585</v>
      </c>
      <c r="E259" s="93" t="s">
        <v>1463</v>
      </c>
      <c r="F259" s="8" t="s">
        <v>72</v>
      </c>
      <c r="G259" s="35"/>
    </row>
    <row r="260" spans="2:7">
      <c r="B260" s="108">
        <v>828</v>
      </c>
      <c r="C260" s="92" t="s">
        <v>1676</v>
      </c>
      <c r="D260" s="93">
        <v>10131669501</v>
      </c>
      <c r="E260" s="93" t="s">
        <v>1677</v>
      </c>
      <c r="F260" s="8" t="s">
        <v>72</v>
      </c>
      <c r="G260" s="35"/>
    </row>
    <row r="261" spans="2:7">
      <c r="B261" s="108">
        <v>829</v>
      </c>
      <c r="C261" s="92" t="s">
        <v>1464</v>
      </c>
      <c r="D261" s="93">
        <v>10130587545</v>
      </c>
      <c r="E261" s="93" t="s">
        <v>1465</v>
      </c>
      <c r="F261" s="8" t="s">
        <v>72</v>
      </c>
      <c r="G261" s="35"/>
    </row>
    <row r="262" spans="2:7">
      <c r="B262" s="108"/>
      <c r="C262" s="92"/>
      <c r="D262" s="93"/>
      <c r="E262" s="93"/>
      <c r="F262" s="8" t="s">
        <v>72</v>
      </c>
      <c r="G262" s="35"/>
    </row>
    <row r="263" spans="2:7">
      <c r="B263" s="108"/>
      <c r="C263" s="92"/>
      <c r="D263" s="93"/>
      <c r="E263" s="93"/>
      <c r="F263" s="8" t="s">
        <v>72</v>
      </c>
      <c r="G263" s="35"/>
    </row>
    <row r="264" spans="2:7">
      <c r="B264" s="108"/>
      <c r="C264" s="92"/>
      <c r="D264" s="93"/>
      <c r="E264" s="93"/>
      <c r="F264" s="8" t="s">
        <v>72</v>
      </c>
      <c r="G264" s="35"/>
    </row>
    <row r="265" spans="2:7">
      <c r="B265" s="96"/>
      <c r="C265" s="92"/>
      <c r="D265" s="93"/>
      <c r="E265" s="93"/>
      <c r="F265" s="8" t="s">
        <v>72</v>
      </c>
      <c r="G265" s="35"/>
    </row>
    <row r="266" spans="2:7">
      <c r="B266" s="96"/>
      <c r="C266" s="93"/>
      <c r="D266" s="93"/>
      <c r="E266" s="92"/>
      <c r="F266" s="8"/>
      <c r="G266" s="35"/>
    </row>
    <row r="267" spans="2:7">
      <c r="B267" s="96"/>
      <c r="C267" s="97"/>
      <c r="D267" s="98"/>
      <c r="E267" s="98"/>
      <c r="F267" s="8"/>
      <c r="G267" s="35"/>
    </row>
    <row r="268" spans="2:7">
      <c r="B268" s="7"/>
      <c r="C268" s="8"/>
      <c r="D268" s="54"/>
      <c r="E268" s="54"/>
      <c r="F268" s="8"/>
      <c r="G268" s="35"/>
    </row>
    <row r="269" spans="2:7">
      <c r="B269" s="22">
        <v>853</v>
      </c>
      <c r="C269" s="92" t="s">
        <v>1469</v>
      </c>
      <c r="D269" s="93">
        <v>10122227054</v>
      </c>
      <c r="E269" s="93" t="s">
        <v>100</v>
      </c>
      <c r="F269" s="8" t="s">
        <v>90</v>
      </c>
      <c r="G269" s="35"/>
    </row>
    <row r="270" spans="2:7">
      <c r="B270" s="22">
        <v>868</v>
      </c>
      <c r="C270" s="92" t="s">
        <v>1674</v>
      </c>
      <c r="D270" s="93">
        <v>10074930662</v>
      </c>
      <c r="E270" s="93" t="s">
        <v>1675</v>
      </c>
      <c r="F270" s="8" t="s">
        <v>90</v>
      </c>
      <c r="G270" s="35"/>
    </row>
    <row r="271" spans="2:7">
      <c r="B271" s="22">
        <v>851</v>
      </c>
      <c r="C271" s="92" t="s">
        <v>1243</v>
      </c>
      <c r="D271" s="93">
        <v>10060932451</v>
      </c>
      <c r="E271" s="93" t="s">
        <v>1468</v>
      </c>
      <c r="F271" s="8" t="s">
        <v>90</v>
      </c>
      <c r="G271" s="35"/>
    </row>
    <row r="272" spans="2:7">
      <c r="B272" s="22">
        <v>860</v>
      </c>
      <c r="C272" s="92" t="s">
        <v>1471</v>
      </c>
      <c r="D272" s="93">
        <v>10061984903</v>
      </c>
      <c r="E272" s="93" t="s">
        <v>1472</v>
      </c>
      <c r="F272" s="8" t="s">
        <v>90</v>
      </c>
      <c r="G272" s="35"/>
    </row>
    <row r="273" spans="2:7">
      <c r="B273" s="22">
        <v>859</v>
      </c>
      <c r="C273" s="92" t="s">
        <v>1470</v>
      </c>
      <c r="D273" s="93">
        <v>10051462726</v>
      </c>
      <c r="E273" s="93" t="s">
        <v>459</v>
      </c>
      <c r="F273" s="8" t="s">
        <v>90</v>
      </c>
      <c r="G273" s="35"/>
    </row>
    <row r="274" spans="2:7">
      <c r="B274" s="22">
        <v>865</v>
      </c>
      <c r="C274" s="92" t="s">
        <v>465</v>
      </c>
      <c r="D274" s="93">
        <v>10138850531</v>
      </c>
      <c r="E274" s="93" t="s">
        <v>1473</v>
      </c>
      <c r="F274" s="8" t="s">
        <v>90</v>
      </c>
      <c r="G274" s="35"/>
    </row>
    <row r="275" spans="2:7">
      <c r="B275" s="22">
        <v>863</v>
      </c>
      <c r="C275" s="92" t="s">
        <v>1474</v>
      </c>
      <c r="D275" s="93">
        <v>10104387239</v>
      </c>
      <c r="E275" s="93" t="s">
        <v>1475</v>
      </c>
      <c r="F275" s="8" t="s">
        <v>90</v>
      </c>
      <c r="G275" s="35"/>
    </row>
    <row r="276" spans="2:7">
      <c r="B276" s="22">
        <v>852</v>
      </c>
      <c r="C276" s="92" t="s">
        <v>118</v>
      </c>
      <c r="D276" s="93">
        <v>10007726234</v>
      </c>
      <c r="E276" s="93" t="s">
        <v>1467</v>
      </c>
      <c r="F276" s="8" t="s">
        <v>90</v>
      </c>
      <c r="G276" s="35"/>
    </row>
    <row r="277" spans="2:7">
      <c r="B277" s="22">
        <v>864</v>
      </c>
      <c r="C277" s="92" t="s">
        <v>464</v>
      </c>
      <c r="D277" s="93">
        <v>10126882448</v>
      </c>
      <c r="E277" s="93" t="s">
        <v>1678</v>
      </c>
      <c r="F277" s="8" t="s">
        <v>90</v>
      </c>
      <c r="G277" s="35"/>
    </row>
    <row r="278" spans="2:7">
      <c r="B278" s="107">
        <v>876</v>
      </c>
      <c r="C278" s="92" t="s">
        <v>1676</v>
      </c>
      <c r="D278" s="93">
        <v>10131669501</v>
      </c>
      <c r="E278" s="93" t="s">
        <v>1677</v>
      </c>
      <c r="F278" s="8" t="s">
        <v>90</v>
      </c>
      <c r="G278" s="35"/>
    </row>
    <row r="279" spans="2:7">
      <c r="B279" s="22"/>
      <c r="C279" s="92"/>
      <c r="D279" s="93"/>
      <c r="E279" s="93"/>
      <c r="F279" s="8" t="s">
        <v>90</v>
      </c>
      <c r="G279" s="35"/>
    </row>
    <row r="280" spans="2:7">
      <c r="B280" s="22"/>
      <c r="C280" s="92"/>
      <c r="D280" s="93"/>
      <c r="E280" s="93"/>
      <c r="F280" s="8" t="s">
        <v>90</v>
      </c>
      <c r="G280" s="35"/>
    </row>
    <row r="281" spans="2:7">
      <c r="B281" s="22"/>
      <c r="C281" s="92"/>
      <c r="D281" s="93"/>
      <c r="E281" s="93"/>
      <c r="F281" s="8" t="s">
        <v>90</v>
      </c>
      <c r="G281" s="35"/>
    </row>
    <row r="282" spans="2:7">
      <c r="B282" s="107"/>
      <c r="C282" s="92"/>
      <c r="D282" s="93"/>
      <c r="E282" s="93"/>
      <c r="F282" s="8" t="s">
        <v>90</v>
      </c>
      <c r="G282" s="35"/>
    </row>
    <row r="283" spans="2:7">
      <c r="B283" s="107"/>
      <c r="C283" s="92"/>
      <c r="D283" s="93"/>
      <c r="E283" s="93"/>
      <c r="F283" s="8" t="s">
        <v>90</v>
      </c>
      <c r="G283" s="35"/>
    </row>
    <row r="284" spans="2:7">
      <c r="B284" s="107"/>
      <c r="C284" s="92"/>
      <c r="D284" s="93"/>
      <c r="E284" s="93"/>
      <c r="F284" s="8" t="s">
        <v>90</v>
      </c>
      <c r="G284" s="35"/>
    </row>
    <row r="285" spans="2:7">
      <c r="B285" s="22"/>
      <c r="C285" s="92"/>
      <c r="D285" s="93"/>
      <c r="E285" s="93"/>
      <c r="F285" s="8" t="s">
        <v>90</v>
      </c>
      <c r="G285" s="35"/>
    </row>
    <row r="286" spans="2:7">
      <c r="B286" s="22"/>
      <c r="C286" s="92"/>
      <c r="D286" s="93"/>
      <c r="E286" s="93"/>
      <c r="F286" s="8" t="s">
        <v>90</v>
      </c>
      <c r="G286" s="35"/>
    </row>
    <row r="287" spans="2:7">
      <c r="B287" s="22"/>
      <c r="C287" s="92"/>
      <c r="D287" s="93"/>
      <c r="E287" s="93"/>
      <c r="F287" s="8" t="s">
        <v>90</v>
      </c>
      <c r="G287" s="35"/>
    </row>
    <row r="288" spans="2:7" ht="15.75">
      <c r="B288" s="48"/>
      <c r="C288" s="8"/>
      <c r="D288" s="7"/>
      <c r="E288" s="54"/>
      <c r="F288" s="8"/>
      <c r="G288" s="35"/>
    </row>
    <row r="289" spans="2:7">
      <c r="B289" s="96">
        <v>906</v>
      </c>
      <c r="C289" s="92" t="s">
        <v>1679</v>
      </c>
      <c r="D289" s="22">
        <v>10054780328</v>
      </c>
      <c r="E289" s="93" t="s">
        <v>100</v>
      </c>
      <c r="F289" s="8" t="s">
        <v>91</v>
      </c>
      <c r="G289" s="35"/>
    </row>
    <row r="290" spans="2:7">
      <c r="B290" s="96">
        <v>908</v>
      </c>
      <c r="C290" s="92" t="s">
        <v>121</v>
      </c>
      <c r="D290" s="22">
        <v>10101986891</v>
      </c>
      <c r="E290" s="93" t="s">
        <v>1476</v>
      </c>
      <c r="F290" s="8" t="s">
        <v>91</v>
      </c>
      <c r="G290" s="35"/>
    </row>
    <row r="291" spans="2:7">
      <c r="B291" s="96">
        <v>903</v>
      </c>
      <c r="C291" s="97" t="s">
        <v>73</v>
      </c>
      <c r="D291" s="99">
        <v>10061997734</v>
      </c>
      <c r="E291" s="98" t="s">
        <v>1477</v>
      </c>
      <c r="F291" s="8" t="s">
        <v>91</v>
      </c>
      <c r="G291" s="35"/>
    </row>
    <row r="292" spans="2:7">
      <c r="B292" s="96">
        <v>905</v>
      </c>
      <c r="C292" s="92" t="s">
        <v>474</v>
      </c>
      <c r="D292" s="22">
        <v>10061855668</v>
      </c>
      <c r="E292" s="92" t="s">
        <v>1481</v>
      </c>
      <c r="F292" s="8" t="s">
        <v>91</v>
      </c>
      <c r="G292" s="35"/>
    </row>
    <row r="293" spans="2:7">
      <c r="B293" s="96">
        <v>913</v>
      </c>
      <c r="C293" s="92" t="s">
        <v>486</v>
      </c>
      <c r="D293" s="22">
        <v>10172012306</v>
      </c>
      <c r="E293" s="93" t="s">
        <v>1455</v>
      </c>
      <c r="F293" s="8" t="s">
        <v>91</v>
      </c>
      <c r="G293" s="35"/>
    </row>
    <row r="294" spans="2:7">
      <c r="B294" s="96">
        <v>911</v>
      </c>
      <c r="C294" s="92" t="s">
        <v>806</v>
      </c>
      <c r="D294" s="22">
        <v>10052413629</v>
      </c>
      <c r="E294" s="93" t="s">
        <v>1478</v>
      </c>
      <c r="F294" s="8" t="s">
        <v>91</v>
      </c>
      <c r="G294" s="35"/>
    </row>
    <row r="295" spans="2:7">
      <c r="B295" s="96">
        <v>907</v>
      </c>
      <c r="C295" s="92" t="s">
        <v>1483</v>
      </c>
      <c r="D295" s="22">
        <v>10075039079</v>
      </c>
      <c r="E295" s="93" t="s">
        <v>1484</v>
      </c>
      <c r="F295" s="8" t="s">
        <v>91</v>
      </c>
      <c r="G295" s="35"/>
    </row>
    <row r="296" spans="2:7">
      <c r="B296" s="96">
        <v>922</v>
      </c>
      <c r="C296" s="92" t="s">
        <v>923</v>
      </c>
      <c r="D296" s="22">
        <v>10126639241</v>
      </c>
      <c r="E296" s="93" t="s">
        <v>1467</v>
      </c>
      <c r="F296" s="8" t="s">
        <v>91</v>
      </c>
      <c r="G296" s="35"/>
    </row>
    <row r="297" spans="2:7">
      <c r="B297" s="96">
        <v>919</v>
      </c>
      <c r="C297" s="92" t="s">
        <v>1479</v>
      </c>
      <c r="D297" s="22">
        <v>10124529590</v>
      </c>
      <c r="E297" s="93" t="s">
        <v>1480</v>
      </c>
      <c r="F297" s="8" t="s">
        <v>91</v>
      </c>
      <c r="G297" s="35"/>
    </row>
    <row r="298" spans="2:7">
      <c r="B298" s="96"/>
      <c r="C298" s="92"/>
      <c r="D298" s="22"/>
      <c r="E298" s="93"/>
      <c r="F298" s="8" t="s">
        <v>91</v>
      </c>
      <c r="G298" s="35"/>
    </row>
    <row r="299" spans="2:7">
      <c r="B299" s="96"/>
      <c r="C299" s="92"/>
      <c r="D299" s="22"/>
      <c r="E299" s="93"/>
      <c r="F299" s="8" t="s">
        <v>91</v>
      </c>
      <c r="G299" s="35"/>
    </row>
    <row r="300" spans="2:7">
      <c r="B300" s="96"/>
      <c r="C300" s="92"/>
      <c r="D300" s="22"/>
      <c r="E300" s="93"/>
      <c r="F300" s="8" t="s">
        <v>91</v>
      </c>
      <c r="G300" s="35"/>
    </row>
    <row r="301" spans="2:7">
      <c r="B301" s="108"/>
      <c r="C301" s="92"/>
      <c r="D301" s="22"/>
      <c r="E301" s="93"/>
      <c r="F301" s="8" t="s">
        <v>91</v>
      </c>
      <c r="G301" s="35"/>
    </row>
    <row r="302" spans="2:7">
      <c r="B302" s="96"/>
      <c r="C302" s="92"/>
      <c r="D302" s="22"/>
      <c r="E302" s="93"/>
      <c r="F302" s="8" t="s">
        <v>91</v>
      </c>
      <c r="G302" s="35"/>
    </row>
    <row r="303" spans="2:7">
      <c r="B303" s="96"/>
      <c r="C303" s="92"/>
      <c r="D303" s="22"/>
      <c r="E303" s="93"/>
      <c r="F303" s="8" t="s">
        <v>91</v>
      </c>
      <c r="G303" s="35"/>
    </row>
    <row r="304" spans="2:7">
      <c r="B304" s="7"/>
      <c r="C304" s="8"/>
      <c r="D304" s="54"/>
      <c r="E304" s="54"/>
      <c r="F304" s="8" t="s">
        <v>91</v>
      </c>
      <c r="G304" s="35"/>
    </row>
    <row r="305" spans="2:7">
      <c r="B305" s="41"/>
      <c r="C305" s="8"/>
      <c r="D305" s="54"/>
      <c r="E305" s="8"/>
      <c r="F305" s="8" t="s">
        <v>91</v>
      </c>
      <c r="G305" s="35"/>
    </row>
    <row r="306" spans="2:7">
      <c r="B306" s="41"/>
      <c r="C306" s="54"/>
      <c r="D306" s="54"/>
      <c r="E306" s="8"/>
      <c r="F306" s="54"/>
      <c r="G306" s="35"/>
    </row>
    <row r="307" spans="2:7" ht="15.75">
      <c r="B307" s="21"/>
      <c r="C307" s="8"/>
      <c r="D307" s="54"/>
      <c r="E307" s="54"/>
      <c r="F307" s="54"/>
      <c r="G307" s="35"/>
    </row>
    <row r="308" spans="2:7">
      <c r="B308" s="22"/>
      <c r="C308" s="93"/>
      <c r="D308" s="93"/>
      <c r="E308" s="92"/>
      <c r="F308" s="8" t="s">
        <v>160</v>
      </c>
      <c r="G308" s="35"/>
    </row>
    <row r="309" spans="2:7">
      <c r="B309" s="22"/>
      <c r="C309" s="92"/>
      <c r="D309" s="93"/>
      <c r="E309" s="93"/>
      <c r="F309" s="8" t="s">
        <v>160</v>
      </c>
      <c r="G309" s="35"/>
    </row>
    <row r="310" spans="2:7">
      <c r="B310" s="22"/>
      <c r="C310" s="92"/>
      <c r="D310" s="93"/>
      <c r="E310" s="93"/>
      <c r="F310" s="8" t="s">
        <v>160</v>
      </c>
      <c r="G310" s="35"/>
    </row>
    <row r="311" spans="2:7">
      <c r="B311" s="107"/>
      <c r="C311" s="92"/>
      <c r="D311" s="93"/>
      <c r="E311" s="93"/>
      <c r="F311" s="8" t="s">
        <v>160</v>
      </c>
      <c r="G311" s="35"/>
    </row>
    <row r="312" spans="2:7">
      <c r="B312" s="41"/>
      <c r="C312" s="54"/>
      <c r="D312" s="54"/>
      <c r="E312" s="8"/>
      <c r="F312" s="54"/>
      <c r="G312" s="35"/>
    </row>
    <row r="313" spans="2:7">
      <c r="B313" s="22">
        <v>951</v>
      </c>
      <c r="C313" s="93" t="s">
        <v>156</v>
      </c>
      <c r="D313" s="93">
        <v>10101986689</v>
      </c>
      <c r="E313" s="92" t="s">
        <v>1395</v>
      </c>
      <c r="F313" s="8" t="s">
        <v>161</v>
      </c>
      <c r="G313" s="35"/>
    </row>
    <row r="314" spans="2:7">
      <c r="B314" s="107"/>
      <c r="C314" s="93"/>
      <c r="D314" s="93"/>
      <c r="E314" s="92"/>
      <c r="F314" s="8" t="s">
        <v>161</v>
      </c>
      <c r="G314" s="35"/>
    </row>
    <row r="315" spans="2:7">
      <c r="B315" s="3"/>
      <c r="C315" s="93"/>
      <c r="D315" s="93"/>
      <c r="E315" s="92"/>
      <c r="F315" s="8" t="s">
        <v>161</v>
      </c>
      <c r="G315" s="35"/>
    </row>
    <row r="316" spans="2:7">
      <c r="B316" s="3"/>
      <c r="C316" s="93"/>
      <c r="D316" s="93"/>
      <c r="E316" s="92"/>
      <c r="F316" s="8" t="s">
        <v>161</v>
      </c>
      <c r="G316" s="35"/>
    </row>
    <row r="317" spans="2:7">
      <c r="B317" s="3"/>
      <c r="C317" s="93"/>
      <c r="D317" s="93"/>
      <c r="E317" s="92"/>
      <c r="F317" s="8"/>
      <c r="G317" s="35"/>
    </row>
    <row r="318" spans="2:7">
      <c r="B318" s="22">
        <v>614</v>
      </c>
      <c r="C318" s="92" t="s">
        <v>1453</v>
      </c>
      <c r="D318" s="93">
        <v>10153041631</v>
      </c>
      <c r="E318" s="93" t="s">
        <v>1423</v>
      </c>
      <c r="F318" s="8" t="s">
        <v>60</v>
      </c>
      <c r="G318" s="35"/>
    </row>
    <row r="319" spans="2:7">
      <c r="B319" s="22">
        <v>622</v>
      </c>
      <c r="C319" s="92" t="s">
        <v>1454</v>
      </c>
      <c r="D319" s="93" t="s">
        <v>66</v>
      </c>
      <c r="E319" s="93" t="s">
        <v>1455</v>
      </c>
      <c r="F319" s="8" t="s">
        <v>60</v>
      </c>
      <c r="G319" s="35"/>
    </row>
    <row r="320" spans="2:7">
      <c r="B320" s="107">
        <v>629</v>
      </c>
      <c r="C320" s="92" t="s">
        <v>1670</v>
      </c>
      <c r="D320" s="93">
        <v>10136945287</v>
      </c>
      <c r="E320" s="93" t="s">
        <v>1671</v>
      </c>
      <c r="F320" s="8" t="s">
        <v>60</v>
      </c>
      <c r="G320" s="35"/>
    </row>
    <row r="321" spans="2:7">
      <c r="B321" s="107">
        <v>630</v>
      </c>
      <c r="C321" s="92" t="s">
        <v>1668</v>
      </c>
      <c r="D321" s="93" t="s">
        <v>66</v>
      </c>
      <c r="E321" s="93" t="s">
        <v>1669</v>
      </c>
      <c r="F321" s="8" t="s">
        <v>60</v>
      </c>
      <c r="G321" s="35"/>
    </row>
    <row r="322" spans="2:7">
      <c r="B322" s="107">
        <v>631</v>
      </c>
      <c r="C322" s="92" t="s">
        <v>1456</v>
      </c>
      <c r="D322" s="93" t="s">
        <v>66</v>
      </c>
      <c r="E322" s="92" t="s">
        <v>1457</v>
      </c>
      <c r="F322" s="8" t="s">
        <v>60</v>
      </c>
      <c r="G322" s="35"/>
    </row>
    <row r="323" spans="2:7">
      <c r="B323" s="107">
        <v>632</v>
      </c>
      <c r="C323" s="92" t="s">
        <v>1458</v>
      </c>
      <c r="D323" s="93"/>
      <c r="E323" s="92" t="s">
        <v>1311</v>
      </c>
      <c r="F323" s="8" t="s">
        <v>60</v>
      </c>
      <c r="G323" s="35"/>
    </row>
    <row r="324" spans="2:7">
      <c r="B324" s="22"/>
      <c r="C324" s="92"/>
      <c r="D324" s="93"/>
      <c r="E324" s="93"/>
      <c r="F324" s="8" t="s">
        <v>60</v>
      </c>
      <c r="G324" s="35"/>
    </row>
    <row r="325" spans="2:7">
      <c r="B325" s="22"/>
      <c r="C325" s="93"/>
      <c r="D325" s="93"/>
      <c r="E325" s="92"/>
      <c r="F325" s="8" t="s">
        <v>60</v>
      </c>
      <c r="G325" s="35"/>
    </row>
    <row r="326" spans="2:7">
      <c r="B326" s="107"/>
      <c r="C326" s="92"/>
      <c r="D326" s="93"/>
      <c r="E326" s="93"/>
      <c r="F326" s="8" t="s">
        <v>60</v>
      </c>
      <c r="G326" s="35"/>
    </row>
    <row r="327" spans="2:7">
      <c r="B327" s="22"/>
      <c r="C327" s="92"/>
      <c r="D327" s="93"/>
      <c r="E327" s="92"/>
      <c r="F327" s="8" t="s">
        <v>60</v>
      </c>
      <c r="G327" s="35"/>
    </row>
    <row r="328" spans="2:7">
      <c r="B328" s="22"/>
      <c r="C328" s="92"/>
      <c r="D328" s="93"/>
      <c r="E328" s="93"/>
      <c r="F328" s="8" t="s">
        <v>60</v>
      </c>
      <c r="G328" s="35"/>
    </row>
    <row r="329" spans="2:7">
      <c r="B329" s="22"/>
      <c r="C329" s="92"/>
      <c r="D329" s="93"/>
      <c r="E329" s="93"/>
      <c r="F329" s="8" t="s">
        <v>60</v>
      </c>
      <c r="G329" s="35"/>
    </row>
    <row r="330" spans="2:7">
      <c r="B330" s="22"/>
      <c r="C330" s="92"/>
      <c r="D330" s="93"/>
      <c r="E330" s="93"/>
      <c r="F330" s="8" t="s">
        <v>60</v>
      </c>
      <c r="G330" s="35"/>
    </row>
    <row r="331" spans="2:7">
      <c r="B331" s="22"/>
      <c r="C331" s="93"/>
      <c r="D331" s="93"/>
      <c r="E331" s="92"/>
      <c r="F331" s="8" t="s">
        <v>60</v>
      </c>
      <c r="G331" s="35"/>
    </row>
    <row r="332" spans="2:7">
      <c r="B332" s="22"/>
      <c r="C332" s="93"/>
      <c r="D332" s="93"/>
      <c r="E332" s="92"/>
      <c r="F332" s="8" t="s">
        <v>60</v>
      </c>
      <c r="G332" s="35"/>
    </row>
    <row r="333" spans="2:7">
      <c r="B333" s="22"/>
      <c r="C333" s="92"/>
      <c r="D333" s="93"/>
      <c r="E333" s="93"/>
      <c r="F333" s="8" t="s">
        <v>60</v>
      </c>
      <c r="G333" s="35"/>
    </row>
    <row r="334" spans="2:7">
      <c r="B334" s="22"/>
      <c r="C334" s="92"/>
      <c r="D334" s="93"/>
      <c r="E334" s="93"/>
      <c r="F334" s="8" t="s">
        <v>60</v>
      </c>
      <c r="G334" s="35"/>
    </row>
    <row r="335" spans="2:7">
      <c r="B335" s="22"/>
      <c r="C335" s="92"/>
      <c r="D335" s="93"/>
      <c r="E335" s="93"/>
      <c r="F335" s="8" t="s">
        <v>60</v>
      </c>
      <c r="G335" s="35"/>
    </row>
    <row r="336" spans="2:7">
      <c r="B336" s="22"/>
      <c r="C336" s="92"/>
      <c r="D336" s="93"/>
      <c r="E336" s="93"/>
      <c r="F336" s="8" t="s">
        <v>60</v>
      </c>
      <c r="G336" s="35"/>
    </row>
    <row r="337" spans="2:7">
      <c r="B337" s="22"/>
      <c r="C337" s="92"/>
      <c r="D337" s="93"/>
      <c r="E337" s="93"/>
      <c r="F337" s="8" t="s">
        <v>60</v>
      </c>
      <c r="G337" s="35"/>
    </row>
    <row r="338" spans="2:7">
      <c r="B338" s="7"/>
      <c r="C338" s="8"/>
      <c r="D338" s="54"/>
      <c r="E338" s="54"/>
      <c r="F338" s="54"/>
      <c r="G338" s="35"/>
    </row>
    <row r="339" spans="2:7">
      <c r="B339" s="7"/>
      <c r="C339" s="8"/>
      <c r="D339" s="54"/>
      <c r="E339" s="54"/>
      <c r="F339" s="54"/>
      <c r="G339" s="35"/>
    </row>
    <row r="340" spans="2:7">
      <c r="B340" s="22"/>
      <c r="C340" s="92"/>
      <c r="D340" s="93"/>
      <c r="E340" s="92"/>
      <c r="F340" s="8" t="s">
        <v>92</v>
      </c>
      <c r="G340" s="35"/>
    </row>
    <row r="341" spans="2:7">
      <c r="B341" s="22"/>
      <c r="C341" s="92"/>
      <c r="D341" s="93"/>
      <c r="E341" s="92"/>
      <c r="F341" s="8" t="s">
        <v>92</v>
      </c>
      <c r="G341" s="35"/>
    </row>
    <row r="342" spans="2:7">
      <c r="B342" s="41"/>
      <c r="C342" s="8"/>
      <c r="D342" s="54"/>
      <c r="E342" s="54"/>
      <c r="F342" s="8"/>
      <c r="G342" s="35"/>
    </row>
    <row r="343" spans="2:7">
      <c r="B343" s="22">
        <v>981</v>
      </c>
      <c r="C343" s="92" t="s">
        <v>1234</v>
      </c>
      <c r="D343" s="93" t="s">
        <v>66</v>
      </c>
      <c r="E343" s="93" t="s">
        <v>1652</v>
      </c>
      <c r="F343" s="8" t="s">
        <v>162</v>
      </c>
      <c r="G343" s="35"/>
    </row>
    <row r="344" spans="2:7">
      <c r="B344" s="22">
        <v>982</v>
      </c>
      <c r="C344" s="92" t="s">
        <v>849</v>
      </c>
      <c r="D344" s="93">
        <v>10050347327</v>
      </c>
      <c r="E344" s="93" t="s">
        <v>1655</v>
      </c>
      <c r="F344" s="8" t="s">
        <v>162</v>
      </c>
      <c r="G344" s="35"/>
    </row>
    <row r="345" spans="2:7">
      <c r="B345" s="22">
        <v>978</v>
      </c>
      <c r="C345" s="92" t="s">
        <v>1653</v>
      </c>
      <c r="D345" s="93" t="s">
        <v>66</v>
      </c>
      <c r="E345" s="92" t="s">
        <v>1654</v>
      </c>
      <c r="F345" s="8" t="s">
        <v>162</v>
      </c>
      <c r="G345" s="35"/>
    </row>
    <row r="346" spans="2:7">
      <c r="B346" s="107">
        <v>984</v>
      </c>
      <c r="C346" s="92" t="s">
        <v>1656</v>
      </c>
      <c r="D346" s="93" t="s">
        <v>66</v>
      </c>
      <c r="E346" s="93" t="s">
        <v>1657</v>
      </c>
      <c r="F346" s="8" t="s">
        <v>162</v>
      </c>
      <c r="G346" s="35"/>
    </row>
    <row r="347" spans="2:7">
      <c r="B347" s="107">
        <v>985</v>
      </c>
      <c r="C347" s="92" t="s">
        <v>1658</v>
      </c>
      <c r="D347" s="93">
        <v>10170981880</v>
      </c>
      <c r="E347" s="93" t="s">
        <v>1659</v>
      </c>
      <c r="F347" s="8" t="s">
        <v>162</v>
      </c>
      <c r="G347" s="35"/>
    </row>
    <row r="348" spans="2:7">
      <c r="B348" s="8"/>
      <c r="C348" s="8"/>
      <c r="D348" s="54"/>
      <c r="E348" s="8"/>
      <c r="F348" s="8" t="s">
        <v>162</v>
      </c>
      <c r="G348" s="35"/>
    </row>
    <row r="349" spans="2:7">
      <c r="B349" s="8"/>
      <c r="C349" s="8"/>
      <c r="D349" s="54"/>
      <c r="E349" s="8"/>
      <c r="F349" s="8" t="s">
        <v>162</v>
      </c>
      <c r="G349" s="35"/>
    </row>
    <row r="350" spans="2:7">
      <c r="B350" s="8"/>
      <c r="C350" s="8"/>
      <c r="D350" s="54"/>
      <c r="E350" s="8"/>
      <c r="F350" s="8" t="s">
        <v>162</v>
      </c>
      <c r="G350" s="35"/>
    </row>
    <row r="351" spans="2:7">
      <c r="B351" s="8"/>
      <c r="C351" s="8"/>
      <c r="D351" s="54"/>
      <c r="E351" s="8"/>
      <c r="F351" s="8" t="s">
        <v>162</v>
      </c>
      <c r="G351" s="35"/>
    </row>
    <row r="352" spans="2:7">
      <c r="B352" s="8"/>
      <c r="C352" s="8"/>
      <c r="D352" s="54"/>
      <c r="E352" s="8"/>
      <c r="F352" s="8" t="s">
        <v>162</v>
      </c>
      <c r="G352" s="35"/>
    </row>
    <row r="353" spans="2:7">
      <c r="B353" s="8"/>
      <c r="C353" s="8"/>
      <c r="D353" s="54"/>
      <c r="E353" s="8"/>
      <c r="F353" s="8" t="s">
        <v>162</v>
      </c>
      <c r="G353" s="35"/>
    </row>
    <row r="354" spans="2:7">
      <c r="B354" s="8"/>
      <c r="C354" s="8"/>
      <c r="D354" s="54"/>
      <c r="E354" s="8"/>
      <c r="F354" s="8" t="s">
        <v>162</v>
      </c>
      <c r="G354" s="35"/>
    </row>
    <row r="355" spans="2:7">
      <c r="B355" s="8"/>
      <c r="C355" s="8"/>
      <c r="D355" s="54"/>
      <c r="E355" s="8"/>
      <c r="F355" s="8" t="s">
        <v>162</v>
      </c>
      <c r="G355" s="35"/>
    </row>
    <row r="356" spans="2:7">
      <c r="B356" s="8"/>
      <c r="C356" s="8"/>
      <c r="D356" s="54"/>
      <c r="E356" s="8"/>
      <c r="F356" s="8" t="s">
        <v>162</v>
      </c>
      <c r="G356" s="35"/>
    </row>
    <row r="357" spans="2:7">
      <c r="B357" s="8"/>
      <c r="C357" s="8"/>
      <c r="D357" s="54"/>
      <c r="E357" s="8"/>
      <c r="F357" s="8" t="s">
        <v>162</v>
      </c>
      <c r="G357" s="35"/>
    </row>
    <row r="358" spans="2:7">
      <c r="B358" s="8"/>
      <c r="C358" s="8"/>
      <c r="D358" s="54"/>
      <c r="E358" s="8"/>
      <c r="F358" s="8"/>
      <c r="G358" s="35"/>
    </row>
    <row r="359" spans="2:7">
      <c r="B359" s="22">
        <v>961</v>
      </c>
      <c r="C359" s="92" t="s">
        <v>1647</v>
      </c>
      <c r="D359" s="93">
        <v>10129943002</v>
      </c>
      <c r="E359" s="93" t="s">
        <v>1648</v>
      </c>
      <c r="F359" s="8" t="s">
        <v>102</v>
      </c>
      <c r="G359" s="35"/>
    </row>
    <row r="360" spans="2:7">
      <c r="B360" s="22">
        <v>962</v>
      </c>
      <c r="C360" s="92" t="s">
        <v>1233</v>
      </c>
      <c r="D360" s="93">
        <v>10136994700</v>
      </c>
      <c r="E360" s="93" t="s">
        <v>1648</v>
      </c>
      <c r="F360" s="8" t="s">
        <v>102</v>
      </c>
      <c r="G360" s="35"/>
    </row>
    <row r="361" spans="2:7">
      <c r="B361" s="22">
        <v>964</v>
      </c>
      <c r="C361" s="92" t="s">
        <v>1651</v>
      </c>
      <c r="D361" s="93">
        <v>10061982172</v>
      </c>
      <c r="E361" s="93" t="s">
        <v>150</v>
      </c>
      <c r="F361" s="8" t="s">
        <v>102</v>
      </c>
      <c r="G361" s="35"/>
    </row>
    <row r="362" spans="2:7">
      <c r="B362" s="107">
        <v>967</v>
      </c>
      <c r="C362" s="92" t="s">
        <v>1649</v>
      </c>
      <c r="D362" s="93">
        <v>10159628133</v>
      </c>
      <c r="E362" s="93" t="s">
        <v>1650</v>
      </c>
      <c r="F362" s="8" t="s">
        <v>102</v>
      </c>
      <c r="G362" s="35"/>
    </row>
    <row r="363" spans="2:7">
      <c r="B363" s="18"/>
      <c r="C363" s="19"/>
      <c r="D363" s="19"/>
      <c r="E363" s="19"/>
      <c r="F363" s="19"/>
      <c r="G363" s="35"/>
    </row>
    <row r="364" spans="2:7">
      <c r="B364" s="18"/>
      <c r="C364" s="19"/>
      <c r="D364" s="19"/>
      <c r="E364" s="19"/>
      <c r="F364" s="19"/>
      <c r="G364" s="35"/>
    </row>
    <row r="365" spans="2:7">
      <c r="B365" s="18"/>
      <c r="C365" s="19"/>
      <c r="D365" s="19"/>
      <c r="E365" s="19"/>
      <c r="F365" s="19"/>
      <c r="G365" s="35"/>
    </row>
    <row r="366" spans="2:7">
      <c r="B366" s="18"/>
      <c r="C366" s="18" t="s">
        <v>1445</v>
      </c>
      <c r="D366" s="19"/>
      <c r="E366" s="19"/>
      <c r="F366" s="19"/>
      <c r="G366" s="35"/>
    </row>
    <row r="367" spans="2:7">
      <c r="B367" s="18"/>
      <c r="C367" s="19"/>
      <c r="D367" s="19"/>
      <c r="E367" s="19"/>
      <c r="F367" s="19"/>
      <c r="G367" s="35"/>
    </row>
    <row r="368" spans="2:7">
      <c r="B368" s="3">
        <v>3</v>
      </c>
      <c r="C368" s="92" t="s">
        <v>1398</v>
      </c>
      <c r="D368" s="93">
        <v>10009200331</v>
      </c>
      <c r="E368" s="93" t="s">
        <v>561</v>
      </c>
      <c r="F368" s="8" t="s">
        <v>50</v>
      </c>
      <c r="G368" s="35"/>
    </row>
    <row r="369" spans="2:7">
      <c r="B369" s="3">
        <v>7</v>
      </c>
      <c r="C369" s="92" t="s">
        <v>988</v>
      </c>
      <c r="D369" s="93">
        <v>10050357734</v>
      </c>
      <c r="E369" s="93" t="s">
        <v>109</v>
      </c>
      <c r="F369" s="8" t="s">
        <v>50</v>
      </c>
      <c r="G369" s="35"/>
    </row>
    <row r="370" spans="2:7">
      <c r="B370" s="3">
        <v>23</v>
      </c>
      <c r="C370" s="92" t="s">
        <v>166</v>
      </c>
      <c r="D370" s="93">
        <v>10092456037</v>
      </c>
      <c r="E370" s="93" t="s">
        <v>100</v>
      </c>
      <c r="F370" s="8" t="s">
        <v>50</v>
      </c>
      <c r="G370" s="35"/>
    </row>
    <row r="371" spans="2:7">
      <c r="B371" s="3">
        <v>25</v>
      </c>
      <c r="C371" s="92" t="s">
        <v>168</v>
      </c>
      <c r="D371" s="93">
        <v>10076890971</v>
      </c>
      <c r="E371" s="93" t="s">
        <v>109</v>
      </c>
      <c r="F371" s="8" t="s">
        <v>50</v>
      </c>
      <c r="G371" s="35"/>
    </row>
    <row r="372" spans="2:7">
      <c r="B372" s="3">
        <v>10</v>
      </c>
      <c r="C372" s="92" t="s">
        <v>169</v>
      </c>
      <c r="D372" s="93">
        <v>10075992208</v>
      </c>
      <c r="E372" s="93" t="s">
        <v>110</v>
      </c>
      <c r="F372" s="8" t="s">
        <v>50</v>
      </c>
      <c r="G372" s="35"/>
    </row>
    <row r="373" spans="2:7">
      <c r="B373" s="3">
        <v>12</v>
      </c>
      <c r="C373" s="92" t="s">
        <v>138</v>
      </c>
      <c r="D373" s="93">
        <v>10051220327</v>
      </c>
      <c r="E373" s="93" t="s">
        <v>170</v>
      </c>
      <c r="F373" s="8" t="s">
        <v>50</v>
      </c>
      <c r="G373" s="35"/>
    </row>
    <row r="374" spans="2:7">
      <c r="B374" s="3">
        <v>27</v>
      </c>
      <c r="C374" s="92" t="s">
        <v>175</v>
      </c>
      <c r="D374" s="93">
        <v>10103820090</v>
      </c>
      <c r="E374" s="93" t="s">
        <v>109</v>
      </c>
      <c r="F374" s="8" t="s">
        <v>50</v>
      </c>
      <c r="G374" s="35"/>
    </row>
    <row r="375" spans="2:7">
      <c r="B375" s="3">
        <v>13</v>
      </c>
      <c r="C375" s="92" t="s">
        <v>992</v>
      </c>
      <c r="D375" s="93">
        <v>10088970101</v>
      </c>
      <c r="E375" s="93" t="s">
        <v>1397</v>
      </c>
      <c r="F375" s="8" t="s">
        <v>50</v>
      </c>
      <c r="G375" s="35"/>
    </row>
    <row r="376" spans="2:7">
      <c r="B376" s="3">
        <v>30</v>
      </c>
      <c r="C376" s="92" t="s">
        <v>171</v>
      </c>
      <c r="D376" s="93">
        <v>10140483767</v>
      </c>
      <c r="E376" s="93" t="s">
        <v>85</v>
      </c>
      <c r="F376" s="8" t="s">
        <v>50</v>
      </c>
      <c r="G376" s="35"/>
    </row>
    <row r="377" spans="2:7">
      <c r="B377" s="3">
        <v>26</v>
      </c>
      <c r="C377" s="92" t="s">
        <v>1000</v>
      </c>
      <c r="D377" s="93">
        <v>10089547148</v>
      </c>
      <c r="E377" s="93" t="s">
        <v>109</v>
      </c>
      <c r="F377" s="8" t="s">
        <v>50</v>
      </c>
      <c r="G377" s="35"/>
    </row>
    <row r="378" spans="2:7">
      <c r="B378" s="3">
        <v>28</v>
      </c>
      <c r="C378" s="93" t="s">
        <v>181</v>
      </c>
      <c r="D378" s="93">
        <v>10120369001</v>
      </c>
      <c r="E378" s="92" t="s">
        <v>100</v>
      </c>
      <c r="F378" s="8" t="s">
        <v>50</v>
      </c>
      <c r="G378" s="35"/>
    </row>
    <row r="379" spans="2:7">
      <c r="B379" s="3">
        <v>29</v>
      </c>
      <c r="C379" s="92" t="s">
        <v>1001</v>
      </c>
      <c r="D379" s="93" t="s">
        <v>1253</v>
      </c>
      <c r="E379" s="93" t="s">
        <v>100</v>
      </c>
      <c r="F379" s="8" t="s">
        <v>50</v>
      </c>
      <c r="G379" s="35"/>
    </row>
    <row r="380" spans="2:7">
      <c r="B380" s="3">
        <v>37</v>
      </c>
      <c r="C380" s="92" t="s">
        <v>187</v>
      </c>
      <c r="D380" s="93">
        <v>10120252500</v>
      </c>
      <c r="E380" s="93" t="s">
        <v>1399</v>
      </c>
      <c r="F380" s="8" t="s">
        <v>50</v>
      </c>
      <c r="G380" s="35"/>
    </row>
    <row r="381" spans="2:7">
      <c r="B381" s="3">
        <v>35</v>
      </c>
      <c r="C381" s="92" t="s">
        <v>1006</v>
      </c>
      <c r="D381" s="93">
        <v>10113953358</v>
      </c>
      <c r="E381" s="93" t="s">
        <v>109</v>
      </c>
      <c r="F381" s="8" t="s">
        <v>50</v>
      </c>
      <c r="G381" s="35"/>
    </row>
    <row r="382" spans="2:7">
      <c r="B382" s="105">
        <v>39</v>
      </c>
      <c r="C382" s="93" t="s">
        <v>1400</v>
      </c>
      <c r="D382" s="93">
        <v>10109151656</v>
      </c>
      <c r="E382" s="92" t="s">
        <v>170</v>
      </c>
      <c r="F382" s="8" t="s">
        <v>50</v>
      </c>
      <c r="G382" s="35"/>
    </row>
    <row r="383" spans="2:7">
      <c r="B383" s="107">
        <v>40</v>
      </c>
      <c r="C383" s="92" t="s">
        <v>1401</v>
      </c>
      <c r="D383" s="93">
        <v>10154842595</v>
      </c>
      <c r="E383" s="92" t="s">
        <v>104</v>
      </c>
      <c r="F383" s="8" t="s">
        <v>50</v>
      </c>
      <c r="G383" s="35"/>
    </row>
    <row r="384" spans="2:7">
      <c r="B384" s="105">
        <v>41</v>
      </c>
      <c r="C384" s="92" t="s">
        <v>1439</v>
      </c>
      <c r="D384" s="93">
        <v>10113754005</v>
      </c>
      <c r="E384" s="93" t="s">
        <v>6</v>
      </c>
      <c r="F384" s="8" t="s">
        <v>50</v>
      </c>
      <c r="G384" s="35"/>
    </row>
    <row r="385" spans="2:7">
      <c r="B385" s="3"/>
      <c r="C385" s="92"/>
      <c r="D385" s="93"/>
      <c r="E385" s="93"/>
      <c r="F385" s="8" t="s">
        <v>50</v>
      </c>
      <c r="G385" s="35"/>
    </row>
    <row r="386" spans="2:7">
      <c r="B386" s="3"/>
      <c r="C386" s="92"/>
      <c r="D386" s="93"/>
      <c r="E386" s="93"/>
      <c r="F386" s="8" t="s">
        <v>50</v>
      </c>
      <c r="G386" s="35"/>
    </row>
    <row r="387" spans="2:7">
      <c r="B387" s="3"/>
      <c r="C387" s="93"/>
      <c r="D387" s="93"/>
      <c r="E387" s="92"/>
      <c r="F387" s="8" t="s">
        <v>50</v>
      </c>
      <c r="G387" s="35"/>
    </row>
    <row r="388" spans="2:7">
      <c r="B388" s="3"/>
      <c r="C388" s="97"/>
      <c r="D388" s="97"/>
      <c r="E388" s="94"/>
      <c r="F388" s="8" t="s">
        <v>50</v>
      </c>
      <c r="G388" s="35"/>
    </row>
    <row r="389" spans="2:7">
      <c r="B389" s="22"/>
      <c r="C389" s="97"/>
      <c r="D389" s="97"/>
      <c r="E389" s="94"/>
      <c r="F389" s="8" t="s">
        <v>50</v>
      </c>
      <c r="G389" s="35"/>
    </row>
    <row r="390" spans="2:7">
      <c r="B390" s="3"/>
      <c r="C390" s="92"/>
      <c r="D390" s="93"/>
      <c r="E390" s="93"/>
      <c r="F390" s="8" t="s">
        <v>50</v>
      </c>
      <c r="G390" s="35"/>
    </row>
    <row r="391" spans="2:7">
      <c r="B391" s="3"/>
      <c r="C391" s="92"/>
      <c r="D391" s="93"/>
      <c r="E391" s="93"/>
      <c r="F391" s="8" t="s">
        <v>50</v>
      </c>
      <c r="G391" s="35"/>
    </row>
    <row r="392" spans="2:7">
      <c r="B392" s="10"/>
      <c r="C392" s="8"/>
      <c r="D392" s="54"/>
      <c r="E392" s="54"/>
      <c r="F392" s="8" t="s">
        <v>50</v>
      </c>
      <c r="G392" s="35"/>
    </row>
    <row r="393" spans="2:7">
      <c r="B393" s="10"/>
      <c r="C393" s="8"/>
      <c r="D393" s="54"/>
      <c r="E393" s="54"/>
      <c r="F393" s="8" t="s">
        <v>50</v>
      </c>
      <c r="G393" s="35"/>
    </row>
    <row r="394" spans="2:7" ht="15.75">
      <c r="B394" s="40"/>
      <c r="C394" s="8"/>
      <c r="D394" s="54"/>
      <c r="E394" s="54"/>
      <c r="F394" s="8"/>
      <c r="G394" s="35"/>
    </row>
    <row r="395" spans="2:7">
      <c r="B395" s="3">
        <v>84</v>
      </c>
      <c r="C395" s="94" t="s">
        <v>1389</v>
      </c>
      <c r="D395" s="93">
        <v>10052898528</v>
      </c>
      <c r="E395" s="93" t="s">
        <v>1390</v>
      </c>
      <c r="F395" s="8" t="s">
        <v>51</v>
      </c>
      <c r="G395" s="35"/>
    </row>
    <row r="396" spans="2:7">
      <c r="B396" s="22">
        <v>85</v>
      </c>
      <c r="C396" s="94" t="s">
        <v>148</v>
      </c>
      <c r="D396" s="93">
        <v>10059847263</v>
      </c>
      <c r="E396" s="93" t="s">
        <v>1388</v>
      </c>
      <c r="F396" s="8" t="s">
        <v>51</v>
      </c>
      <c r="G396" s="35"/>
    </row>
    <row r="397" spans="2:7">
      <c r="B397" s="22">
        <v>91</v>
      </c>
      <c r="C397" s="94" t="s">
        <v>1021</v>
      </c>
      <c r="D397" s="93">
        <v>10077498132</v>
      </c>
      <c r="E397" s="93" t="s">
        <v>109</v>
      </c>
      <c r="F397" s="8" t="s">
        <v>51</v>
      </c>
      <c r="G397" s="35"/>
    </row>
    <row r="398" spans="2:7">
      <c r="B398" s="3">
        <v>92</v>
      </c>
      <c r="C398" s="94" t="s">
        <v>1022</v>
      </c>
      <c r="D398" s="93">
        <v>10077498435</v>
      </c>
      <c r="E398" s="93" t="s">
        <v>109</v>
      </c>
      <c r="F398" s="8" t="s">
        <v>51</v>
      </c>
      <c r="G398" s="35"/>
    </row>
    <row r="399" spans="2:7">
      <c r="B399" s="22">
        <v>87</v>
      </c>
      <c r="C399" s="94" t="s">
        <v>587</v>
      </c>
      <c r="D399" s="93">
        <v>10112699836</v>
      </c>
      <c r="E399" s="93" t="s">
        <v>133</v>
      </c>
      <c r="F399" s="8" t="s">
        <v>51</v>
      </c>
      <c r="G399" s="35"/>
    </row>
    <row r="400" spans="2:7">
      <c r="B400" s="3">
        <v>94</v>
      </c>
      <c r="C400" s="94" t="s">
        <v>1025</v>
      </c>
      <c r="D400" s="93">
        <v>10076571982</v>
      </c>
      <c r="E400" s="93" t="s">
        <v>134</v>
      </c>
      <c r="F400" s="8" t="s">
        <v>51</v>
      </c>
      <c r="G400" s="35"/>
    </row>
    <row r="401" spans="2:7">
      <c r="B401" s="22">
        <v>95</v>
      </c>
      <c r="C401" s="92" t="s">
        <v>198</v>
      </c>
      <c r="D401" s="93">
        <v>10120014242</v>
      </c>
      <c r="E401" s="93" t="s">
        <v>199</v>
      </c>
      <c r="F401" s="8" t="s">
        <v>51</v>
      </c>
      <c r="G401" s="35"/>
    </row>
    <row r="402" spans="2:7">
      <c r="B402" s="7"/>
      <c r="C402" s="8"/>
      <c r="D402" s="54"/>
      <c r="E402" s="54"/>
      <c r="F402" s="8" t="s">
        <v>51</v>
      </c>
      <c r="G402" s="35"/>
    </row>
    <row r="403" spans="2:7">
      <c r="B403" s="22"/>
      <c r="C403" s="94"/>
      <c r="D403" s="93"/>
      <c r="E403" s="93"/>
      <c r="F403" s="8" t="s">
        <v>51</v>
      </c>
      <c r="G403" s="35"/>
    </row>
    <row r="404" spans="2:7">
      <c r="B404" s="3"/>
      <c r="C404" s="94"/>
      <c r="D404" s="93"/>
      <c r="E404" s="93"/>
      <c r="F404" s="8" t="s">
        <v>51</v>
      </c>
      <c r="G404" s="35"/>
    </row>
    <row r="405" spans="2:7">
      <c r="B405" s="22"/>
      <c r="C405" s="94"/>
      <c r="D405" s="93"/>
      <c r="E405" s="93"/>
      <c r="F405" s="8" t="s">
        <v>51</v>
      </c>
      <c r="G405" s="35"/>
    </row>
    <row r="406" spans="2:7">
      <c r="B406" s="10"/>
      <c r="C406" s="8"/>
      <c r="D406" s="54"/>
      <c r="E406" s="54"/>
      <c r="F406" s="8"/>
      <c r="G406" s="35"/>
    </row>
    <row r="407" spans="2:7">
      <c r="B407" s="3">
        <v>103</v>
      </c>
      <c r="C407" s="92" t="s">
        <v>206</v>
      </c>
      <c r="D407" s="93">
        <v>10128933895</v>
      </c>
      <c r="E407" s="93" t="s">
        <v>863</v>
      </c>
      <c r="F407" s="8" t="s">
        <v>52</v>
      </c>
      <c r="G407" s="35"/>
    </row>
    <row r="408" spans="2:7">
      <c r="B408" s="3">
        <v>158</v>
      </c>
      <c r="C408" s="92" t="s">
        <v>1204</v>
      </c>
      <c r="D408" s="93">
        <v>10089728923</v>
      </c>
      <c r="E408" s="93" t="s">
        <v>863</v>
      </c>
      <c r="F408" s="8" t="s">
        <v>52</v>
      </c>
      <c r="G408" s="35"/>
    </row>
    <row r="409" spans="2:7">
      <c r="B409" s="3">
        <v>104</v>
      </c>
      <c r="C409" s="92" t="s">
        <v>1365</v>
      </c>
      <c r="D409" s="93">
        <v>10116215680</v>
      </c>
      <c r="E409" s="93" t="s">
        <v>109</v>
      </c>
      <c r="F409" s="8" t="s">
        <v>52</v>
      </c>
      <c r="G409" s="35"/>
    </row>
    <row r="410" spans="2:7">
      <c r="B410" s="3">
        <v>105</v>
      </c>
      <c r="C410" s="92" t="s">
        <v>208</v>
      </c>
      <c r="D410" s="93">
        <v>10141533185</v>
      </c>
      <c r="E410" s="93" t="s">
        <v>1387</v>
      </c>
      <c r="F410" s="8" t="s">
        <v>52</v>
      </c>
      <c r="G410" s="35"/>
    </row>
    <row r="411" spans="2:7">
      <c r="B411" s="3">
        <v>106</v>
      </c>
      <c r="C411" s="92" t="s">
        <v>235</v>
      </c>
      <c r="D411" s="93">
        <v>10119593506</v>
      </c>
      <c r="E411" s="93" t="s">
        <v>71</v>
      </c>
      <c r="F411" s="8" t="s">
        <v>52</v>
      </c>
      <c r="G411" s="35"/>
    </row>
    <row r="412" spans="2:7">
      <c r="B412" s="3">
        <v>109</v>
      </c>
      <c r="C412" s="92" t="s">
        <v>602</v>
      </c>
      <c r="D412" s="93">
        <v>10161160935</v>
      </c>
      <c r="E412" s="93" t="s">
        <v>1367</v>
      </c>
      <c r="F412" s="8" t="s">
        <v>52</v>
      </c>
      <c r="G412" s="35"/>
    </row>
    <row r="413" spans="2:7">
      <c r="B413" s="3">
        <v>107</v>
      </c>
      <c r="C413" s="92" t="s">
        <v>1369</v>
      </c>
      <c r="D413" s="93">
        <v>10171946426</v>
      </c>
      <c r="E413" s="93" t="s">
        <v>6</v>
      </c>
      <c r="F413" s="8" t="s">
        <v>52</v>
      </c>
      <c r="G413" s="35"/>
    </row>
    <row r="414" spans="2:7">
      <c r="B414" s="3">
        <v>112</v>
      </c>
      <c r="C414" s="92" t="s">
        <v>1036</v>
      </c>
      <c r="D414" s="93">
        <v>10164774385</v>
      </c>
      <c r="E414" s="93" t="s">
        <v>6</v>
      </c>
      <c r="F414" s="8" t="s">
        <v>52</v>
      </c>
      <c r="G414" s="35"/>
    </row>
    <row r="415" spans="2:7">
      <c r="B415" s="3">
        <v>108</v>
      </c>
      <c r="C415" s="92" t="s">
        <v>1380</v>
      </c>
      <c r="D415" s="93">
        <v>10152456092</v>
      </c>
      <c r="E415" s="93" t="s">
        <v>978</v>
      </c>
      <c r="F415" s="8" t="s">
        <v>52</v>
      </c>
      <c r="G415" s="35"/>
    </row>
    <row r="416" spans="2:7">
      <c r="B416" s="3">
        <v>110</v>
      </c>
      <c r="C416" s="92" t="s">
        <v>1370</v>
      </c>
      <c r="D416" s="93">
        <v>10131930286</v>
      </c>
      <c r="E416" s="93" t="s">
        <v>340</v>
      </c>
      <c r="F416" s="8" t="s">
        <v>52</v>
      </c>
      <c r="G416" s="35"/>
    </row>
    <row r="417" spans="2:7">
      <c r="B417" s="3">
        <v>114</v>
      </c>
      <c r="C417" s="92" t="s">
        <v>1038</v>
      </c>
      <c r="D417" s="93">
        <v>10165016683</v>
      </c>
      <c r="E417" s="93" t="s">
        <v>108</v>
      </c>
      <c r="F417" s="8" t="s">
        <v>52</v>
      </c>
      <c r="G417" s="35"/>
    </row>
    <row r="418" spans="2:7">
      <c r="B418" s="3">
        <v>120</v>
      </c>
      <c r="C418" s="92" t="s">
        <v>1372</v>
      </c>
      <c r="D418" s="93" t="s">
        <v>1373</v>
      </c>
      <c r="E418" s="93" t="s">
        <v>71</v>
      </c>
      <c r="F418" s="8" t="s">
        <v>52</v>
      </c>
      <c r="G418" s="35"/>
    </row>
    <row r="419" spans="2:7">
      <c r="B419" s="3">
        <v>121</v>
      </c>
      <c r="C419" s="92" t="s">
        <v>1043</v>
      </c>
      <c r="D419" s="93">
        <v>10142925440</v>
      </c>
      <c r="E419" s="93" t="s">
        <v>487</v>
      </c>
      <c r="F419" s="8" t="s">
        <v>52</v>
      </c>
      <c r="G419" s="35"/>
    </row>
    <row r="420" spans="2:7">
      <c r="B420" s="3">
        <v>160</v>
      </c>
      <c r="C420" s="92" t="s">
        <v>236</v>
      </c>
      <c r="D420" s="93">
        <v>10171940059</v>
      </c>
      <c r="E420" s="93" t="s">
        <v>199</v>
      </c>
      <c r="F420" s="8" t="s">
        <v>52</v>
      </c>
      <c r="G420" s="35"/>
    </row>
    <row r="421" spans="2:7">
      <c r="B421" s="3">
        <v>142</v>
      </c>
      <c r="C421" s="92" t="s">
        <v>1368</v>
      </c>
      <c r="D421" s="93">
        <v>10126142117</v>
      </c>
      <c r="E421" s="93" t="s">
        <v>620</v>
      </c>
      <c r="F421" s="8" t="s">
        <v>52</v>
      </c>
      <c r="G421" s="35"/>
    </row>
    <row r="422" spans="2:7">
      <c r="B422" s="3">
        <v>125</v>
      </c>
      <c r="C422" s="92" t="s">
        <v>1440</v>
      </c>
      <c r="D422" s="93">
        <v>10171432932</v>
      </c>
      <c r="E422" s="93" t="s">
        <v>1441</v>
      </c>
      <c r="F422" s="8" t="s">
        <v>52</v>
      </c>
      <c r="G422" s="35"/>
    </row>
    <row r="423" spans="2:7">
      <c r="B423" s="3">
        <v>126</v>
      </c>
      <c r="C423" s="92" t="s">
        <v>1050</v>
      </c>
      <c r="D423" s="93">
        <v>10151269157</v>
      </c>
      <c r="E423" s="93" t="s">
        <v>1209</v>
      </c>
      <c r="F423" s="8" t="s">
        <v>52</v>
      </c>
      <c r="G423" s="35"/>
    </row>
    <row r="424" spans="2:7">
      <c r="B424" s="3">
        <v>122</v>
      </c>
      <c r="C424" s="92" t="s">
        <v>256</v>
      </c>
      <c r="D424" s="93">
        <v>10133141372</v>
      </c>
      <c r="E424" s="93" t="s">
        <v>1371</v>
      </c>
      <c r="F424" s="8" t="s">
        <v>52</v>
      </c>
      <c r="G424" s="35"/>
    </row>
    <row r="425" spans="2:7">
      <c r="B425" s="3">
        <v>119</v>
      </c>
      <c r="C425" s="92" t="s">
        <v>238</v>
      </c>
      <c r="D425" s="93" t="s">
        <v>66</v>
      </c>
      <c r="E425" s="93" t="s">
        <v>84</v>
      </c>
      <c r="F425" s="8" t="s">
        <v>52</v>
      </c>
      <c r="G425" s="35"/>
    </row>
    <row r="426" spans="2:7">
      <c r="B426" s="3">
        <v>162</v>
      </c>
      <c r="C426" s="92" t="s">
        <v>606</v>
      </c>
      <c r="D426" s="93">
        <v>10161111728</v>
      </c>
      <c r="E426" s="93" t="s">
        <v>130</v>
      </c>
      <c r="F426" s="8" t="s">
        <v>52</v>
      </c>
      <c r="G426" s="35"/>
    </row>
    <row r="427" spans="2:7">
      <c r="B427" s="3">
        <v>163</v>
      </c>
      <c r="C427" s="92" t="s">
        <v>220</v>
      </c>
      <c r="D427" s="93">
        <v>11543</v>
      </c>
      <c r="E427" s="93" t="s">
        <v>221</v>
      </c>
      <c r="F427" s="8" t="s">
        <v>52</v>
      </c>
      <c r="G427" s="35"/>
    </row>
    <row r="428" spans="2:7">
      <c r="B428" s="105">
        <v>166</v>
      </c>
      <c r="C428" s="92" t="s">
        <v>228</v>
      </c>
      <c r="D428" s="93">
        <v>10131783069</v>
      </c>
      <c r="E428" s="93" t="s">
        <v>84</v>
      </c>
      <c r="F428" s="8" t="s">
        <v>52</v>
      </c>
      <c r="G428" s="35"/>
    </row>
    <row r="429" spans="2:7">
      <c r="B429" s="3">
        <v>161</v>
      </c>
      <c r="C429" s="92" t="s">
        <v>1378</v>
      </c>
      <c r="D429" s="93">
        <v>10152284728</v>
      </c>
      <c r="E429" s="93" t="s">
        <v>1379</v>
      </c>
      <c r="F429" s="8" t="s">
        <v>52</v>
      </c>
      <c r="G429" s="35"/>
    </row>
    <row r="430" spans="2:7">
      <c r="B430" s="3">
        <v>147</v>
      </c>
      <c r="C430" s="92" t="s">
        <v>261</v>
      </c>
      <c r="D430" s="93">
        <v>10173505601</v>
      </c>
      <c r="E430" s="93" t="s">
        <v>110</v>
      </c>
      <c r="F430" s="8" t="s">
        <v>52</v>
      </c>
      <c r="G430" s="35"/>
    </row>
    <row r="431" spans="2:7">
      <c r="B431" s="3">
        <v>118</v>
      </c>
      <c r="C431" s="92" t="s">
        <v>1374</v>
      </c>
      <c r="D431" s="93">
        <v>10170820014</v>
      </c>
      <c r="E431" s="93" t="s">
        <v>280</v>
      </c>
      <c r="F431" s="8" t="s">
        <v>52</v>
      </c>
      <c r="G431" s="35"/>
    </row>
    <row r="432" spans="2:7">
      <c r="B432" s="105">
        <v>167</v>
      </c>
      <c r="C432" s="92" t="s">
        <v>1385</v>
      </c>
      <c r="D432" s="93">
        <v>10152458823</v>
      </c>
      <c r="E432" s="93" t="s">
        <v>172</v>
      </c>
      <c r="F432" s="8" t="s">
        <v>52</v>
      </c>
      <c r="G432" s="35"/>
    </row>
    <row r="433" spans="2:7">
      <c r="B433" s="105">
        <v>168</v>
      </c>
      <c r="C433" s="92" t="s">
        <v>1381</v>
      </c>
      <c r="D433" s="93">
        <v>10168944678</v>
      </c>
      <c r="E433" s="93" t="s">
        <v>104</v>
      </c>
      <c r="F433" s="8" t="s">
        <v>52</v>
      </c>
      <c r="G433" s="35"/>
    </row>
    <row r="434" spans="2:7">
      <c r="B434" s="3">
        <v>124</v>
      </c>
      <c r="C434" s="92" t="s">
        <v>213</v>
      </c>
      <c r="D434" s="93">
        <v>10171656234</v>
      </c>
      <c r="E434" s="93" t="s">
        <v>108</v>
      </c>
      <c r="F434" s="8" t="s">
        <v>52</v>
      </c>
      <c r="G434" s="35"/>
    </row>
    <row r="435" spans="2:7">
      <c r="B435" s="3">
        <v>143</v>
      </c>
      <c r="C435" s="92" t="s">
        <v>1382</v>
      </c>
      <c r="D435" s="93">
        <v>10166647596</v>
      </c>
      <c r="E435" s="93" t="s">
        <v>385</v>
      </c>
      <c r="F435" s="8" t="s">
        <v>52</v>
      </c>
      <c r="G435" s="35"/>
    </row>
    <row r="436" spans="2:7">
      <c r="B436" s="3">
        <v>164</v>
      </c>
      <c r="C436" s="92" t="s">
        <v>1384</v>
      </c>
      <c r="D436" s="93">
        <v>10164035670</v>
      </c>
      <c r="E436" s="93" t="s">
        <v>150</v>
      </c>
      <c r="F436" s="8" t="s">
        <v>52</v>
      </c>
      <c r="G436" s="35"/>
    </row>
    <row r="437" spans="2:7">
      <c r="B437" s="3">
        <v>165</v>
      </c>
      <c r="C437" s="92" t="s">
        <v>1386</v>
      </c>
      <c r="D437" s="93">
        <v>10129953611</v>
      </c>
      <c r="E437" s="93" t="s">
        <v>721</v>
      </c>
      <c r="F437" s="8" t="s">
        <v>52</v>
      </c>
      <c r="G437" s="35"/>
    </row>
    <row r="438" spans="2:7">
      <c r="B438" s="105">
        <v>169</v>
      </c>
      <c r="C438" s="92" t="s">
        <v>1383</v>
      </c>
      <c r="D438" s="93">
        <v>765065370</v>
      </c>
      <c r="E438" s="93" t="s">
        <v>1302</v>
      </c>
      <c r="F438" s="8" t="s">
        <v>52</v>
      </c>
      <c r="G438" s="35"/>
    </row>
    <row r="439" spans="2:7">
      <c r="B439" s="105">
        <v>170</v>
      </c>
      <c r="C439" s="92" t="s">
        <v>1375</v>
      </c>
      <c r="D439" s="93" t="s">
        <v>1376</v>
      </c>
      <c r="E439" s="93" t="s">
        <v>1377</v>
      </c>
      <c r="F439" s="8" t="s">
        <v>52</v>
      </c>
      <c r="G439" s="35"/>
    </row>
    <row r="440" spans="2:7">
      <c r="B440" s="105">
        <v>171</v>
      </c>
      <c r="C440" s="92" t="s">
        <v>1366</v>
      </c>
      <c r="D440" s="93">
        <v>12311</v>
      </c>
      <c r="E440" s="93" t="s">
        <v>978</v>
      </c>
      <c r="F440" s="8" t="s">
        <v>52</v>
      </c>
      <c r="G440" s="35"/>
    </row>
    <row r="441" spans="2:7">
      <c r="B441" s="3"/>
      <c r="C441" s="92"/>
      <c r="D441" s="93"/>
      <c r="E441" s="93"/>
      <c r="F441" s="8" t="s">
        <v>52</v>
      </c>
      <c r="G441" s="35"/>
    </row>
    <row r="442" spans="2:7">
      <c r="B442" s="3"/>
      <c r="C442" s="92"/>
      <c r="D442" s="93"/>
      <c r="E442" s="93"/>
      <c r="F442" s="8" t="s">
        <v>52</v>
      </c>
      <c r="G442" s="35"/>
    </row>
    <row r="443" spans="2:7">
      <c r="B443" s="3"/>
      <c r="C443" s="92"/>
      <c r="D443" s="93"/>
      <c r="E443" s="93"/>
      <c r="F443" s="8" t="s">
        <v>52</v>
      </c>
      <c r="G443" s="35"/>
    </row>
    <row r="444" spans="2:7">
      <c r="B444" s="3"/>
      <c r="C444" s="92"/>
      <c r="D444" s="93"/>
      <c r="E444" s="93"/>
      <c r="F444" s="8" t="s">
        <v>52</v>
      </c>
      <c r="G444" s="35"/>
    </row>
    <row r="445" spans="2:7">
      <c r="B445" s="3"/>
      <c r="C445" s="92"/>
      <c r="D445" s="93"/>
      <c r="E445" s="93"/>
      <c r="F445" s="8" t="s">
        <v>52</v>
      </c>
      <c r="G445" s="35"/>
    </row>
    <row r="446" spans="2:7">
      <c r="B446" s="3"/>
      <c r="C446" s="92"/>
      <c r="D446" s="93"/>
      <c r="E446" s="93"/>
      <c r="F446" s="8" t="s">
        <v>52</v>
      </c>
      <c r="G446" s="35"/>
    </row>
    <row r="447" spans="2:7">
      <c r="B447" s="3"/>
      <c r="C447" s="92"/>
      <c r="D447" s="93"/>
      <c r="E447" s="93"/>
      <c r="F447" s="8" t="s">
        <v>52</v>
      </c>
      <c r="G447" s="35"/>
    </row>
    <row r="448" spans="2:7">
      <c r="B448" s="3"/>
      <c r="C448" s="92"/>
      <c r="D448" s="93"/>
      <c r="E448" s="93"/>
      <c r="F448" s="8" t="s">
        <v>52</v>
      </c>
      <c r="G448" s="35"/>
    </row>
    <row r="449" spans="2:7">
      <c r="B449" s="3"/>
      <c r="C449" s="92"/>
      <c r="D449" s="93"/>
      <c r="E449" s="93"/>
      <c r="F449" s="8" t="s">
        <v>52</v>
      </c>
      <c r="G449" s="35"/>
    </row>
    <row r="450" spans="2:7">
      <c r="B450" s="3"/>
      <c r="C450" s="92"/>
      <c r="D450" s="93"/>
      <c r="E450" s="93"/>
      <c r="F450" s="8" t="s">
        <v>52</v>
      </c>
      <c r="G450" s="35"/>
    </row>
    <row r="451" spans="2:7">
      <c r="B451" s="3"/>
      <c r="C451" s="92"/>
      <c r="D451" s="93"/>
      <c r="E451" s="93"/>
      <c r="F451" s="8" t="s">
        <v>52</v>
      </c>
      <c r="G451" s="35"/>
    </row>
    <row r="452" spans="2:7">
      <c r="B452" s="3"/>
      <c r="C452" s="92"/>
      <c r="D452" s="93"/>
      <c r="E452" s="93"/>
      <c r="F452" s="8" t="s">
        <v>52</v>
      </c>
      <c r="G452" s="35"/>
    </row>
    <row r="453" spans="2:7">
      <c r="B453" s="3"/>
      <c r="C453" s="92"/>
      <c r="D453" s="93"/>
      <c r="E453" s="93"/>
      <c r="F453" s="8" t="s">
        <v>52</v>
      </c>
      <c r="G453" s="35"/>
    </row>
    <row r="454" spans="2:7">
      <c r="B454" s="3"/>
      <c r="C454" s="92"/>
      <c r="D454" s="93"/>
      <c r="E454" s="93"/>
      <c r="F454" s="8" t="s">
        <v>52</v>
      </c>
      <c r="G454" s="35"/>
    </row>
    <row r="455" spans="2:7">
      <c r="B455" s="3"/>
      <c r="C455" s="92"/>
      <c r="D455" s="93"/>
      <c r="E455" s="93"/>
      <c r="F455" s="8" t="s">
        <v>52</v>
      </c>
      <c r="G455" s="35"/>
    </row>
    <row r="456" spans="2:7">
      <c r="B456" s="3"/>
      <c r="C456" s="92"/>
      <c r="D456" s="93"/>
      <c r="E456" s="93"/>
      <c r="F456" s="8"/>
      <c r="G456" s="35"/>
    </row>
    <row r="457" spans="2:7">
      <c r="B457" s="3">
        <v>263</v>
      </c>
      <c r="C457" s="92" t="s">
        <v>1391</v>
      </c>
      <c r="D457" s="93">
        <v>10122460056</v>
      </c>
      <c r="E457" s="93" t="s">
        <v>863</v>
      </c>
      <c r="F457" s="8" t="s">
        <v>53</v>
      </c>
      <c r="G457" s="35"/>
    </row>
    <row r="458" spans="2:7">
      <c r="B458" s="3">
        <v>264</v>
      </c>
      <c r="C458" s="92" t="s">
        <v>264</v>
      </c>
      <c r="D458" s="93">
        <v>10141535916</v>
      </c>
      <c r="E458" s="93" t="s">
        <v>642</v>
      </c>
      <c r="F458" s="8" t="s">
        <v>53</v>
      </c>
      <c r="G458" s="35"/>
    </row>
    <row r="459" spans="2:7">
      <c r="B459" s="3">
        <v>265</v>
      </c>
      <c r="C459" s="92" t="s">
        <v>1392</v>
      </c>
      <c r="D459" s="93">
        <v>10164933831</v>
      </c>
      <c r="E459" s="93" t="s">
        <v>128</v>
      </c>
      <c r="F459" s="8" t="s">
        <v>53</v>
      </c>
      <c r="G459" s="35"/>
    </row>
    <row r="460" spans="2:7">
      <c r="B460" s="105">
        <v>266</v>
      </c>
      <c r="C460" s="92" t="s">
        <v>266</v>
      </c>
      <c r="D460" s="93">
        <v>10103913858</v>
      </c>
      <c r="E460" s="93" t="s">
        <v>132</v>
      </c>
      <c r="F460" s="8" t="s">
        <v>53</v>
      </c>
      <c r="G460" s="35"/>
    </row>
    <row r="461" spans="2:7">
      <c r="B461" s="105">
        <v>267</v>
      </c>
      <c r="C461" s="92" t="s">
        <v>1442</v>
      </c>
      <c r="D461" s="93" t="s">
        <v>66</v>
      </c>
      <c r="E461" s="93" t="s">
        <v>1443</v>
      </c>
      <c r="F461" s="8" t="s">
        <v>53</v>
      </c>
      <c r="G461" s="35"/>
    </row>
    <row r="462" spans="2:7">
      <c r="B462" s="22"/>
      <c r="C462" s="92"/>
      <c r="D462" s="93"/>
      <c r="E462" s="93"/>
      <c r="F462" s="8"/>
      <c r="G462" s="35"/>
    </row>
    <row r="463" spans="2:7">
      <c r="B463" s="22">
        <v>301</v>
      </c>
      <c r="C463" s="92" t="s">
        <v>267</v>
      </c>
      <c r="D463" s="93">
        <v>120760930</v>
      </c>
      <c r="E463" s="93" t="s">
        <v>109</v>
      </c>
      <c r="F463" s="8" t="s">
        <v>54</v>
      </c>
      <c r="G463" s="35"/>
    </row>
    <row r="464" spans="2:7">
      <c r="B464" s="22">
        <v>307</v>
      </c>
      <c r="C464" s="23" t="s">
        <v>275</v>
      </c>
      <c r="D464" s="60">
        <v>10153824200</v>
      </c>
      <c r="E464" s="93" t="s">
        <v>108</v>
      </c>
      <c r="F464" s="8" t="s">
        <v>54</v>
      </c>
      <c r="G464" s="35"/>
    </row>
    <row r="465" spans="2:7">
      <c r="B465" s="22">
        <v>311</v>
      </c>
      <c r="C465" s="92" t="s">
        <v>1341</v>
      </c>
      <c r="D465" s="93">
        <v>10128424344</v>
      </c>
      <c r="E465" s="92" t="s">
        <v>108</v>
      </c>
      <c r="F465" s="8" t="s">
        <v>54</v>
      </c>
      <c r="G465" s="35"/>
    </row>
    <row r="466" spans="2:7">
      <c r="B466" s="22">
        <v>302</v>
      </c>
      <c r="C466" s="92" t="s">
        <v>971</v>
      </c>
      <c r="D466" s="93">
        <v>10128933895</v>
      </c>
      <c r="E466" s="93" t="s">
        <v>109</v>
      </c>
      <c r="F466" s="8" t="s">
        <v>54</v>
      </c>
      <c r="G466" s="35"/>
    </row>
    <row r="467" spans="2:7">
      <c r="B467" s="22">
        <v>303</v>
      </c>
      <c r="C467" s="92" t="s">
        <v>1345</v>
      </c>
      <c r="D467" s="93">
        <v>10152378694</v>
      </c>
      <c r="E467" s="93" t="s">
        <v>754</v>
      </c>
      <c r="F467" s="8" t="s">
        <v>54</v>
      </c>
      <c r="G467" s="35"/>
    </row>
    <row r="468" spans="2:7">
      <c r="B468" s="22">
        <v>304</v>
      </c>
      <c r="C468" s="92" t="s">
        <v>1354</v>
      </c>
      <c r="D468" s="93">
        <v>10156150681</v>
      </c>
      <c r="E468" s="93" t="s">
        <v>170</v>
      </c>
      <c r="F468" s="8" t="s">
        <v>54</v>
      </c>
      <c r="G468" s="35"/>
    </row>
    <row r="469" spans="2:7">
      <c r="B469" s="22">
        <v>321</v>
      </c>
      <c r="C469" s="92" t="s">
        <v>1346</v>
      </c>
      <c r="D469" s="93" t="s">
        <v>66</v>
      </c>
      <c r="E469" s="92" t="s">
        <v>71</v>
      </c>
      <c r="F469" s="8" t="s">
        <v>54</v>
      </c>
      <c r="G469" s="35"/>
    </row>
    <row r="470" spans="2:7">
      <c r="B470" s="22">
        <v>333</v>
      </c>
      <c r="C470" s="92" t="s">
        <v>1349</v>
      </c>
      <c r="D470" s="93" t="s">
        <v>1350</v>
      </c>
      <c r="E470" s="93" t="s">
        <v>71</v>
      </c>
      <c r="F470" s="8" t="s">
        <v>54</v>
      </c>
      <c r="G470" s="35"/>
    </row>
    <row r="471" spans="2:7">
      <c r="B471" s="22">
        <v>337</v>
      </c>
      <c r="C471" s="92" t="s">
        <v>317</v>
      </c>
      <c r="D471" s="93">
        <v>10173459020</v>
      </c>
      <c r="E471" s="93" t="s">
        <v>133</v>
      </c>
      <c r="F471" s="8" t="s">
        <v>54</v>
      </c>
      <c r="G471" s="35"/>
    </row>
    <row r="472" spans="2:7">
      <c r="B472" s="22">
        <v>327</v>
      </c>
      <c r="C472" s="92" t="s">
        <v>1342</v>
      </c>
      <c r="D472" s="93">
        <v>10171445864</v>
      </c>
      <c r="E472" s="93" t="s">
        <v>1176</v>
      </c>
      <c r="F472" s="8" t="s">
        <v>54</v>
      </c>
      <c r="G472" s="35"/>
    </row>
    <row r="473" spans="2:7">
      <c r="B473" s="22">
        <v>314</v>
      </c>
      <c r="C473" s="92" t="s">
        <v>283</v>
      </c>
      <c r="D473" s="93">
        <v>10164592614</v>
      </c>
      <c r="E473" s="93" t="s">
        <v>108</v>
      </c>
      <c r="F473" s="8" t="s">
        <v>54</v>
      </c>
      <c r="G473" s="35"/>
    </row>
    <row r="474" spans="2:7">
      <c r="B474" s="22">
        <v>305</v>
      </c>
      <c r="C474" s="92" t="s">
        <v>272</v>
      </c>
      <c r="D474" s="93">
        <v>10152909669</v>
      </c>
      <c r="E474" s="93" t="s">
        <v>273</v>
      </c>
      <c r="F474" s="8" t="s">
        <v>54</v>
      </c>
      <c r="G474" s="35"/>
    </row>
    <row r="475" spans="2:7">
      <c r="B475" s="22">
        <v>309</v>
      </c>
      <c r="C475" s="92" t="s">
        <v>1356</v>
      </c>
      <c r="D475" s="93" t="s">
        <v>1253</v>
      </c>
      <c r="E475" s="93" t="s">
        <v>1357</v>
      </c>
      <c r="F475" s="8" t="s">
        <v>54</v>
      </c>
      <c r="G475" s="35"/>
    </row>
    <row r="476" spans="2:7">
      <c r="B476" s="22">
        <v>319</v>
      </c>
      <c r="C476" s="92" t="s">
        <v>288</v>
      </c>
      <c r="D476" s="93" t="s">
        <v>1348</v>
      </c>
      <c r="E476" s="92" t="s">
        <v>125</v>
      </c>
      <c r="F476" s="8" t="s">
        <v>54</v>
      </c>
      <c r="G476" s="35"/>
    </row>
    <row r="477" spans="2:7">
      <c r="B477" s="22">
        <v>326</v>
      </c>
      <c r="C477" s="92" t="s">
        <v>667</v>
      </c>
      <c r="D477" s="93" t="s">
        <v>1343</v>
      </c>
      <c r="E477" s="93" t="s">
        <v>1344</v>
      </c>
      <c r="F477" s="8" t="s">
        <v>54</v>
      </c>
      <c r="G477" s="35"/>
    </row>
    <row r="478" spans="2:7">
      <c r="B478" s="22">
        <v>310</v>
      </c>
      <c r="C478" s="92" t="s">
        <v>1352</v>
      </c>
      <c r="D478" s="93">
        <v>10140942495</v>
      </c>
      <c r="E478" s="93" t="s">
        <v>108</v>
      </c>
      <c r="F478" s="8" t="s">
        <v>54</v>
      </c>
      <c r="G478" s="35"/>
    </row>
    <row r="479" spans="2:7">
      <c r="B479" s="22">
        <v>336</v>
      </c>
      <c r="C479" s="92" t="s">
        <v>315</v>
      </c>
      <c r="D479" s="93">
        <v>10173205507</v>
      </c>
      <c r="E479" s="92" t="s">
        <v>316</v>
      </c>
      <c r="F479" s="8" t="s">
        <v>54</v>
      </c>
      <c r="G479" s="35"/>
    </row>
    <row r="480" spans="2:7">
      <c r="B480" s="22">
        <v>306</v>
      </c>
      <c r="C480" s="92" t="s">
        <v>274</v>
      </c>
      <c r="D480" s="93">
        <v>43223</v>
      </c>
      <c r="E480" s="93" t="s">
        <v>280</v>
      </c>
      <c r="F480" s="8" t="s">
        <v>54</v>
      </c>
      <c r="G480" s="35"/>
    </row>
    <row r="481" spans="2:7">
      <c r="B481" s="22">
        <v>332</v>
      </c>
      <c r="C481" s="92" t="s">
        <v>308</v>
      </c>
      <c r="D481" s="93">
        <v>10166671242</v>
      </c>
      <c r="E481" s="93" t="s">
        <v>6</v>
      </c>
      <c r="F481" s="8" t="s">
        <v>54</v>
      </c>
      <c r="G481" s="35"/>
    </row>
    <row r="482" spans="2:7">
      <c r="B482" s="22">
        <v>342</v>
      </c>
      <c r="C482" s="92" t="s">
        <v>1351</v>
      </c>
      <c r="D482" s="93">
        <v>10166012652</v>
      </c>
      <c r="E482" s="93" t="s">
        <v>310</v>
      </c>
      <c r="F482" s="8" t="s">
        <v>54</v>
      </c>
      <c r="G482" s="35"/>
    </row>
    <row r="483" spans="2:7">
      <c r="B483" s="22">
        <v>316</v>
      </c>
      <c r="C483" s="92" t="s">
        <v>285</v>
      </c>
      <c r="D483" s="93" t="s">
        <v>66</v>
      </c>
      <c r="E483" s="93" t="s">
        <v>84</v>
      </c>
      <c r="F483" s="8" t="s">
        <v>54</v>
      </c>
      <c r="G483" s="35"/>
    </row>
    <row r="484" spans="2:7">
      <c r="B484" s="22">
        <v>343</v>
      </c>
      <c r="C484" s="92" t="s">
        <v>673</v>
      </c>
      <c r="D484" s="93" t="s">
        <v>1253</v>
      </c>
      <c r="E484" s="93" t="s">
        <v>107</v>
      </c>
      <c r="F484" s="8" t="s">
        <v>54</v>
      </c>
      <c r="G484" s="35"/>
    </row>
    <row r="485" spans="2:7">
      <c r="B485" s="22">
        <v>348</v>
      </c>
      <c r="C485" s="92" t="s">
        <v>965</v>
      </c>
      <c r="D485" s="93">
        <v>10165439746</v>
      </c>
      <c r="E485" s="93" t="s">
        <v>1347</v>
      </c>
      <c r="F485" s="8" t="s">
        <v>54</v>
      </c>
      <c r="G485" s="35"/>
    </row>
    <row r="486" spans="2:7">
      <c r="B486" s="22">
        <v>320</v>
      </c>
      <c r="C486" s="92" t="s">
        <v>290</v>
      </c>
      <c r="D486" s="93">
        <v>10136994902</v>
      </c>
      <c r="E486" s="93" t="s">
        <v>376</v>
      </c>
      <c r="F486" s="8" t="s">
        <v>54</v>
      </c>
      <c r="G486" s="35"/>
    </row>
    <row r="487" spans="2:7">
      <c r="B487" s="22">
        <v>341</v>
      </c>
      <c r="C487" s="23" t="s">
        <v>968</v>
      </c>
      <c r="D487" s="60">
        <v>209350007</v>
      </c>
      <c r="E487" s="93" t="s">
        <v>65</v>
      </c>
      <c r="F487" s="8" t="s">
        <v>54</v>
      </c>
      <c r="G487" s="35"/>
    </row>
    <row r="488" spans="2:7">
      <c r="B488" s="22">
        <v>346</v>
      </c>
      <c r="C488" s="92" t="s">
        <v>677</v>
      </c>
      <c r="D488" s="93">
        <v>10127119086</v>
      </c>
      <c r="E488" s="93" t="s">
        <v>1340</v>
      </c>
      <c r="F488" s="8" t="s">
        <v>54</v>
      </c>
      <c r="G488" s="35"/>
    </row>
    <row r="489" spans="2:7">
      <c r="B489" s="22">
        <v>329</v>
      </c>
      <c r="C489" s="92" t="s">
        <v>1353</v>
      </c>
      <c r="D489" s="93">
        <v>10144442579</v>
      </c>
      <c r="E489" s="93" t="s">
        <v>125</v>
      </c>
      <c r="F489" s="8" t="s">
        <v>54</v>
      </c>
      <c r="G489" s="35"/>
    </row>
    <row r="490" spans="2:7">
      <c r="B490" s="22">
        <v>317</v>
      </c>
      <c r="C490" s="23" t="s">
        <v>286</v>
      </c>
      <c r="D490" s="93" t="s">
        <v>66</v>
      </c>
      <c r="E490" s="93" t="s">
        <v>84</v>
      </c>
      <c r="F490" s="8" t="s">
        <v>54</v>
      </c>
      <c r="G490" s="35"/>
    </row>
    <row r="491" spans="2:7">
      <c r="B491" s="22">
        <v>324</v>
      </c>
      <c r="C491" s="92" t="s">
        <v>665</v>
      </c>
      <c r="D491" s="93">
        <v>10161110819</v>
      </c>
      <c r="E491" s="93" t="s">
        <v>957</v>
      </c>
      <c r="F491" s="8" t="s">
        <v>54</v>
      </c>
      <c r="G491" s="35"/>
    </row>
    <row r="492" spans="2:7">
      <c r="B492" s="22">
        <v>340</v>
      </c>
      <c r="C492" s="92" t="s">
        <v>1359</v>
      </c>
      <c r="D492" s="93">
        <v>10166711557</v>
      </c>
      <c r="E492" s="93" t="s">
        <v>385</v>
      </c>
      <c r="F492" s="8" t="s">
        <v>54</v>
      </c>
      <c r="G492" s="35"/>
    </row>
    <row r="493" spans="2:7">
      <c r="B493" s="22">
        <v>351</v>
      </c>
      <c r="C493" s="92" t="s">
        <v>1362</v>
      </c>
      <c r="D493" s="93">
        <v>10152378795</v>
      </c>
      <c r="E493" s="92" t="s">
        <v>65</v>
      </c>
      <c r="F493" s="8" t="s">
        <v>54</v>
      </c>
      <c r="G493" s="35"/>
    </row>
    <row r="494" spans="2:7">
      <c r="B494" s="22">
        <v>352</v>
      </c>
      <c r="C494" s="92" t="s">
        <v>1248</v>
      </c>
      <c r="D494" s="93" t="s">
        <v>66</v>
      </c>
      <c r="E494" s="93" t="s">
        <v>84</v>
      </c>
      <c r="F494" s="8" t="s">
        <v>54</v>
      </c>
      <c r="G494" s="35"/>
    </row>
    <row r="495" spans="2:7">
      <c r="B495" s="22">
        <v>312</v>
      </c>
      <c r="C495" s="92" t="s">
        <v>1358</v>
      </c>
      <c r="D495" s="93">
        <v>10162918251</v>
      </c>
      <c r="E495" s="93" t="s">
        <v>898</v>
      </c>
      <c r="F495" s="8" t="s">
        <v>54</v>
      </c>
      <c r="G495" s="35"/>
    </row>
    <row r="496" spans="2:7">
      <c r="B496" s="107">
        <v>353</v>
      </c>
      <c r="C496" s="92" t="s">
        <v>1360</v>
      </c>
      <c r="D496" s="93">
        <v>10162144574</v>
      </c>
      <c r="E496" s="93" t="s">
        <v>63</v>
      </c>
      <c r="F496" s="8" t="s">
        <v>54</v>
      </c>
      <c r="G496" s="35"/>
    </row>
    <row r="497" spans="2:7">
      <c r="B497" s="107">
        <v>354</v>
      </c>
      <c r="C497" s="92" t="s">
        <v>1361</v>
      </c>
      <c r="D497" s="93">
        <v>10176535536</v>
      </c>
      <c r="E497" s="93" t="s">
        <v>126</v>
      </c>
      <c r="F497" s="8" t="s">
        <v>54</v>
      </c>
      <c r="G497" s="35"/>
    </row>
    <row r="498" spans="2:7">
      <c r="B498" s="107">
        <v>355</v>
      </c>
      <c r="C498" s="23" t="s">
        <v>1355</v>
      </c>
      <c r="D498" s="93">
        <v>10170089480</v>
      </c>
      <c r="E498" s="93" t="s">
        <v>938</v>
      </c>
      <c r="F498" s="8" t="s">
        <v>54</v>
      </c>
      <c r="G498" s="35"/>
    </row>
    <row r="499" spans="2:7" ht="29.25">
      <c r="B499" s="107">
        <v>356</v>
      </c>
      <c r="C499" s="23" t="s">
        <v>1363</v>
      </c>
      <c r="D499" s="60" t="s">
        <v>1364</v>
      </c>
      <c r="E499" s="93" t="s">
        <v>126</v>
      </c>
      <c r="F499" s="8" t="s">
        <v>54</v>
      </c>
      <c r="G499" s="35"/>
    </row>
    <row r="500" spans="2:7">
      <c r="B500" s="107">
        <v>357</v>
      </c>
      <c r="C500" s="92" t="s">
        <v>1444</v>
      </c>
      <c r="D500" s="93" t="s">
        <v>1281</v>
      </c>
      <c r="E500" s="92" t="s">
        <v>1434</v>
      </c>
      <c r="F500" s="8" t="s">
        <v>54</v>
      </c>
      <c r="G500" s="35"/>
    </row>
    <row r="501" spans="2:7">
      <c r="B501" s="22"/>
      <c r="C501" s="92"/>
      <c r="D501" s="93"/>
      <c r="E501" s="92"/>
      <c r="F501" s="8" t="s">
        <v>54</v>
      </c>
      <c r="G501" s="35"/>
    </row>
    <row r="502" spans="2:7">
      <c r="B502" s="22"/>
      <c r="C502" s="92"/>
      <c r="D502" s="93"/>
      <c r="E502" s="93"/>
      <c r="F502" s="8" t="s">
        <v>54</v>
      </c>
      <c r="G502" s="35"/>
    </row>
    <row r="503" spans="2:7">
      <c r="B503" s="22"/>
      <c r="C503" s="23"/>
      <c r="D503" s="93"/>
      <c r="E503" s="93"/>
      <c r="F503" s="8" t="s">
        <v>54</v>
      </c>
      <c r="G503" s="35"/>
    </row>
    <row r="504" spans="2:7">
      <c r="B504" s="22"/>
      <c r="C504" s="23"/>
      <c r="D504" s="93"/>
      <c r="E504" s="93"/>
      <c r="F504" s="8"/>
      <c r="G504" s="35"/>
    </row>
    <row r="505" spans="2:7">
      <c r="B505" s="22">
        <v>381</v>
      </c>
      <c r="C505" s="93" t="s">
        <v>322</v>
      </c>
      <c r="D505" s="93">
        <v>10125653679</v>
      </c>
      <c r="E505" s="92" t="s">
        <v>100</v>
      </c>
      <c r="F505" s="8" t="s">
        <v>55</v>
      </c>
      <c r="G505" s="35"/>
    </row>
    <row r="506" spans="2:7">
      <c r="B506" s="22">
        <v>387</v>
      </c>
      <c r="C506" s="92" t="s">
        <v>1328</v>
      </c>
      <c r="D506" s="93" t="s">
        <v>66</v>
      </c>
      <c r="E506" s="93" t="s">
        <v>100</v>
      </c>
      <c r="F506" s="8" t="s">
        <v>55</v>
      </c>
      <c r="G506" s="35"/>
    </row>
    <row r="507" spans="2:7">
      <c r="B507" s="22">
        <v>384</v>
      </c>
      <c r="C507" s="92" t="s">
        <v>1330</v>
      </c>
      <c r="D507" s="93">
        <v>10141538340</v>
      </c>
      <c r="E507" s="93" t="s">
        <v>1331</v>
      </c>
      <c r="F507" s="8" t="s">
        <v>55</v>
      </c>
      <c r="G507" s="35"/>
    </row>
    <row r="508" spans="2:7">
      <c r="B508" s="22">
        <v>388</v>
      </c>
      <c r="C508" s="92" t="s">
        <v>330</v>
      </c>
      <c r="D508" s="93">
        <v>10128284605</v>
      </c>
      <c r="E508" s="93" t="s">
        <v>1298</v>
      </c>
      <c r="F508" s="8" t="s">
        <v>55</v>
      </c>
      <c r="G508" s="35"/>
    </row>
    <row r="509" spans="2:7">
      <c r="B509" s="22">
        <v>386</v>
      </c>
      <c r="C509" s="92" t="s">
        <v>1329</v>
      </c>
      <c r="D509" s="93">
        <v>10152378391</v>
      </c>
      <c r="E509" s="92" t="s">
        <v>170</v>
      </c>
      <c r="F509" s="8" t="s">
        <v>55</v>
      </c>
      <c r="G509" s="35"/>
    </row>
    <row r="510" spans="2:7">
      <c r="B510" s="22">
        <v>385</v>
      </c>
      <c r="C510" s="92" t="s">
        <v>1165</v>
      </c>
      <c r="D510" s="93" t="s">
        <v>1332</v>
      </c>
      <c r="E510" s="93" t="s">
        <v>1166</v>
      </c>
      <c r="F510" s="8" t="s">
        <v>55</v>
      </c>
      <c r="G510" s="35"/>
    </row>
    <row r="511" spans="2:7">
      <c r="B511" s="22">
        <v>382</v>
      </c>
      <c r="C511" s="93" t="s">
        <v>1162</v>
      </c>
      <c r="D511" s="93">
        <v>10128546909</v>
      </c>
      <c r="E511" s="92" t="s">
        <v>682</v>
      </c>
      <c r="F511" s="8" t="s">
        <v>55</v>
      </c>
      <c r="G511" s="35"/>
    </row>
    <row r="512" spans="2:7">
      <c r="B512" s="22">
        <v>383</v>
      </c>
      <c r="C512" s="92" t="s">
        <v>324</v>
      </c>
      <c r="D512" s="93">
        <v>10128827401</v>
      </c>
      <c r="E512" s="92" t="s">
        <v>64</v>
      </c>
      <c r="F512" s="8" t="s">
        <v>55</v>
      </c>
      <c r="G512" s="35"/>
    </row>
    <row r="513" spans="2:7">
      <c r="B513" s="22">
        <v>390</v>
      </c>
      <c r="C513" s="92" t="s">
        <v>1333</v>
      </c>
      <c r="D513" s="93">
        <v>10152964031</v>
      </c>
      <c r="E513" s="92" t="s">
        <v>1334</v>
      </c>
      <c r="F513" s="8" t="s">
        <v>55</v>
      </c>
      <c r="G513" s="35"/>
    </row>
    <row r="514" spans="2:7">
      <c r="B514" s="22"/>
      <c r="C514" s="92"/>
      <c r="D514" s="93"/>
      <c r="E514" s="93"/>
      <c r="F514" s="8"/>
      <c r="G514" s="35"/>
    </row>
    <row r="515" spans="2:7">
      <c r="B515" s="22">
        <v>510</v>
      </c>
      <c r="C515" s="92" t="s">
        <v>347</v>
      </c>
      <c r="D515" s="93">
        <v>10126142218</v>
      </c>
      <c r="E515" s="93" t="s">
        <v>721</v>
      </c>
      <c r="F515" s="8" t="s">
        <v>56</v>
      </c>
      <c r="G515" s="35"/>
    </row>
    <row r="516" spans="2:7">
      <c r="B516" s="22">
        <v>518</v>
      </c>
      <c r="C516" s="92" t="s">
        <v>356</v>
      </c>
      <c r="D516" s="93">
        <v>10141584517</v>
      </c>
      <c r="E516" s="92" t="s">
        <v>1315</v>
      </c>
      <c r="F516" s="8" t="s">
        <v>56</v>
      </c>
      <c r="G516" s="35"/>
    </row>
    <row r="517" spans="2:7">
      <c r="B517" s="22">
        <v>505</v>
      </c>
      <c r="C517" s="92" t="s">
        <v>1317</v>
      </c>
      <c r="D517" s="93">
        <v>10156807554</v>
      </c>
      <c r="E517" s="92" t="s">
        <v>340</v>
      </c>
      <c r="F517" s="8" t="s">
        <v>56</v>
      </c>
      <c r="G517" s="35"/>
    </row>
    <row r="518" spans="2:7">
      <c r="B518" s="22">
        <v>502</v>
      </c>
      <c r="C518" s="92" t="s">
        <v>1245</v>
      </c>
      <c r="D518" s="93" t="s">
        <v>1316</v>
      </c>
      <c r="E518" s="93" t="s">
        <v>84</v>
      </c>
      <c r="F518" s="8" t="s">
        <v>56</v>
      </c>
      <c r="G518" s="35"/>
    </row>
    <row r="519" spans="2:7">
      <c r="B519" s="22">
        <v>501</v>
      </c>
      <c r="C519" s="92" t="s">
        <v>1324</v>
      </c>
      <c r="D519" s="93">
        <v>10171463345</v>
      </c>
      <c r="E519" s="92" t="s">
        <v>1325</v>
      </c>
      <c r="F519" s="8" t="s">
        <v>56</v>
      </c>
      <c r="G519" s="35"/>
    </row>
    <row r="520" spans="2:7">
      <c r="B520" s="22">
        <v>512</v>
      </c>
      <c r="C520" s="92" t="s">
        <v>349</v>
      </c>
      <c r="D520" s="93">
        <v>10131905735</v>
      </c>
      <c r="E520" s="93" t="s">
        <v>128</v>
      </c>
      <c r="F520" s="8" t="s">
        <v>56</v>
      </c>
      <c r="G520" s="35"/>
    </row>
    <row r="521" spans="2:7">
      <c r="B521" s="22">
        <v>507</v>
      </c>
      <c r="C521" s="92" t="s">
        <v>696</v>
      </c>
      <c r="D521" s="93">
        <v>10129054440</v>
      </c>
      <c r="E521" s="93" t="s">
        <v>150</v>
      </c>
      <c r="F521" s="8" t="s">
        <v>56</v>
      </c>
      <c r="G521" s="35"/>
    </row>
    <row r="522" spans="2:7">
      <c r="B522" s="22">
        <v>503</v>
      </c>
      <c r="C522" s="92" t="s">
        <v>939</v>
      </c>
      <c r="D522" s="93">
        <v>10142567550</v>
      </c>
      <c r="E522" s="93" t="s">
        <v>154</v>
      </c>
      <c r="F522" s="8" t="s">
        <v>56</v>
      </c>
      <c r="G522" s="35"/>
    </row>
    <row r="523" spans="2:7">
      <c r="B523" s="22">
        <v>521</v>
      </c>
      <c r="C523" s="92" t="s">
        <v>942</v>
      </c>
      <c r="D523" s="93">
        <v>10153425183</v>
      </c>
      <c r="E523" s="92" t="s">
        <v>125</v>
      </c>
      <c r="F523" s="8" t="s">
        <v>56</v>
      </c>
      <c r="G523" s="35"/>
    </row>
    <row r="524" spans="2:7">
      <c r="B524" s="22">
        <v>504</v>
      </c>
      <c r="C524" s="92" t="s">
        <v>338</v>
      </c>
      <c r="D524" s="93">
        <v>10154828350</v>
      </c>
      <c r="E524" s="93" t="s">
        <v>124</v>
      </c>
      <c r="F524" s="8" t="s">
        <v>56</v>
      </c>
      <c r="G524" s="35"/>
    </row>
    <row r="525" spans="2:7">
      <c r="B525" s="22">
        <v>524</v>
      </c>
      <c r="C525" s="92" t="s">
        <v>935</v>
      </c>
      <c r="D525" s="93">
        <v>5117</v>
      </c>
      <c r="E525" s="93" t="s">
        <v>695</v>
      </c>
      <c r="F525" s="8" t="s">
        <v>56</v>
      </c>
      <c r="G525" s="35"/>
    </row>
    <row r="526" spans="2:7">
      <c r="B526" s="22">
        <v>516</v>
      </c>
      <c r="C526" s="92" t="s">
        <v>354</v>
      </c>
      <c r="D526" s="93" t="s">
        <v>66</v>
      </c>
      <c r="E526" s="93" t="s">
        <v>84</v>
      </c>
      <c r="F526" s="8" t="s">
        <v>56</v>
      </c>
      <c r="G526" s="35"/>
    </row>
    <row r="527" spans="2:7">
      <c r="B527" s="22">
        <v>506</v>
      </c>
      <c r="C527" s="92" t="s">
        <v>341</v>
      </c>
      <c r="D527" s="95">
        <v>10171702512</v>
      </c>
      <c r="E527" s="93" t="s">
        <v>280</v>
      </c>
      <c r="F527" s="8" t="s">
        <v>56</v>
      </c>
      <c r="G527" s="35"/>
    </row>
    <row r="528" spans="2:7">
      <c r="B528" s="22">
        <v>515</v>
      </c>
      <c r="C528" s="92" t="s">
        <v>705</v>
      </c>
      <c r="D528" s="93">
        <v>10171999875</v>
      </c>
      <c r="E528" s="93" t="s">
        <v>130</v>
      </c>
      <c r="F528" s="8" t="s">
        <v>56</v>
      </c>
      <c r="G528" s="35"/>
    </row>
    <row r="529" spans="2:7">
      <c r="B529" s="22">
        <v>509</v>
      </c>
      <c r="C529" s="92" t="s">
        <v>1319</v>
      </c>
      <c r="D529" s="93">
        <v>10164774688</v>
      </c>
      <c r="E529" s="93" t="s">
        <v>65</v>
      </c>
      <c r="F529" s="8" t="s">
        <v>56</v>
      </c>
      <c r="G529" s="35"/>
    </row>
    <row r="530" spans="2:7">
      <c r="B530" s="22">
        <v>523</v>
      </c>
      <c r="C530" s="92" t="s">
        <v>364</v>
      </c>
      <c r="D530" s="93">
        <v>10155993259</v>
      </c>
      <c r="E530" s="93" t="s">
        <v>125</v>
      </c>
      <c r="F530" s="8" t="s">
        <v>56</v>
      </c>
      <c r="G530" s="35"/>
    </row>
    <row r="531" spans="2:7">
      <c r="B531" s="22">
        <v>513</v>
      </c>
      <c r="C531" s="92" t="s">
        <v>1321</v>
      </c>
      <c r="D531" s="93">
        <v>10131905331</v>
      </c>
      <c r="E531" s="93" t="s">
        <v>130</v>
      </c>
      <c r="F531" s="8" t="s">
        <v>56</v>
      </c>
      <c r="G531" s="35"/>
    </row>
    <row r="532" spans="2:7">
      <c r="B532" s="22">
        <v>508</v>
      </c>
      <c r="C532" s="92" t="s">
        <v>1323</v>
      </c>
      <c r="D532" s="95">
        <v>10171656133</v>
      </c>
      <c r="E532" s="92" t="s">
        <v>280</v>
      </c>
      <c r="F532" s="8" t="s">
        <v>56</v>
      </c>
      <c r="G532" s="35"/>
    </row>
    <row r="533" spans="2:7">
      <c r="B533" s="22">
        <v>538</v>
      </c>
      <c r="C533" s="92" t="s">
        <v>1326</v>
      </c>
      <c r="D533" s="93" t="s">
        <v>1281</v>
      </c>
      <c r="E533" s="92" t="s">
        <v>129</v>
      </c>
      <c r="F533" s="8" t="s">
        <v>56</v>
      </c>
      <c r="G533" s="35"/>
    </row>
    <row r="534" spans="2:7">
      <c r="B534" s="22">
        <v>529</v>
      </c>
      <c r="C534" s="92" t="s">
        <v>717</v>
      </c>
      <c r="D534" s="93">
        <v>10162504282</v>
      </c>
      <c r="E534" s="93" t="s">
        <v>718</v>
      </c>
      <c r="F534" s="8" t="s">
        <v>56</v>
      </c>
      <c r="G534" s="35"/>
    </row>
    <row r="535" spans="2:7">
      <c r="B535" s="22">
        <v>531</v>
      </c>
      <c r="C535" s="92" t="s">
        <v>1320</v>
      </c>
      <c r="D535" s="93">
        <v>10102760669</v>
      </c>
      <c r="E535" s="93" t="s">
        <v>721</v>
      </c>
      <c r="F535" s="8" t="s">
        <v>56</v>
      </c>
      <c r="G535" s="35"/>
    </row>
    <row r="536" spans="2:7">
      <c r="B536" s="22">
        <v>536</v>
      </c>
      <c r="C536" s="92" t="s">
        <v>1327</v>
      </c>
      <c r="D536" s="93">
        <v>10175690727</v>
      </c>
      <c r="E536" s="93" t="s">
        <v>310</v>
      </c>
      <c r="F536" s="8" t="s">
        <v>56</v>
      </c>
      <c r="G536" s="35"/>
    </row>
    <row r="537" spans="2:7">
      <c r="B537" s="107">
        <v>539</v>
      </c>
      <c r="C537" s="92" t="s">
        <v>1318</v>
      </c>
      <c r="D537" s="93" t="s">
        <v>1281</v>
      </c>
      <c r="E537" s="93" t="s">
        <v>70</v>
      </c>
      <c r="F537" s="8" t="s">
        <v>56</v>
      </c>
      <c r="G537" s="35"/>
    </row>
    <row r="538" spans="2:7">
      <c r="B538" s="107">
        <v>540</v>
      </c>
      <c r="C538" s="92" t="s">
        <v>1322</v>
      </c>
      <c r="D538" s="93">
        <v>10175690525</v>
      </c>
      <c r="E538" s="92" t="s">
        <v>65</v>
      </c>
      <c r="F538" s="8" t="s">
        <v>56</v>
      </c>
      <c r="G538" s="35"/>
    </row>
    <row r="539" spans="2:7">
      <c r="B539" s="107">
        <v>541</v>
      </c>
      <c r="C539" s="92" t="s">
        <v>1435</v>
      </c>
      <c r="D539" s="93" t="s">
        <v>1281</v>
      </c>
      <c r="E539" s="93" t="s">
        <v>1436</v>
      </c>
      <c r="F539" s="8" t="s">
        <v>56</v>
      </c>
      <c r="G539" s="35"/>
    </row>
    <row r="540" spans="2:7">
      <c r="B540" s="107">
        <v>542</v>
      </c>
      <c r="C540" s="92" t="s">
        <v>1433</v>
      </c>
      <c r="D540" s="93" t="s">
        <v>66</v>
      </c>
      <c r="E540" s="92" t="s">
        <v>1434</v>
      </c>
      <c r="F540" s="8" t="s">
        <v>56</v>
      </c>
      <c r="G540" s="35"/>
    </row>
    <row r="541" spans="2:7">
      <c r="B541" s="22"/>
      <c r="C541" s="92"/>
      <c r="D541" s="93"/>
      <c r="E541" s="92"/>
      <c r="F541" s="8" t="s">
        <v>56</v>
      </c>
      <c r="G541" s="35"/>
    </row>
    <row r="542" spans="2:7">
      <c r="B542" s="22"/>
      <c r="C542" s="92"/>
      <c r="D542" s="93"/>
      <c r="E542" s="92"/>
      <c r="F542" s="8" t="s">
        <v>56</v>
      </c>
      <c r="G542" s="35"/>
    </row>
    <row r="543" spans="2:7">
      <c r="B543" s="22"/>
      <c r="C543" s="92"/>
      <c r="D543" s="93"/>
      <c r="E543" s="92"/>
      <c r="F543" s="8" t="s">
        <v>56</v>
      </c>
      <c r="G543" s="35"/>
    </row>
    <row r="544" spans="2:7">
      <c r="B544" s="22"/>
      <c r="C544" s="92"/>
      <c r="D544" s="93"/>
      <c r="E544" s="92"/>
      <c r="F544" s="8" t="s">
        <v>56</v>
      </c>
      <c r="G544" s="35"/>
    </row>
    <row r="545" spans="2:7">
      <c r="B545" s="22"/>
      <c r="C545" s="92"/>
      <c r="D545" s="93"/>
      <c r="E545" s="92"/>
      <c r="F545" s="8" t="s">
        <v>56</v>
      </c>
      <c r="G545" s="35"/>
    </row>
    <row r="546" spans="2:7">
      <c r="B546" s="22"/>
      <c r="C546" s="92"/>
      <c r="D546" s="93"/>
      <c r="E546" s="92"/>
      <c r="F546" s="8" t="s">
        <v>56</v>
      </c>
      <c r="G546" s="35"/>
    </row>
    <row r="547" spans="2:7">
      <c r="B547" s="22"/>
      <c r="C547" s="92"/>
      <c r="D547" s="93"/>
      <c r="E547" s="92"/>
      <c r="F547" s="8"/>
      <c r="G547" s="35"/>
    </row>
    <row r="548" spans="2:7">
      <c r="B548" s="22">
        <v>581</v>
      </c>
      <c r="C548" s="93" t="s">
        <v>366</v>
      </c>
      <c r="D548" s="93">
        <v>121480116</v>
      </c>
      <c r="E548" s="92" t="s">
        <v>109</v>
      </c>
      <c r="F548" s="8" t="s">
        <v>57</v>
      </c>
      <c r="G548" s="35"/>
    </row>
    <row r="549" spans="2:7">
      <c r="B549" s="22">
        <v>583</v>
      </c>
      <c r="C549" s="92" t="s">
        <v>951</v>
      </c>
      <c r="D549" s="93">
        <v>10154228768</v>
      </c>
      <c r="E549" s="93" t="s">
        <v>124</v>
      </c>
      <c r="F549" s="8" t="s">
        <v>57</v>
      </c>
      <c r="G549" s="35"/>
    </row>
    <row r="550" spans="2:7">
      <c r="B550" s="22">
        <v>584</v>
      </c>
      <c r="C550" s="92" t="s">
        <v>369</v>
      </c>
      <c r="D550" s="93">
        <v>10154309503</v>
      </c>
      <c r="E550" s="93" t="s">
        <v>110</v>
      </c>
      <c r="F550" s="8" t="s">
        <v>57</v>
      </c>
      <c r="G550" s="35"/>
    </row>
    <row r="551" spans="2:7">
      <c r="B551" s="22">
        <v>582</v>
      </c>
      <c r="C551" s="92" t="s">
        <v>1167</v>
      </c>
      <c r="D551" s="93">
        <v>10131906139</v>
      </c>
      <c r="E551" s="92" t="s">
        <v>130</v>
      </c>
      <c r="F551" s="8" t="s">
        <v>57</v>
      </c>
      <c r="G551" s="35"/>
    </row>
    <row r="552" spans="2:7">
      <c r="B552" s="22">
        <v>586</v>
      </c>
      <c r="C552" s="92" t="s">
        <v>371</v>
      </c>
      <c r="D552" s="17" t="s">
        <v>1281</v>
      </c>
      <c r="E552" t="s">
        <v>150</v>
      </c>
      <c r="F552" s="8" t="s">
        <v>57</v>
      </c>
      <c r="G552" s="35"/>
    </row>
    <row r="553" spans="2:7">
      <c r="B553" s="22">
        <v>589</v>
      </c>
      <c r="C553" s="92" t="s">
        <v>1336</v>
      </c>
      <c r="D553" s="93">
        <v>12990</v>
      </c>
      <c r="E553" s="93" t="s">
        <v>150</v>
      </c>
      <c r="F553" s="8" t="s">
        <v>57</v>
      </c>
      <c r="G553" s="35"/>
    </row>
    <row r="554" spans="2:7">
      <c r="B554" s="22">
        <v>588</v>
      </c>
      <c r="C554" s="92" t="s">
        <v>729</v>
      </c>
      <c r="D554" s="93" t="s">
        <v>66</v>
      </c>
      <c r="E554" s="93" t="s">
        <v>150</v>
      </c>
      <c r="F554" s="8" t="s">
        <v>57</v>
      </c>
      <c r="G554" s="35"/>
    </row>
    <row r="555" spans="2:7">
      <c r="B555" s="22">
        <v>587</v>
      </c>
      <c r="C555" s="92" t="s">
        <v>372</v>
      </c>
      <c r="D555" s="17" t="s">
        <v>66</v>
      </c>
      <c r="E555" t="s">
        <v>150</v>
      </c>
      <c r="F555" s="8" t="s">
        <v>57</v>
      </c>
      <c r="G555" s="35"/>
    </row>
    <row r="556" spans="2:7">
      <c r="B556" s="22">
        <v>596</v>
      </c>
      <c r="C556" s="92" t="s">
        <v>739</v>
      </c>
      <c r="D556" s="93">
        <v>10153426601</v>
      </c>
      <c r="E556" s="93" t="s">
        <v>125</v>
      </c>
      <c r="F556" s="8" t="s">
        <v>57</v>
      </c>
      <c r="G556" s="35"/>
    </row>
    <row r="557" spans="2:7">
      <c r="B557" s="22">
        <v>590</v>
      </c>
      <c r="C557" s="92" t="s">
        <v>375</v>
      </c>
      <c r="D557" s="93">
        <v>10172211558</v>
      </c>
      <c r="E557" s="92" t="s">
        <v>150</v>
      </c>
      <c r="F557" s="8" t="s">
        <v>57</v>
      </c>
      <c r="G557" s="35"/>
    </row>
    <row r="558" spans="2:7">
      <c r="B558" s="22">
        <v>597</v>
      </c>
      <c r="C558" s="92" t="s">
        <v>1339</v>
      </c>
      <c r="D558" s="93" t="s">
        <v>1281</v>
      </c>
      <c r="E558" s="93" t="s">
        <v>129</v>
      </c>
      <c r="F558" s="8" t="s">
        <v>57</v>
      </c>
      <c r="G558" s="35"/>
    </row>
    <row r="559" spans="2:7">
      <c r="B559" s="107">
        <v>598</v>
      </c>
      <c r="C559" s="92" t="s">
        <v>1337</v>
      </c>
      <c r="D559" s="93">
        <v>10161956941</v>
      </c>
      <c r="E559" s="93" t="s">
        <v>1338</v>
      </c>
      <c r="F559" s="8" t="s">
        <v>57</v>
      </c>
      <c r="G559" s="35"/>
    </row>
    <row r="560" spans="2:7">
      <c r="B560" s="107">
        <v>599</v>
      </c>
      <c r="C560" s="92" t="s">
        <v>1335</v>
      </c>
      <c r="D560" s="17">
        <v>10156833725</v>
      </c>
      <c r="E560" t="s">
        <v>340</v>
      </c>
      <c r="F560" s="8" t="s">
        <v>57</v>
      </c>
      <c r="G560" s="35"/>
    </row>
    <row r="561" spans="2:7">
      <c r="B561" s="41"/>
      <c r="C561" s="8"/>
      <c r="D561" s="54"/>
      <c r="E561" s="54"/>
      <c r="F561" s="8" t="s">
        <v>57</v>
      </c>
      <c r="G561" s="35"/>
    </row>
    <row r="562" spans="2:7">
      <c r="B562" s="41"/>
      <c r="C562" s="8"/>
      <c r="D562" s="54"/>
      <c r="E562" s="54"/>
      <c r="F562" s="8" t="s">
        <v>57</v>
      </c>
      <c r="G562" s="35"/>
    </row>
    <row r="563" spans="2:7" ht="15.75">
      <c r="B563" s="52"/>
      <c r="C563" s="8"/>
      <c r="D563" s="54"/>
      <c r="E563" s="54"/>
      <c r="F563" s="8"/>
      <c r="G563" s="35"/>
    </row>
    <row r="564" spans="2:7">
      <c r="B564" s="7"/>
      <c r="C564" s="8"/>
      <c r="D564" s="54"/>
      <c r="E564" s="54"/>
      <c r="F564" s="8"/>
      <c r="G564" s="35"/>
    </row>
    <row r="565" spans="2:7">
      <c r="B565" s="22">
        <v>401</v>
      </c>
      <c r="C565" s="92" t="s">
        <v>377</v>
      </c>
      <c r="D565" s="93">
        <v>10162383236</v>
      </c>
      <c r="E565" s="93" t="s">
        <v>1296</v>
      </c>
      <c r="F565" s="8" t="s">
        <v>158</v>
      </c>
      <c r="G565" s="35"/>
    </row>
    <row r="566" spans="2:7">
      <c r="B566" s="22">
        <v>406</v>
      </c>
      <c r="C566" s="92" t="s">
        <v>383</v>
      </c>
      <c r="D566" s="93">
        <v>10172211659</v>
      </c>
      <c r="E566" s="93" t="s">
        <v>1298</v>
      </c>
      <c r="F566" s="8" t="s">
        <v>158</v>
      </c>
      <c r="G566" s="35"/>
    </row>
    <row r="567" spans="2:7">
      <c r="B567" s="22">
        <v>402</v>
      </c>
      <c r="C567" s="92" t="s">
        <v>745</v>
      </c>
      <c r="D567" s="93" t="s">
        <v>1300</v>
      </c>
      <c r="E567" s="92" t="s">
        <v>310</v>
      </c>
      <c r="F567" s="8" t="s">
        <v>158</v>
      </c>
      <c r="G567" s="35"/>
    </row>
    <row r="568" spans="2:7">
      <c r="B568" s="22">
        <v>405</v>
      </c>
      <c r="C568" s="92" t="s">
        <v>381</v>
      </c>
      <c r="D568" s="93">
        <v>13280</v>
      </c>
      <c r="E568" s="93" t="s">
        <v>1295</v>
      </c>
      <c r="F568" s="8" t="s">
        <v>158</v>
      </c>
      <c r="G568" s="35"/>
    </row>
    <row r="569" spans="2:7">
      <c r="B569" s="22">
        <v>407</v>
      </c>
      <c r="C569" s="92" t="s">
        <v>1299</v>
      </c>
      <c r="D569" s="93" t="s">
        <v>1300</v>
      </c>
      <c r="E569" s="93" t="s">
        <v>84</v>
      </c>
      <c r="F569" s="8" t="s">
        <v>158</v>
      </c>
      <c r="G569" s="35"/>
    </row>
    <row r="570" spans="2:7">
      <c r="B570" s="22">
        <v>404</v>
      </c>
      <c r="C570" s="92" t="s">
        <v>380</v>
      </c>
      <c r="D570" s="93">
        <v>10130330796</v>
      </c>
      <c r="E570" s="93" t="s">
        <v>310</v>
      </c>
      <c r="F570" s="8" t="s">
        <v>158</v>
      </c>
      <c r="G570" s="35"/>
    </row>
    <row r="571" spans="2:7">
      <c r="B571" s="22">
        <v>403</v>
      </c>
      <c r="C571" s="92" t="s">
        <v>1303</v>
      </c>
      <c r="D571" s="93">
        <v>10175623433</v>
      </c>
      <c r="E571" s="93" t="s">
        <v>1304</v>
      </c>
      <c r="F571" s="8" t="s">
        <v>158</v>
      </c>
      <c r="G571" s="35"/>
    </row>
    <row r="572" spans="2:7">
      <c r="B572" s="22">
        <v>409</v>
      </c>
      <c r="C572" s="92" t="s">
        <v>1144</v>
      </c>
      <c r="D572" s="93">
        <v>10173513378</v>
      </c>
      <c r="E572" s="93" t="s">
        <v>1308</v>
      </c>
      <c r="F572" s="8" t="s">
        <v>158</v>
      </c>
      <c r="G572" s="35"/>
    </row>
    <row r="573" spans="2:7">
      <c r="B573" s="22">
        <v>411</v>
      </c>
      <c r="C573" s="92" t="s">
        <v>1143</v>
      </c>
      <c r="D573" s="93" t="s">
        <v>1307</v>
      </c>
      <c r="E573" s="93" t="s">
        <v>125</v>
      </c>
      <c r="F573" s="8" t="s">
        <v>158</v>
      </c>
      <c r="G573" s="35"/>
    </row>
    <row r="574" spans="2:7">
      <c r="B574" s="22">
        <v>413</v>
      </c>
      <c r="C574" s="92" t="s">
        <v>1061</v>
      </c>
      <c r="D574" s="93">
        <v>10113255059</v>
      </c>
      <c r="E574" s="93" t="s">
        <v>1176</v>
      </c>
      <c r="F574" s="8" t="s">
        <v>158</v>
      </c>
      <c r="G574" s="35"/>
    </row>
    <row r="575" spans="2:7">
      <c r="B575" s="22">
        <v>410</v>
      </c>
      <c r="C575" s="92" t="s">
        <v>1310</v>
      </c>
      <c r="D575" s="93">
        <v>10173514489</v>
      </c>
      <c r="E575" s="93" t="s">
        <v>1311</v>
      </c>
      <c r="F575" s="8" t="s">
        <v>158</v>
      </c>
      <c r="G575" s="35"/>
    </row>
    <row r="576" spans="2:7">
      <c r="B576" s="107">
        <v>415</v>
      </c>
      <c r="C576" s="92" t="s">
        <v>1301</v>
      </c>
      <c r="D576" s="93" t="s">
        <v>66</v>
      </c>
      <c r="E576" s="93" t="s">
        <v>1302</v>
      </c>
      <c r="F576" s="8" t="s">
        <v>158</v>
      </c>
      <c r="G576" s="35"/>
    </row>
    <row r="577" spans="2:7">
      <c r="B577" s="107">
        <v>416</v>
      </c>
      <c r="C577" s="92" t="s">
        <v>1305</v>
      </c>
      <c r="D577" s="93">
        <v>10162629234</v>
      </c>
      <c r="E577" s="93" t="s">
        <v>1306</v>
      </c>
      <c r="F577" s="8" t="s">
        <v>158</v>
      </c>
      <c r="G577" s="35"/>
    </row>
    <row r="578" spans="2:7">
      <c r="B578" s="107">
        <v>417</v>
      </c>
      <c r="C578" s="92" t="s">
        <v>1309</v>
      </c>
      <c r="D578" s="93" t="s">
        <v>66</v>
      </c>
      <c r="E578" s="93" t="s">
        <v>678</v>
      </c>
      <c r="F578" s="8" t="s">
        <v>158</v>
      </c>
      <c r="G578" s="35"/>
    </row>
    <row r="579" spans="2:7">
      <c r="B579" s="107">
        <v>418</v>
      </c>
      <c r="C579" s="92" t="s">
        <v>1437</v>
      </c>
      <c r="D579" s="93" t="s">
        <v>1253</v>
      </c>
      <c r="E579" s="93" t="s">
        <v>1438</v>
      </c>
      <c r="F579" s="8" t="s">
        <v>158</v>
      </c>
      <c r="G579" s="35"/>
    </row>
    <row r="580" spans="2:7">
      <c r="B580" s="107">
        <v>419</v>
      </c>
      <c r="C580" s="92" t="s">
        <v>1297</v>
      </c>
      <c r="D580" s="93">
        <v>10174440942</v>
      </c>
      <c r="E580" s="93" t="s">
        <v>340</v>
      </c>
      <c r="F580" s="8" t="s">
        <v>158</v>
      </c>
      <c r="G580" s="35"/>
    </row>
    <row r="581" spans="2:7">
      <c r="B581" s="22"/>
      <c r="C581" s="92"/>
      <c r="D581" s="93"/>
      <c r="E581" s="92"/>
      <c r="F581" s="8"/>
      <c r="G581" s="35"/>
    </row>
    <row r="582" spans="2:7">
      <c r="B582" s="22">
        <v>482</v>
      </c>
      <c r="C582" s="92" t="s">
        <v>386</v>
      </c>
      <c r="D582" s="93">
        <v>10171940261</v>
      </c>
      <c r="E582" s="93" t="s">
        <v>953</v>
      </c>
      <c r="F582" s="8" t="s">
        <v>159</v>
      </c>
      <c r="G582" s="35"/>
    </row>
    <row r="583" spans="2:7">
      <c r="B583" s="22">
        <v>484</v>
      </c>
      <c r="C583" s="92" t="s">
        <v>389</v>
      </c>
      <c r="D583" s="93">
        <v>10162507114</v>
      </c>
      <c r="E583" s="93" t="s">
        <v>125</v>
      </c>
      <c r="F583" s="8" t="s">
        <v>159</v>
      </c>
      <c r="G583" s="35"/>
    </row>
    <row r="584" spans="2:7">
      <c r="B584" s="22">
        <v>481</v>
      </c>
      <c r="C584" s="92" t="s">
        <v>751</v>
      </c>
      <c r="D584" s="93">
        <v>10162377172</v>
      </c>
      <c r="E584" s="92" t="s">
        <v>385</v>
      </c>
      <c r="F584" s="8" t="s">
        <v>159</v>
      </c>
      <c r="G584" s="35"/>
    </row>
    <row r="585" spans="2:7">
      <c r="B585" s="22">
        <v>483</v>
      </c>
      <c r="C585" s="92" t="s">
        <v>388</v>
      </c>
      <c r="D585" s="93">
        <v>10156361455</v>
      </c>
      <c r="E585" s="93" t="s">
        <v>1314</v>
      </c>
      <c r="F585" s="8" t="s">
        <v>159</v>
      </c>
      <c r="G585" s="35"/>
    </row>
    <row r="586" spans="2:7">
      <c r="B586" s="22">
        <v>486</v>
      </c>
      <c r="C586" s="92" t="s">
        <v>1246</v>
      </c>
      <c r="D586" s="93" t="s">
        <v>66</v>
      </c>
      <c r="E586" s="92" t="s">
        <v>150</v>
      </c>
      <c r="F586" s="8" t="s">
        <v>159</v>
      </c>
      <c r="G586" s="35"/>
    </row>
    <row r="587" spans="2:7">
      <c r="B587" s="22">
        <v>488</v>
      </c>
      <c r="C587" s="92" t="s">
        <v>759</v>
      </c>
      <c r="D587" s="93">
        <v>10162509639</v>
      </c>
      <c r="E587" s="92" t="s">
        <v>125</v>
      </c>
      <c r="F587" s="8" t="s">
        <v>159</v>
      </c>
      <c r="G587" s="35"/>
    </row>
    <row r="588" spans="2:7">
      <c r="B588" s="107">
        <v>489</v>
      </c>
      <c r="C588" s="92" t="s">
        <v>1312</v>
      </c>
      <c r="D588" s="93">
        <v>10105006019</v>
      </c>
      <c r="E588" s="93" t="s">
        <v>1313</v>
      </c>
      <c r="F588" s="8" t="s">
        <v>159</v>
      </c>
      <c r="G588" s="35"/>
    </row>
    <row r="589" spans="2:7">
      <c r="B589" s="22"/>
      <c r="C589" s="93"/>
      <c r="D589" s="93"/>
      <c r="E589" s="93"/>
      <c r="F589" s="8"/>
      <c r="G589" s="35"/>
    </row>
    <row r="590" spans="2:7">
      <c r="B590" s="22">
        <v>701</v>
      </c>
      <c r="C590" s="92" t="s">
        <v>1252</v>
      </c>
      <c r="D590" s="93">
        <v>10079383568</v>
      </c>
      <c r="E590" s="93" t="s">
        <v>151</v>
      </c>
      <c r="F590" s="8" t="s">
        <v>58</v>
      </c>
      <c r="G590" s="35"/>
    </row>
    <row r="591" spans="2:7">
      <c r="B591" s="22">
        <v>708</v>
      </c>
      <c r="C591" s="92" t="s">
        <v>761</v>
      </c>
      <c r="D591" s="93">
        <v>10056033143</v>
      </c>
      <c r="E591" s="93" t="s">
        <v>863</v>
      </c>
      <c r="F591" s="8" t="s">
        <v>58</v>
      </c>
      <c r="G591" s="35"/>
    </row>
    <row r="592" spans="2:7">
      <c r="B592" s="22">
        <v>713</v>
      </c>
      <c r="C592" s="93" t="s">
        <v>766</v>
      </c>
      <c r="D592" s="93">
        <v>10006255268</v>
      </c>
      <c r="E592" s="93" t="s">
        <v>100</v>
      </c>
      <c r="F592" s="8" t="s">
        <v>58</v>
      </c>
      <c r="G592" s="35"/>
    </row>
    <row r="593" spans="2:7">
      <c r="B593" s="22">
        <v>702</v>
      </c>
      <c r="C593" s="92" t="s">
        <v>391</v>
      </c>
      <c r="D593" s="93" t="s">
        <v>66</v>
      </c>
      <c r="E593" s="93" t="s">
        <v>762</v>
      </c>
      <c r="F593" s="8" t="s">
        <v>58</v>
      </c>
      <c r="G593" s="35"/>
    </row>
    <row r="594" spans="2:7">
      <c r="B594" s="22">
        <v>709</v>
      </c>
      <c r="C594" s="92" t="s">
        <v>1417</v>
      </c>
      <c r="D594" s="93">
        <v>10124844640</v>
      </c>
      <c r="E594" s="93" t="s">
        <v>401</v>
      </c>
      <c r="F594" s="8" t="s">
        <v>58</v>
      </c>
      <c r="G594" s="35"/>
    </row>
    <row r="595" spans="2:7">
      <c r="B595" s="22">
        <v>705</v>
      </c>
      <c r="C595" s="92" t="s">
        <v>395</v>
      </c>
      <c r="D595" s="93">
        <v>10016062372</v>
      </c>
      <c r="E595" s="93" t="s">
        <v>1419</v>
      </c>
      <c r="F595" s="8" t="s">
        <v>58</v>
      </c>
      <c r="G595" s="35"/>
    </row>
    <row r="596" spans="2:7">
      <c r="B596" s="22">
        <v>714</v>
      </c>
      <c r="C596" s="92" t="s">
        <v>1418</v>
      </c>
      <c r="D596" s="93" t="s">
        <v>1281</v>
      </c>
      <c r="E596" s="93" t="s">
        <v>1239</v>
      </c>
      <c r="F596" s="8" t="s">
        <v>58</v>
      </c>
      <c r="G596" s="35"/>
    </row>
    <row r="597" spans="2:7">
      <c r="B597" s="107">
        <v>720</v>
      </c>
      <c r="C597" s="92" t="s">
        <v>511</v>
      </c>
      <c r="D597" s="93" t="s">
        <v>66</v>
      </c>
      <c r="E597" s="93" t="s">
        <v>512</v>
      </c>
      <c r="F597" s="8" t="s">
        <v>58</v>
      </c>
      <c r="G597" s="35"/>
    </row>
    <row r="598" spans="2:7" ht="15.75">
      <c r="B598" s="21"/>
      <c r="C598" s="8"/>
      <c r="D598" s="54"/>
      <c r="E598" s="54"/>
      <c r="F598" s="8"/>
      <c r="G598" s="35"/>
    </row>
    <row r="599" spans="2:7">
      <c r="B599" s="22">
        <v>751</v>
      </c>
      <c r="C599" s="92" t="s">
        <v>114</v>
      </c>
      <c r="D599" s="93">
        <v>10127988349</v>
      </c>
      <c r="E599" s="93" t="s">
        <v>100</v>
      </c>
      <c r="F599" s="8" t="s">
        <v>59</v>
      </c>
      <c r="G599" s="35"/>
    </row>
    <row r="600" spans="2:7">
      <c r="B600" s="22">
        <v>752</v>
      </c>
      <c r="C600" s="92" t="s">
        <v>877</v>
      </c>
      <c r="D600" s="93">
        <v>10001352223</v>
      </c>
      <c r="E600" s="93" t="s">
        <v>878</v>
      </c>
      <c r="F600" s="8" t="s">
        <v>59</v>
      </c>
      <c r="G600" s="35"/>
    </row>
    <row r="601" spans="2:7">
      <c r="B601" s="22">
        <v>758</v>
      </c>
      <c r="C601" s="92" t="s">
        <v>1190</v>
      </c>
      <c r="D601" s="93">
        <v>10140636745</v>
      </c>
      <c r="E601" s="93" t="s">
        <v>124</v>
      </c>
      <c r="F601" s="8" t="s">
        <v>59</v>
      </c>
      <c r="G601" s="35"/>
    </row>
    <row r="602" spans="2:7">
      <c r="B602" s="22">
        <v>756</v>
      </c>
      <c r="C602" s="92" t="s">
        <v>412</v>
      </c>
      <c r="D602" s="93">
        <v>10137070781</v>
      </c>
      <c r="E602" s="93" t="s">
        <v>394</v>
      </c>
      <c r="F602" s="8" t="s">
        <v>59</v>
      </c>
      <c r="G602" s="35"/>
    </row>
    <row r="603" spans="2:7">
      <c r="B603" s="22">
        <v>763</v>
      </c>
      <c r="C603" s="92" t="s">
        <v>421</v>
      </c>
      <c r="D603" s="93">
        <v>10103825447</v>
      </c>
      <c r="E603" s="93" t="s">
        <v>422</v>
      </c>
      <c r="F603" s="8" t="s">
        <v>59</v>
      </c>
      <c r="G603" s="35"/>
    </row>
    <row r="604" spans="2:7">
      <c r="B604" s="22">
        <v>761</v>
      </c>
      <c r="C604" s="92" t="s">
        <v>87</v>
      </c>
      <c r="D604" s="93">
        <v>10126504047</v>
      </c>
      <c r="E604" s="93" t="s">
        <v>1259</v>
      </c>
      <c r="F604" s="8" t="s">
        <v>59</v>
      </c>
      <c r="G604" s="35"/>
    </row>
    <row r="605" spans="2:7">
      <c r="B605" s="22">
        <v>766</v>
      </c>
      <c r="C605" s="92" t="s">
        <v>1446</v>
      </c>
      <c r="D605" s="93">
        <v>10082235671</v>
      </c>
      <c r="E605" s="93" t="s">
        <v>1158</v>
      </c>
      <c r="F605" s="8" t="s">
        <v>59</v>
      </c>
      <c r="G605" s="35"/>
    </row>
    <row r="606" spans="2:7">
      <c r="B606" s="22">
        <v>769</v>
      </c>
      <c r="C606" s="92" t="s">
        <v>777</v>
      </c>
      <c r="D606" s="93">
        <v>10053119810</v>
      </c>
      <c r="E606" s="93" t="s">
        <v>778</v>
      </c>
      <c r="F606" s="8" t="s">
        <v>59</v>
      </c>
      <c r="G606" s="35"/>
    </row>
    <row r="607" spans="2:7">
      <c r="B607" s="22">
        <v>774</v>
      </c>
      <c r="C607" s="92" t="s">
        <v>1240</v>
      </c>
      <c r="D607" s="93" t="s">
        <v>1253</v>
      </c>
      <c r="E607" s="93" t="s">
        <v>100</v>
      </c>
      <c r="F607" s="8" t="s">
        <v>59</v>
      </c>
      <c r="G607" s="35"/>
    </row>
    <row r="608" spans="2:7">
      <c r="B608" s="22">
        <v>760</v>
      </c>
      <c r="C608" s="92" t="s">
        <v>770</v>
      </c>
      <c r="D608" s="93">
        <v>10112138246</v>
      </c>
      <c r="E608" s="93" t="s">
        <v>1258</v>
      </c>
      <c r="F608" s="8" t="s">
        <v>59</v>
      </c>
      <c r="G608" s="35"/>
    </row>
    <row r="609" spans="2:7">
      <c r="B609" s="22">
        <v>759</v>
      </c>
      <c r="C609" s="92" t="s">
        <v>1421</v>
      </c>
      <c r="D609" s="93" t="s">
        <v>1300</v>
      </c>
      <c r="E609" s="93" t="s">
        <v>1422</v>
      </c>
      <c r="F609" s="8" t="s">
        <v>59</v>
      </c>
      <c r="G609" s="35"/>
    </row>
    <row r="610" spans="2:7">
      <c r="B610" s="22">
        <v>754</v>
      </c>
      <c r="C610" s="92" t="s">
        <v>1254</v>
      </c>
      <c r="D610" s="93">
        <v>10055096788</v>
      </c>
      <c r="E610" s="93" t="s">
        <v>1255</v>
      </c>
      <c r="F610" s="8" t="s">
        <v>59</v>
      </c>
      <c r="G610" s="35"/>
    </row>
    <row r="611" spans="2:7">
      <c r="B611" s="107">
        <v>775</v>
      </c>
      <c r="C611" s="92" t="s">
        <v>1256</v>
      </c>
      <c r="D611" s="93" t="s">
        <v>1257</v>
      </c>
      <c r="E611" s="93" t="s">
        <v>401</v>
      </c>
      <c r="F611" s="8" t="s">
        <v>59</v>
      </c>
      <c r="G611" s="35"/>
    </row>
    <row r="612" spans="2:7">
      <c r="B612" s="107">
        <v>776</v>
      </c>
      <c r="C612" s="92" t="s">
        <v>1420</v>
      </c>
      <c r="D612" s="93" t="s">
        <v>1300</v>
      </c>
      <c r="E612" s="93" t="s">
        <v>1276</v>
      </c>
      <c r="F612" s="8" t="s">
        <v>59</v>
      </c>
      <c r="G612" s="35"/>
    </row>
    <row r="613" spans="2:7">
      <c r="B613" s="22"/>
      <c r="C613" s="92"/>
      <c r="D613" s="93"/>
      <c r="E613" s="93"/>
      <c r="F613" s="8" t="s">
        <v>59</v>
      </c>
      <c r="G613" s="35"/>
    </row>
    <row r="614" spans="2:7">
      <c r="B614" s="104"/>
      <c r="C614" s="8"/>
      <c r="D614" s="54"/>
      <c r="E614" s="54"/>
      <c r="F614" s="8"/>
      <c r="G614" s="35"/>
    </row>
    <row r="615" spans="2:7">
      <c r="B615" s="96">
        <v>802</v>
      </c>
      <c r="C615" s="92" t="s">
        <v>428</v>
      </c>
      <c r="D615" s="93">
        <v>10075677966</v>
      </c>
      <c r="E615" s="93" t="s">
        <v>429</v>
      </c>
      <c r="F615" s="8" t="s">
        <v>72</v>
      </c>
      <c r="G615" s="35"/>
    </row>
    <row r="616" spans="2:7">
      <c r="B616" s="96">
        <v>801</v>
      </c>
      <c r="C616" s="92" t="s">
        <v>115</v>
      </c>
      <c r="D616" s="93">
        <v>10102979628</v>
      </c>
      <c r="E616" s="93" t="s">
        <v>1268</v>
      </c>
      <c r="F616" s="8" t="s">
        <v>72</v>
      </c>
      <c r="G616" s="35"/>
    </row>
    <row r="617" spans="2:7">
      <c r="B617" s="96">
        <v>813</v>
      </c>
      <c r="C617" s="92" t="s">
        <v>1264</v>
      </c>
      <c r="D617" s="93">
        <v>10051209819</v>
      </c>
      <c r="E617" s="93" t="s">
        <v>1265</v>
      </c>
      <c r="F617" s="8" t="s">
        <v>72</v>
      </c>
      <c r="G617" s="35"/>
    </row>
    <row r="618" spans="2:7">
      <c r="B618" s="96">
        <v>811</v>
      </c>
      <c r="C618" s="97" t="s">
        <v>438</v>
      </c>
      <c r="D618" s="98" t="s">
        <v>1269</v>
      </c>
      <c r="E618" s="98" t="s">
        <v>394</v>
      </c>
      <c r="F618" s="8" t="s">
        <v>72</v>
      </c>
      <c r="G618" s="35"/>
    </row>
    <row r="619" spans="2:7">
      <c r="B619" s="96">
        <v>820</v>
      </c>
      <c r="C619" s="92" t="s">
        <v>1260</v>
      </c>
      <c r="D619" s="93">
        <v>10094103118</v>
      </c>
      <c r="E619" s="93" t="s">
        <v>1261</v>
      </c>
      <c r="F619" s="8" t="s">
        <v>72</v>
      </c>
      <c r="G619" s="35"/>
    </row>
    <row r="620" spans="2:7">
      <c r="B620" s="96">
        <v>814</v>
      </c>
      <c r="C620" s="97" t="s">
        <v>88</v>
      </c>
      <c r="D620" s="98">
        <v>10114540513</v>
      </c>
      <c r="E620" s="98" t="s">
        <v>89</v>
      </c>
      <c r="F620" s="8" t="s">
        <v>72</v>
      </c>
      <c r="G620" s="35"/>
    </row>
    <row r="621" spans="2:7">
      <c r="B621" s="96">
        <v>805</v>
      </c>
      <c r="C621" s="92" t="s">
        <v>1270</v>
      </c>
      <c r="D621" s="93">
        <v>10122661938</v>
      </c>
      <c r="E621" s="93" t="s">
        <v>6</v>
      </c>
      <c r="F621" s="8" t="s">
        <v>72</v>
      </c>
      <c r="G621" s="35"/>
    </row>
    <row r="622" spans="2:7">
      <c r="B622" s="96">
        <v>809</v>
      </c>
      <c r="C622" s="92" t="s">
        <v>435</v>
      </c>
      <c r="D622" s="93">
        <v>10114420473</v>
      </c>
      <c r="E622" s="93" t="s">
        <v>1195</v>
      </c>
      <c r="F622" s="8" t="s">
        <v>72</v>
      </c>
      <c r="G622" s="35"/>
    </row>
    <row r="623" spans="2:7">
      <c r="B623" s="96">
        <v>816</v>
      </c>
      <c r="C623" s="92" t="s">
        <v>1262</v>
      </c>
      <c r="D623" s="93">
        <v>10111595349</v>
      </c>
      <c r="E623" s="93" t="s">
        <v>1263</v>
      </c>
      <c r="F623" s="8" t="s">
        <v>72</v>
      </c>
      <c r="G623" s="35"/>
    </row>
    <row r="624" spans="2:7">
      <c r="B624" s="96">
        <v>824</v>
      </c>
      <c r="C624" s="92" t="s">
        <v>1426</v>
      </c>
      <c r="D624" s="93" t="s">
        <v>1281</v>
      </c>
      <c r="E624" s="93" t="s">
        <v>392</v>
      </c>
      <c r="F624" s="8" t="s">
        <v>72</v>
      </c>
      <c r="G624" s="35"/>
    </row>
    <row r="625" spans="2:7">
      <c r="B625" s="108">
        <v>825</v>
      </c>
      <c r="C625" s="92" t="s">
        <v>1266</v>
      </c>
      <c r="D625" s="93">
        <v>10111579585</v>
      </c>
      <c r="E625" s="93" t="s">
        <v>1267</v>
      </c>
      <c r="F625" s="8" t="s">
        <v>72</v>
      </c>
      <c r="G625" s="35"/>
    </row>
    <row r="626" spans="2:7">
      <c r="B626" s="108">
        <v>826</v>
      </c>
      <c r="C626" s="92" t="s">
        <v>1428</v>
      </c>
      <c r="D626" s="93" t="s">
        <v>1429</v>
      </c>
      <c r="E626" s="93" t="s">
        <v>1430</v>
      </c>
      <c r="F626" s="8" t="s">
        <v>72</v>
      </c>
      <c r="G626" s="35"/>
    </row>
    <row r="627" spans="2:7">
      <c r="B627" s="108">
        <v>827</v>
      </c>
      <c r="C627" s="92" t="s">
        <v>1427</v>
      </c>
      <c r="D627" s="93" t="s">
        <v>1281</v>
      </c>
      <c r="E627" s="93" t="s">
        <v>6</v>
      </c>
      <c r="F627" s="8" t="s">
        <v>72</v>
      </c>
      <c r="G627" s="35"/>
    </row>
    <row r="628" spans="2:7">
      <c r="B628" s="96"/>
      <c r="C628" s="92"/>
      <c r="D628" s="93"/>
      <c r="E628" s="93"/>
      <c r="F628" s="8" t="s">
        <v>72</v>
      </c>
      <c r="G628" s="35"/>
    </row>
    <row r="629" spans="2:7">
      <c r="B629" s="96"/>
      <c r="C629" s="93"/>
      <c r="D629" s="93"/>
      <c r="E629" s="92"/>
      <c r="F629" s="8"/>
      <c r="G629" s="35"/>
    </row>
    <row r="630" spans="2:7">
      <c r="B630" s="96"/>
      <c r="C630" s="97"/>
      <c r="D630" s="98"/>
      <c r="E630" s="98"/>
      <c r="F630" s="8"/>
      <c r="G630" s="35"/>
    </row>
    <row r="631" spans="2:7">
      <c r="B631" s="7"/>
      <c r="C631" s="8"/>
      <c r="D631" s="54"/>
      <c r="E631" s="54"/>
      <c r="F631" s="8"/>
      <c r="G631" s="35"/>
    </row>
    <row r="632" spans="2:7">
      <c r="B632" s="22">
        <v>853</v>
      </c>
      <c r="C632" s="92" t="s">
        <v>798</v>
      </c>
      <c r="D632" s="93">
        <v>10122227054</v>
      </c>
      <c r="E632" s="93" t="s">
        <v>100</v>
      </c>
      <c r="F632" s="8" t="s">
        <v>90</v>
      </c>
      <c r="G632" s="35"/>
    </row>
    <row r="633" spans="2:7">
      <c r="B633" s="22">
        <v>868</v>
      </c>
      <c r="C633" s="92" t="s">
        <v>797</v>
      </c>
      <c r="D633" s="93">
        <v>10074930662</v>
      </c>
      <c r="E633" s="93" t="s">
        <v>429</v>
      </c>
      <c r="F633" s="8" t="s">
        <v>90</v>
      </c>
      <c r="G633" s="35"/>
    </row>
    <row r="634" spans="2:7">
      <c r="B634" s="22">
        <v>851</v>
      </c>
      <c r="C634" s="92" t="s">
        <v>915</v>
      </c>
      <c r="D634" s="93">
        <v>10060932451</v>
      </c>
      <c r="E634" s="93" t="s">
        <v>116</v>
      </c>
      <c r="F634" s="8" t="s">
        <v>90</v>
      </c>
      <c r="G634" s="35"/>
    </row>
    <row r="635" spans="2:7">
      <c r="B635" s="22">
        <v>860</v>
      </c>
      <c r="C635" s="92" t="s">
        <v>1273</v>
      </c>
      <c r="D635" s="93">
        <v>10061984903</v>
      </c>
      <c r="E635" s="93" t="s">
        <v>1274</v>
      </c>
      <c r="F635" s="8" t="s">
        <v>90</v>
      </c>
      <c r="G635" s="35"/>
    </row>
    <row r="636" spans="2:7">
      <c r="B636" s="22">
        <v>859</v>
      </c>
      <c r="C636" s="92" t="s">
        <v>796</v>
      </c>
      <c r="D636" s="93">
        <v>10051462726</v>
      </c>
      <c r="E636" s="93" t="s">
        <v>459</v>
      </c>
      <c r="F636" s="8" t="s">
        <v>90</v>
      </c>
      <c r="G636" s="35"/>
    </row>
    <row r="637" spans="2:7">
      <c r="B637" s="22">
        <v>865</v>
      </c>
      <c r="C637" s="92" t="s">
        <v>1277</v>
      </c>
      <c r="D637" s="93">
        <v>10138850531</v>
      </c>
      <c r="E637" s="93" t="s">
        <v>1278</v>
      </c>
      <c r="F637" s="8" t="s">
        <v>90</v>
      </c>
      <c r="G637" s="35"/>
    </row>
    <row r="638" spans="2:7">
      <c r="B638" s="22">
        <v>870</v>
      </c>
      <c r="C638" s="92" t="s">
        <v>907</v>
      </c>
      <c r="D638" s="93">
        <v>10089830468</v>
      </c>
      <c r="E638" s="93" t="s">
        <v>619</v>
      </c>
      <c r="F638" s="8" t="s">
        <v>90</v>
      </c>
      <c r="G638" s="35"/>
    </row>
    <row r="639" spans="2:7">
      <c r="B639" s="22">
        <v>863</v>
      </c>
      <c r="C639" s="92" t="s">
        <v>914</v>
      </c>
      <c r="D639" s="93" t="s">
        <v>1281</v>
      </c>
      <c r="E639" s="93" t="s">
        <v>131</v>
      </c>
      <c r="F639" s="8" t="s">
        <v>90</v>
      </c>
      <c r="G639" s="35"/>
    </row>
    <row r="640" spans="2:7">
      <c r="B640" s="22">
        <v>855</v>
      </c>
      <c r="C640" s="92" t="s">
        <v>450</v>
      </c>
      <c r="D640" s="93">
        <v>10059069243</v>
      </c>
      <c r="E640" s="93" t="s">
        <v>110</v>
      </c>
      <c r="F640" s="8" t="s">
        <v>90</v>
      </c>
      <c r="G640" s="35"/>
    </row>
    <row r="641" spans="2:7">
      <c r="B641" s="22">
        <v>861</v>
      </c>
      <c r="C641" s="92" t="s">
        <v>1282</v>
      </c>
      <c r="D641" s="93">
        <v>11111</v>
      </c>
      <c r="E641" s="93" t="s">
        <v>1283</v>
      </c>
      <c r="F641" s="8" t="s">
        <v>90</v>
      </c>
      <c r="G641" s="35"/>
    </row>
    <row r="642" spans="2:7">
      <c r="B642" s="22">
        <v>858</v>
      </c>
      <c r="C642" s="92" t="s">
        <v>1279</v>
      </c>
      <c r="D642" s="93" t="s">
        <v>1253</v>
      </c>
      <c r="E642" s="93" t="s">
        <v>1280</v>
      </c>
      <c r="F642" s="8" t="s">
        <v>90</v>
      </c>
      <c r="G642" s="35"/>
    </row>
    <row r="643" spans="2:7">
      <c r="B643" s="22">
        <v>852</v>
      </c>
      <c r="C643" s="92" t="s">
        <v>118</v>
      </c>
      <c r="D643" s="93">
        <v>10007726234</v>
      </c>
      <c r="E643" s="93" t="s">
        <v>119</v>
      </c>
      <c r="F643" s="8" t="s">
        <v>90</v>
      </c>
      <c r="G643" s="35"/>
    </row>
    <row r="644" spans="2:7">
      <c r="B644" s="22">
        <v>862</v>
      </c>
      <c r="C644" s="92" t="s">
        <v>142</v>
      </c>
      <c r="D644" s="93">
        <v>10120760132</v>
      </c>
      <c r="E644" s="93" t="s">
        <v>117</v>
      </c>
      <c r="F644" s="8" t="s">
        <v>90</v>
      </c>
      <c r="G644" s="35"/>
    </row>
    <row r="645" spans="2:7">
      <c r="B645" s="107">
        <v>873</v>
      </c>
      <c r="C645" s="92" t="s">
        <v>1275</v>
      </c>
      <c r="D645" s="93">
        <v>10092276585</v>
      </c>
      <c r="E645" s="93" t="s">
        <v>1276</v>
      </c>
      <c r="F645" s="8" t="s">
        <v>90</v>
      </c>
      <c r="G645" s="35"/>
    </row>
    <row r="646" spans="2:7">
      <c r="B646" s="107">
        <v>874</v>
      </c>
      <c r="C646" s="92" t="s">
        <v>1284</v>
      </c>
      <c r="D646" s="93">
        <v>10161402627</v>
      </c>
      <c r="E646" s="93" t="s">
        <v>1285</v>
      </c>
      <c r="F646" s="8" t="s">
        <v>90</v>
      </c>
      <c r="G646" s="35"/>
    </row>
    <row r="647" spans="2:7">
      <c r="B647" s="107">
        <v>875</v>
      </c>
      <c r="C647" s="92" t="s">
        <v>1271</v>
      </c>
      <c r="D647" s="93">
        <v>10075035948</v>
      </c>
      <c r="E647" s="93" t="s">
        <v>1272</v>
      </c>
      <c r="F647" s="8" t="s">
        <v>90</v>
      </c>
      <c r="G647" s="35"/>
    </row>
    <row r="648" spans="2:7">
      <c r="B648" s="22"/>
      <c r="C648" s="92"/>
      <c r="D648" s="93"/>
      <c r="E648" s="93"/>
      <c r="F648" s="8" t="s">
        <v>90</v>
      </c>
      <c r="G648" s="35"/>
    </row>
    <row r="649" spans="2:7">
      <c r="B649" s="22"/>
      <c r="C649" s="92"/>
      <c r="D649" s="93"/>
      <c r="E649" s="93"/>
      <c r="F649" s="8" t="s">
        <v>90</v>
      </c>
      <c r="G649" s="35"/>
    </row>
    <row r="650" spans="2:7">
      <c r="B650" s="22"/>
      <c r="C650" s="92"/>
      <c r="D650" s="93"/>
      <c r="E650" s="93"/>
      <c r="F650" s="8" t="s">
        <v>90</v>
      </c>
      <c r="G650" s="35"/>
    </row>
    <row r="651" spans="2:7" ht="15.75">
      <c r="B651" s="48"/>
      <c r="C651" s="8"/>
      <c r="D651" s="7"/>
      <c r="E651" s="54"/>
      <c r="F651" s="8"/>
      <c r="G651" s="35"/>
    </row>
    <row r="652" spans="2:7">
      <c r="B652" s="96">
        <v>906</v>
      </c>
      <c r="C652" s="97" t="s">
        <v>476</v>
      </c>
      <c r="D652" s="99">
        <v>10054780328</v>
      </c>
      <c r="E652" s="98" t="s">
        <v>100</v>
      </c>
      <c r="F652" s="8" t="s">
        <v>91</v>
      </c>
      <c r="G652" s="35"/>
    </row>
    <row r="653" spans="2:7">
      <c r="B653" s="96">
        <v>908</v>
      </c>
      <c r="C653" s="92" t="s">
        <v>121</v>
      </c>
      <c r="D653" s="22">
        <v>10101986891</v>
      </c>
      <c r="E653" s="93" t="s">
        <v>1287</v>
      </c>
      <c r="F653" s="8" t="s">
        <v>91</v>
      </c>
      <c r="G653" s="35"/>
    </row>
    <row r="654" spans="2:7">
      <c r="B654" s="96">
        <v>903</v>
      </c>
      <c r="C654" s="92" t="s">
        <v>73</v>
      </c>
      <c r="D654" s="22">
        <v>10061997734</v>
      </c>
      <c r="E654" s="93" t="s">
        <v>69</v>
      </c>
      <c r="F654" s="8" t="s">
        <v>91</v>
      </c>
      <c r="G654" s="35"/>
    </row>
    <row r="655" spans="2:7">
      <c r="B655" s="96">
        <v>910</v>
      </c>
      <c r="C655" s="92" t="s">
        <v>1288</v>
      </c>
      <c r="D655" s="22">
        <v>10112076915</v>
      </c>
      <c r="E655" s="93" t="s">
        <v>482</v>
      </c>
      <c r="F655" s="8" t="s">
        <v>91</v>
      </c>
      <c r="G655" s="35"/>
    </row>
    <row r="656" spans="2:7">
      <c r="B656" s="96">
        <v>905</v>
      </c>
      <c r="C656" s="92" t="s">
        <v>474</v>
      </c>
      <c r="D656" s="22">
        <v>10061855668</v>
      </c>
      <c r="E656" s="92" t="s">
        <v>1294</v>
      </c>
      <c r="F656" s="8" t="s">
        <v>91</v>
      </c>
      <c r="G656" s="35"/>
    </row>
    <row r="657" spans="2:7">
      <c r="B657" s="96">
        <v>913</v>
      </c>
      <c r="C657" s="92" t="s">
        <v>486</v>
      </c>
      <c r="D657" s="22">
        <v>10172012306</v>
      </c>
      <c r="E657" s="93" t="s">
        <v>487</v>
      </c>
      <c r="F657" s="8" t="s">
        <v>91</v>
      </c>
      <c r="G657" s="35"/>
    </row>
    <row r="658" spans="2:7">
      <c r="B658" s="96">
        <v>902</v>
      </c>
      <c r="C658" s="92" t="s">
        <v>473</v>
      </c>
      <c r="D658" s="22" t="s">
        <v>1286</v>
      </c>
      <c r="E658" s="93" t="s">
        <v>144</v>
      </c>
      <c r="F658" s="8" t="s">
        <v>91</v>
      </c>
      <c r="G658" s="35"/>
    </row>
    <row r="659" spans="2:7">
      <c r="B659" s="96">
        <v>911</v>
      </c>
      <c r="C659" s="92" t="s">
        <v>483</v>
      </c>
      <c r="D659" s="22">
        <v>10052413629</v>
      </c>
      <c r="E659" s="93" t="s">
        <v>145</v>
      </c>
      <c r="F659" s="8" t="s">
        <v>91</v>
      </c>
      <c r="G659" s="35"/>
    </row>
    <row r="660" spans="2:7">
      <c r="B660" s="96">
        <v>904</v>
      </c>
      <c r="C660" s="92" t="s">
        <v>1289</v>
      </c>
      <c r="D660" s="22">
        <v>10052228218</v>
      </c>
      <c r="E660" s="93" t="s">
        <v>100</v>
      </c>
      <c r="F660" s="8" t="s">
        <v>91</v>
      </c>
      <c r="G660" s="35"/>
    </row>
    <row r="661" spans="2:7">
      <c r="B661" s="96">
        <v>907</v>
      </c>
      <c r="C661" s="92" t="s">
        <v>812</v>
      </c>
      <c r="D661" s="22">
        <v>10075039079</v>
      </c>
      <c r="E661" s="93" t="s">
        <v>1291</v>
      </c>
      <c r="F661" s="8" t="s">
        <v>91</v>
      </c>
      <c r="G661" s="35"/>
    </row>
    <row r="662" spans="2:7">
      <c r="B662" s="96">
        <v>922</v>
      </c>
      <c r="C662" s="92" t="s">
        <v>923</v>
      </c>
      <c r="D662" s="22">
        <v>10126639241</v>
      </c>
      <c r="E662" s="93" t="s">
        <v>1199</v>
      </c>
      <c r="F662" s="8" t="s">
        <v>91</v>
      </c>
      <c r="G662" s="35"/>
    </row>
    <row r="663" spans="2:7">
      <c r="B663" s="96">
        <v>914</v>
      </c>
      <c r="C663" s="92" t="s">
        <v>1290</v>
      </c>
      <c r="D663" s="22">
        <v>10109809842</v>
      </c>
      <c r="E663" s="93" t="s">
        <v>781</v>
      </c>
      <c r="F663" s="8" t="s">
        <v>91</v>
      </c>
      <c r="G663" s="35"/>
    </row>
    <row r="664" spans="2:7">
      <c r="B664" s="108">
        <v>923</v>
      </c>
      <c r="C664" s="92" t="s">
        <v>1292</v>
      </c>
      <c r="D664" s="22" t="s">
        <v>1281</v>
      </c>
      <c r="E664" s="93" t="s">
        <v>1293</v>
      </c>
      <c r="F664" s="8" t="s">
        <v>91</v>
      </c>
      <c r="G664" s="35"/>
    </row>
    <row r="665" spans="2:7">
      <c r="B665" s="96"/>
      <c r="C665" s="92"/>
      <c r="D665" s="22"/>
      <c r="E665" s="93"/>
      <c r="F665" s="8" t="s">
        <v>91</v>
      </c>
      <c r="G665" s="35"/>
    </row>
    <row r="666" spans="2:7">
      <c r="B666" s="96"/>
      <c r="C666" s="92"/>
      <c r="D666" s="22"/>
      <c r="E666" s="93"/>
      <c r="F666" s="8" t="s">
        <v>91</v>
      </c>
      <c r="G666" s="35"/>
    </row>
    <row r="667" spans="2:7">
      <c r="B667" s="7"/>
      <c r="C667" s="8"/>
      <c r="D667" s="54"/>
      <c r="E667" s="54"/>
      <c r="F667" s="8" t="s">
        <v>91</v>
      </c>
      <c r="G667" s="35"/>
    </row>
    <row r="668" spans="2:7">
      <c r="B668" s="41"/>
      <c r="C668" s="8"/>
      <c r="D668" s="54"/>
      <c r="E668" s="8"/>
      <c r="F668" s="8" t="s">
        <v>91</v>
      </c>
      <c r="G668" s="35"/>
    </row>
    <row r="669" spans="2:7">
      <c r="B669" s="41"/>
      <c r="C669" s="54"/>
      <c r="D669" s="54"/>
      <c r="E669" s="8"/>
      <c r="F669" s="54"/>
      <c r="G669" s="35"/>
    </row>
    <row r="670" spans="2:7" ht="15.75">
      <c r="B670" s="21"/>
      <c r="C670" s="8"/>
      <c r="D670" s="54"/>
      <c r="E670" s="54"/>
      <c r="F670" s="54"/>
      <c r="G670" s="35"/>
    </row>
    <row r="671" spans="2:7">
      <c r="B671" s="22">
        <v>935</v>
      </c>
      <c r="C671" s="93" t="s">
        <v>916</v>
      </c>
      <c r="D671" s="93">
        <v>10083854965</v>
      </c>
      <c r="E671" s="92" t="s">
        <v>1393</v>
      </c>
      <c r="F671" s="8" t="s">
        <v>160</v>
      </c>
      <c r="G671" s="35"/>
    </row>
    <row r="672" spans="2:7">
      <c r="B672" s="22">
        <v>932</v>
      </c>
      <c r="C672" s="92" t="s">
        <v>821</v>
      </c>
      <c r="D672" s="93">
        <v>10121261300</v>
      </c>
      <c r="E672" s="93" t="s">
        <v>493</v>
      </c>
      <c r="F672" s="8" t="s">
        <v>160</v>
      </c>
      <c r="G672" s="35"/>
    </row>
    <row r="673" spans="2:7">
      <c r="B673" s="22">
        <v>934</v>
      </c>
      <c r="C673" s="92" t="s">
        <v>496</v>
      </c>
      <c r="D673" s="93">
        <v>10133198663</v>
      </c>
      <c r="E673" s="93" t="s">
        <v>1394</v>
      </c>
      <c r="F673" s="8" t="s">
        <v>160</v>
      </c>
      <c r="G673" s="35"/>
    </row>
    <row r="674" spans="2:7">
      <c r="B674" s="107">
        <v>936</v>
      </c>
      <c r="C674" s="92" t="s">
        <v>1431</v>
      </c>
      <c r="D674" s="93">
        <v>10139341086</v>
      </c>
      <c r="E674" s="93" t="s">
        <v>1432</v>
      </c>
      <c r="F674" s="8" t="s">
        <v>160</v>
      </c>
      <c r="G674" s="35"/>
    </row>
    <row r="675" spans="2:7">
      <c r="B675" s="41"/>
      <c r="C675" s="54"/>
      <c r="D675" s="54"/>
      <c r="E675" s="8"/>
      <c r="F675" s="54"/>
      <c r="G675" s="35"/>
    </row>
    <row r="676" spans="2:7">
      <c r="B676" s="22">
        <v>951</v>
      </c>
      <c r="C676" s="93" t="s">
        <v>156</v>
      </c>
      <c r="D676" s="93">
        <v>10101986689</v>
      </c>
      <c r="E676" s="92" t="s">
        <v>1395</v>
      </c>
      <c r="F676" s="8" t="s">
        <v>161</v>
      </c>
      <c r="G676" s="35"/>
    </row>
    <row r="677" spans="2:7">
      <c r="B677" s="107">
        <v>956</v>
      </c>
      <c r="C677" s="93" t="s">
        <v>1396</v>
      </c>
      <c r="D677" s="93">
        <v>10116040878</v>
      </c>
      <c r="E677" s="92" t="s">
        <v>70</v>
      </c>
      <c r="F677" s="8" t="s">
        <v>161</v>
      </c>
      <c r="G677" s="35"/>
    </row>
    <row r="678" spans="2:7">
      <c r="B678" s="3"/>
      <c r="C678" s="93"/>
      <c r="D678" s="93"/>
      <c r="E678" s="92"/>
      <c r="F678" s="8" t="s">
        <v>161</v>
      </c>
      <c r="G678" s="35"/>
    </row>
    <row r="679" spans="2:7">
      <c r="B679" s="3"/>
      <c r="C679" s="93"/>
      <c r="D679" s="93"/>
      <c r="E679" s="92"/>
      <c r="F679" s="8" t="s">
        <v>161</v>
      </c>
      <c r="G679" s="35"/>
    </row>
    <row r="680" spans="2:7">
      <c r="B680" s="3"/>
      <c r="C680" s="93"/>
      <c r="D680" s="93"/>
      <c r="E680" s="92"/>
      <c r="F680" s="8"/>
      <c r="G680" s="35"/>
    </row>
    <row r="681" spans="2:7">
      <c r="B681" s="22">
        <v>614</v>
      </c>
      <c r="C681" s="92" t="s">
        <v>157</v>
      </c>
      <c r="D681" s="93">
        <v>10153041631</v>
      </c>
      <c r="E681" s="93" t="s">
        <v>1423</v>
      </c>
      <c r="F681" s="8" t="s">
        <v>60</v>
      </c>
      <c r="G681" s="35"/>
    </row>
    <row r="682" spans="2:7">
      <c r="B682" s="22">
        <v>609</v>
      </c>
      <c r="C682" s="92" t="s">
        <v>513</v>
      </c>
      <c r="D682" s="93">
        <v>10063635620</v>
      </c>
      <c r="E682" s="93" t="s">
        <v>834</v>
      </c>
      <c r="F682" s="8" t="s">
        <v>60</v>
      </c>
      <c r="G682" s="35"/>
    </row>
    <row r="683" spans="2:7">
      <c r="B683" s="22">
        <v>603</v>
      </c>
      <c r="C683" s="92" t="s">
        <v>835</v>
      </c>
      <c r="D683" s="93">
        <v>10164876237</v>
      </c>
      <c r="E683" s="93" t="s">
        <v>836</v>
      </c>
      <c r="F683" s="8" t="s">
        <v>60</v>
      </c>
      <c r="G683" s="35"/>
    </row>
    <row r="684" spans="2:7">
      <c r="B684" s="22">
        <v>618</v>
      </c>
      <c r="C684" s="92" t="s">
        <v>527</v>
      </c>
      <c r="D684" s="93">
        <v>10127815668</v>
      </c>
      <c r="E684" s="92" t="s">
        <v>394</v>
      </c>
      <c r="F684" s="8" t="s">
        <v>60</v>
      </c>
      <c r="G684" s="35"/>
    </row>
    <row r="685" spans="2:7">
      <c r="B685" s="22">
        <v>622</v>
      </c>
      <c r="C685" s="92" t="s">
        <v>402</v>
      </c>
      <c r="D685" s="93" t="s">
        <v>1300</v>
      </c>
      <c r="E685" s="93" t="s">
        <v>890</v>
      </c>
      <c r="F685" s="8" t="s">
        <v>60</v>
      </c>
      <c r="G685" s="35"/>
    </row>
    <row r="686" spans="2:7">
      <c r="B686" s="22">
        <v>625</v>
      </c>
      <c r="C686" s="92" t="s">
        <v>533</v>
      </c>
      <c r="D686" s="93">
        <v>10172016144</v>
      </c>
      <c r="E686" s="93" t="s">
        <v>6</v>
      </c>
      <c r="F686" s="8" t="s">
        <v>60</v>
      </c>
      <c r="G686" s="35"/>
    </row>
    <row r="687" spans="2:7">
      <c r="B687" s="22">
        <v>602</v>
      </c>
      <c r="C687" s="92" t="s">
        <v>152</v>
      </c>
      <c r="D687" s="93" t="s">
        <v>1281</v>
      </c>
      <c r="E687" s="93" t="s">
        <v>501</v>
      </c>
      <c r="F687" s="8" t="s">
        <v>60</v>
      </c>
      <c r="G687" s="35"/>
    </row>
    <row r="688" spans="2:7">
      <c r="B688" s="22">
        <v>616</v>
      </c>
      <c r="C688" s="93" t="s">
        <v>524</v>
      </c>
      <c r="D688" s="93">
        <v>10126140804</v>
      </c>
      <c r="E688" s="92" t="s">
        <v>525</v>
      </c>
      <c r="F688" s="8" t="s">
        <v>60</v>
      </c>
      <c r="G688" s="35"/>
    </row>
    <row r="689" spans="2:7">
      <c r="B689" s="107">
        <v>628</v>
      </c>
      <c r="C689" s="92" t="s">
        <v>1424</v>
      </c>
      <c r="D689" s="93">
        <v>10129820740</v>
      </c>
      <c r="E689" s="93" t="s">
        <v>1425</v>
      </c>
      <c r="F689" s="8" t="s">
        <v>60</v>
      </c>
      <c r="G689" s="35"/>
    </row>
    <row r="690" spans="2:7">
      <c r="B690" s="22"/>
      <c r="C690" s="92"/>
      <c r="D690" s="93"/>
      <c r="E690" s="92"/>
      <c r="F690" s="8" t="s">
        <v>60</v>
      </c>
      <c r="G690" s="35"/>
    </row>
    <row r="691" spans="2:7">
      <c r="B691" s="22"/>
      <c r="C691" s="92"/>
      <c r="D691" s="93"/>
      <c r="E691" s="93"/>
      <c r="F691" s="8" t="s">
        <v>60</v>
      </c>
      <c r="G691" s="35"/>
    </row>
    <row r="692" spans="2:7">
      <c r="B692" s="22"/>
      <c r="C692" s="92"/>
      <c r="D692" s="93"/>
      <c r="E692" s="93"/>
      <c r="F692" s="8" t="s">
        <v>60</v>
      </c>
      <c r="G692" s="35"/>
    </row>
    <row r="693" spans="2:7">
      <c r="B693" s="22"/>
      <c r="C693" s="92"/>
      <c r="D693" s="93"/>
      <c r="E693" s="93"/>
      <c r="F693" s="8" t="s">
        <v>60</v>
      </c>
      <c r="G693" s="35"/>
    </row>
    <row r="694" spans="2:7">
      <c r="B694" s="22"/>
      <c r="C694" s="93"/>
      <c r="D694" s="93"/>
      <c r="E694" s="92"/>
      <c r="F694" s="8" t="s">
        <v>60</v>
      </c>
      <c r="G694" s="35"/>
    </row>
    <row r="695" spans="2:7">
      <c r="B695" s="22"/>
      <c r="C695" s="93"/>
      <c r="D695" s="93"/>
      <c r="E695" s="92"/>
      <c r="F695" s="8" t="s">
        <v>60</v>
      </c>
      <c r="G695" s="35"/>
    </row>
    <row r="696" spans="2:7">
      <c r="B696" s="22"/>
      <c r="C696" s="92"/>
      <c r="D696" s="93"/>
      <c r="E696" s="93"/>
      <c r="F696" s="8" t="s">
        <v>60</v>
      </c>
      <c r="G696" s="35"/>
    </row>
    <row r="697" spans="2:7">
      <c r="B697" s="22"/>
      <c r="C697" s="92"/>
      <c r="D697" s="93"/>
      <c r="E697" s="93"/>
      <c r="F697" s="8" t="s">
        <v>60</v>
      </c>
      <c r="G697" s="35"/>
    </row>
    <row r="698" spans="2:7">
      <c r="B698" s="22"/>
      <c r="C698" s="92"/>
      <c r="D698" s="93"/>
      <c r="E698" s="93"/>
      <c r="F698" s="8" t="s">
        <v>60</v>
      </c>
      <c r="G698" s="35"/>
    </row>
    <row r="699" spans="2:7">
      <c r="B699" s="22"/>
      <c r="C699" s="92"/>
      <c r="D699" s="93"/>
      <c r="E699" s="93"/>
      <c r="F699" s="8" t="s">
        <v>60</v>
      </c>
      <c r="G699" s="35"/>
    </row>
    <row r="700" spans="2:7">
      <c r="B700" s="22"/>
      <c r="C700" s="92"/>
      <c r="D700" s="93"/>
      <c r="E700" s="93"/>
      <c r="F700" s="8" t="s">
        <v>60</v>
      </c>
      <c r="G700" s="35"/>
    </row>
    <row r="701" spans="2:7">
      <c r="B701" s="7"/>
      <c r="C701" s="8"/>
      <c r="D701" s="54"/>
      <c r="E701" s="54"/>
      <c r="F701" s="54"/>
      <c r="G701" s="35"/>
    </row>
    <row r="702" spans="2:7">
      <c r="B702" s="7"/>
      <c r="C702" s="8"/>
      <c r="D702" s="54"/>
      <c r="E702" s="54"/>
      <c r="F702" s="54"/>
      <c r="G702" s="35"/>
    </row>
    <row r="703" spans="2:7">
      <c r="B703" s="22">
        <v>671</v>
      </c>
      <c r="C703" s="92" t="s">
        <v>532</v>
      </c>
      <c r="D703" s="93">
        <v>10136876074</v>
      </c>
      <c r="E703" s="92" t="s">
        <v>394</v>
      </c>
      <c r="F703" s="8" t="s">
        <v>92</v>
      </c>
      <c r="G703" s="35"/>
    </row>
    <row r="704" spans="2:7">
      <c r="B704" s="22"/>
      <c r="C704" s="92"/>
      <c r="D704" s="93"/>
      <c r="E704" s="92"/>
      <c r="F704" s="8" t="s">
        <v>92</v>
      </c>
      <c r="G704" s="35"/>
    </row>
    <row r="705" spans="2:7">
      <c r="B705" s="41"/>
      <c r="C705" s="8"/>
      <c r="D705" s="54"/>
      <c r="E705" s="54"/>
      <c r="F705" s="8"/>
      <c r="G705" s="35"/>
    </row>
    <row r="706" spans="2:7">
      <c r="B706" s="22">
        <v>981</v>
      </c>
      <c r="C706" s="92" t="s">
        <v>1410</v>
      </c>
      <c r="D706" s="93" t="s">
        <v>1300</v>
      </c>
      <c r="E706" s="93" t="s">
        <v>1411</v>
      </c>
      <c r="F706" s="8" t="s">
        <v>162</v>
      </c>
      <c r="G706" s="35"/>
    </row>
    <row r="707" spans="2:7">
      <c r="B707" s="22">
        <v>978</v>
      </c>
      <c r="C707" s="92" t="s">
        <v>1413</v>
      </c>
      <c r="D707" s="93" t="s">
        <v>1300</v>
      </c>
      <c r="E707" s="92" t="s">
        <v>1414</v>
      </c>
      <c r="F707" s="8" t="s">
        <v>162</v>
      </c>
      <c r="G707" s="35"/>
    </row>
    <row r="708" spans="2:7">
      <c r="B708" s="22">
        <v>982</v>
      </c>
      <c r="C708" s="92" t="s">
        <v>849</v>
      </c>
      <c r="D708" s="93">
        <v>10050347327</v>
      </c>
      <c r="E708" s="93" t="s">
        <v>1412</v>
      </c>
      <c r="F708" s="8" t="s">
        <v>162</v>
      </c>
      <c r="G708" s="35"/>
    </row>
    <row r="709" spans="2:7">
      <c r="B709" s="107">
        <v>983</v>
      </c>
      <c r="C709" s="92" t="s">
        <v>1415</v>
      </c>
      <c r="D709" s="93">
        <v>1015955048</v>
      </c>
      <c r="E709" s="93" t="s">
        <v>1416</v>
      </c>
      <c r="F709" s="8" t="s">
        <v>162</v>
      </c>
      <c r="G709" s="35"/>
    </row>
    <row r="710" spans="2:7">
      <c r="B710" s="8"/>
      <c r="C710" s="8"/>
      <c r="D710" s="54"/>
      <c r="E710" s="8"/>
      <c r="F710" s="8" t="s">
        <v>162</v>
      </c>
      <c r="G710" s="35"/>
    </row>
    <row r="711" spans="2:7">
      <c r="B711" s="8"/>
      <c r="C711" s="8"/>
      <c r="D711" s="54"/>
      <c r="E711" s="8"/>
      <c r="F711" s="8" t="s">
        <v>162</v>
      </c>
      <c r="G711" s="35"/>
    </row>
    <row r="712" spans="2:7">
      <c r="B712" s="8"/>
      <c r="C712" s="8"/>
      <c r="D712" s="54"/>
      <c r="E712" s="8"/>
      <c r="F712" s="8" t="s">
        <v>162</v>
      </c>
      <c r="G712" s="35"/>
    </row>
    <row r="713" spans="2:7">
      <c r="B713" s="8"/>
      <c r="C713" s="8"/>
      <c r="D713" s="54"/>
      <c r="E713" s="8"/>
      <c r="F713" s="8" t="s">
        <v>162</v>
      </c>
      <c r="G713" s="35"/>
    </row>
    <row r="714" spans="2:7">
      <c r="B714" s="8"/>
      <c r="C714" s="8"/>
      <c r="D714" s="54"/>
      <c r="E714" s="8"/>
      <c r="F714" s="8" t="s">
        <v>162</v>
      </c>
      <c r="G714" s="35"/>
    </row>
    <row r="715" spans="2:7">
      <c r="B715" s="8"/>
      <c r="C715" s="8"/>
      <c r="D715" s="54"/>
      <c r="E715" s="8"/>
      <c r="F715" s="8" t="s">
        <v>162</v>
      </c>
      <c r="G715" s="35"/>
    </row>
    <row r="716" spans="2:7">
      <c r="B716" s="8"/>
      <c r="C716" s="8"/>
      <c r="D716" s="54"/>
      <c r="E716" s="8"/>
      <c r="F716" s="8" t="s">
        <v>162</v>
      </c>
      <c r="G716" s="35"/>
    </row>
    <row r="717" spans="2:7">
      <c r="B717" s="8"/>
      <c r="C717" s="8"/>
      <c r="D717" s="54"/>
      <c r="E717" s="8"/>
      <c r="F717" s="8" t="s">
        <v>162</v>
      </c>
      <c r="G717" s="35"/>
    </row>
    <row r="718" spans="2:7">
      <c r="B718" s="8"/>
      <c r="C718" s="8"/>
      <c r="D718" s="54"/>
      <c r="E718" s="8"/>
      <c r="F718" s="8" t="s">
        <v>162</v>
      </c>
      <c r="G718" s="35"/>
    </row>
    <row r="719" spans="2:7">
      <c r="B719" s="8"/>
      <c r="C719" s="8"/>
      <c r="D719" s="54"/>
      <c r="E719" s="8"/>
      <c r="F719" s="8" t="s">
        <v>162</v>
      </c>
      <c r="G719" s="35"/>
    </row>
    <row r="720" spans="2:7">
      <c r="B720" s="8"/>
      <c r="C720" s="8"/>
      <c r="D720" s="54"/>
      <c r="E720" s="8"/>
      <c r="F720" s="8" t="s">
        <v>162</v>
      </c>
      <c r="G720" s="35"/>
    </row>
    <row r="721" spans="2:7">
      <c r="B721" s="8"/>
      <c r="C721" s="8"/>
      <c r="D721" s="54"/>
      <c r="E721" s="8"/>
      <c r="F721" s="8"/>
      <c r="G721" s="35"/>
    </row>
    <row r="722" spans="2:7">
      <c r="B722" s="22">
        <v>961</v>
      </c>
      <c r="C722" s="92" t="s">
        <v>1402</v>
      </c>
      <c r="D722" s="93">
        <v>10129943002</v>
      </c>
      <c r="E722" s="93" t="s">
        <v>111</v>
      </c>
      <c r="F722" s="8" t="s">
        <v>102</v>
      </c>
      <c r="G722" s="35"/>
    </row>
    <row r="723" spans="2:7">
      <c r="B723" s="22">
        <v>962</v>
      </c>
      <c r="C723" s="92" t="s">
        <v>1405</v>
      </c>
      <c r="D723" s="93">
        <v>10136994700</v>
      </c>
      <c r="E723" s="93" t="s">
        <v>111</v>
      </c>
      <c r="F723" s="8" t="s">
        <v>102</v>
      </c>
      <c r="G723" s="35"/>
    </row>
    <row r="724" spans="2:7">
      <c r="B724" s="22">
        <v>964</v>
      </c>
      <c r="C724" s="92" t="s">
        <v>1403</v>
      </c>
      <c r="D724" s="93">
        <v>10061982172</v>
      </c>
      <c r="E724" s="93" t="s">
        <v>1404</v>
      </c>
      <c r="F724" s="8" t="s">
        <v>102</v>
      </c>
      <c r="G724" s="35"/>
    </row>
    <row r="725" spans="2:7">
      <c r="B725" s="107">
        <v>965</v>
      </c>
      <c r="C725" s="92" t="s">
        <v>1406</v>
      </c>
      <c r="D725" s="93" t="s">
        <v>1281</v>
      </c>
      <c r="E725" s="93" t="s">
        <v>1407</v>
      </c>
      <c r="F725" s="8" t="s">
        <v>102</v>
      </c>
      <c r="G725" s="35"/>
    </row>
    <row r="726" spans="2:7">
      <c r="B726" s="107">
        <v>966</v>
      </c>
      <c r="C726" s="92" t="s">
        <v>1408</v>
      </c>
      <c r="D726" s="93">
        <v>10075908039</v>
      </c>
      <c r="E726" s="93" t="s">
        <v>1409</v>
      </c>
      <c r="F726" s="8" t="s">
        <v>102</v>
      </c>
      <c r="G726" s="35"/>
    </row>
    <row r="727" spans="2:7">
      <c r="B727" s="18"/>
      <c r="C727" s="19"/>
      <c r="D727" s="19"/>
      <c r="E727" s="19"/>
      <c r="F727" s="19"/>
      <c r="G727" s="35"/>
    </row>
    <row r="728" spans="2:7">
      <c r="B728" s="18"/>
      <c r="C728" s="19"/>
      <c r="D728" s="19"/>
      <c r="E728" s="19"/>
      <c r="F728" s="19"/>
      <c r="G728" s="35"/>
    </row>
    <row r="729" spans="2:7">
      <c r="B729" s="18"/>
      <c r="C729" s="19"/>
      <c r="D729" s="19"/>
      <c r="E729" s="19"/>
      <c r="F729" s="19"/>
      <c r="G729" s="35"/>
    </row>
    <row r="730" spans="2:7">
      <c r="B730" s="18"/>
      <c r="C730" s="18" t="s">
        <v>1251</v>
      </c>
      <c r="D730" s="19"/>
      <c r="E730" s="19"/>
      <c r="F730" s="19"/>
      <c r="G730" s="35"/>
    </row>
    <row r="731" spans="2:7">
      <c r="B731" s="3">
        <v>3</v>
      </c>
      <c r="C731" s="92" t="s">
        <v>164</v>
      </c>
      <c r="D731" s="93">
        <v>10009200331</v>
      </c>
      <c r="E731" s="93" t="s">
        <v>561</v>
      </c>
      <c r="F731" s="8" t="s">
        <v>50</v>
      </c>
      <c r="G731" s="35"/>
    </row>
    <row r="732" spans="2:7">
      <c r="B732" s="3">
        <v>4</v>
      </c>
      <c r="C732" s="92" t="s">
        <v>560</v>
      </c>
      <c r="D732" s="93">
        <v>10058573533</v>
      </c>
      <c r="E732" s="93" t="s">
        <v>1226</v>
      </c>
      <c r="F732" s="8" t="s">
        <v>50</v>
      </c>
      <c r="G732" s="35"/>
    </row>
    <row r="733" spans="2:7">
      <c r="B733" s="3">
        <v>25</v>
      </c>
      <c r="C733" s="92" t="s">
        <v>168</v>
      </c>
      <c r="D733" s="93">
        <v>10076890971</v>
      </c>
      <c r="E733" s="93" t="s">
        <v>109</v>
      </c>
      <c r="F733" s="8" t="s">
        <v>50</v>
      </c>
      <c r="G733" s="35"/>
    </row>
    <row r="734" spans="2:7">
      <c r="B734" s="3">
        <v>23</v>
      </c>
      <c r="C734" s="92" t="s">
        <v>166</v>
      </c>
      <c r="D734" s="93">
        <v>10092456037</v>
      </c>
      <c r="E734" s="93" t="s">
        <v>100</v>
      </c>
      <c r="F734" s="8" t="s">
        <v>50</v>
      </c>
      <c r="G734" s="35"/>
    </row>
    <row r="735" spans="2:7">
      <c r="B735" s="3">
        <v>9</v>
      </c>
      <c r="C735" s="92" t="s">
        <v>1230</v>
      </c>
      <c r="D735" s="93">
        <v>10105198201</v>
      </c>
      <c r="E735" s="93" t="s">
        <v>1231</v>
      </c>
      <c r="F735" s="8" t="s">
        <v>50</v>
      </c>
      <c r="G735" s="35"/>
    </row>
    <row r="736" spans="2:7">
      <c r="B736" s="3">
        <v>10</v>
      </c>
      <c r="C736" s="92" t="s">
        <v>169</v>
      </c>
      <c r="D736" s="93">
        <v>10075992208</v>
      </c>
      <c r="E736" s="93" t="s">
        <v>110</v>
      </c>
      <c r="F736" s="8" t="s">
        <v>50</v>
      </c>
      <c r="G736" s="35"/>
    </row>
    <row r="737" spans="2:7">
      <c r="B737" s="3">
        <v>12</v>
      </c>
      <c r="C737" s="92" t="s">
        <v>138</v>
      </c>
      <c r="D737" s="93">
        <v>10051220327</v>
      </c>
      <c r="E737" s="93" t="s">
        <v>1226</v>
      </c>
      <c r="F737" s="8" t="s">
        <v>50</v>
      </c>
      <c r="G737" s="35"/>
    </row>
    <row r="738" spans="2:7">
      <c r="B738" s="3">
        <v>27</v>
      </c>
      <c r="C738" s="92" t="s">
        <v>175</v>
      </c>
      <c r="D738" s="93">
        <v>10103820090</v>
      </c>
      <c r="E738" s="93" t="s">
        <v>109</v>
      </c>
      <c r="F738" s="8" t="s">
        <v>50</v>
      </c>
      <c r="G738" s="35"/>
    </row>
    <row r="739" spans="2:7">
      <c r="B739" s="3">
        <v>13</v>
      </c>
      <c r="C739" s="92" t="s">
        <v>992</v>
      </c>
      <c r="D739" s="93">
        <v>10088970101</v>
      </c>
      <c r="E739" s="93" t="s">
        <v>1227</v>
      </c>
      <c r="F739" s="8" t="s">
        <v>50</v>
      </c>
      <c r="G739" s="35"/>
    </row>
    <row r="740" spans="2:7">
      <c r="B740" s="3">
        <v>30</v>
      </c>
      <c r="C740" s="92" t="s">
        <v>1229</v>
      </c>
      <c r="D740" s="93">
        <v>10140483767</v>
      </c>
      <c r="E740" s="93" t="s">
        <v>85</v>
      </c>
      <c r="F740" s="8" t="s">
        <v>50</v>
      </c>
      <c r="G740" s="35"/>
    </row>
    <row r="741" spans="2:7">
      <c r="B741" s="3">
        <v>26</v>
      </c>
      <c r="C741" s="92" t="s">
        <v>1000</v>
      </c>
      <c r="D741" s="93">
        <v>10089547148</v>
      </c>
      <c r="E741" s="93" t="s">
        <v>109</v>
      </c>
      <c r="F741" s="8" t="s">
        <v>50</v>
      </c>
      <c r="G741" s="35"/>
    </row>
    <row r="742" spans="2:7">
      <c r="B742" s="3">
        <v>28</v>
      </c>
      <c r="C742" s="92" t="s">
        <v>181</v>
      </c>
      <c r="D742" s="93">
        <v>10120369001</v>
      </c>
      <c r="E742" s="93" t="s">
        <v>100</v>
      </c>
      <c r="F742" s="8" t="s">
        <v>50</v>
      </c>
      <c r="G742" s="35"/>
    </row>
    <row r="743" spans="2:7">
      <c r="B743" s="3">
        <v>29</v>
      </c>
      <c r="C743" s="93" t="s">
        <v>1001</v>
      </c>
      <c r="D743" s="93" t="s">
        <v>66</v>
      </c>
      <c r="E743" s="92" t="s">
        <v>100</v>
      </c>
      <c r="F743" s="8" t="s">
        <v>50</v>
      </c>
      <c r="G743" s="35"/>
    </row>
    <row r="744" spans="2:7">
      <c r="B744" s="105">
        <v>37</v>
      </c>
      <c r="C744" s="92" t="s">
        <v>187</v>
      </c>
      <c r="D744" s="93">
        <v>10120252500</v>
      </c>
      <c r="E744" s="93" t="s">
        <v>1228</v>
      </c>
      <c r="F744" s="8" t="s">
        <v>50</v>
      </c>
      <c r="G744" s="35"/>
    </row>
    <row r="745" spans="2:7">
      <c r="B745" s="3">
        <v>35</v>
      </c>
      <c r="C745" s="93" t="s">
        <v>1006</v>
      </c>
      <c r="D745" s="93">
        <v>10113953358</v>
      </c>
      <c r="E745" s="92" t="s">
        <v>109</v>
      </c>
      <c r="F745" s="8" t="s">
        <v>50</v>
      </c>
      <c r="G745" s="35"/>
    </row>
    <row r="746" spans="2:7">
      <c r="B746" s="105">
        <v>38</v>
      </c>
      <c r="C746" s="92" t="s">
        <v>1247</v>
      </c>
      <c r="D746" s="93">
        <v>10116526888</v>
      </c>
      <c r="E746" s="93" t="s">
        <v>84</v>
      </c>
      <c r="F746" s="8" t="s">
        <v>50</v>
      </c>
      <c r="G746" s="35"/>
    </row>
    <row r="747" spans="2:7">
      <c r="B747" s="3"/>
      <c r="C747" s="92"/>
      <c r="D747" s="93"/>
      <c r="E747" s="93"/>
      <c r="F747" s="8" t="s">
        <v>50</v>
      </c>
      <c r="G747" s="35"/>
    </row>
    <row r="748" spans="2:7">
      <c r="B748" s="3"/>
      <c r="C748" s="92"/>
      <c r="D748" s="93"/>
      <c r="E748" s="93"/>
      <c r="F748" s="8" t="s">
        <v>50</v>
      </c>
      <c r="G748" s="35"/>
    </row>
    <row r="749" spans="2:7">
      <c r="B749" s="3"/>
      <c r="C749" s="92"/>
      <c r="D749" s="93"/>
      <c r="E749" s="93"/>
      <c r="F749" s="8" t="s">
        <v>50</v>
      </c>
      <c r="G749" s="35"/>
    </row>
    <row r="750" spans="2:7">
      <c r="B750" s="3"/>
      <c r="C750" s="93"/>
      <c r="D750" s="93"/>
      <c r="E750" s="92"/>
      <c r="F750" s="8" t="s">
        <v>50</v>
      </c>
      <c r="G750" s="35"/>
    </row>
    <row r="751" spans="2:7">
      <c r="B751" s="3"/>
      <c r="C751" s="97"/>
      <c r="D751" s="97"/>
      <c r="E751" s="94"/>
      <c r="F751" s="8" t="s">
        <v>50</v>
      </c>
      <c r="G751" s="35"/>
    </row>
    <row r="752" spans="2:7">
      <c r="B752" s="22"/>
      <c r="C752" s="97"/>
      <c r="D752" s="97"/>
      <c r="E752" s="94"/>
      <c r="F752" s="8" t="s">
        <v>50</v>
      </c>
      <c r="G752" s="35"/>
    </row>
    <row r="753" spans="2:7">
      <c r="B753" s="3"/>
      <c r="C753" s="92"/>
      <c r="D753" s="93"/>
      <c r="E753" s="93"/>
      <c r="F753" s="8" t="s">
        <v>50</v>
      </c>
      <c r="G753" s="35"/>
    </row>
    <row r="754" spans="2:7">
      <c r="B754" s="3"/>
      <c r="C754" s="92"/>
      <c r="D754" s="93"/>
      <c r="E754" s="93"/>
      <c r="F754" s="8" t="s">
        <v>50</v>
      </c>
      <c r="G754" s="35"/>
    </row>
    <row r="755" spans="2:7">
      <c r="B755" s="10"/>
      <c r="C755" s="8"/>
      <c r="D755" s="54"/>
      <c r="E755" s="54"/>
      <c r="F755" s="8" t="s">
        <v>50</v>
      </c>
      <c r="G755" s="35"/>
    </row>
    <row r="756" spans="2:7">
      <c r="B756" s="10"/>
      <c r="C756" s="8"/>
      <c r="D756" s="54"/>
      <c r="E756" s="54"/>
      <c r="F756" s="8" t="s">
        <v>50</v>
      </c>
      <c r="G756" s="35"/>
    </row>
    <row r="757" spans="2:7" ht="15.75">
      <c r="B757" s="40"/>
      <c r="C757" s="8"/>
      <c r="D757" s="54"/>
      <c r="E757" s="54"/>
      <c r="F757" s="8"/>
      <c r="G757" s="35"/>
    </row>
    <row r="758" spans="2:7">
      <c r="B758" s="3">
        <v>84</v>
      </c>
      <c r="C758" s="94" t="s">
        <v>190</v>
      </c>
      <c r="D758" s="93">
        <v>10052898528</v>
      </c>
      <c r="E758" s="93" t="s">
        <v>1220</v>
      </c>
      <c r="F758" s="8" t="s">
        <v>51</v>
      </c>
      <c r="G758" s="35"/>
    </row>
    <row r="759" spans="2:7">
      <c r="B759" s="22">
        <v>91</v>
      </c>
      <c r="C759" s="94" t="s">
        <v>1021</v>
      </c>
      <c r="D759" s="93">
        <v>10077498132</v>
      </c>
      <c r="E759" s="93" t="s">
        <v>109</v>
      </c>
      <c r="F759" s="8" t="s">
        <v>51</v>
      </c>
      <c r="G759" s="35"/>
    </row>
    <row r="760" spans="2:7">
      <c r="B760" s="3">
        <v>92</v>
      </c>
      <c r="C760" s="94" t="s">
        <v>1022</v>
      </c>
      <c r="D760" s="93">
        <v>10077498435</v>
      </c>
      <c r="E760" s="93" t="s">
        <v>109</v>
      </c>
      <c r="F760" s="8" t="s">
        <v>51</v>
      </c>
      <c r="G760" s="35"/>
    </row>
    <row r="761" spans="2:7">
      <c r="B761" s="22">
        <v>87</v>
      </c>
      <c r="C761" s="92" t="s">
        <v>587</v>
      </c>
      <c r="D761" s="93">
        <v>10112699836</v>
      </c>
      <c r="E761" s="93" t="s">
        <v>133</v>
      </c>
      <c r="F761" s="8" t="s">
        <v>51</v>
      </c>
      <c r="G761" s="35"/>
    </row>
    <row r="762" spans="2:7">
      <c r="B762" s="22">
        <v>94</v>
      </c>
      <c r="C762" s="94" t="s">
        <v>201</v>
      </c>
      <c r="D762" s="93">
        <v>10076571982</v>
      </c>
      <c r="E762" s="93" t="s">
        <v>1221</v>
      </c>
      <c r="F762" s="8" t="s">
        <v>51</v>
      </c>
      <c r="G762" s="35"/>
    </row>
    <row r="763" spans="2:7">
      <c r="B763" s="107">
        <v>95</v>
      </c>
      <c r="C763" s="94" t="s">
        <v>198</v>
      </c>
      <c r="D763" s="93">
        <v>10120014242</v>
      </c>
      <c r="E763" s="93" t="s">
        <v>199</v>
      </c>
      <c r="F763" s="8" t="s">
        <v>51</v>
      </c>
      <c r="G763" s="35"/>
    </row>
    <row r="764" spans="2:7">
      <c r="B764" s="105">
        <v>90</v>
      </c>
      <c r="C764" s="94" t="s">
        <v>202</v>
      </c>
      <c r="D764" s="93">
        <v>10104125238</v>
      </c>
      <c r="E764" s="93" t="s">
        <v>100</v>
      </c>
      <c r="F764" s="8" t="s">
        <v>51</v>
      </c>
      <c r="G764" s="35"/>
    </row>
    <row r="765" spans="2:7">
      <c r="B765" s="7"/>
      <c r="C765" s="8"/>
      <c r="D765" s="54"/>
      <c r="E765" s="54"/>
      <c r="F765" s="8" t="s">
        <v>51</v>
      </c>
      <c r="G765" s="35"/>
    </row>
    <row r="766" spans="2:7">
      <c r="B766" s="22"/>
      <c r="C766" s="94"/>
      <c r="D766" s="93"/>
      <c r="E766" s="93"/>
      <c r="F766" s="8" t="s">
        <v>51</v>
      </c>
      <c r="G766" s="35"/>
    </row>
    <row r="767" spans="2:7">
      <c r="B767" s="3"/>
      <c r="C767" s="94"/>
      <c r="D767" s="93"/>
      <c r="E767" s="93"/>
      <c r="F767" s="8" t="s">
        <v>51</v>
      </c>
      <c r="G767" s="35"/>
    </row>
    <row r="768" spans="2:7">
      <c r="B768" s="22"/>
      <c r="C768" s="94"/>
      <c r="D768" s="93"/>
      <c r="E768" s="93"/>
      <c r="F768" s="8" t="s">
        <v>51</v>
      </c>
      <c r="G768" s="35"/>
    </row>
    <row r="769" spans="2:7">
      <c r="B769" s="10"/>
      <c r="C769" s="8"/>
      <c r="D769" s="54"/>
      <c r="E769" s="54"/>
      <c r="F769" s="8"/>
      <c r="G769" s="35"/>
    </row>
    <row r="770" spans="2:7">
      <c r="B770" s="3">
        <v>103</v>
      </c>
      <c r="C770" s="92" t="s">
        <v>206</v>
      </c>
      <c r="D770" s="93">
        <v>10154951521</v>
      </c>
      <c r="E770" s="93" t="s">
        <v>863</v>
      </c>
      <c r="F770" s="8" t="s">
        <v>52</v>
      </c>
      <c r="G770" s="35"/>
    </row>
    <row r="771" spans="2:7">
      <c r="B771" s="105">
        <v>158</v>
      </c>
      <c r="C771" s="92" t="s">
        <v>1204</v>
      </c>
      <c r="D771" s="93">
        <v>10089728923</v>
      </c>
      <c r="E771" s="93" t="s">
        <v>863</v>
      </c>
      <c r="F771" s="8" t="s">
        <v>52</v>
      </c>
      <c r="G771" s="35"/>
    </row>
    <row r="772" spans="2:7">
      <c r="B772" s="3">
        <v>104</v>
      </c>
      <c r="C772" s="92" t="s">
        <v>590</v>
      </c>
      <c r="D772" s="93">
        <v>10116215680</v>
      </c>
      <c r="E772" s="93" t="s">
        <v>109</v>
      </c>
      <c r="F772" s="8" t="s">
        <v>52</v>
      </c>
      <c r="G772" s="35"/>
    </row>
    <row r="773" spans="2:7">
      <c r="B773" s="3">
        <v>113</v>
      </c>
      <c r="C773" s="92" t="s">
        <v>1037</v>
      </c>
      <c r="D773" s="93">
        <v>10126522639</v>
      </c>
      <c r="E773" s="93" t="s">
        <v>84</v>
      </c>
      <c r="F773" s="8" t="s">
        <v>52</v>
      </c>
      <c r="G773" s="35"/>
    </row>
    <row r="774" spans="2:7">
      <c r="B774" s="3">
        <v>105</v>
      </c>
      <c r="C774" s="92" t="s">
        <v>208</v>
      </c>
      <c r="D774" s="93">
        <v>10141533185</v>
      </c>
      <c r="E774" s="93" t="s">
        <v>591</v>
      </c>
      <c r="F774" s="8" t="s">
        <v>52</v>
      </c>
      <c r="G774" s="35"/>
    </row>
    <row r="775" spans="2:7">
      <c r="B775" s="3">
        <v>106</v>
      </c>
      <c r="C775" s="92" t="s">
        <v>235</v>
      </c>
      <c r="D775" s="93">
        <v>10119593506</v>
      </c>
      <c r="E775" s="93" t="s">
        <v>71</v>
      </c>
      <c r="F775" s="8" t="s">
        <v>52</v>
      </c>
      <c r="G775" s="35"/>
    </row>
    <row r="776" spans="2:7">
      <c r="B776" s="3">
        <v>107</v>
      </c>
      <c r="C776" s="92" t="s">
        <v>1031</v>
      </c>
      <c r="D776" s="93">
        <v>10171946426</v>
      </c>
      <c r="E776" s="93" t="s">
        <v>6</v>
      </c>
      <c r="F776" s="8" t="s">
        <v>52</v>
      </c>
      <c r="G776" s="35"/>
    </row>
    <row r="777" spans="2:7">
      <c r="B777" s="3">
        <v>108</v>
      </c>
      <c r="C777" s="92" t="s">
        <v>1215</v>
      </c>
      <c r="D777" s="93">
        <v>10152456092</v>
      </c>
      <c r="E777" s="93" t="s">
        <v>340</v>
      </c>
      <c r="F777" s="8" t="s">
        <v>52</v>
      </c>
      <c r="G777" s="35"/>
    </row>
    <row r="778" spans="2:7">
      <c r="B778" s="3">
        <v>109</v>
      </c>
      <c r="C778" s="92" t="s">
        <v>602</v>
      </c>
      <c r="D778" s="93">
        <v>10161160935</v>
      </c>
      <c r="E778" s="93" t="s">
        <v>1205</v>
      </c>
      <c r="F778" s="8" t="s">
        <v>52</v>
      </c>
      <c r="G778" s="35"/>
    </row>
    <row r="779" spans="2:7">
      <c r="B779" s="3">
        <v>112</v>
      </c>
      <c r="C779" s="92" t="s">
        <v>247</v>
      </c>
      <c r="D779" s="93">
        <v>10164774385</v>
      </c>
      <c r="E779" s="93" t="s">
        <v>6</v>
      </c>
      <c r="F779" s="8" t="s">
        <v>52</v>
      </c>
      <c r="G779" s="35"/>
    </row>
    <row r="780" spans="2:7">
      <c r="B780" s="3">
        <v>135</v>
      </c>
      <c r="C780" s="92" t="s">
        <v>249</v>
      </c>
      <c r="D780" s="93">
        <v>10132702145</v>
      </c>
      <c r="E780" s="93" t="s">
        <v>1219</v>
      </c>
      <c r="F780" s="8" t="s">
        <v>52</v>
      </c>
      <c r="G780" s="35"/>
    </row>
    <row r="781" spans="2:7">
      <c r="B781" s="3">
        <v>131</v>
      </c>
      <c r="C781" s="92" t="s">
        <v>1249</v>
      </c>
      <c r="D781" s="93">
        <v>10152089718</v>
      </c>
      <c r="E781" s="93" t="s">
        <v>127</v>
      </c>
      <c r="F781" s="8" t="s">
        <v>52</v>
      </c>
      <c r="G781" s="35"/>
    </row>
    <row r="782" spans="2:7">
      <c r="B782" s="3">
        <v>114</v>
      </c>
      <c r="C782" s="92" t="s">
        <v>212</v>
      </c>
      <c r="D782" s="93">
        <v>13041</v>
      </c>
      <c r="E782" s="93" t="s">
        <v>280</v>
      </c>
      <c r="F782" s="8" t="s">
        <v>52</v>
      </c>
      <c r="G782" s="35"/>
    </row>
    <row r="783" spans="2:7">
      <c r="B783" s="3">
        <v>119</v>
      </c>
      <c r="C783" s="92" t="s">
        <v>238</v>
      </c>
      <c r="D783" s="93" t="s">
        <v>66</v>
      </c>
      <c r="E783" s="93" t="s">
        <v>84</v>
      </c>
      <c r="F783" s="8" t="s">
        <v>52</v>
      </c>
      <c r="G783" s="35"/>
    </row>
    <row r="784" spans="2:7">
      <c r="B784" s="3">
        <v>110</v>
      </c>
      <c r="C784" s="92" t="s">
        <v>1206</v>
      </c>
      <c r="D784" s="93">
        <v>10131930286</v>
      </c>
      <c r="E784" s="93" t="s">
        <v>6</v>
      </c>
      <c r="F784" s="8" t="s">
        <v>52</v>
      </c>
      <c r="G784" s="35"/>
    </row>
    <row r="785" spans="2:7">
      <c r="B785" s="3">
        <v>132</v>
      </c>
      <c r="C785" s="92" t="s">
        <v>244</v>
      </c>
      <c r="D785" s="93">
        <v>10152089819</v>
      </c>
      <c r="E785" s="93" t="s">
        <v>127</v>
      </c>
      <c r="F785" s="8" t="s">
        <v>52</v>
      </c>
      <c r="G785" s="35"/>
    </row>
    <row r="786" spans="2:7">
      <c r="B786" s="3">
        <v>130</v>
      </c>
      <c r="C786" s="92" t="s">
        <v>1250</v>
      </c>
      <c r="D786" s="93">
        <v>10141535512</v>
      </c>
      <c r="E786" s="93" t="s">
        <v>127</v>
      </c>
      <c r="F786" s="8" t="s">
        <v>52</v>
      </c>
      <c r="G786" s="35"/>
    </row>
    <row r="787" spans="2:7">
      <c r="B787" s="105">
        <v>159</v>
      </c>
      <c r="C787" s="92" t="s">
        <v>1213</v>
      </c>
      <c r="D787" s="93">
        <v>10137506372</v>
      </c>
      <c r="E787" s="93" t="s">
        <v>85</v>
      </c>
      <c r="F787" s="8" t="s">
        <v>52</v>
      </c>
      <c r="G787" s="35"/>
    </row>
    <row r="788" spans="2:7">
      <c r="B788" s="3">
        <v>120</v>
      </c>
      <c r="C788" s="92" t="s">
        <v>1212</v>
      </c>
      <c r="D788" s="93">
        <v>10164260275</v>
      </c>
      <c r="E788" s="93" t="s">
        <v>71</v>
      </c>
      <c r="F788" s="8" t="s">
        <v>52</v>
      </c>
      <c r="G788" s="35"/>
    </row>
    <row r="789" spans="2:7">
      <c r="B789" s="3">
        <v>121</v>
      </c>
      <c r="C789" s="92" t="s">
        <v>624</v>
      </c>
      <c r="D789" s="93">
        <v>10142925440</v>
      </c>
      <c r="E789" s="93" t="s">
        <v>487</v>
      </c>
      <c r="F789" s="8" t="s">
        <v>52</v>
      </c>
      <c r="G789" s="35"/>
    </row>
    <row r="790" spans="2:7">
      <c r="B790" s="105">
        <v>160</v>
      </c>
      <c r="C790" s="92" t="s">
        <v>1214</v>
      </c>
      <c r="D790" s="93">
        <v>10171940059</v>
      </c>
      <c r="E790" s="93" t="s">
        <v>199</v>
      </c>
      <c r="F790" s="8" t="s">
        <v>52</v>
      </c>
      <c r="G790" s="35"/>
    </row>
    <row r="791" spans="2:7">
      <c r="B791" s="105">
        <v>161</v>
      </c>
      <c r="C791" s="92" t="s">
        <v>218</v>
      </c>
      <c r="D791" s="93">
        <v>10152284728</v>
      </c>
      <c r="E791" s="93" t="s">
        <v>172</v>
      </c>
      <c r="F791" s="8" t="s">
        <v>52</v>
      </c>
      <c r="G791" s="35"/>
    </row>
    <row r="792" spans="2:7">
      <c r="B792" s="3">
        <v>147</v>
      </c>
      <c r="C792" s="92" t="s">
        <v>261</v>
      </c>
      <c r="D792" s="93">
        <v>10173505601</v>
      </c>
      <c r="E792" s="93" t="s">
        <v>110</v>
      </c>
      <c r="F792" s="8" t="s">
        <v>52</v>
      </c>
      <c r="G792" s="35"/>
    </row>
    <row r="793" spans="2:7">
      <c r="B793" s="3">
        <v>125</v>
      </c>
      <c r="C793" s="92" t="s">
        <v>1049</v>
      </c>
      <c r="D793" s="93">
        <v>10171432932</v>
      </c>
      <c r="E793" s="93" t="s">
        <v>240</v>
      </c>
      <c r="F793" s="8" t="s">
        <v>52</v>
      </c>
      <c r="G793" s="35"/>
    </row>
    <row r="794" spans="2:7">
      <c r="B794" s="3">
        <v>122</v>
      </c>
      <c r="C794" s="92" t="s">
        <v>1210</v>
      </c>
      <c r="D794" s="93">
        <v>10133141372</v>
      </c>
      <c r="E794" s="93" t="s">
        <v>1211</v>
      </c>
      <c r="F794" s="8" t="s">
        <v>52</v>
      </c>
      <c r="G794" s="35"/>
    </row>
    <row r="795" spans="2:7">
      <c r="B795" s="3">
        <v>126</v>
      </c>
      <c r="C795" s="92" t="s">
        <v>1050</v>
      </c>
      <c r="D795" s="93">
        <v>10151269157</v>
      </c>
      <c r="E795" s="93" t="s">
        <v>1209</v>
      </c>
      <c r="F795" s="8" t="s">
        <v>52</v>
      </c>
      <c r="G795" s="35"/>
    </row>
    <row r="796" spans="2:7">
      <c r="B796" s="3">
        <v>142</v>
      </c>
      <c r="C796" s="92" t="s">
        <v>1207</v>
      </c>
      <c r="D796" s="93">
        <v>10126142117</v>
      </c>
      <c r="E796" s="93" t="s">
        <v>1208</v>
      </c>
      <c r="F796" s="8" t="s">
        <v>52</v>
      </c>
      <c r="G796" s="35"/>
    </row>
    <row r="797" spans="2:7">
      <c r="B797" s="105">
        <v>162</v>
      </c>
      <c r="C797" s="92" t="s">
        <v>606</v>
      </c>
      <c r="D797" s="93">
        <v>10161111728</v>
      </c>
      <c r="E797" s="93" t="s">
        <v>130</v>
      </c>
      <c r="F797" s="8" t="s">
        <v>52</v>
      </c>
      <c r="G797" s="35"/>
    </row>
    <row r="798" spans="2:7">
      <c r="B798" s="105">
        <v>163</v>
      </c>
      <c r="C798" s="92" t="s">
        <v>220</v>
      </c>
      <c r="D798" s="93">
        <v>10142353645</v>
      </c>
      <c r="E798" s="93" t="s">
        <v>1218</v>
      </c>
      <c r="F798" s="8" t="s">
        <v>52</v>
      </c>
      <c r="G798" s="35"/>
    </row>
    <row r="799" spans="2:7">
      <c r="B799" s="3">
        <v>124</v>
      </c>
      <c r="C799" s="92" t="s">
        <v>213</v>
      </c>
      <c r="D799" s="93">
        <v>10171656234</v>
      </c>
      <c r="E799" s="93" t="s">
        <v>614</v>
      </c>
      <c r="F799" s="8" t="s">
        <v>52</v>
      </c>
      <c r="G799" s="35"/>
    </row>
    <row r="800" spans="2:7">
      <c r="B800" s="105">
        <v>164</v>
      </c>
      <c r="C800" s="92" t="s">
        <v>1216</v>
      </c>
      <c r="D800" s="93" t="s">
        <v>66</v>
      </c>
      <c r="E800" s="93" t="s">
        <v>150</v>
      </c>
      <c r="F800" s="8" t="s">
        <v>52</v>
      </c>
      <c r="G800" s="35"/>
    </row>
    <row r="801" spans="2:7">
      <c r="B801" s="105">
        <v>165</v>
      </c>
      <c r="C801" s="92" t="s">
        <v>1217</v>
      </c>
      <c r="D801" s="93">
        <v>10129953611</v>
      </c>
      <c r="E801" s="93" t="s">
        <v>125</v>
      </c>
      <c r="F801" s="8" t="s">
        <v>52</v>
      </c>
      <c r="G801" s="35"/>
    </row>
    <row r="802" spans="2:7">
      <c r="B802" s="3"/>
      <c r="C802" s="92"/>
      <c r="D802" s="93"/>
      <c r="E802" s="93"/>
      <c r="F802" s="8" t="s">
        <v>52</v>
      </c>
      <c r="G802" s="35"/>
    </row>
    <row r="803" spans="2:7">
      <c r="B803" s="3"/>
      <c r="C803" s="92"/>
      <c r="D803" s="93"/>
      <c r="E803" s="93"/>
      <c r="F803" s="8" t="s">
        <v>52</v>
      </c>
      <c r="G803" s="35"/>
    </row>
    <row r="804" spans="2:7">
      <c r="B804" s="3"/>
      <c r="C804" s="92"/>
      <c r="D804" s="93"/>
      <c r="E804" s="93"/>
      <c r="F804" s="8" t="s">
        <v>52</v>
      </c>
      <c r="G804" s="35"/>
    </row>
    <row r="805" spans="2:7">
      <c r="B805" s="3"/>
      <c r="C805" s="92"/>
      <c r="D805" s="93"/>
      <c r="E805" s="93"/>
      <c r="F805" s="8" t="s">
        <v>52</v>
      </c>
      <c r="G805" s="35"/>
    </row>
    <row r="806" spans="2:7">
      <c r="B806" s="3"/>
      <c r="C806" s="92"/>
      <c r="D806" s="93"/>
      <c r="E806" s="93"/>
      <c r="F806" s="8" t="s">
        <v>52</v>
      </c>
      <c r="G806" s="35"/>
    </row>
    <row r="807" spans="2:7">
      <c r="B807" s="3"/>
      <c r="C807" s="92"/>
      <c r="D807" s="93"/>
      <c r="E807" s="93"/>
      <c r="F807" s="8" t="s">
        <v>52</v>
      </c>
      <c r="G807" s="35"/>
    </row>
    <row r="808" spans="2:7">
      <c r="B808" s="3"/>
      <c r="C808" s="92"/>
      <c r="D808" s="93"/>
      <c r="E808" s="93"/>
      <c r="F808" s="8" t="s">
        <v>52</v>
      </c>
      <c r="G808" s="35"/>
    </row>
    <row r="809" spans="2:7">
      <c r="B809" s="3"/>
      <c r="C809" s="92"/>
      <c r="D809" s="93"/>
      <c r="E809" s="93"/>
      <c r="F809" s="8" t="s">
        <v>52</v>
      </c>
      <c r="G809" s="35"/>
    </row>
    <row r="810" spans="2:7">
      <c r="B810" s="3"/>
      <c r="C810" s="92"/>
      <c r="D810" s="93"/>
      <c r="E810" s="93"/>
      <c r="F810" s="8" t="s">
        <v>52</v>
      </c>
      <c r="G810" s="35"/>
    </row>
    <row r="811" spans="2:7">
      <c r="B811" s="3"/>
      <c r="C811" s="92"/>
      <c r="D811" s="93"/>
      <c r="E811" s="93"/>
      <c r="F811" s="8" t="s">
        <v>52</v>
      </c>
      <c r="G811" s="35"/>
    </row>
    <row r="812" spans="2:7">
      <c r="B812" s="3"/>
      <c r="C812" s="92"/>
      <c r="D812" s="93"/>
      <c r="E812" s="93"/>
      <c r="F812" s="8" t="s">
        <v>52</v>
      </c>
      <c r="G812" s="35"/>
    </row>
    <row r="813" spans="2:7">
      <c r="B813" s="3"/>
      <c r="C813" s="92"/>
      <c r="D813" s="93"/>
      <c r="E813" s="93"/>
      <c r="F813" s="8" t="s">
        <v>52</v>
      </c>
      <c r="G813" s="35"/>
    </row>
    <row r="814" spans="2:7">
      <c r="B814" s="3"/>
      <c r="C814" s="92"/>
      <c r="D814" s="93"/>
      <c r="E814" s="93"/>
      <c r="F814" s="8" t="s">
        <v>52</v>
      </c>
      <c r="G814" s="35"/>
    </row>
    <row r="815" spans="2:7">
      <c r="B815" s="3"/>
      <c r="C815" s="92"/>
      <c r="D815" s="93"/>
      <c r="E815" s="93"/>
      <c r="F815" s="8" t="s">
        <v>52</v>
      </c>
      <c r="G815" s="35"/>
    </row>
    <row r="816" spans="2:7">
      <c r="B816" s="3"/>
      <c r="C816" s="92"/>
      <c r="D816" s="93"/>
      <c r="E816" s="93"/>
      <c r="F816" s="8" t="s">
        <v>52</v>
      </c>
      <c r="G816" s="35"/>
    </row>
    <row r="817" spans="2:7">
      <c r="B817" s="3"/>
      <c r="C817" s="92"/>
      <c r="D817" s="93"/>
      <c r="E817" s="93"/>
      <c r="F817" s="8" t="s">
        <v>52</v>
      </c>
      <c r="G817" s="35"/>
    </row>
    <row r="818" spans="2:7">
      <c r="B818" s="3"/>
      <c r="C818" s="92"/>
      <c r="D818" s="93"/>
      <c r="E818" s="93"/>
      <c r="F818" s="8" t="s">
        <v>52</v>
      </c>
      <c r="G818" s="35"/>
    </row>
    <row r="819" spans="2:7">
      <c r="B819" s="3"/>
      <c r="C819" s="92"/>
      <c r="D819" s="93"/>
      <c r="E819" s="93"/>
      <c r="F819" s="8"/>
      <c r="G819" s="35"/>
    </row>
    <row r="820" spans="2:7">
      <c r="B820" s="3">
        <v>263</v>
      </c>
      <c r="C820" s="92" t="s">
        <v>1222</v>
      </c>
      <c r="D820" s="93">
        <v>10122460056</v>
      </c>
      <c r="E820" s="93" t="s">
        <v>863</v>
      </c>
      <c r="F820" s="8" t="s">
        <v>53</v>
      </c>
      <c r="G820" s="35"/>
    </row>
    <row r="821" spans="2:7">
      <c r="B821" s="3">
        <v>264</v>
      </c>
      <c r="C821" s="92" t="s">
        <v>264</v>
      </c>
      <c r="D821" s="93">
        <v>10141535916</v>
      </c>
      <c r="E821" s="93" t="s">
        <v>1223</v>
      </c>
      <c r="F821" s="8" t="s">
        <v>53</v>
      </c>
      <c r="G821" s="35"/>
    </row>
    <row r="822" spans="2:7">
      <c r="B822" s="3">
        <v>265</v>
      </c>
      <c r="C822" s="92" t="s">
        <v>1055</v>
      </c>
      <c r="D822" s="93">
        <v>10164933831</v>
      </c>
      <c r="E822" s="93" t="s">
        <v>128</v>
      </c>
      <c r="F822" s="8" t="s">
        <v>53</v>
      </c>
      <c r="G822" s="35"/>
    </row>
    <row r="823" spans="2:7">
      <c r="B823" s="3"/>
      <c r="C823" s="92"/>
      <c r="D823" s="93"/>
      <c r="E823" s="93"/>
      <c r="F823" s="8" t="s">
        <v>53</v>
      </c>
      <c r="G823" s="35"/>
    </row>
    <row r="824" spans="2:7">
      <c r="B824" s="22"/>
      <c r="C824" s="8"/>
      <c r="D824" s="54"/>
      <c r="E824" s="54"/>
      <c r="F824" s="8"/>
      <c r="G824" s="35"/>
    </row>
    <row r="825" spans="2:7">
      <c r="B825" s="22">
        <v>302</v>
      </c>
      <c r="C825" s="92" t="s">
        <v>1171</v>
      </c>
      <c r="D825" s="93">
        <v>10128933895</v>
      </c>
      <c r="E825" s="93" t="s">
        <v>1172</v>
      </c>
      <c r="F825" s="8" t="s">
        <v>54</v>
      </c>
      <c r="G825" s="35"/>
    </row>
    <row r="826" spans="2:7">
      <c r="B826" s="22">
        <v>301</v>
      </c>
      <c r="C826" s="92" t="s">
        <v>267</v>
      </c>
      <c r="D826" s="93">
        <v>120760930</v>
      </c>
      <c r="E826" s="92" t="s">
        <v>109</v>
      </c>
      <c r="F826" s="8" t="s">
        <v>54</v>
      </c>
      <c r="G826" s="35"/>
    </row>
    <row r="827" spans="2:7">
      <c r="B827" s="22">
        <v>311</v>
      </c>
      <c r="C827" s="92" t="s">
        <v>1173</v>
      </c>
      <c r="D827" s="93">
        <v>10128424344</v>
      </c>
      <c r="E827" s="93" t="s">
        <v>6</v>
      </c>
      <c r="F827" s="8" t="s">
        <v>54</v>
      </c>
      <c r="G827" s="35"/>
    </row>
    <row r="828" spans="2:7">
      <c r="B828" s="22">
        <v>304</v>
      </c>
      <c r="C828" s="92" t="s">
        <v>645</v>
      </c>
      <c r="D828" s="93">
        <v>10156150681</v>
      </c>
      <c r="E828" s="93" t="s">
        <v>1174</v>
      </c>
      <c r="F828" s="8" t="s">
        <v>54</v>
      </c>
      <c r="G828" s="35"/>
    </row>
    <row r="829" spans="2:7">
      <c r="B829" s="22">
        <v>307</v>
      </c>
      <c r="C829" s="92" t="s">
        <v>275</v>
      </c>
      <c r="D829" s="93">
        <v>10153824200</v>
      </c>
      <c r="E829" s="93" t="s">
        <v>280</v>
      </c>
      <c r="F829" s="8" t="s">
        <v>54</v>
      </c>
      <c r="G829" s="35"/>
    </row>
    <row r="830" spans="2:7">
      <c r="B830" s="22">
        <v>303</v>
      </c>
      <c r="C830" s="92" t="s">
        <v>269</v>
      </c>
      <c r="D830" s="93">
        <v>10152378694</v>
      </c>
      <c r="E830" s="93" t="s">
        <v>110</v>
      </c>
      <c r="F830" s="8" t="s">
        <v>54</v>
      </c>
      <c r="G830" s="35"/>
    </row>
    <row r="831" spans="2:7">
      <c r="B831" s="22">
        <v>325</v>
      </c>
      <c r="C831" s="92" t="s">
        <v>649</v>
      </c>
      <c r="D831" s="93">
        <v>10152418609</v>
      </c>
      <c r="E831" s="93" t="s">
        <v>6</v>
      </c>
      <c r="F831" s="8" t="s">
        <v>54</v>
      </c>
      <c r="G831" s="35"/>
    </row>
    <row r="832" spans="2:7">
      <c r="B832" s="22">
        <v>323</v>
      </c>
      <c r="C832" s="92" t="s">
        <v>959</v>
      </c>
      <c r="D832" s="93">
        <v>10111930102</v>
      </c>
      <c r="E832" s="93" t="s">
        <v>648</v>
      </c>
      <c r="F832" s="8" t="s">
        <v>54</v>
      </c>
      <c r="G832" s="35"/>
    </row>
    <row r="833" spans="2:7">
      <c r="B833" s="22">
        <v>321</v>
      </c>
      <c r="C833" s="92" t="s">
        <v>291</v>
      </c>
      <c r="D833" s="93">
        <v>120870744</v>
      </c>
      <c r="E833" s="93" t="s">
        <v>71</v>
      </c>
      <c r="F833" s="8" t="s">
        <v>54</v>
      </c>
      <c r="G833" s="35"/>
    </row>
    <row r="834" spans="2:7">
      <c r="B834" s="22">
        <v>337</v>
      </c>
      <c r="C834" s="92" t="s">
        <v>317</v>
      </c>
      <c r="D834" s="93">
        <v>10173459020</v>
      </c>
      <c r="E834" s="92" t="s">
        <v>133</v>
      </c>
      <c r="F834" s="8" t="s">
        <v>54</v>
      </c>
      <c r="G834" s="35"/>
    </row>
    <row r="835" spans="2:7">
      <c r="B835" s="22">
        <v>333</v>
      </c>
      <c r="C835" s="92" t="s">
        <v>1177</v>
      </c>
      <c r="D835" s="93" t="s">
        <v>66</v>
      </c>
      <c r="E835" s="93" t="s">
        <v>71</v>
      </c>
      <c r="F835" s="8" t="s">
        <v>54</v>
      </c>
      <c r="G835" s="35"/>
    </row>
    <row r="836" spans="2:7">
      <c r="B836" s="22">
        <v>305</v>
      </c>
      <c r="C836" s="92" t="s">
        <v>1178</v>
      </c>
      <c r="D836" s="93">
        <v>12348</v>
      </c>
      <c r="E836" s="93" t="s">
        <v>1179</v>
      </c>
      <c r="F836" s="8" t="s">
        <v>54</v>
      </c>
      <c r="G836" s="35"/>
    </row>
    <row r="837" spans="2:7">
      <c r="B837" s="22">
        <v>314</v>
      </c>
      <c r="C837" s="92" t="s">
        <v>283</v>
      </c>
      <c r="D837" s="93">
        <v>10164592614</v>
      </c>
      <c r="E837" s="93" t="s">
        <v>108</v>
      </c>
      <c r="F837" s="8" t="s">
        <v>54</v>
      </c>
      <c r="G837" s="35"/>
    </row>
    <row r="838" spans="2:7">
      <c r="B838" s="22">
        <v>327</v>
      </c>
      <c r="C838" s="23" t="s">
        <v>1175</v>
      </c>
      <c r="D838" s="60">
        <v>10171445864</v>
      </c>
      <c r="E838" s="93" t="s">
        <v>1176</v>
      </c>
      <c r="F838" s="8" t="s">
        <v>54</v>
      </c>
      <c r="G838" s="35"/>
    </row>
    <row r="839" spans="2:7">
      <c r="B839" s="22">
        <v>309</v>
      </c>
      <c r="C839" s="92" t="s">
        <v>277</v>
      </c>
      <c r="D839" s="93">
        <v>13243</v>
      </c>
      <c r="E839" s="93" t="s">
        <v>614</v>
      </c>
      <c r="F839" s="8" t="s">
        <v>54</v>
      </c>
      <c r="G839" s="35"/>
    </row>
    <row r="840" spans="2:7">
      <c r="B840" s="22">
        <v>310</v>
      </c>
      <c r="C840" s="92" t="s">
        <v>1180</v>
      </c>
      <c r="D840" s="93">
        <v>10140942495</v>
      </c>
      <c r="E840" s="92" t="s">
        <v>108</v>
      </c>
      <c r="F840" s="8" t="s">
        <v>54</v>
      </c>
      <c r="G840" s="35"/>
    </row>
    <row r="841" spans="2:7">
      <c r="B841" s="22">
        <v>326</v>
      </c>
      <c r="C841" s="92" t="s">
        <v>1185</v>
      </c>
      <c r="D841" s="93">
        <v>10120480953</v>
      </c>
      <c r="E841" s="93" t="s">
        <v>130</v>
      </c>
      <c r="F841" s="8" t="s">
        <v>54</v>
      </c>
      <c r="G841" s="35"/>
    </row>
    <row r="842" spans="2:7">
      <c r="B842" s="22">
        <v>319</v>
      </c>
      <c r="C842" s="92" t="s">
        <v>288</v>
      </c>
      <c r="D842" s="93">
        <v>10155992956</v>
      </c>
      <c r="E842" s="93" t="s">
        <v>125</v>
      </c>
      <c r="F842" s="8" t="s">
        <v>54</v>
      </c>
      <c r="G842" s="35"/>
    </row>
    <row r="843" spans="2:7">
      <c r="B843" s="22">
        <v>306</v>
      </c>
      <c r="C843" s="92" t="s">
        <v>1181</v>
      </c>
      <c r="D843" s="93" t="s">
        <v>66</v>
      </c>
      <c r="E843" s="92" t="s">
        <v>280</v>
      </c>
      <c r="F843" s="8" t="s">
        <v>54</v>
      </c>
      <c r="G843" s="35"/>
    </row>
    <row r="844" spans="2:7">
      <c r="B844" s="22">
        <v>336</v>
      </c>
      <c r="C844" s="92" t="s">
        <v>315</v>
      </c>
      <c r="D844" s="93">
        <v>10173205507</v>
      </c>
      <c r="E844" s="93" t="s">
        <v>316</v>
      </c>
      <c r="F844" s="8" t="s">
        <v>54</v>
      </c>
      <c r="G844" s="35"/>
    </row>
    <row r="845" spans="2:7">
      <c r="B845" s="22">
        <v>322</v>
      </c>
      <c r="C845" s="23" t="s">
        <v>293</v>
      </c>
      <c r="D845" s="93">
        <v>10141584820</v>
      </c>
      <c r="E845" s="93" t="s">
        <v>1187</v>
      </c>
      <c r="F845" s="8" t="s">
        <v>54</v>
      </c>
      <c r="G845" s="35"/>
    </row>
    <row r="846" spans="2:7">
      <c r="B846" s="22">
        <v>332</v>
      </c>
      <c r="C846" s="92" t="s">
        <v>308</v>
      </c>
      <c r="D846" s="93">
        <v>121280045</v>
      </c>
      <c r="E846" s="93" t="s">
        <v>65</v>
      </c>
      <c r="F846" s="8" t="s">
        <v>54</v>
      </c>
      <c r="G846" s="35"/>
    </row>
    <row r="847" spans="2:7">
      <c r="B847" s="22">
        <v>342</v>
      </c>
      <c r="C847" s="92" t="s">
        <v>1183</v>
      </c>
      <c r="D847" s="93">
        <v>10166012652</v>
      </c>
      <c r="E847" s="92" t="s">
        <v>1184</v>
      </c>
      <c r="F847" s="8" t="s">
        <v>54</v>
      </c>
      <c r="G847" s="35"/>
    </row>
    <row r="848" spans="2:7">
      <c r="B848" s="22">
        <v>320</v>
      </c>
      <c r="C848" s="92" t="s">
        <v>290</v>
      </c>
      <c r="D848" s="93">
        <v>10136994902</v>
      </c>
      <c r="E848" s="93" t="s">
        <v>150</v>
      </c>
      <c r="F848" s="8" t="s">
        <v>54</v>
      </c>
      <c r="G848" s="35"/>
    </row>
    <row r="849" spans="2:7">
      <c r="B849" s="22">
        <v>315</v>
      </c>
      <c r="C849" s="92" t="s">
        <v>1186</v>
      </c>
      <c r="D849" s="93">
        <v>12664</v>
      </c>
      <c r="E849" s="93" t="s">
        <v>86</v>
      </c>
      <c r="F849" s="8" t="s">
        <v>54</v>
      </c>
      <c r="G849" s="35"/>
    </row>
    <row r="850" spans="2:7">
      <c r="B850" s="22">
        <v>317</v>
      </c>
      <c r="C850" s="92" t="s">
        <v>286</v>
      </c>
      <c r="D850" s="93" t="s">
        <v>66</v>
      </c>
      <c r="E850" s="93" t="s">
        <v>84</v>
      </c>
      <c r="F850" s="8" t="s">
        <v>54</v>
      </c>
      <c r="G850" s="35"/>
    </row>
    <row r="851" spans="2:7">
      <c r="B851" s="22">
        <v>344</v>
      </c>
      <c r="C851" s="92" t="s">
        <v>1182</v>
      </c>
      <c r="D851" s="93">
        <v>10128563982</v>
      </c>
      <c r="E851" s="93" t="s">
        <v>125</v>
      </c>
      <c r="F851" s="8" t="s">
        <v>54</v>
      </c>
      <c r="G851" s="35"/>
    </row>
    <row r="852" spans="2:7">
      <c r="B852" s="22">
        <v>341</v>
      </c>
      <c r="C852" s="23" t="s">
        <v>670</v>
      </c>
      <c r="D852" s="93">
        <v>209350007</v>
      </c>
      <c r="E852" s="93" t="s">
        <v>65</v>
      </c>
      <c r="F852" s="8" t="s">
        <v>54</v>
      </c>
      <c r="G852" s="35"/>
    </row>
    <row r="853" spans="2:7">
      <c r="B853" s="22">
        <v>318</v>
      </c>
      <c r="C853" s="92" t="s">
        <v>287</v>
      </c>
      <c r="D853" s="93" t="s">
        <v>66</v>
      </c>
      <c r="E853" s="93" t="s">
        <v>84</v>
      </c>
      <c r="F853" s="8" t="s">
        <v>54</v>
      </c>
      <c r="G853" s="35"/>
    </row>
    <row r="854" spans="2:7">
      <c r="B854" s="22">
        <v>324</v>
      </c>
      <c r="C854" s="23" t="s">
        <v>297</v>
      </c>
      <c r="D854" s="60">
        <v>10161110819</v>
      </c>
      <c r="E854" s="93" t="s">
        <v>1189</v>
      </c>
      <c r="F854" s="8" t="s">
        <v>54</v>
      </c>
      <c r="G854" s="35"/>
    </row>
    <row r="855" spans="2:7">
      <c r="B855" s="22">
        <v>343</v>
      </c>
      <c r="C855" s="92" t="s">
        <v>673</v>
      </c>
      <c r="D855" s="93" t="s">
        <v>66</v>
      </c>
      <c r="E855" s="93" t="s">
        <v>107</v>
      </c>
      <c r="F855" s="8" t="s">
        <v>54</v>
      </c>
      <c r="G855" s="35"/>
    </row>
    <row r="856" spans="2:7">
      <c r="B856" s="22">
        <v>329</v>
      </c>
      <c r="C856" s="92" t="s">
        <v>668</v>
      </c>
      <c r="D856" s="93">
        <v>10144442579</v>
      </c>
      <c r="E856" s="92" t="s">
        <v>125</v>
      </c>
      <c r="F856" s="8" t="s">
        <v>54</v>
      </c>
      <c r="G856" s="35"/>
    </row>
    <row r="857" spans="2:7">
      <c r="B857" s="107">
        <v>351</v>
      </c>
      <c r="C857" s="23" t="s">
        <v>1188</v>
      </c>
      <c r="D857" s="60">
        <v>10152378795</v>
      </c>
      <c r="E857" s="93" t="s">
        <v>65</v>
      </c>
      <c r="F857" s="8" t="s">
        <v>54</v>
      </c>
      <c r="G857" s="35"/>
    </row>
    <row r="858" spans="2:7">
      <c r="B858" s="107">
        <v>352</v>
      </c>
      <c r="C858" s="92" t="s">
        <v>1248</v>
      </c>
      <c r="D858" s="93" t="s">
        <v>66</v>
      </c>
      <c r="E858" s="93" t="s">
        <v>84</v>
      </c>
      <c r="F858" s="8" t="s">
        <v>54</v>
      </c>
      <c r="G858" s="35"/>
    </row>
    <row r="859" spans="2:7">
      <c r="B859" s="22"/>
      <c r="C859" s="92"/>
      <c r="D859" s="93"/>
      <c r="E859" s="92"/>
      <c r="F859" s="8" t="s">
        <v>54</v>
      </c>
      <c r="G859" s="35"/>
    </row>
    <row r="860" spans="2:7">
      <c r="B860" s="22"/>
      <c r="C860" s="92"/>
      <c r="D860" s="93"/>
      <c r="E860" s="93"/>
      <c r="F860" s="8" t="s">
        <v>54</v>
      </c>
      <c r="G860" s="35"/>
    </row>
    <row r="861" spans="2:7">
      <c r="B861" s="22"/>
      <c r="C861" s="92"/>
      <c r="D861" s="93"/>
      <c r="E861" s="93"/>
      <c r="F861" s="8" t="s">
        <v>54</v>
      </c>
      <c r="G861" s="35"/>
    </row>
    <row r="862" spans="2:7">
      <c r="B862" s="22"/>
      <c r="C862" s="92"/>
      <c r="D862" s="93"/>
      <c r="E862" s="93"/>
      <c r="F862" s="8" t="s">
        <v>54</v>
      </c>
      <c r="G862" s="35"/>
    </row>
    <row r="863" spans="2:7">
      <c r="B863" s="22"/>
      <c r="C863" s="92"/>
      <c r="D863" s="93"/>
      <c r="E863" s="92"/>
      <c r="F863" s="8" t="s">
        <v>54</v>
      </c>
      <c r="G863" s="35"/>
    </row>
    <row r="864" spans="2:7">
      <c r="B864" s="22"/>
      <c r="C864" s="92"/>
      <c r="D864" s="93"/>
      <c r="E864" s="92"/>
      <c r="F864" s="8" t="s">
        <v>54</v>
      </c>
      <c r="G864" s="35"/>
    </row>
    <row r="865" spans="2:7">
      <c r="B865" s="22"/>
      <c r="C865" s="92"/>
      <c r="D865" s="93"/>
      <c r="E865" s="93"/>
      <c r="F865" s="8" t="s">
        <v>54</v>
      </c>
      <c r="G865" s="35"/>
    </row>
    <row r="866" spans="2:7">
      <c r="B866" s="22"/>
      <c r="C866" s="23"/>
      <c r="D866" s="93"/>
      <c r="E866" s="93"/>
      <c r="F866" s="8" t="s">
        <v>54</v>
      </c>
      <c r="G866" s="35"/>
    </row>
    <row r="867" spans="2:7">
      <c r="B867" s="22"/>
      <c r="C867" s="23"/>
      <c r="D867" s="93"/>
      <c r="E867" s="93"/>
      <c r="F867" s="8"/>
      <c r="G867" s="35"/>
    </row>
    <row r="868" spans="2:7">
      <c r="B868" s="22">
        <v>381</v>
      </c>
      <c r="C868" s="92" t="s">
        <v>322</v>
      </c>
      <c r="D868" s="93" t="s">
        <v>66</v>
      </c>
      <c r="E868" s="93" t="s">
        <v>100</v>
      </c>
      <c r="F868" s="8" t="s">
        <v>55</v>
      </c>
      <c r="G868" s="35"/>
    </row>
    <row r="869" spans="2:7">
      <c r="B869" s="22">
        <v>384</v>
      </c>
      <c r="C869" s="93" t="s">
        <v>1163</v>
      </c>
      <c r="D869" s="93">
        <v>10141538340</v>
      </c>
      <c r="E869" s="92" t="s">
        <v>1164</v>
      </c>
      <c r="F869" s="8" t="s">
        <v>55</v>
      </c>
      <c r="G869" s="35"/>
    </row>
    <row r="870" spans="2:7">
      <c r="B870" s="22">
        <v>387</v>
      </c>
      <c r="C870" s="92" t="s">
        <v>329</v>
      </c>
      <c r="D870" s="93" t="s">
        <v>66</v>
      </c>
      <c r="E870" s="93" t="s">
        <v>100</v>
      </c>
      <c r="F870" s="8" t="s">
        <v>55</v>
      </c>
      <c r="G870" s="35"/>
    </row>
    <row r="871" spans="2:7">
      <c r="B871" s="22">
        <v>382</v>
      </c>
      <c r="C871" s="92" t="s">
        <v>1162</v>
      </c>
      <c r="D871" s="93">
        <v>10128546909</v>
      </c>
      <c r="E871" s="92" t="s">
        <v>64</v>
      </c>
      <c r="F871" s="8" t="s">
        <v>55</v>
      </c>
      <c r="G871" s="35"/>
    </row>
    <row r="872" spans="2:7">
      <c r="B872" s="22">
        <v>388</v>
      </c>
      <c r="C872" s="92" t="s">
        <v>330</v>
      </c>
      <c r="D872" s="93">
        <v>10128284605</v>
      </c>
      <c r="E872" s="92" t="s">
        <v>672</v>
      </c>
      <c r="F872" s="8" t="s">
        <v>55</v>
      </c>
      <c r="G872" s="35"/>
    </row>
    <row r="873" spans="2:7">
      <c r="B873" s="22">
        <v>386</v>
      </c>
      <c r="C873" s="92" t="s">
        <v>977</v>
      </c>
      <c r="D873" s="93">
        <v>10152378391</v>
      </c>
      <c r="E873" s="93" t="s">
        <v>978</v>
      </c>
      <c r="F873" s="8" t="s">
        <v>55</v>
      </c>
      <c r="G873" s="35"/>
    </row>
    <row r="874" spans="2:7">
      <c r="B874" s="22">
        <v>383</v>
      </c>
      <c r="C874" s="92" t="s">
        <v>324</v>
      </c>
      <c r="D874" s="93">
        <v>10128827401</v>
      </c>
      <c r="E874" s="93" t="s">
        <v>64</v>
      </c>
      <c r="F874" s="8" t="s">
        <v>55</v>
      </c>
      <c r="G874" s="35"/>
    </row>
    <row r="875" spans="2:7">
      <c r="B875" s="22">
        <v>385</v>
      </c>
      <c r="C875" s="93" t="s">
        <v>1165</v>
      </c>
      <c r="D875" s="93">
        <v>10171339063</v>
      </c>
      <c r="E875" s="92" t="s">
        <v>1166</v>
      </c>
      <c r="F875" s="8" t="s">
        <v>55</v>
      </c>
      <c r="G875" s="35"/>
    </row>
    <row r="876" spans="2:7">
      <c r="B876" s="22"/>
      <c r="C876" s="92"/>
      <c r="D876" s="93"/>
      <c r="E876" s="93"/>
      <c r="F876" s="8" t="s">
        <v>55</v>
      </c>
      <c r="G876" s="35"/>
    </row>
    <row r="877" spans="2:7">
      <c r="B877" s="22"/>
      <c r="C877" s="92"/>
      <c r="D877" s="93"/>
      <c r="E877" s="93"/>
      <c r="F877" s="8"/>
      <c r="G877" s="35"/>
    </row>
    <row r="878" spans="2:7">
      <c r="B878" s="22">
        <v>510</v>
      </c>
      <c r="C878" s="92" t="s">
        <v>347</v>
      </c>
      <c r="D878" s="93">
        <v>10126142218</v>
      </c>
      <c r="E878" s="93" t="s">
        <v>125</v>
      </c>
      <c r="F878" s="8" t="s">
        <v>56</v>
      </c>
      <c r="G878" s="35"/>
    </row>
    <row r="879" spans="2:7">
      <c r="B879" s="22">
        <v>518</v>
      </c>
      <c r="C879" s="92" t="s">
        <v>356</v>
      </c>
      <c r="D879" s="93">
        <v>10141584517</v>
      </c>
      <c r="E879" s="93" t="s">
        <v>357</v>
      </c>
      <c r="F879" s="8" t="s">
        <v>56</v>
      </c>
      <c r="G879" s="35"/>
    </row>
    <row r="880" spans="2:7">
      <c r="B880" s="22">
        <v>505</v>
      </c>
      <c r="C880" s="92" t="s">
        <v>339</v>
      </c>
      <c r="D880" s="93">
        <v>10156807554</v>
      </c>
      <c r="E880" s="93" t="s">
        <v>340</v>
      </c>
      <c r="F880" s="8" t="s">
        <v>56</v>
      </c>
      <c r="G880" s="35"/>
    </row>
    <row r="881" spans="2:7">
      <c r="B881" s="22">
        <v>502</v>
      </c>
      <c r="C881" s="92" t="s">
        <v>1245</v>
      </c>
      <c r="D881" s="95" t="s">
        <v>66</v>
      </c>
      <c r="E881" s="93" t="s">
        <v>84</v>
      </c>
      <c r="F881" s="8" t="s">
        <v>56</v>
      </c>
      <c r="G881" s="35"/>
    </row>
    <row r="882" spans="2:7">
      <c r="B882" s="22">
        <v>521</v>
      </c>
      <c r="C882" s="92" t="s">
        <v>693</v>
      </c>
      <c r="D882" s="93">
        <v>10153425183</v>
      </c>
      <c r="E882" s="93" t="s">
        <v>125</v>
      </c>
      <c r="F882" s="8" t="s">
        <v>56</v>
      </c>
      <c r="G882" s="35"/>
    </row>
    <row r="883" spans="2:7">
      <c r="B883" s="22">
        <v>507</v>
      </c>
      <c r="C883" s="92" t="s">
        <v>696</v>
      </c>
      <c r="D883" s="93">
        <v>10129054440</v>
      </c>
      <c r="E883" s="93" t="s">
        <v>150</v>
      </c>
      <c r="F883" s="8" t="s">
        <v>56</v>
      </c>
      <c r="G883" s="35"/>
    </row>
    <row r="884" spans="2:7">
      <c r="B884" s="22">
        <v>524</v>
      </c>
      <c r="C884" s="92" t="s">
        <v>935</v>
      </c>
      <c r="D884" s="93">
        <v>5117</v>
      </c>
      <c r="E884" s="93" t="s">
        <v>695</v>
      </c>
      <c r="F884" s="8" t="s">
        <v>56</v>
      </c>
      <c r="G884" s="35"/>
    </row>
    <row r="885" spans="2:7">
      <c r="B885" s="22">
        <v>512</v>
      </c>
      <c r="C885" s="92" t="s">
        <v>1151</v>
      </c>
      <c r="D885" s="93">
        <v>10131905735</v>
      </c>
      <c r="E885" s="92" t="s">
        <v>128</v>
      </c>
      <c r="F885" s="8" t="s">
        <v>56</v>
      </c>
      <c r="G885" s="35"/>
    </row>
    <row r="886" spans="2:7">
      <c r="B886" s="22">
        <v>503</v>
      </c>
      <c r="C886" s="92" t="s">
        <v>939</v>
      </c>
      <c r="D886" s="93">
        <v>10142567550</v>
      </c>
      <c r="E886" s="93" t="s">
        <v>154</v>
      </c>
      <c r="F886" s="8" t="s">
        <v>56</v>
      </c>
      <c r="G886" s="35"/>
    </row>
    <row r="887" spans="2:7">
      <c r="B887" s="22">
        <v>514</v>
      </c>
      <c r="C887" s="92" t="s">
        <v>944</v>
      </c>
      <c r="D887" s="93">
        <v>10157013577</v>
      </c>
      <c r="E887" s="93" t="s">
        <v>1153</v>
      </c>
      <c r="F887" s="8" t="s">
        <v>56</v>
      </c>
      <c r="G887" s="35"/>
    </row>
    <row r="888" spans="2:7">
      <c r="B888" s="22">
        <v>501</v>
      </c>
      <c r="C888" s="92" t="s">
        <v>692</v>
      </c>
      <c r="D888" s="93">
        <v>13221</v>
      </c>
      <c r="E888" s="92" t="s">
        <v>1152</v>
      </c>
      <c r="F888" s="8" t="s">
        <v>56</v>
      </c>
      <c r="G888" s="35"/>
    </row>
    <row r="889" spans="2:7">
      <c r="B889" s="22">
        <v>504</v>
      </c>
      <c r="C889" s="92" t="s">
        <v>338</v>
      </c>
      <c r="D889" s="93">
        <v>10154828350</v>
      </c>
      <c r="E889" s="93" t="s">
        <v>124</v>
      </c>
      <c r="F889" s="8" t="s">
        <v>56</v>
      </c>
      <c r="G889" s="35"/>
    </row>
    <row r="890" spans="2:7">
      <c r="B890" s="22">
        <v>516</v>
      </c>
      <c r="C890" s="92" t="s">
        <v>354</v>
      </c>
      <c r="D890" s="93" t="s">
        <v>66</v>
      </c>
      <c r="E890" s="92" t="s">
        <v>84</v>
      </c>
      <c r="F890" s="8" t="s">
        <v>56</v>
      </c>
      <c r="G890" s="35"/>
    </row>
    <row r="891" spans="2:7">
      <c r="B891" s="22">
        <v>513</v>
      </c>
      <c r="C891" s="92" t="s">
        <v>1155</v>
      </c>
      <c r="D891" s="93">
        <v>10131905331</v>
      </c>
      <c r="E891" s="93" t="s">
        <v>130</v>
      </c>
      <c r="F891" s="8" t="s">
        <v>56</v>
      </c>
      <c r="G891" s="35"/>
    </row>
    <row r="892" spans="2:7">
      <c r="B892" s="22">
        <v>517</v>
      </c>
      <c r="C892" s="92" t="s">
        <v>706</v>
      </c>
      <c r="D892" s="93">
        <v>10171431821</v>
      </c>
      <c r="E892" s="93" t="s">
        <v>240</v>
      </c>
      <c r="F892" s="8" t="s">
        <v>56</v>
      </c>
      <c r="G892" s="35"/>
    </row>
    <row r="893" spans="2:7">
      <c r="B893" s="22">
        <v>515</v>
      </c>
      <c r="C893" s="92" t="s">
        <v>948</v>
      </c>
      <c r="D893" s="93">
        <v>10171999875</v>
      </c>
      <c r="E893" s="93" t="s">
        <v>130</v>
      </c>
      <c r="F893" s="8" t="s">
        <v>56</v>
      </c>
      <c r="G893" s="35"/>
    </row>
    <row r="894" spans="2:7">
      <c r="B894" s="22">
        <v>509</v>
      </c>
      <c r="C894" s="92" t="s">
        <v>708</v>
      </c>
      <c r="D894" s="93">
        <v>605370547</v>
      </c>
      <c r="E894" s="93" t="s">
        <v>71</v>
      </c>
      <c r="F894" s="8" t="s">
        <v>56</v>
      </c>
      <c r="G894" s="35"/>
    </row>
    <row r="895" spans="2:7">
      <c r="B895" s="22">
        <v>537</v>
      </c>
      <c r="C895" s="92" t="s">
        <v>1154</v>
      </c>
      <c r="D895" s="93">
        <v>1210</v>
      </c>
      <c r="E895" s="93" t="s">
        <v>1152</v>
      </c>
      <c r="F895" s="8" t="s">
        <v>56</v>
      </c>
      <c r="G895" s="35"/>
    </row>
    <row r="896" spans="2:7">
      <c r="B896" s="22">
        <v>528</v>
      </c>
      <c r="C896" s="92" t="s">
        <v>1161</v>
      </c>
      <c r="D896" s="95">
        <v>10140850549</v>
      </c>
      <c r="E896" s="92" t="s">
        <v>125</v>
      </c>
      <c r="F896" s="8" t="s">
        <v>56</v>
      </c>
      <c r="G896" s="35"/>
    </row>
    <row r="897" spans="2:7">
      <c r="B897" s="22">
        <v>532</v>
      </c>
      <c r="C897" s="92" t="s">
        <v>1159</v>
      </c>
      <c r="D897" s="93" t="s">
        <v>66</v>
      </c>
      <c r="E897" s="93" t="s">
        <v>1160</v>
      </c>
      <c r="F897" s="8" t="s">
        <v>56</v>
      </c>
      <c r="G897" s="35"/>
    </row>
    <row r="898" spans="2:7">
      <c r="B898" s="22">
        <v>536</v>
      </c>
      <c r="C898" s="92" t="s">
        <v>1156</v>
      </c>
      <c r="D898" s="93">
        <v>402950828</v>
      </c>
      <c r="E898" s="93" t="s">
        <v>71</v>
      </c>
      <c r="F898" s="8" t="s">
        <v>56</v>
      </c>
      <c r="G898" s="35"/>
    </row>
    <row r="899" spans="2:7">
      <c r="B899" s="107">
        <v>538</v>
      </c>
      <c r="C899" s="92" t="s">
        <v>1157</v>
      </c>
      <c r="D899" s="93" t="s">
        <v>66</v>
      </c>
      <c r="E899" s="93" t="s">
        <v>1158</v>
      </c>
      <c r="F899" s="8" t="s">
        <v>56</v>
      </c>
      <c r="G899" s="35"/>
    </row>
    <row r="900" spans="2:7">
      <c r="B900" s="22">
        <v>410</v>
      </c>
      <c r="C900" s="92" t="s">
        <v>1146</v>
      </c>
      <c r="D900" s="93"/>
      <c r="E900" s="93" t="s">
        <v>1168</v>
      </c>
      <c r="F900" s="8" t="s">
        <v>56</v>
      </c>
      <c r="G900" s="35"/>
    </row>
    <row r="901" spans="2:7">
      <c r="B901" s="22"/>
      <c r="C901" s="92"/>
      <c r="D901" s="93"/>
      <c r="E901" s="92"/>
      <c r="F901" s="8" t="s">
        <v>56</v>
      </c>
      <c r="G901" s="35"/>
    </row>
    <row r="902" spans="2:7">
      <c r="B902" s="22"/>
      <c r="C902" s="92"/>
      <c r="D902" s="93"/>
      <c r="E902" s="93"/>
      <c r="F902" s="8" t="s">
        <v>56</v>
      </c>
      <c r="G902" s="35"/>
    </row>
    <row r="903" spans="2:7">
      <c r="B903" s="22"/>
      <c r="C903" s="92"/>
      <c r="D903" s="93"/>
      <c r="E903" s="93"/>
      <c r="F903" s="8" t="s">
        <v>56</v>
      </c>
      <c r="G903" s="35"/>
    </row>
    <row r="904" spans="2:7">
      <c r="B904" s="22"/>
      <c r="C904" s="92"/>
      <c r="D904" s="93"/>
      <c r="E904" s="92"/>
      <c r="F904" s="8" t="s">
        <v>56</v>
      </c>
      <c r="G904" s="35"/>
    </row>
    <row r="905" spans="2:7">
      <c r="B905" s="22"/>
      <c r="C905" s="92"/>
      <c r="D905" s="93"/>
      <c r="E905" s="92"/>
      <c r="F905" s="8" t="s">
        <v>56</v>
      </c>
      <c r="G905" s="35"/>
    </row>
    <row r="906" spans="2:7">
      <c r="B906" s="22"/>
      <c r="C906" s="92"/>
      <c r="D906" s="93"/>
      <c r="E906" s="92"/>
      <c r="F906" s="8" t="s">
        <v>56</v>
      </c>
      <c r="G906" s="35"/>
    </row>
    <row r="907" spans="2:7">
      <c r="B907" s="22"/>
      <c r="C907" s="92"/>
      <c r="D907" s="93"/>
      <c r="E907" s="92"/>
      <c r="F907" s="8" t="s">
        <v>56</v>
      </c>
      <c r="G907" s="35"/>
    </row>
    <row r="908" spans="2:7">
      <c r="B908" s="22"/>
      <c r="C908" s="92"/>
      <c r="D908" s="93"/>
      <c r="E908" s="92"/>
      <c r="F908" s="8" t="s">
        <v>56</v>
      </c>
      <c r="G908" s="35"/>
    </row>
    <row r="909" spans="2:7">
      <c r="B909" s="22"/>
      <c r="C909" s="92"/>
      <c r="D909" s="93"/>
      <c r="E909" s="92"/>
      <c r="F909" s="8" t="s">
        <v>56</v>
      </c>
      <c r="G909" s="35"/>
    </row>
    <row r="910" spans="2:7">
      <c r="B910" s="22"/>
      <c r="C910" s="92"/>
      <c r="D910" s="93"/>
      <c r="E910" s="92"/>
      <c r="F910" s="8"/>
      <c r="G910" s="35"/>
    </row>
    <row r="911" spans="2:7">
      <c r="B911" s="22">
        <v>581</v>
      </c>
      <c r="C911" s="22" t="s">
        <v>366</v>
      </c>
      <c r="D911" s="93">
        <v>121480116</v>
      </c>
      <c r="E911" s="92" t="s">
        <v>109</v>
      </c>
      <c r="F911" s="8" t="s">
        <v>57</v>
      </c>
      <c r="G911" s="35"/>
    </row>
    <row r="912" spans="2:7">
      <c r="B912" s="22">
        <v>584</v>
      </c>
      <c r="C912" s="93" t="s">
        <v>369</v>
      </c>
      <c r="D912" s="93">
        <v>10154309503</v>
      </c>
      <c r="E912" s="92" t="s">
        <v>110</v>
      </c>
      <c r="F912" s="8" t="s">
        <v>57</v>
      </c>
      <c r="G912" s="35"/>
    </row>
    <row r="913" spans="2:7">
      <c r="B913" s="22">
        <v>583</v>
      </c>
      <c r="C913" s="92" t="s">
        <v>951</v>
      </c>
      <c r="D913" s="93">
        <v>10154228768</v>
      </c>
      <c r="E913" s="93" t="s">
        <v>124</v>
      </c>
      <c r="F913" s="8" t="s">
        <v>57</v>
      </c>
      <c r="G913" s="35"/>
    </row>
    <row r="914" spans="2:7">
      <c r="B914" s="22">
        <v>582</v>
      </c>
      <c r="C914" s="92" t="s">
        <v>1167</v>
      </c>
      <c r="D914" s="93">
        <v>10164934033</v>
      </c>
      <c r="E914" s="93" t="s">
        <v>130</v>
      </c>
      <c r="F914" s="8" t="s">
        <v>57</v>
      </c>
      <c r="G914" s="35"/>
    </row>
    <row r="915" spans="2:7">
      <c r="B915" s="22">
        <v>586</v>
      </c>
      <c r="C915" s="92" t="s">
        <v>728</v>
      </c>
      <c r="D915" s="93" t="s">
        <v>66</v>
      </c>
      <c r="E915" s="93" t="s">
        <v>150</v>
      </c>
      <c r="F915" s="8" t="s">
        <v>57</v>
      </c>
      <c r="G915" s="35"/>
    </row>
    <row r="916" spans="2:7">
      <c r="B916" s="22">
        <v>585</v>
      </c>
      <c r="C916" s="92" t="s">
        <v>370</v>
      </c>
      <c r="D916" s="93">
        <v>10132320209</v>
      </c>
      <c r="E916" s="93" t="s">
        <v>1168</v>
      </c>
      <c r="F916" s="8" t="s">
        <v>57</v>
      </c>
      <c r="G916" s="35"/>
    </row>
    <row r="917" spans="2:7">
      <c r="B917" s="22">
        <v>589</v>
      </c>
      <c r="C917" s="92" t="s">
        <v>374</v>
      </c>
      <c r="D917" s="93">
        <v>10164743360</v>
      </c>
      <c r="E917" s="93" t="s">
        <v>150</v>
      </c>
      <c r="F917" s="8" t="s">
        <v>57</v>
      </c>
      <c r="G917" s="35"/>
    </row>
    <row r="918" spans="2:7">
      <c r="B918" s="22">
        <v>588</v>
      </c>
      <c r="C918" s="92" t="s">
        <v>729</v>
      </c>
      <c r="D918" s="93" t="s">
        <v>66</v>
      </c>
      <c r="E918" s="92" t="s">
        <v>150</v>
      </c>
      <c r="F918" s="8" t="s">
        <v>57</v>
      </c>
      <c r="G918" s="35"/>
    </row>
    <row r="919" spans="2:7">
      <c r="B919" s="22">
        <v>587</v>
      </c>
      <c r="C919" s="92" t="s">
        <v>372</v>
      </c>
      <c r="D919" s="93" t="s">
        <v>66</v>
      </c>
      <c r="E919" s="93" t="s">
        <v>150</v>
      </c>
      <c r="F919" s="8" t="s">
        <v>57</v>
      </c>
      <c r="G919" s="35"/>
    </row>
    <row r="920" spans="2:7">
      <c r="B920" s="22">
        <v>595</v>
      </c>
      <c r="C920" s="92" t="s">
        <v>738</v>
      </c>
      <c r="D920" s="93">
        <v>10173517826</v>
      </c>
      <c r="E920" s="93" t="s">
        <v>1170</v>
      </c>
      <c r="F920" s="8" t="s">
        <v>57</v>
      </c>
      <c r="G920" s="35"/>
    </row>
    <row r="921" spans="2:7">
      <c r="B921" s="107">
        <v>597</v>
      </c>
      <c r="C921" s="92" t="s">
        <v>1169</v>
      </c>
      <c r="D921" s="17" t="s">
        <v>66</v>
      </c>
      <c r="E921" t="s">
        <v>129</v>
      </c>
      <c r="F921" s="8" t="s">
        <v>57</v>
      </c>
      <c r="G921" s="35"/>
    </row>
    <row r="922" spans="2:7">
      <c r="B922" s="41"/>
      <c r="C922" s="8"/>
      <c r="D922" s="54"/>
      <c r="E922" s="54"/>
      <c r="F922" s="8" t="s">
        <v>57</v>
      </c>
      <c r="G922" s="35"/>
    </row>
    <row r="923" spans="2:7">
      <c r="B923" s="41"/>
      <c r="C923" s="8"/>
      <c r="D923" s="54"/>
      <c r="E923" s="54"/>
      <c r="F923" s="8" t="s">
        <v>57</v>
      </c>
      <c r="G923" s="35"/>
    </row>
    <row r="924" spans="2:7">
      <c r="B924" s="41"/>
      <c r="C924" s="8"/>
      <c r="D924" s="54"/>
      <c r="E924" s="54"/>
      <c r="F924" s="8" t="s">
        <v>57</v>
      </c>
      <c r="G924" s="35"/>
    </row>
    <row r="925" spans="2:7">
      <c r="B925" s="41"/>
      <c r="C925" s="8"/>
      <c r="D925" s="54"/>
      <c r="E925" s="54"/>
      <c r="F925" s="8" t="s">
        <v>57</v>
      </c>
      <c r="G925" s="35"/>
    </row>
    <row r="926" spans="2:7" ht="15.75">
      <c r="B926" s="52"/>
      <c r="C926" s="8"/>
      <c r="D926" s="54"/>
      <c r="E926" s="54"/>
      <c r="F926" s="8"/>
      <c r="G926" s="35"/>
    </row>
    <row r="927" spans="2:7">
      <c r="B927" s="7"/>
      <c r="C927" s="8"/>
      <c r="D927" s="54"/>
      <c r="E927" s="54"/>
      <c r="F927" s="8"/>
      <c r="G927" s="35"/>
    </row>
    <row r="928" spans="2:7">
      <c r="B928" s="22">
        <v>401</v>
      </c>
      <c r="C928" s="92" t="s">
        <v>743</v>
      </c>
      <c r="D928" s="93">
        <v>25485564</v>
      </c>
      <c r="E928" s="93" t="s">
        <v>1141</v>
      </c>
      <c r="F928" s="8" t="s">
        <v>158</v>
      </c>
      <c r="G928" s="35"/>
    </row>
    <row r="929" spans="2:7">
      <c r="B929" s="22">
        <v>402</v>
      </c>
      <c r="C929" s="92" t="s">
        <v>745</v>
      </c>
      <c r="D929" s="93" t="s">
        <v>66</v>
      </c>
      <c r="E929" s="93" t="s">
        <v>65</v>
      </c>
      <c r="F929" s="8" t="s">
        <v>158</v>
      </c>
      <c r="G929" s="35"/>
    </row>
    <row r="930" spans="2:7">
      <c r="B930" s="22">
        <v>406</v>
      </c>
      <c r="C930" s="92" t="s">
        <v>383</v>
      </c>
      <c r="D930" s="93">
        <v>10172211659</v>
      </c>
      <c r="E930" s="93" t="s">
        <v>672</v>
      </c>
      <c r="F930" s="8" t="s">
        <v>158</v>
      </c>
      <c r="G930" s="35"/>
    </row>
    <row r="931" spans="2:7">
      <c r="B931" s="22">
        <v>404</v>
      </c>
      <c r="C931" s="92" t="s">
        <v>380</v>
      </c>
      <c r="D931" s="93">
        <v>10130330796</v>
      </c>
      <c r="E931" s="93" t="s">
        <v>112</v>
      </c>
      <c r="F931" s="8" t="s">
        <v>158</v>
      </c>
      <c r="G931" s="35"/>
    </row>
    <row r="932" spans="2:7">
      <c r="B932" s="22">
        <v>407</v>
      </c>
      <c r="C932" s="92" t="s">
        <v>1057</v>
      </c>
      <c r="D932" s="93" t="s">
        <v>66</v>
      </c>
      <c r="E932" s="93" t="s">
        <v>1142</v>
      </c>
      <c r="F932" s="8" t="s">
        <v>158</v>
      </c>
      <c r="G932" s="35"/>
    </row>
    <row r="933" spans="2:7">
      <c r="B933" s="22">
        <v>409</v>
      </c>
      <c r="C933" s="92" t="s">
        <v>1144</v>
      </c>
      <c r="D933" s="93">
        <v>10173513378</v>
      </c>
      <c r="E933" s="93" t="s">
        <v>1145</v>
      </c>
      <c r="F933" s="8" t="s">
        <v>158</v>
      </c>
      <c r="G933" s="35"/>
    </row>
    <row r="934" spans="2:7">
      <c r="B934" s="22">
        <v>411</v>
      </c>
      <c r="C934" s="92" t="s">
        <v>1143</v>
      </c>
      <c r="D934" s="93">
        <v>10151394247</v>
      </c>
      <c r="E934" s="93" t="s">
        <v>716</v>
      </c>
      <c r="F934" s="8" t="s">
        <v>158</v>
      </c>
      <c r="G934" s="35"/>
    </row>
    <row r="935" spans="2:7">
      <c r="B935" s="22">
        <v>413</v>
      </c>
      <c r="C935" s="92" t="s">
        <v>1061</v>
      </c>
      <c r="D935" s="93" t="s">
        <v>66</v>
      </c>
      <c r="E935" s="93" t="s">
        <v>1176</v>
      </c>
      <c r="F935" s="8" t="s">
        <v>158</v>
      </c>
      <c r="G935" s="35"/>
    </row>
    <row r="936" spans="2:7">
      <c r="B936" s="107">
        <v>414</v>
      </c>
      <c r="C936" s="92" t="s">
        <v>1147</v>
      </c>
      <c r="D936" s="93">
        <v>209870552</v>
      </c>
      <c r="E936" s="93" t="s">
        <v>71</v>
      </c>
      <c r="F936" s="8" t="s">
        <v>158</v>
      </c>
      <c r="G936" s="35"/>
    </row>
    <row r="937" spans="2:7">
      <c r="B937" s="22">
        <v>410</v>
      </c>
      <c r="C937" s="92" t="s">
        <v>1146</v>
      </c>
      <c r="D937" s="93"/>
      <c r="E937" s="93" t="s">
        <v>1145</v>
      </c>
      <c r="F937" s="8" t="s">
        <v>158</v>
      </c>
      <c r="G937" s="35"/>
    </row>
    <row r="938" spans="2:7">
      <c r="B938" s="22"/>
      <c r="C938" s="8"/>
      <c r="D938" s="54"/>
      <c r="E938" s="8"/>
      <c r="F938" s="8"/>
      <c r="G938" s="35"/>
    </row>
    <row r="939" spans="2:7" ht="15.75">
      <c r="B939" s="21"/>
      <c r="C939" s="8"/>
      <c r="D939" s="54"/>
      <c r="E939" s="54"/>
      <c r="F939" s="8"/>
      <c r="G939" s="35"/>
    </row>
    <row r="940" spans="2:7">
      <c r="B940" s="22">
        <v>482</v>
      </c>
      <c r="C940" s="92" t="s">
        <v>386</v>
      </c>
      <c r="D940" s="93">
        <v>10171940261</v>
      </c>
      <c r="E940" s="93" t="s">
        <v>1149</v>
      </c>
      <c r="F940" s="8" t="s">
        <v>159</v>
      </c>
      <c r="G940" s="35"/>
    </row>
    <row r="941" spans="2:7">
      <c r="B941" s="22">
        <v>484</v>
      </c>
      <c r="C941" s="92" t="s">
        <v>389</v>
      </c>
      <c r="D941" s="93">
        <v>10162507114</v>
      </c>
      <c r="E941" s="93" t="s">
        <v>125</v>
      </c>
      <c r="F941" s="8" t="s">
        <v>159</v>
      </c>
      <c r="G941" s="35"/>
    </row>
    <row r="942" spans="2:7">
      <c r="B942" s="22">
        <v>481</v>
      </c>
      <c r="C942" s="92" t="s">
        <v>751</v>
      </c>
      <c r="D942" s="93">
        <v>10162377172</v>
      </c>
      <c r="E942" s="93" t="s">
        <v>1148</v>
      </c>
      <c r="F942" s="8" t="s">
        <v>159</v>
      </c>
      <c r="G942" s="35"/>
    </row>
    <row r="943" spans="2:7">
      <c r="B943" s="22">
        <v>483</v>
      </c>
      <c r="C943" s="92" t="s">
        <v>755</v>
      </c>
      <c r="D943" s="93">
        <v>122090579</v>
      </c>
      <c r="E943" s="93" t="s">
        <v>1150</v>
      </c>
      <c r="F943" s="8" t="s">
        <v>159</v>
      </c>
      <c r="G943" s="35"/>
    </row>
    <row r="944" spans="2:7">
      <c r="B944" s="22">
        <v>486</v>
      </c>
      <c r="C944" s="92" t="s">
        <v>1246</v>
      </c>
      <c r="D944" s="93" t="s">
        <v>66</v>
      </c>
      <c r="E944" s="92" t="s">
        <v>150</v>
      </c>
      <c r="F944" s="8" t="s">
        <v>159</v>
      </c>
      <c r="G944" s="35"/>
    </row>
    <row r="945" spans="2:7">
      <c r="B945" s="22"/>
      <c r="C945" s="92"/>
      <c r="D945" s="93"/>
      <c r="E945" s="93"/>
      <c r="F945" s="8" t="s">
        <v>159</v>
      </c>
      <c r="G945" s="35"/>
    </row>
    <row r="946" spans="2:7">
      <c r="B946" s="22"/>
      <c r="C946" s="92"/>
      <c r="D946" s="93"/>
      <c r="E946" s="93"/>
      <c r="F946" s="8" t="s">
        <v>159</v>
      </c>
      <c r="G946" s="35"/>
    </row>
    <row r="947" spans="2:7">
      <c r="B947" s="22"/>
      <c r="C947" s="92"/>
      <c r="D947" s="93"/>
      <c r="E947" s="93"/>
      <c r="F947" s="8" t="s">
        <v>159</v>
      </c>
      <c r="G947" s="35"/>
    </row>
    <row r="948" spans="2:7" ht="15.75">
      <c r="B948" s="21"/>
      <c r="C948" s="8"/>
      <c r="D948" s="54"/>
      <c r="E948" s="54"/>
      <c r="F948" s="8" t="s">
        <v>159</v>
      </c>
      <c r="G948" s="35"/>
    </row>
    <row r="949" spans="2:7" ht="15.75">
      <c r="B949" s="21"/>
      <c r="C949" s="8"/>
      <c r="D949" s="54"/>
      <c r="E949" s="54"/>
      <c r="F949" s="8"/>
      <c r="G949" s="35"/>
    </row>
    <row r="950" spans="2:7">
      <c r="B950" s="22">
        <v>701</v>
      </c>
      <c r="C950" s="92" t="s">
        <v>760</v>
      </c>
      <c r="D950" s="93">
        <v>10079383568</v>
      </c>
      <c r="E950" s="93" t="s">
        <v>151</v>
      </c>
      <c r="F950" s="8" t="s">
        <v>58</v>
      </c>
      <c r="G950" s="35"/>
    </row>
    <row r="951" spans="2:7">
      <c r="B951" s="22">
        <v>708</v>
      </c>
      <c r="C951" s="92" t="s">
        <v>761</v>
      </c>
      <c r="D951" s="93">
        <v>10056033143</v>
      </c>
      <c r="E951" s="93" t="s">
        <v>863</v>
      </c>
      <c r="F951" s="8" t="s">
        <v>58</v>
      </c>
      <c r="G951" s="35"/>
    </row>
    <row r="952" spans="2:7">
      <c r="B952" s="22">
        <v>713</v>
      </c>
      <c r="C952" s="93" t="s">
        <v>766</v>
      </c>
      <c r="D952" s="93">
        <v>10006255268</v>
      </c>
      <c r="E952" s="93" t="s">
        <v>100</v>
      </c>
      <c r="F952" s="8" t="s">
        <v>58</v>
      </c>
      <c r="G952" s="35"/>
    </row>
    <row r="953" spans="2:7">
      <c r="B953" s="22">
        <v>714</v>
      </c>
      <c r="C953" s="92" t="s">
        <v>767</v>
      </c>
      <c r="D953" s="93" t="s">
        <v>66</v>
      </c>
      <c r="E953" s="93" t="s">
        <v>1239</v>
      </c>
      <c r="F953" s="8" t="s">
        <v>58</v>
      </c>
      <c r="G953" s="35"/>
    </row>
    <row r="954" spans="2:7">
      <c r="B954" s="22"/>
      <c r="C954" s="93"/>
      <c r="D954" s="93"/>
      <c r="E954" s="93"/>
      <c r="F954" s="8" t="s">
        <v>58</v>
      </c>
      <c r="G954" s="35"/>
    </row>
    <row r="955" spans="2:7">
      <c r="B955" s="22"/>
      <c r="C955" s="92"/>
      <c r="D955" s="93"/>
      <c r="E955" s="93"/>
      <c r="F955" s="8" t="s">
        <v>58</v>
      </c>
      <c r="G955" s="35"/>
    </row>
    <row r="956" spans="2:7">
      <c r="B956" s="22"/>
      <c r="C956" s="92"/>
      <c r="D956" s="93"/>
      <c r="E956" s="93"/>
      <c r="F956" s="8" t="s">
        <v>58</v>
      </c>
      <c r="G956" s="35"/>
    </row>
    <row r="957" spans="2:7">
      <c r="B957" s="22"/>
      <c r="C957" s="93"/>
      <c r="D957" s="93"/>
      <c r="E957" s="93"/>
      <c r="F957" s="8" t="s">
        <v>58</v>
      </c>
      <c r="G957" s="35"/>
    </row>
    <row r="958" spans="2:7">
      <c r="B958" s="22"/>
      <c r="C958" s="92"/>
      <c r="D958" s="93"/>
      <c r="E958" s="93"/>
      <c r="F958" s="8" t="s">
        <v>58</v>
      </c>
      <c r="G958" s="35"/>
    </row>
    <row r="959" spans="2:7">
      <c r="B959" s="22"/>
      <c r="C959" s="92"/>
      <c r="D959" s="93"/>
      <c r="E959" s="93"/>
      <c r="F959" s="8" t="s">
        <v>58</v>
      </c>
      <c r="G959" s="35"/>
    </row>
    <row r="960" spans="2:7">
      <c r="B960" s="22"/>
      <c r="C960" s="92"/>
      <c r="D960" s="93"/>
      <c r="E960" s="93"/>
      <c r="F960" s="8" t="s">
        <v>58</v>
      </c>
      <c r="G960" s="35"/>
    </row>
    <row r="961" spans="2:7" ht="15.75">
      <c r="B961" s="21"/>
      <c r="C961" s="8"/>
      <c r="D961" s="54"/>
      <c r="E961" s="54"/>
      <c r="F961" s="8"/>
      <c r="G961" s="35"/>
    </row>
    <row r="962" spans="2:7">
      <c r="B962" s="22">
        <v>752</v>
      </c>
      <c r="C962" s="92" t="s">
        <v>877</v>
      </c>
      <c r="D962" s="93">
        <v>10001352223</v>
      </c>
      <c r="E962" s="93" t="s">
        <v>878</v>
      </c>
      <c r="F962" s="8" t="s">
        <v>59</v>
      </c>
      <c r="G962" s="35"/>
    </row>
    <row r="963" spans="2:7">
      <c r="B963" s="22">
        <v>758</v>
      </c>
      <c r="C963" s="92" t="s">
        <v>1190</v>
      </c>
      <c r="D963" s="93">
        <v>10140636745</v>
      </c>
      <c r="E963" s="93" t="s">
        <v>130</v>
      </c>
      <c r="F963" s="8" t="s">
        <v>59</v>
      </c>
      <c r="G963" s="35"/>
    </row>
    <row r="964" spans="2:7">
      <c r="B964" s="22">
        <v>756</v>
      </c>
      <c r="C964" s="92" t="s">
        <v>1191</v>
      </c>
      <c r="D964" s="93">
        <v>10137070781</v>
      </c>
      <c r="E964" s="93" t="s">
        <v>503</v>
      </c>
      <c r="F964" s="8" t="s">
        <v>59</v>
      </c>
      <c r="G964" s="35"/>
    </row>
    <row r="965" spans="2:7">
      <c r="B965" s="22">
        <v>769</v>
      </c>
      <c r="C965" s="92" t="s">
        <v>777</v>
      </c>
      <c r="D965" s="93">
        <v>10053119810</v>
      </c>
      <c r="E965" s="93" t="s">
        <v>778</v>
      </c>
      <c r="F965" s="8" t="s">
        <v>59</v>
      </c>
      <c r="G965" s="35"/>
    </row>
    <row r="966" spans="2:7">
      <c r="B966" s="22">
        <v>763</v>
      </c>
      <c r="C966" s="92" t="s">
        <v>421</v>
      </c>
      <c r="D966" s="93">
        <v>10103825447</v>
      </c>
      <c r="E966" s="93" t="s">
        <v>422</v>
      </c>
      <c r="F966" s="8" t="s">
        <v>59</v>
      </c>
      <c r="G966" s="35"/>
    </row>
    <row r="967" spans="2:7">
      <c r="B967" s="22">
        <v>768</v>
      </c>
      <c r="C967" s="92" t="s">
        <v>776</v>
      </c>
      <c r="D967" s="93">
        <v>10061819595</v>
      </c>
      <c r="E967" s="93" t="s">
        <v>133</v>
      </c>
      <c r="F967" s="8" t="s">
        <v>59</v>
      </c>
      <c r="G967" s="35"/>
    </row>
    <row r="968" spans="2:7">
      <c r="B968" s="22">
        <v>766</v>
      </c>
      <c r="C968" s="92" t="s">
        <v>518</v>
      </c>
      <c r="D968" s="93" t="s">
        <v>66</v>
      </c>
      <c r="E968" s="93" t="s">
        <v>1158</v>
      </c>
      <c r="F968" s="8" t="s">
        <v>59</v>
      </c>
      <c r="G968" s="35"/>
    </row>
    <row r="969" spans="2:7">
      <c r="B969" s="107">
        <v>774</v>
      </c>
      <c r="C969" s="92" t="s">
        <v>1240</v>
      </c>
      <c r="D969" s="93" t="s">
        <v>66</v>
      </c>
      <c r="E969" s="93" t="s">
        <v>100</v>
      </c>
      <c r="F969" s="8" t="s">
        <v>59</v>
      </c>
      <c r="G969" s="35"/>
    </row>
    <row r="970" spans="2:7">
      <c r="B970" s="22"/>
      <c r="C970" s="92"/>
      <c r="D970" s="93"/>
      <c r="E970" s="93"/>
      <c r="F970" s="8" t="s">
        <v>59</v>
      </c>
      <c r="G970" s="35"/>
    </row>
    <row r="971" spans="2:7">
      <c r="B971" s="22"/>
      <c r="C971" s="92"/>
      <c r="D971" s="93"/>
      <c r="E971" s="93"/>
      <c r="F971" s="8" t="s">
        <v>59</v>
      </c>
      <c r="G971" s="35"/>
    </row>
    <row r="972" spans="2:7">
      <c r="B972" s="22"/>
      <c r="C972" s="92"/>
      <c r="D972" s="93"/>
      <c r="E972" s="93"/>
      <c r="F972" s="8" t="s">
        <v>59</v>
      </c>
      <c r="G972" s="35"/>
    </row>
    <row r="973" spans="2:7">
      <c r="B973" s="22"/>
      <c r="C973" s="92"/>
      <c r="D973" s="93"/>
      <c r="E973" s="93"/>
      <c r="F973" s="8" t="s">
        <v>59</v>
      </c>
      <c r="G973" s="35"/>
    </row>
    <row r="974" spans="2:7">
      <c r="B974" s="22"/>
      <c r="C974" s="92"/>
      <c r="D974" s="93"/>
      <c r="E974" s="93"/>
      <c r="F974" s="8" t="s">
        <v>59</v>
      </c>
      <c r="G974" s="35"/>
    </row>
    <row r="975" spans="2:7">
      <c r="B975" s="22"/>
      <c r="C975" s="92"/>
      <c r="D975" s="93"/>
      <c r="E975" s="93"/>
      <c r="F975" s="8" t="s">
        <v>59</v>
      </c>
      <c r="G975" s="35"/>
    </row>
    <row r="976" spans="2:7">
      <c r="B976" s="22"/>
      <c r="C976" s="92"/>
      <c r="D976" s="93"/>
      <c r="E976" s="93"/>
      <c r="F976" s="8" t="s">
        <v>59</v>
      </c>
      <c r="G976" s="35"/>
    </row>
    <row r="977" spans="2:7">
      <c r="B977" s="104"/>
      <c r="C977" s="8"/>
      <c r="D977" s="54"/>
      <c r="E977" s="54"/>
      <c r="F977" s="8"/>
      <c r="G977" s="35"/>
    </row>
    <row r="978" spans="2:7">
      <c r="B978" s="96">
        <v>810</v>
      </c>
      <c r="C978" s="92" t="s">
        <v>437</v>
      </c>
      <c r="D978" s="93">
        <v>10061985206</v>
      </c>
      <c r="E978" s="93" t="s">
        <v>1192</v>
      </c>
      <c r="F978" s="8" t="s">
        <v>72</v>
      </c>
      <c r="G978" s="35"/>
    </row>
    <row r="979" spans="2:7">
      <c r="B979" s="96">
        <v>801</v>
      </c>
      <c r="C979" s="97" t="s">
        <v>115</v>
      </c>
      <c r="D979" s="98">
        <v>10102979628</v>
      </c>
      <c r="E979" s="98" t="s">
        <v>427</v>
      </c>
      <c r="F979" s="8" t="s">
        <v>72</v>
      </c>
      <c r="G979" s="35"/>
    </row>
    <row r="980" spans="2:7">
      <c r="B980" s="96">
        <v>813</v>
      </c>
      <c r="C980" s="92" t="s">
        <v>1241</v>
      </c>
      <c r="D980" s="93">
        <v>10051209819</v>
      </c>
      <c r="E980" s="93" t="s">
        <v>6</v>
      </c>
      <c r="F980" s="8" t="s">
        <v>72</v>
      </c>
      <c r="G980" s="35"/>
    </row>
    <row r="981" spans="2:7">
      <c r="B981" s="96">
        <v>811</v>
      </c>
      <c r="C981" s="92" t="s">
        <v>438</v>
      </c>
      <c r="D981" s="93">
        <v>10124200400</v>
      </c>
      <c r="E981" s="93" t="s">
        <v>394</v>
      </c>
      <c r="F981" s="8" t="s">
        <v>72</v>
      </c>
      <c r="G981" s="35"/>
    </row>
    <row r="982" spans="2:7">
      <c r="B982" s="96">
        <v>805</v>
      </c>
      <c r="C982" s="92" t="s">
        <v>785</v>
      </c>
      <c r="D982" s="93">
        <v>10122661938</v>
      </c>
      <c r="E982" s="93" t="s">
        <v>6</v>
      </c>
      <c r="F982" s="8" t="s">
        <v>72</v>
      </c>
      <c r="G982" s="35"/>
    </row>
    <row r="983" spans="2:7">
      <c r="B983" s="96">
        <v>814</v>
      </c>
      <c r="C983" s="97" t="s">
        <v>88</v>
      </c>
      <c r="D983" s="98">
        <v>10114540513</v>
      </c>
      <c r="E983" s="98" t="s">
        <v>89</v>
      </c>
      <c r="F983" s="8" t="s">
        <v>72</v>
      </c>
      <c r="G983" s="35"/>
    </row>
    <row r="984" spans="2:7">
      <c r="B984" s="96">
        <v>820</v>
      </c>
      <c r="C984" s="92" t="s">
        <v>1193</v>
      </c>
      <c r="D984" s="93">
        <v>10094103118</v>
      </c>
      <c r="E984" s="93" t="s">
        <v>1194</v>
      </c>
      <c r="F984" s="8" t="s">
        <v>72</v>
      </c>
      <c r="G984" s="35"/>
    </row>
    <row r="985" spans="2:7">
      <c r="B985" s="96">
        <v>802</v>
      </c>
      <c r="C985" s="92" t="s">
        <v>428</v>
      </c>
      <c r="D985" s="93">
        <v>10075677966</v>
      </c>
      <c r="E985" s="93" t="s">
        <v>762</v>
      </c>
      <c r="F985" s="8" t="s">
        <v>72</v>
      </c>
      <c r="G985" s="35"/>
    </row>
    <row r="986" spans="2:7">
      <c r="B986" s="96">
        <v>809</v>
      </c>
      <c r="C986" s="92" t="s">
        <v>435</v>
      </c>
      <c r="D986" s="93">
        <v>10114420473</v>
      </c>
      <c r="E986" s="93" t="s">
        <v>1195</v>
      </c>
      <c r="F986" s="8" t="s">
        <v>72</v>
      </c>
      <c r="G986" s="35"/>
    </row>
    <row r="987" spans="2:7">
      <c r="B987" s="96">
        <v>823</v>
      </c>
      <c r="C987" s="92" t="s">
        <v>902</v>
      </c>
      <c r="D987" s="93">
        <v>10051458783</v>
      </c>
      <c r="E987" s="93" t="s">
        <v>6</v>
      </c>
      <c r="F987" s="8" t="s">
        <v>72</v>
      </c>
      <c r="G987" s="35"/>
    </row>
    <row r="988" spans="2:7">
      <c r="B988" s="96"/>
      <c r="C988" s="92"/>
      <c r="D988" s="93"/>
      <c r="E988" s="93"/>
      <c r="F988" s="8" t="s">
        <v>72</v>
      </c>
      <c r="G988" s="35"/>
    </row>
    <row r="989" spans="2:7">
      <c r="B989" s="96"/>
      <c r="C989" s="92"/>
      <c r="D989" s="93"/>
      <c r="E989" s="93"/>
      <c r="F989" s="8" t="s">
        <v>72</v>
      </c>
      <c r="G989" s="35"/>
    </row>
    <row r="990" spans="2:7">
      <c r="B990" s="96"/>
      <c r="C990" s="92"/>
      <c r="D990" s="93"/>
      <c r="E990" s="93"/>
      <c r="F990" s="8" t="s">
        <v>72</v>
      </c>
      <c r="G990" s="35"/>
    </row>
    <row r="991" spans="2:7">
      <c r="B991" s="96"/>
      <c r="C991" s="92"/>
      <c r="D991" s="93"/>
      <c r="E991" s="93"/>
      <c r="F991" s="8" t="s">
        <v>72</v>
      </c>
      <c r="G991" s="35"/>
    </row>
    <row r="992" spans="2:7">
      <c r="B992" s="96"/>
      <c r="C992" s="93"/>
      <c r="D992" s="93"/>
      <c r="E992" s="92"/>
      <c r="F992" s="8"/>
      <c r="G992" s="35"/>
    </row>
    <row r="993" spans="2:7">
      <c r="B993" s="96"/>
      <c r="C993" s="97"/>
      <c r="D993" s="98"/>
      <c r="E993" s="98"/>
      <c r="F993" s="8"/>
      <c r="G993" s="35"/>
    </row>
    <row r="994" spans="2:7">
      <c r="B994" s="7"/>
      <c r="C994" s="8"/>
      <c r="D994" s="54"/>
      <c r="E994" s="54"/>
      <c r="F994" s="8"/>
      <c r="G994" s="35"/>
    </row>
    <row r="995" spans="2:7">
      <c r="B995" s="22">
        <v>851</v>
      </c>
      <c r="C995" s="92" t="s">
        <v>1243</v>
      </c>
      <c r="D995" s="93">
        <v>10060932451</v>
      </c>
      <c r="E995" s="93" t="s">
        <v>116</v>
      </c>
      <c r="F995" s="8" t="s">
        <v>90</v>
      </c>
      <c r="G995" s="35"/>
    </row>
    <row r="996" spans="2:7">
      <c r="B996" s="22">
        <v>853</v>
      </c>
      <c r="C996" s="92" t="s">
        <v>447</v>
      </c>
      <c r="D996" s="93">
        <v>10122227054</v>
      </c>
      <c r="E996" s="93" t="s">
        <v>100</v>
      </c>
      <c r="F996" s="8" t="s">
        <v>90</v>
      </c>
      <c r="G996" s="35"/>
    </row>
    <row r="997" spans="2:7">
      <c r="B997" s="22">
        <v>860</v>
      </c>
      <c r="C997" s="92" t="s">
        <v>799</v>
      </c>
      <c r="D997" s="93">
        <v>10061984903</v>
      </c>
      <c r="E997" s="93" t="s">
        <v>424</v>
      </c>
      <c r="F997" s="8" t="s">
        <v>90</v>
      </c>
      <c r="G997" s="35"/>
    </row>
    <row r="998" spans="2:7">
      <c r="B998" s="22">
        <v>865</v>
      </c>
      <c r="C998" s="92" t="s">
        <v>465</v>
      </c>
      <c r="D998" s="93">
        <v>10138850531</v>
      </c>
      <c r="E998" s="93" t="s">
        <v>800</v>
      </c>
      <c r="F998" s="8" t="s">
        <v>90</v>
      </c>
      <c r="G998" s="35"/>
    </row>
    <row r="999" spans="2:7">
      <c r="B999" s="22">
        <v>868</v>
      </c>
      <c r="C999" s="92" t="s">
        <v>469</v>
      </c>
      <c r="D999" s="93">
        <v>10074930662</v>
      </c>
      <c r="E999" s="93" t="s">
        <v>429</v>
      </c>
      <c r="F999" s="8" t="s">
        <v>90</v>
      </c>
      <c r="G999" s="35"/>
    </row>
    <row r="1000" spans="2:7">
      <c r="B1000" s="22">
        <v>859</v>
      </c>
      <c r="C1000" s="92" t="s">
        <v>796</v>
      </c>
      <c r="D1000" s="93">
        <v>10051462726</v>
      </c>
      <c r="E1000" s="93" t="s">
        <v>459</v>
      </c>
      <c r="F1000" s="8" t="s">
        <v>90</v>
      </c>
      <c r="G1000" s="35"/>
    </row>
    <row r="1001" spans="2:7">
      <c r="B1001" s="22">
        <v>863</v>
      </c>
      <c r="C1001" s="92" t="s">
        <v>1242</v>
      </c>
      <c r="D1001" s="93" t="s">
        <v>66</v>
      </c>
      <c r="E1001" s="93" t="s">
        <v>131</v>
      </c>
      <c r="F1001" s="8" t="s">
        <v>90</v>
      </c>
      <c r="G1001" s="35"/>
    </row>
    <row r="1002" spans="2:7">
      <c r="B1002" s="22">
        <v>870</v>
      </c>
      <c r="C1002" s="92" t="s">
        <v>907</v>
      </c>
      <c r="D1002" s="93">
        <v>10089830468</v>
      </c>
      <c r="E1002" s="93" t="s">
        <v>1196</v>
      </c>
      <c r="F1002" s="8" t="s">
        <v>90</v>
      </c>
      <c r="G1002" s="35"/>
    </row>
    <row r="1003" spans="2:7">
      <c r="B1003" s="22">
        <v>855</v>
      </c>
      <c r="C1003" s="92" t="s">
        <v>1197</v>
      </c>
      <c r="D1003" s="93">
        <v>10059069243</v>
      </c>
      <c r="E1003" s="93" t="s">
        <v>110</v>
      </c>
      <c r="F1003" s="8" t="s">
        <v>90</v>
      </c>
      <c r="G1003" s="35"/>
    </row>
    <row r="1004" spans="2:7">
      <c r="B1004" s="22"/>
      <c r="C1004" s="92"/>
      <c r="D1004" s="93"/>
      <c r="E1004" s="93"/>
      <c r="F1004" s="8" t="s">
        <v>90</v>
      </c>
      <c r="G1004" s="35"/>
    </row>
    <row r="1005" spans="2:7">
      <c r="B1005" s="22"/>
      <c r="C1005" s="92"/>
      <c r="D1005" s="93"/>
      <c r="E1005" s="93"/>
      <c r="F1005" s="8" t="s">
        <v>90</v>
      </c>
      <c r="G1005" s="35"/>
    </row>
    <row r="1006" spans="2:7">
      <c r="B1006" s="22"/>
      <c r="C1006" s="92"/>
      <c r="D1006" s="93"/>
      <c r="E1006" s="93"/>
      <c r="F1006" s="8" t="s">
        <v>90</v>
      </c>
      <c r="G1006" s="35"/>
    </row>
    <row r="1007" spans="2:7">
      <c r="B1007" s="22"/>
      <c r="C1007" s="92"/>
      <c r="D1007" s="93"/>
      <c r="E1007" s="93"/>
      <c r="F1007" s="8" t="s">
        <v>90</v>
      </c>
      <c r="G1007" s="35"/>
    </row>
    <row r="1008" spans="2:7">
      <c r="B1008" s="22"/>
      <c r="C1008" s="92"/>
      <c r="D1008" s="93"/>
      <c r="E1008" s="93"/>
      <c r="F1008" s="8" t="s">
        <v>90</v>
      </c>
      <c r="G1008" s="35"/>
    </row>
    <row r="1009" spans="2:7">
      <c r="B1009" s="22"/>
      <c r="C1009" s="92"/>
      <c r="D1009" s="93"/>
      <c r="E1009" s="93"/>
      <c r="F1009" s="8" t="s">
        <v>90</v>
      </c>
      <c r="G1009" s="35"/>
    </row>
    <row r="1010" spans="2:7">
      <c r="B1010" s="22"/>
      <c r="C1010" s="92"/>
      <c r="D1010" s="93"/>
      <c r="E1010" s="93"/>
      <c r="F1010" s="8" t="s">
        <v>90</v>
      </c>
      <c r="G1010" s="35"/>
    </row>
    <row r="1011" spans="2:7">
      <c r="B1011" s="22"/>
      <c r="C1011" s="92"/>
      <c r="D1011" s="93"/>
      <c r="E1011" s="93"/>
      <c r="F1011" s="8" t="s">
        <v>90</v>
      </c>
      <c r="G1011" s="35"/>
    </row>
    <row r="1012" spans="2:7">
      <c r="B1012" s="22"/>
      <c r="C1012" s="92"/>
      <c r="D1012" s="93"/>
      <c r="E1012" s="93"/>
      <c r="F1012" s="8" t="s">
        <v>90</v>
      </c>
      <c r="G1012" s="35"/>
    </row>
    <row r="1013" spans="2:7">
      <c r="B1013" s="22"/>
      <c r="C1013" s="92"/>
      <c r="D1013" s="93"/>
      <c r="E1013" s="93"/>
      <c r="F1013" s="8" t="s">
        <v>90</v>
      </c>
      <c r="G1013" s="35"/>
    </row>
    <row r="1014" spans="2:7" ht="15.75">
      <c r="B1014" s="48"/>
      <c r="C1014" s="8"/>
      <c r="D1014" s="7"/>
      <c r="E1014" s="54"/>
      <c r="F1014" s="8"/>
      <c r="G1014" s="35"/>
    </row>
    <row r="1015" spans="2:7">
      <c r="B1015" s="96">
        <v>906</v>
      </c>
      <c r="C1015" s="92" t="s">
        <v>476</v>
      </c>
      <c r="D1015" s="22">
        <v>10054780328</v>
      </c>
      <c r="E1015" s="92" t="s">
        <v>100</v>
      </c>
      <c r="F1015" s="8" t="s">
        <v>91</v>
      </c>
      <c r="G1015" s="35"/>
    </row>
    <row r="1016" spans="2:7">
      <c r="B1016" s="96">
        <v>908</v>
      </c>
      <c r="C1016" s="92" t="s">
        <v>807</v>
      </c>
      <c r="D1016" s="22">
        <v>10101986891</v>
      </c>
      <c r="E1016" s="93" t="s">
        <v>1198</v>
      </c>
      <c r="F1016" s="8" t="s">
        <v>91</v>
      </c>
      <c r="G1016" s="35"/>
    </row>
    <row r="1017" spans="2:7">
      <c r="B1017" s="96">
        <v>903</v>
      </c>
      <c r="C1017" s="92" t="s">
        <v>73</v>
      </c>
      <c r="D1017" s="22">
        <v>10061997734</v>
      </c>
      <c r="E1017" s="93" t="s">
        <v>69</v>
      </c>
      <c r="F1017" s="8" t="s">
        <v>91</v>
      </c>
      <c r="G1017" s="35"/>
    </row>
    <row r="1018" spans="2:7">
      <c r="B1018" s="96">
        <v>905</v>
      </c>
      <c r="C1018" s="92" t="s">
        <v>921</v>
      </c>
      <c r="D1018" s="22">
        <v>10061855668</v>
      </c>
      <c r="E1018" s="93" t="s">
        <v>922</v>
      </c>
      <c r="F1018" s="8" t="s">
        <v>91</v>
      </c>
      <c r="G1018" s="35"/>
    </row>
    <row r="1019" spans="2:7">
      <c r="B1019" s="96">
        <v>913</v>
      </c>
      <c r="C1019" s="92" t="s">
        <v>811</v>
      </c>
      <c r="D1019" s="22">
        <v>10172012306</v>
      </c>
      <c r="E1019" s="93" t="s">
        <v>487</v>
      </c>
      <c r="F1019" s="8" t="s">
        <v>91</v>
      </c>
      <c r="G1019" s="35"/>
    </row>
    <row r="1020" spans="2:7">
      <c r="B1020" s="96">
        <v>910</v>
      </c>
      <c r="C1020" s="97" t="s">
        <v>481</v>
      </c>
      <c r="D1020" s="99">
        <v>10112076915</v>
      </c>
      <c r="E1020" s="98" t="s">
        <v>482</v>
      </c>
      <c r="F1020" s="8" t="s">
        <v>91</v>
      </c>
      <c r="G1020" s="35"/>
    </row>
    <row r="1021" spans="2:7">
      <c r="B1021" s="96">
        <v>922</v>
      </c>
      <c r="C1021" s="92" t="s">
        <v>923</v>
      </c>
      <c r="D1021" s="22">
        <v>10126639241</v>
      </c>
      <c r="E1021" s="93" t="s">
        <v>1199</v>
      </c>
      <c r="F1021" s="8" t="s">
        <v>91</v>
      </c>
      <c r="G1021" s="35"/>
    </row>
    <row r="1022" spans="2:7">
      <c r="B1022" s="96"/>
      <c r="C1022" s="92"/>
      <c r="D1022" s="22"/>
      <c r="E1022" s="92"/>
      <c r="F1022" s="8" t="s">
        <v>91</v>
      </c>
      <c r="G1022" s="35"/>
    </row>
    <row r="1023" spans="2:7">
      <c r="B1023" s="96"/>
      <c r="C1023" s="92"/>
      <c r="D1023" s="22"/>
      <c r="E1023" s="93"/>
      <c r="F1023" s="8" t="s">
        <v>91</v>
      </c>
      <c r="G1023" s="35"/>
    </row>
    <row r="1024" spans="2:7">
      <c r="B1024" s="96"/>
      <c r="C1024" s="92"/>
      <c r="D1024" s="22"/>
      <c r="E1024" s="93"/>
      <c r="F1024" s="8" t="s">
        <v>91</v>
      </c>
      <c r="G1024" s="35"/>
    </row>
    <row r="1025" spans="2:7">
      <c r="B1025" s="96"/>
      <c r="C1025" s="92"/>
      <c r="D1025" s="22"/>
      <c r="E1025" s="93"/>
      <c r="F1025" s="8" t="s">
        <v>91</v>
      </c>
      <c r="G1025" s="35"/>
    </row>
    <row r="1026" spans="2:7">
      <c r="B1026" s="96"/>
      <c r="C1026" s="92"/>
      <c r="D1026" s="22"/>
      <c r="E1026" s="93"/>
      <c r="F1026" s="8" t="s">
        <v>91</v>
      </c>
      <c r="G1026" s="35"/>
    </row>
    <row r="1027" spans="2:7">
      <c r="B1027" s="96"/>
      <c r="C1027" s="92"/>
      <c r="D1027" s="22"/>
      <c r="E1027" s="93"/>
      <c r="F1027" s="8" t="s">
        <v>91</v>
      </c>
      <c r="G1027" s="35"/>
    </row>
    <row r="1028" spans="2:7">
      <c r="B1028" s="96"/>
      <c r="C1028" s="92"/>
      <c r="D1028" s="22"/>
      <c r="E1028" s="93"/>
      <c r="F1028" s="8" t="s">
        <v>91</v>
      </c>
      <c r="G1028" s="35"/>
    </row>
    <row r="1029" spans="2:7">
      <c r="B1029" s="96"/>
      <c r="C1029" s="92"/>
      <c r="D1029" s="22"/>
      <c r="E1029" s="93"/>
      <c r="F1029" s="8" t="s">
        <v>91</v>
      </c>
      <c r="G1029" s="35"/>
    </row>
    <row r="1030" spans="2:7">
      <c r="B1030" s="7"/>
      <c r="C1030" s="8"/>
      <c r="D1030" s="54"/>
      <c r="E1030" s="54"/>
      <c r="F1030" s="8" t="s">
        <v>91</v>
      </c>
      <c r="G1030" s="35"/>
    </row>
    <row r="1031" spans="2:7">
      <c r="B1031" s="41"/>
      <c r="C1031" s="8"/>
      <c r="D1031" s="54"/>
      <c r="E1031" s="8"/>
      <c r="F1031" s="8" t="s">
        <v>91</v>
      </c>
      <c r="G1031" s="35"/>
    </row>
    <row r="1032" spans="2:7">
      <c r="B1032" s="41"/>
      <c r="C1032" s="54"/>
      <c r="D1032" s="54"/>
      <c r="E1032" s="8"/>
      <c r="F1032" s="54"/>
      <c r="G1032" s="35"/>
    </row>
    <row r="1033" spans="2:7" ht="15.75">
      <c r="B1033" s="21"/>
      <c r="C1033" s="8"/>
      <c r="D1033" s="54"/>
      <c r="E1033" s="54"/>
      <c r="F1033" s="54"/>
      <c r="G1033" s="35"/>
    </row>
    <row r="1034" spans="2:7">
      <c r="B1034" s="22">
        <v>935</v>
      </c>
      <c r="C1034" s="93" t="s">
        <v>825</v>
      </c>
      <c r="D1034" s="93">
        <v>10083854965</v>
      </c>
      <c r="E1034" s="92" t="s">
        <v>1244</v>
      </c>
      <c r="F1034" s="8" t="s">
        <v>160</v>
      </c>
      <c r="G1034" s="35"/>
    </row>
    <row r="1035" spans="2:7">
      <c r="B1035" s="22">
        <v>934</v>
      </c>
      <c r="C1035" s="92" t="s">
        <v>496</v>
      </c>
      <c r="D1035" s="93">
        <v>10133198663</v>
      </c>
      <c r="E1035" s="93" t="s">
        <v>394</v>
      </c>
      <c r="F1035" s="8" t="s">
        <v>160</v>
      </c>
      <c r="G1035" s="35"/>
    </row>
    <row r="1036" spans="2:7">
      <c r="B1036" s="22"/>
      <c r="C1036" s="92"/>
      <c r="D1036" s="93"/>
      <c r="E1036" s="93"/>
      <c r="F1036" s="8" t="s">
        <v>160</v>
      </c>
      <c r="G1036" s="35"/>
    </row>
    <row r="1037" spans="2:7">
      <c r="B1037" s="22"/>
      <c r="C1037" s="93"/>
      <c r="D1037" s="93"/>
      <c r="E1037" s="93"/>
      <c r="F1037" s="8" t="s">
        <v>160</v>
      </c>
      <c r="G1037" s="35"/>
    </row>
    <row r="1038" spans="2:7">
      <c r="B1038" s="41"/>
      <c r="C1038" s="54"/>
      <c r="D1038" s="54"/>
      <c r="E1038" s="8"/>
      <c r="F1038" s="54"/>
      <c r="G1038" s="35"/>
    </row>
    <row r="1039" spans="2:7">
      <c r="B1039" s="22">
        <v>951</v>
      </c>
      <c r="C1039" s="93" t="s">
        <v>156</v>
      </c>
      <c r="D1039" s="93">
        <v>10101986689</v>
      </c>
      <c r="E1039" s="92" t="s">
        <v>1224</v>
      </c>
      <c r="F1039" s="8" t="s">
        <v>161</v>
      </c>
      <c r="G1039" s="35"/>
    </row>
    <row r="1040" spans="2:7">
      <c r="B1040" s="3"/>
      <c r="C1040" s="93"/>
      <c r="D1040" s="93"/>
      <c r="E1040" s="92"/>
      <c r="F1040" s="8" t="s">
        <v>161</v>
      </c>
      <c r="G1040" s="35"/>
    </row>
    <row r="1041" spans="2:7">
      <c r="B1041" s="3"/>
      <c r="C1041" s="93"/>
      <c r="D1041" s="93"/>
      <c r="E1041" s="92"/>
      <c r="F1041" s="8" t="s">
        <v>161</v>
      </c>
      <c r="G1041" s="35"/>
    </row>
    <row r="1042" spans="2:7">
      <c r="B1042" s="3"/>
      <c r="C1042" s="93"/>
      <c r="D1042" s="93"/>
      <c r="E1042" s="92"/>
      <c r="F1042" s="8" t="s">
        <v>161</v>
      </c>
      <c r="G1042" s="35"/>
    </row>
    <row r="1043" spans="2:7">
      <c r="B1043" s="3"/>
      <c r="C1043" s="93"/>
      <c r="D1043" s="93"/>
      <c r="E1043" s="92"/>
      <c r="F1043" s="8"/>
      <c r="G1043" s="35"/>
    </row>
    <row r="1044" spans="2:7">
      <c r="B1044" s="22">
        <v>614</v>
      </c>
      <c r="C1044" s="92" t="s">
        <v>885</v>
      </c>
      <c r="D1044" s="93">
        <v>10153041631</v>
      </c>
      <c r="E1044" s="93" t="s">
        <v>1200</v>
      </c>
      <c r="F1044" s="8" t="s">
        <v>60</v>
      </c>
      <c r="G1044" s="35"/>
    </row>
    <row r="1045" spans="2:7">
      <c r="B1045" s="22">
        <v>609</v>
      </c>
      <c r="C1045" s="93" t="s">
        <v>1201</v>
      </c>
      <c r="D1045" s="93">
        <v>10063635620</v>
      </c>
      <c r="E1045" s="92" t="s">
        <v>1202</v>
      </c>
      <c r="F1045" s="8" t="s">
        <v>60</v>
      </c>
      <c r="G1045" s="35"/>
    </row>
    <row r="1046" spans="2:7">
      <c r="B1046" s="22">
        <v>603</v>
      </c>
      <c r="C1046" s="92" t="s">
        <v>835</v>
      </c>
      <c r="D1046" s="93">
        <v>10164876237</v>
      </c>
      <c r="E1046" s="93" t="s">
        <v>394</v>
      </c>
      <c r="F1046" s="8" t="s">
        <v>60</v>
      </c>
      <c r="G1046" s="35"/>
    </row>
    <row r="1047" spans="2:7">
      <c r="B1047" s="22">
        <v>618</v>
      </c>
      <c r="C1047" s="92" t="s">
        <v>527</v>
      </c>
      <c r="D1047" s="93">
        <v>10127815668</v>
      </c>
      <c r="E1047" s="93" t="s">
        <v>394</v>
      </c>
      <c r="F1047" s="8" t="s">
        <v>60</v>
      </c>
      <c r="G1047" s="35"/>
    </row>
    <row r="1048" spans="2:7">
      <c r="B1048" s="22">
        <v>610</v>
      </c>
      <c r="C1048" s="92" t="s">
        <v>515</v>
      </c>
      <c r="D1048" s="93">
        <v>10175619288</v>
      </c>
      <c r="E1048" s="93" t="s">
        <v>516</v>
      </c>
      <c r="F1048" s="8" t="s">
        <v>60</v>
      </c>
      <c r="G1048" s="35"/>
    </row>
    <row r="1049" spans="2:7">
      <c r="B1049" s="22">
        <v>622</v>
      </c>
      <c r="C1049" s="92" t="s">
        <v>1203</v>
      </c>
      <c r="D1049" s="93" t="s">
        <v>66</v>
      </c>
      <c r="E1049" s="92" t="s">
        <v>133</v>
      </c>
      <c r="F1049" s="8" t="s">
        <v>60</v>
      </c>
      <c r="G1049" s="35"/>
    </row>
    <row r="1050" spans="2:7">
      <c r="B1050" s="22">
        <v>608</v>
      </c>
      <c r="C1050" s="92" t="s">
        <v>511</v>
      </c>
      <c r="D1050" s="93" t="s">
        <v>66</v>
      </c>
      <c r="E1050" s="92" t="s">
        <v>512</v>
      </c>
      <c r="F1050" s="8" t="s">
        <v>60</v>
      </c>
      <c r="G1050" s="35"/>
    </row>
    <row r="1051" spans="2:7">
      <c r="B1051" s="22"/>
      <c r="C1051" s="92"/>
      <c r="D1051" s="93"/>
      <c r="E1051" s="93"/>
      <c r="F1051" s="8" t="s">
        <v>60</v>
      </c>
      <c r="G1051" s="35"/>
    </row>
    <row r="1052" spans="2:7">
      <c r="B1052" s="22"/>
      <c r="C1052" s="92"/>
      <c r="D1052" s="93"/>
      <c r="E1052" s="93"/>
      <c r="F1052" s="8" t="s">
        <v>60</v>
      </c>
      <c r="G1052" s="35"/>
    </row>
    <row r="1053" spans="2:7">
      <c r="B1053" s="22"/>
      <c r="C1053" s="92"/>
      <c r="D1053" s="93"/>
      <c r="E1053" s="92"/>
      <c r="F1053" s="8" t="s">
        <v>60</v>
      </c>
      <c r="G1053" s="35"/>
    </row>
    <row r="1054" spans="2:7">
      <c r="B1054" s="22"/>
      <c r="C1054" s="92"/>
      <c r="D1054" s="93"/>
      <c r="E1054" s="93"/>
      <c r="F1054" s="8" t="s">
        <v>60</v>
      </c>
      <c r="G1054" s="35"/>
    </row>
    <row r="1055" spans="2:7">
      <c r="B1055" s="22"/>
      <c r="C1055" s="92"/>
      <c r="D1055" s="93"/>
      <c r="E1055" s="93"/>
      <c r="F1055" s="8" t="s">
        <v>60</v>
      </c>
      <c r="G1055" s="35"/>
    </row>
    <row r="1056" spans="2:7">
      <c r="B1056" s="22"/>
      <c r="C1056" s="92"/>
      <c r="D1056" s="93"/>
      <c r="E1056" s="93"/>
      <c r="F1056" s="8" t="s">
        <v>60</v>
      </c>
      <c r="G1056" s="35"/>
    </row>
    <row r="1057" spans="2:7">
      <c r="B1057" s="22"/>
      <c r="C1057" s="93"/>
      <c r="D1057" s="93"/>
      <c r="E1057" s="92"/>
      <c r="F1057" s="8" t="s">
        <v>60</v>
      </c>
      <c r="G1057" s="35"/>
    </row>
    <row r="1058" spans="2:7">
      <c r="B1058" s="22"/>
      <c r="C1058" s="93"/>
      <c r="D1058" s="93"/>
      <c r="E1058" s="92"/>
      <c r="F1058" s="8" t="s">
        <v>60</v>
      </c>
      <c r="G1058" s="35"/>
    </row>
    <row r="1059" spans="2:7">
      <c r="B1059" s="22"/>
      <c r="C1059" s="92"/>
      <c r="D1059" s="93"/>
      <c r="E1059" s="93"/>
      <c r="F1059" s="8" t="s">
        <v>60</v>
      </c>
      <c r="G1059" s="35"/>
    </row>
    <row r="1060" spans="2:7">
      <c r="B1060" s="22"/>
      <c r="C1060" s="92"/>
      <c r="D1060" s="93"/>
      <c r="E1060" s="93"/>
      <c r="F1060" s="8" t="s">
        <v>60</v>
      </c>
      <c r="G1060" s="35"/>
    </row>
    <row r="1061" spans="2:7">
      <c r="B1061" s="22"/>
      <c r="C1061" s="92"/>
      <c r="D1061" s="93"/>
      <c r="E1061" s="93"/>
      <c r="F1061" s="8" t="s">
        <v>60</v>
      </c>
      <c r="G1061" s="35"/>
    </row>
    <row r="1062" spans="2:7">
      <c r="B1062" s="22"/>
      <c r="C1062" s="92"/>
      <c r="D1062" s="93"/>
      <c r="E1062" s="93"/>
      <c r="F1062" s="8" t="s">
        <v>60</v>
      </c>
      <c r="G1062" s="35"/>
    </row>
    <row r="1063" spans="2:7">
      <c r="B1063" s="22"/>
      <c r="C1063" s="92"/>
      <c r="D1063" s="93"/>
      <c r="E1063" s="93"/>
      <c r="F1063" s="8" t="s">
        <v>60</v>
      </c>
      <c r="G1063" s="35"/>
    </row>
    <row r="1064" spans="2:7">
      <c r="B1064" s="7"/>
      <c r="C1064" s="8"/>
      <c r="D1064" s="54"/>
      <c r="E1064" s="54"/>
      <c r="F1064" s="54"/>
      <c r="G1064" s="35"/>
    </row>
    <row r="1065" spans="2:7">
      <c r="B1065" s="7"/>
      <c r="C1065" s="8"/>
      <c r="D1065" s="54"/>
      <c r="E1065" s="54"/>
      <c r="F1065" s="54"/>
      <c r="G1065" s="35"/>
    </row>
    <row r="1066" spans="2:7">
      <c r="B1066" s="22">
        <v>671</v>
      </c>
      <c r="C1066" s="92" t="s">
        <v>844</v>
      </c>
      <c r="D1066" s="93">
        <v>10136876074</v>
      </c>
      <c r="E1066" s="92" t="s">
        <v>394</v>
      </c>
      <c r="F1066" s="8" t="s">
        <v>92</v>
      </c>
      <c r="G1066" s="35"/>
    </row>
    <row r="1067" spans="2:7">
      <c r="B1067" s="22">
        <v>672</v>
      </c>
      <c r="C1067" s="92" t="s">
        <v>1225</v>
      </c>
      <c r="D1067" s="93">
        <v>10132333646</v>
      </c>
      <c r="E1067" s="92" t="s">
        <v>394</v>
      </c>
      <c r="F1067" s="8" t="s">
        <v>92</v>
      </c>
      <c r="G1067" s="35"/>
    </row>
    <row r="1068" spans="2:7">
      <c r="B1068" s="41"/>
      <c r="C1068" s="8"/>
      <c r="D1068" s="54"/>
      <c r="E1068" s="54"/>
      <c r="F1068" s="8"/>
      <c r="G1068" s="35"/>
    </row>
    <row r="1069" spans="2:7">
      <c r="B1069" s="22">
        <v>981</v>
      </c>
      <c r="C1069" s="92" t="s">
        <v>1234</v>
      </c>
      <c r="D1069" s="93" t="s">
        <v>66</v>
      </c>
      <c r="E1069" s="93" t="s">
        <v>1235</v>
      </c>
      <c r="F1069" s="8" t="s">
        <v>162</v>
      </c>
      <c r="G1069" s="35"/>
    </row>
    <row r="1070" spans="2:7">
      <c r="B1070" s="22">
        <v>982</v>
      </c>
      <c r="C1070" s="92" t="s">
        <v>849</v>
      </c>
      <c r="D1070" s="93">
        <v>10050347327</v>
      </c>
      <c r="E1070" s="93" t="s">
        <v>1238</v>
      </c>
      <c r="F1070" s="8" t="s">
        <v>162</v>
      </c>
      <c r="G1070" s="35"/>
    </row>
    <row r="1071" spans="2:7">
      <c r="B1071" s="22">
        <v>978</v>
      </c>
      <c r="C1071" s="92" t="s">
        <v>1236</v>
      </c>
      <c r="D1071" s="93" t="s">
        <v>66</v>
      </c>
      <c r="E1071" s="92" t="s">
        <v>1237</v>
      </c>
      <c r="F1071" s="8" t="s">
        <v>162</v>
      </c>
      <c r="G1071" s="35"/>
    </row>
    <row r="1072" spans="2:7">
      <c r="B1072" s="22"/>
      <c r="C1072" s="92"/>
      <c r="D1072" s="93"/>
      <c r="E1072" s="93"/>
      <c r="F1072" s="8" t="s">
        <v>162</v>
      </c>
      <c r="G1072" s="35"/>
    </row>
    <row r="1073" spans="2:7">
      <c r="B1073" s="8"/>
      <c r="C1073" s="8"/>
      <c r="D1073" s="54"/>
      <c r="E1073" s="8"/>
      <c r="F1073" s="8" t="s">
        <v>162</v>
      </c>
      <c r="G1073" s="35"/>
    </row>
    <row r="1074" spans="2:7">
      <c r="B1074" s="8"/>
      <c r="C1074" s="8"/>
      <c r="D1074" s="54"/>
      <c r="E1074" s="8"/>
      <c r="F1074" s="8" t="s">
        <v>162</v>
      </c>
      <c r="G1074" s="35"/>
    </row>
    <row r="1075" spans="2:7">
      <c r="B1075" s="8"/>
      <c r="C1075" s="8"/>
      <c r="D1075" s="54"/>
      <c r="E1075" s="8"/>
      <c r="F1075" s="8" t="s">
        <v>162</v>
      </c>
      <c r="G1075" s="35"/>
    </row>
    <row r="1076" spans="2:7">
      <c r="B1076" s="8"/>
      <c r="C1076" s="8"/>
      <c r="D1076" s="54"/>
      <c r="E1076" s="8"/>
      <c r="F1076" s="8" t="s">
        <v>162</v>
      </c>
      <c r="G1076" s="35"/>
    </row>
    <row r="1077" spans="2:7">
      <c r="B1077" s="8"/>
      <c r="C1077" s="8"/>
      <c r="D1077" s="54"/>
      <c r="E1077" s="8"/>
      <c r="F1077" s="8" t="s">
        <v>162</v>
      </c>
      <c r="G1077" s="35"/>
    </row>
    <row r="1078" spans="2:7">
      <c r="B1078" s="8"/>
      <c r="C1078" s="8"/>
      <c r="D1078" s="54"/>
      <c r="E1078" s="8"/>
      <c r="F1078" s="8" t="s">
        <v>162</v>
      </c>
      <c r="G1078" s="35"/>
    </row>
    <row r="1079" spans="2:7">
      <c r="B1079" s="8"/>
      <c r="C1079" s="8"/>
      <c r="D1079" s="54"/>
      <c r="E1079" s="8"/>
      <c r="F1079" s="8" t="s">
        <v>162</v>
      </c>
      <c r="G1079" s="35"/>
    </row>
    <row r="1080" spans="2:7">
      <c r="B1080" s="8"/>
      <c r="C1080" s="8"/>
      <c r="D1080" s="54"/>
      <c r="E1080" s="8"/>
      <c r="F1080" s="8" t="s">
        <v>162</v>
      </c>
      <c r="G1080" s="35"/>
    </row>
    <row r="1081" spans="2:7">
      <c r="B1081" s="8"/>
      <c r="C1081" s="8"/>
      <c r="D1081" s="54"/>
      <c r="E1081" s="8"/>
      <c r="F1081" s="8" t="s">
        <v>162</v>
      </c>
      <c r="G1081" s="35"/>
    </row>
    <row r="1082" spans="2:7">
      <c r="B1082" s="8"/>
      <c r="C1082" s="8"/>
      <c r="D1082" s="54"/>
      <c r="E1082" s="8"/>
      <c r="F1082" s="8" t="s">
        <v>162</v>
      </c>
      <c r="G1082" s="35"/>
    </row>
    <row r="1083" spans="2:7">
      <c r="B1083" s="8"/>
      <c r="C1083" s="8"/>
      <c r="D1083" s="54"/>
      <c r="E1083" s="8"/>
      <c r="F1083" s="8" t="s">
        <v>162</v>
      </c>
      <c r="G1083" s="35"/>
    </row>
    <row r="1084" spans="2:7">
      <c r="B1084" s="8"/>
      <c r="C1084" s="8"/>
      <c r="D1084" s="54"/>
      <c r="E1084" s="8"/>
      <c r="F1084" s="8"/>
      <c r="G1084" s="35"/>
    </row>
    <row r="1085" spans="2:7">
      <c r="B1085" s="22">
        <v>961</v>
      </c>
      <c r="C1085" s="92" t="s">
        <v>1232</v>
      </c>
      <c r="D1085" s="93">
        <v>10129943002</v>
      </c>
      <c r="E1085" s="93" t="s">
        <v>111</v>
      </c>
      <c r="F1085" s="8" t="s">
        <v>102</v>
      </c>
      <c r="G1085" s="35"/>
    </row>
    <row r="1086" spans="2:7">
      <c r="B1086" s="22">
        <v>962</v>
      </c>
      <c r="C1086" s="92" t="s">
        <v>1233</v>
      </c>
      <c r="D1086" s="93">
        <v>10136994700</v>
      </c>
      <c r="E1086" s="93" t="s">
        <v>111</v>
      </c>
      <c r="F1086" s="8" t="s">
        <v>102</v>
      </c>
      <c r="G1086" s="35"/>
    </row>
    <row r="1087" spans="2:7">
      <c r="B1087" s="22">
        <v>964</v>
      </c>
      <c r="C1087" s="92" t="s">
        <v>448</v>
      </c>
      <c r="D1087" s="93">
        <v>10061982172</v>
      </c>
      <c r="E1087" s="93" t="s">
        <v>150</v>
      </c>
      <c r="F1087" s="8" t="s">
        <v>102</v>
      </c>
      <c r="G1087" s="35"/>
    </row>
    <row r="1088" spans="2:7">
      <c r="B1088" s="18"/>
      <c r="C1088" s="19"/>
      <c r="D1088" s="19"/>
      <c r="E1088" s="19"/>
      <c r="F1088" s="19"/>
      <c r="G1088" s="35"/>
    </row>
    <row r="1089" spans="2:7">
      <c r="B1089" s="18"/>
      <c r="C1089" s="19"/>
      <c r="D1089" s="19"/>
      <c r="E1089" s="19"/>
      <c r="F1089" s="19"/>
      <c r="G1089" s="35"/>
    </row>
    <row r="1090" spans="2:7">
      <c r="B1090" s="18"/>
      <c r="C1090" s="19"/>
      <c r="D1090" s="19"/>
      <c r="E1090" s="19"/>
      <c r="F1090" s="19"/>
      <c r="G1090" s="35"/>
    </row>
    <row r="1091" spans="2:7">
      <c r="B1091" s="18"/>
      <c r="C1091" s="19"/>
      <c r="D1091" s="19"/>
      <c r="E1091" s="19"/>
      <c r="F1091" s="19"/>
      <c r="G1091" s="35"/>
    </row>
    <row r="1092" spans="2:7">
      <c r="C1092" s="18" t="s">
        <v>1063</v>
      </c>
      <c r="D1092" s="19"/>
      <c r="E1092" s="19"/>
      <c r="F1092" s="19"/>
      <c r="G1092" s="35"/>
    </row>
    <row r="1093" spans="2:7">
      <c r="B1093" s="18"/>
      <c r="C1093" s="19"/>
      <c r="D1093" s="19"/>
      <c r="E1093" s="19"/>
      <c r="F1093" s="19"/>
      <c r="G1093" s="35"/>
    </row>
    <row r="1094" spans="2:7">
      <c r="B1094" s="3" t="s">
        <v>1064</v>
      </c>
      <c r="C1094" s="92" t="s">
        <v>979</v>
      </c>
      <c r="D1094" s="93">
        <v>10009256107</v>
      </c>
      <c r="E1094" s="93" t="s">
        <v>980</v>
      </c>
      <c r="F1094" s="8" t="s">
        <v>981</v>
      </c>
      <c r="G1094" s="35"/>
    </row>
    <row r="1095" spans="2:7">
      <c r="B1095" s="3" t="s">
        <v>1065</v>
      </c>
      <c r="C1095" s="92" t="s">
        <v>982</v>
      </c>
      <c r="D1095" s="93">
        <v>10007719362</v>
      </c>
      <c r="E1095" s="93" t="s">
        <v>901</v>
      </c>
      <c r="F1095" s="8" t="s">
        <v>981</v>
      </c>
      <c r="G1095" s="35"/>
    </row>
    <row r="1096" spans="2:7">
      <c r="B1096" s="3" t="s">
        <v>1066</v>
      </c>
      <c r="C1096" s="92" t="s">
        <v>983</v>
      </c>
      <c r="D1096" s="93">
        <v>10119032017</v>
      </c>
      <c r="E1096" s="93" t="s">
        <v>984</v>
      </c>
      <c r="F1096" s="8" t="s">
        <v>981</v>
      </c>
      <c r="G1096" s="35"/>
    </row>
    <row r="1097" spans="2:7">
      <c r="B1097" s="3" t="s">
        <v>1067</v>
      </c>
      <c r="C1097" s="92" t="s">
        <v>164</v>
      </c>
      <c r="D1097" s="93">
        <v>10009200331</v>
      </c>
      <c r="E1097" s="93" t="s">
        <v>561</v>
      </c>
      <c r="F1097" s="8" t="s">
        <v>981</v>
      </c>
      <c r="G1097" s="35"/>
    </row>
    <row r="1098" spans="2:7">
      <c r="B1098" s="3" t="s">
        <v>1068</v>
      </c>
      <c r="C1098" s="92" t="s">
        <v>985</v>
      </c>
      <c r="D1098" s="93">
        <v>10058573533</v>
      </c>
      <c r="E1098" s="93" t="s">
        <v>170</v>
      </c>
      <c r="F1098" s="8" t="s">
        <v>981</v>
      </c>
      <c r="G1098" s="35"/>
    </row>
    <row r="1099" spans="2:7">
      <c r="B1099" s="3" t="s">
        <v>1069</v>
      </c>
      <c r="C1099" s="92" t="s">
        <v>986</v>
      </c>
      <c r="D1099" s="93">
        <v>10035259076</v>
      </c>
      <c r="E1099" s="93" t="s">
        <v>901</v>
      </c>
      <c r="F1099" s="8" t="s">
        <v>981</v>
      </c>
      <c r="G1099" s="35"/>
    </row>
    <row r="1100" spans="2:7">
      <c r="B1100" s="3" t="s">
        <v>1070</v>
      </c>
      <c r="C1100" s="92" t="s">
        <v>987</v>
      </c>
      <c r="D1100" s="93">
        <v>10056016167</v>
      </c>
      <c r="E1100" s="93" t="s">
        <v>109</v>
      </c>
      <c r="F1100" s="8" t="s">
        <v>981</v>
      </c>
      <c r="G1100" s="35"/>
    </row>
    <row r="1101" spans="2:7">
      <c r="B1101" s="3" t="s">
        <v>1071</v>
      </c>
      <c r="C1101" s="92" t="s">
        <v>988</v>
      </c>
      <c r="D1101" s="93">
        <v>10050357734</v>
      </c>
      <c r="E1101" s="93" t="s">
        <v>109</v>
      </c>
      <c r="F1101" s="8" t="s">
        <v>981</v>
      </c>
      <c r="G1101" s="35"/>
    </row>
    <row r="1102" spans="2:7">
      <c r="B1102" s="3" t="s">
        <v>1072</v>
      </c>
      <c r="C1102" s="92" t="s">
        <v>564</v>
      </c>
      <c r="D1102" s="93">
        <v>10007693090</v>
      </c>
      <c r="E1102" s="93" t="s">
        <v>863</v>
      </c>
      <c r="F1102" s="8" t="s">
        <v>981</v>
      </c>
      <c r="G1102" s="35"/>
    </row>
    <row r="1103" spans="2:7">
      <c r="B1103" s="3" t="s">
        <v>1073</v>
      </c>
      <c r="C1103" s="93" t="s">
        <v>106</v>
      </c>
      <c r="D1103" s="93">
        <v>10105198201</v>
      </c>
      <c r="E1103" s="92" t="s">
        <v>989</v>
      </c>
      <c r="F1103" s="8" t="s">
        <v>981</v>
      </c>
      <c r="G1103" s="35"/>
    </row>
    <row r="1104" spans="2:7">
      <c r="B1104" s="3" t="s">
        <v>1074</v>
      </c>
      <c r="C1104" s="92" t="s">
        <v>169</v>
      </c>
      <c r="D1104" s="93">
        <v>10075992208</v>
      </c>
      <c r="E1104" s="93" t="s">
        <v>110</v>
      </c>
      <c r="F1104" s="8" t="s">
        <v>981</v>
      </c>
      <c r="G1104" s="35"/>
    </row>
    <row r="1105" spans="2:7">
      <c r="B1105" s="3" t="s">
        <v>1075</v>
      </c>
      <c r="C1105" s="92" t="s">
        <v>990</v>
      </c>
      <c r="D1105" s="93">
        <v>10058578987</v>
      </c>
      <c r="E1105" s="93" t="s">
        <v>991</v>
      </c>
      <c r="F1105" s="8" t="s">
        <v>981</v>
      </c>
      <c r="G1105" s="35"/>
    </row>
    <row r="1106" spans="2:7">
      <c r="B1106" s="3" t="s">
        <v>1076</v>
      </c>
      <c r="C1106" s="92" t="s">
        <v>138</v>
      </c>
      <c r="D1106" s="93">
        <v>10051220327</v>
      </c>
      <c r="E1106" s="93" t="s">
        <v>170</v>
      </c>
      <c r="F1106" s="8" t="s">
        <v>981</v>
      </c>
      <c r="G1106" s="35"/>
    </row>
    <row r="1107" spans="2:7">
      <c r="B1107" s="3" t="s">
        <v>1077</v>
      </c>
      <c r="C1107" s="92" t="s">
        <v>992</v>
      </c>
      <c r="D1107" s="93">
        <v>10088970101</v>
      </c>
      <c r="E1107" s="93" t="s">
        <v>993</v>
      </c>
      <c r="F1107" s="8" t="s">
        <v>981</v>
      </c>
      <c r="G1107" s="35"/>
    </row>
    <row r="1108" spans="2:7">
      <c r="B1108" s="3"/>
      <c r="C1108" s="92"/>
      <c r="D1108" s="93"/>
      <c r="E1108" s="93"/>
      <c r="G1108" s="35"/>
    </row>
    <row r="1109" spans="2:7">
      <c r="B1109" s="3" t="s">
        <v>1078</v>
      </c>
      <c r="C1109" s="92" t="s">
        <v>994</v>
      </c>
      <c r="D1109" s="93">
        <v>10064146686</v>
      </c>
      <c r="E1109" s="93" t="s">
        <v>995</v>
      </c>
      <c r="F1109" s="8" t="s">
        <v>68</v>
      </c>
      <c r="G1109" s="35"/>
    </row>
    <row r="1110" spans="2:7">
      <c r="B1110" s="3" t="s">
        <v>1079</v>
      </c>
      <c r="C1110" s="92" t="s">
        <v>996</v>
      </c>
      <c r="D1110" s="93">
        <v>10052762223</v>
      </c>
      <c r="E1110" s="93" t="s">
        <v>997</v>
      </c>
      <c r="F1110" s="8" t="s">
        <v>68</v>
      </c>
      <c r="G1110" s="35"/>
    </row>
    <row r="1111" spans="2:7">
      <c r="B1111" s="3" t="s">
        <v>1080</v>
      </c>
      <c r="C1111" s="92" t="s">
        <v>166</v>
      </c>
      <c r="D1111" s="93">
        <v>10092456037</v>
      </c>
      <c r="E1111" s="93" t="s">
        <v>100</v>
      </c>
      <c r="F1111" s="8" t="s">
        <v>68</v>
      </c>
      <c r="G1111" s="35"/>
    </row>
    <row r="1112" spans="2:7">
      <c r="B1112" s="3" t="s">
        <v>1081</v>
      </c>
      <c r="C1112" s="92" t="s">
        <v>998</v>
      </c>
      <c r="D1112" s="93">
        <v>10060170595</v>
      </c>
      <c r="E1112" s="93" t="s">
        <v>999</v>
      </c>
      <c r="F1112" s="8" t="s">
        <v>68</v>
      </c>
      <c r="G1112" s="35"/>
    </row>
    <row r="1113" spans="2:7">
      <c r="B1113" s="3" t="s">
        <v>1082</v>
      </c>
      <c r="C1113" s="92" t="s">
        <v>168</v>
      </c>
      <c r="D1113" s="93">
        <v>10076890971</v>
      </c>
      <c r="E1113" s="93" t="s">
        <v>109</v>
      </c>
      <c r="F1113" s="8" t="s">
        <v>68</v>
      </c>
      <c r="G1113" s="35"/>
    </row>
    <row r="1114" spans="2:7">
      <c r="B1114" s="3" t="s">
        <v>1083</v>
      </c>
      <c r="C1114" s="92" t="s">
        <v>1000</v>
      </c>
      <c r="D1114" s="93">
        <v>10089547148</v>
      </c>
      <c r="E1114" s="93" t="s">
        <v>109</v>
      </c>
      <c r="F1114" s="8" t="s">
        <v>68</v>
      </c>
      <c r="G1114" s="35"/>
    </row>
    <row r="1115" spans="2:7">
      <c r="B1115" s="3" t="s">
        <v>1084</v>
      </c>
      <c r="C1115" s="93" t="s">
        <v>175</v>
      </c>
      <c r="D1115" s="93">
        <v>10103820090</v>
      </c>
      <c r="E1115" s="92" t="s">
        <v>109</v>
      </c>
      <c r="F1115" s="8" t="s">
        <v>68</v>
      </c>
      <c r="G1115" s="35"/>
    </row>
    <row r="1116" spans="2:7">
      <c r="B1116" s="3" t="s">
        <v>1085</v>
      </c>
      <c r="C1116" s="92" t="s">
        <v>181</v>
      </c>
      <c r="D1116" s="93">
        <v>10120369001</v>
      </c>
      <c r="E1116" s="93" t="s">
        <v>100</v>
      </c>
      <c r="F1116" s="8" t="s">
        <v>68</v>
      </c>
      <c r="G1116" s="35"/>
    </row>
    <row r="1117" spans="2:7">
      <c r="B1117" s="3" t="s">
        <v>1086</v>
      </c>
      <c r="C1117" s="92" t="s">
        <v>1001</v>
      </c>
      <c r="D1117" s="93">
        <v>10121754380</v>
      </c>
      <c r="E1117" s="93" t="s">
        <v>100</v>
      </c>
      <c r="F1117" s="8" t="s">
        <v>68</v>
      </c>
      <c r="G1117" s="35"/>
    </row>
    <row r="1118" spans="2:7">
      <c r="B1118" s="3" t="s">
        <v>1087</v>
      </c>
      <c r="C1118" s="92" t="s">
        <v>171</v>
      </c>
      <c r="D1118" s="93">
        <v>10140483767</v>
      </c>
      <c r="E1118" s="93" t="s">
        <v>85</v>
      </c>
      <c r="F1118" s="8" t="s">
        <v>68</v>
      </c>
      <c r="G1118" s="35"/>
    </row>
    <row r="1119" spans="2:7">
      <c r="B1119" s="3" t="s">
        <v>1088</v>
      </c>
      <c r="C1119" s="92" t="s">
        <v>1002</v>
      </c>
      <c r="D1119" s="93">
        <v>10144142687</v>
      </c>
      <c r="E1119" s="93" t="s">
        <v>71</v>
      </c>
      <c r="F1119" s="8" t="s">
        <v>68</v>
      </c>
      <c r="G1119" s="35"/>
    </row>
    <row r="1120" spans="2:7">
      <c r="B1120" s="3" t="s">
        <v>1089</v>
      </c>
      <c r="C1120" s="92" t="s">
        <v>177</v>
      </c>
      <c r="D1120" s="93">
        <v>10101989521</v>
      </c>
      <c r="E1120" s="93" t="s">
        <v>1003</v>
      </c>
      <c r="F1120" s="8" t="s">
        <v>68</v>
      </c>
      <c r="G1120" s="35"/>
    </row>
    <row r="1121" spans="2:7">
      <c r="B1121" s="3" t="s">
        <v>1090</v>
      </c>
      <c r="C1121" s="92" t="s">
        <v>1004</v>
      </c>
      <c r="D1121" s="93">
        <v>10061052083</v>
      </c>
      <c r="E1121" s="93" t="s">
        <v>999</v>
      </c>
      <c r="F1121" s="8" t="s">
        <v>68</v>
      </c>
      <c r="G1121" s="35"/>
    </row>
    <row r="1122" spans="2:7">
      <c r="B1122" s="3" t="s">
        <v>1091</v>
      </c>
      <c r="C1122" s="93" t="s">
        <v>1005</v>
      </c>
      <c r="D1122" s="93">
        <v>10125524650</v>
      </c>
      <c r="E1122" s="92" t="s">
        <v>927</v>
      </c>
      <c r="F1122" s="8" t="s">
        <v>68</v>
      </c>
      <c r="G1122" s="35"/>
    </row>
    <row r="1123" spans="2:7">
      <c r="B1123" s="3" t="s">
        <v>1092</v>
      </c>
      <c r="C1123" s="92" t="s">
        <v>1006</v>
      </c>
      <c r="D1123" s="93">
        <v>10113953358</v>
      </c>
      <c r="E1123" s="93" t="s">
        <v>109</v>
      </c>
      <c r="F1123" s="8" t="s">
        <v>68</v>
      </c>
      <c r="G1123" s="35"/>
    </row>
    <row r="1124" spans="2:7">
      <c r="B1124" s="3" t="s">
        <v>1093</v>
      </c>
      <c r="C1124" s="92" t="s">
        <v>1007</v>
      </c>
      <c r="D1124" s="93">
        <v>10162967256</v>
      </c>
      <c r="E1124" s="93" t="s">
        <v>1008</v>
      </c>
      <c r="F1124" s="8" t="s">
        <v>68</v>
      </c>
      <c r="G1124" s="35"/>
    </row>
    <row r="1125" spans="2:7">
      <c r="B1125" s="7"/>
      <c r="C1125" s="8"/>
      <c r="D1125" s="17"/>
      <c r="E1125" s="17"/>
      <c r="F1125" s="8"/>
      <c r="G1125" s="35"/>
    </row>
    <row r="1126" spans="2:7">
      <c r="B1126" s="22" t="s">
        <v>1094</v>
      </c>
      <c r="C1126" s="94" t="s">
        <v>1009</v>
      </c>
      <c r="D1126" s="93">
        <v>10007369556</v>
      </c>
      <c r="E1126" s="93" t="s">
        <v>1010</v>
      </c>
      <c r="F1126" s="8" t="s">
        <v>1011</v>
      </c>
      <c r="G1126" s="35"/>
    </row>
    <row r="1127" spans="2:7">
      <c r="B1127" s="3" t="s">
        <v>1095</v>
      </c>
      <c r="C1127" s="94" t="s">
        <v>1012</v>
      </c>
      <c r="D1127" s="93">
        <v>10112115412</v>
      </c>
      <c r="E1127" s="93" t="s">
        <v>1013</v>
      </c>
      <c r="F1127" s="8" t="s">
        <v>1011</v>
      </c>
      <c r="G1127" s="35"/>
    </row>
    <row r="1128" spans="2:7">
      <c r="B1128" s="22" t="s">
        <v>1096</v>
      </c>
      <c r="C1128" s="94" t="s">
        <v>1014</v>
      </c>
      <c r="D1128" s="93">
        <v>10079542206</v>
      </c>
      <c r="E1128" s="93"/>
      <c r="F1128" s="8" t="s">
        <v>1011</v>
      </c>
      <c r="G1128" s="35"/>
    </row>
    <row r="1129" spans="2:7">
      <c r="B1129" s="22" t="s">
        <v>1097</v>
      </c>
      <c r="C1129" s="94" t="s">
        <v>1015</v>
      </c>
      <c r="D1129" s="93">
        <v>10009027044</v>
      </c>
      <c r="E1129" s="93" t="s">
        <v>1013</v>
      </c>
      <c r="F1129" s="8" t="s">
        <v>1011</v>
      </c>
      <c r="G1129" s="35"/>
    </row>
    <row r="1130" spans="2:7">
      <c r="B1130" s="3" t="s">
        <v>1098</v>
      </c>
      <c r="C1130" s="94" t="s">
        <v>190</v>
      </c>
      <c r="D1130" s="93">
        <v>10052898528</v>
      </c>
      <c r="E1130" s="93" t="s">
        <v>1016</v>
      </c>
      <c r="F1130" s="8" t="s">
        <v>1011</v>
      </c>
      <c r="G1130" s="35"/>
    </row>
    <row r="1131" spans="2:7">
      <c r="B1131" s="22" t="s">
        <v>1099</v>
      </c>
      <c r="C1131" s="94" t="s">
        <v>148</v>
      </c>
      <c r="D1131" s="93">
        <v>10059847263</v>
      </c>
      <c r="E1131" s="93" t="s">
        <v>1017</v>
      </c>
      <c r="F1131" s="8" t="s">
        <v>1011</v>
      </c>
      <c r="G1131" s="35"/>
    </row>
    <row r="1132" spans="2:7">
      <c r="B1132" s="3" t="s">
        <v>1100</v>
      </c>
      <c r="C1132" s="92" t="s">
        <v>1018</v>
      </c>
      <c r="D1132" s="93">
        <v>10011009884</v>
      </c>
      <c r="E1132" s="93" t="s">
        <v>1019</v>
      </c>
      <c r="F1132" s="8" t="s">
        <v>1011</v>
      </c>
      <c r="G1132" s="35"/>
    </row>
    <row r="1133" spans="2:7">
      <c r="B1133" s="22" t="s">
        <v>1101</v>
      </c>
      <c r="C1133" s="92" t="s">
        <v>1020</v>
      </c>
      <c r="D1133" s="93">
        <v>10112699836</v>
      </c>
      <c r="E1133" s="93" t="s">
        <v>133</v>
      </c>
      <c r="F1133" s="8" t="s">
        <v>1011</v>
      </c>
      <c r="G1133" s="35"/>
    </row>
    <row r="1134" spans="2:7">
      <c r="B1134" s="3" t="s">
        <v>1102</v>
      </c>
      <c r="C1134" s="94" t="s">
        <v>196</v>
      </c>
      <c r="D1134" s="93">
        <v>10101990228</v>
      </c>
      <c r="E1134" s="93" t="s">
        <v>100</v>
      </c>
      <c r="F1134" s="8" t="s">
        <v>1011</v>
      </c>
      <c r="G1134" s="35"/>
    </row>
    <row r="1135" spans="2:7">
      <c r="B1135" s="3"/>
      <c r="C1135" s="92"/>
      <c r="D1135" s="93"/>
      <c r="E1135" s="93"/>
      <c r="G1135" s="35"/>
    </row>
    <row r="1136" spans="2:7">
      <c r="B1136" s="3" t="s">
        <v>1103</v>
      </c>
      <c r="C1136" s="92" t="s">
        <v>1021</v>
      </c>
      <c r="D1136" s="93">
        <v>10077498132</v>
      </c>
      <c r="E1136" s="93" t="s">
        <v>109</v>
      </c>
      <c r="F1136" s="8" t="s">
        <v>67</v>
      </c>
      <c r="G1136" s="35"/>
    </row>
    <row r="1137" spans="2:7">
      <c r="B1137" s="3" t="s">
        <v>1104</v>
      </c>
      <c r="C1137" s="92" t="s">
        <v>1022</v>
      </c>
      <c r="D1137" s="93">
        <v>10077498435</v>
      </c>
      <c r="E1137" s="93" t="s">
        <v>109</v>
      </c>
      <c r="F1137" s="8" t="s">
        <v>67</v>
      </c>
      <c r="G1137" s="35"/>
    </row>
    <row r="1138" spans="2:7">
      <c r="B1138" s="3" t="s">
        <v>1105</v>
      </c>
      <c r="C1138" s="92" t="s">
        <v>1023</v>
      </c>
      <c r="D1138" s="93">
        <v>10125271743</v>
      </c>
      <c r="E1138" s="93" t="s">
        <v>1024</v>
      </c>
      <c r="F1138" s="8" t="s">
        <v>67</v>
      </c>
      <c r="G1138" s="35"/>
    </row>
    <row r="1139" spans="2:7">
      <c r="B1139" s="3" t="s">
        <v>1106</v>
      </c>
      <c r="C1139" s="92" t="s">
        <v>1025</v>
      </c>
      <c r="D1139" s="93">
        <v>10076571982</v>
      </c>
      <c r="E1139" s="93" t="s">
        <v>1026</v>
      </c>
      <c r="F1139" s="8" t="s">
        <v>67</v>
      </c>
      <c r="G1139" s="35"/>
    </row>
    <row r="1140" spans="2:7">
      <c r="B1140" s="3"/>
      <c r="C1140" s="92"/>
      <c r="D1140" s="93"/>
      <c r="E1140" s="93"/>
      <c r="G1140" s="35"/>
    </row>
    <row r="1141" spans="2:7">
      <c r="B1141" s="3" t="s">
        <v>1107</v>
      </c>
      <c r="C1141" s="92" t="s">
        <v>1027</v>
      </c>
      <c r="D1141" s="93">
        <v>10127261859</v>
      </c>
      <c r="E1141" s="93" t="s">
        <v>901</v>
      </c>
      <c r="F1141" t="s">
        <v>52</v>
      </c>
      <c r="G1141" s="35"/>
    </row>
    <row r="1142" spans="2:7">
      <c r="B1142" s="3" t="s">
        <v>1108</v>
      </c>
      <c r="C1142" s="92" t="s">
        <v>1028</v>
      </c>
      <c r="D1142" s="93">
        <v>10127715638</v>
      </c>
      <c r="E1142" s="93" t="s">
        <v>1029</v>
      </c>
      <c r="F1142" t="s">
        <v>52</v>
      </c>
      <c r="G1142" s="35"/>
    </row>
    <row r="1143" spans="2:7">
      <c r="B1143" s="3" t="s">
        <v>1109</v>
      </c>
      <c r="C1143" s="92" t="s">
        <v>206</v>
      </c>
      <c r="D1143" s="93">
        <v>10154951521</v>
      </c>
      <c r="E1143" s="93" t="s">
        <v>863</v>
      </c>
      <c r="F1143" t="s">
        <v>52</v>
      </c>
      <c r="G1143" s="35"/>
    </row>
    <row r="1144" spans="2:7">
      <c r="B1144" s="3" t="s">
        <v>1110</v>
      </c>
      <c r="C1144" s="92" t="s">
        <v>590</v>
      </c>
      <c r="D1144" s="93">
        <v>10116215680</v>
      </c>
      <c r="E1144" s="93" t="s">
        <v>109</v>
      </c>
      <c r="F1144" t="s">
        <v>52</v>
      </c>
      <c r="G1144" s="35"/>
    </row>
    <row r="1145" spans="2:7">
      <c r="B1145" s="3" t="s">
        <v>1111</v>
      </c>
      <c r="C1145" s="92" t="s">
        <v>208</v>
      </c>
      <c r="D1145" s="93">
        <v>10141533185</v>
      </c>
      <c r="E1145" s="93" t="s">
        <v>591</v>
      </c>
      <c r="F1145" t="s">
        <v>52</v>
      </c>
      <c r="G1145" s="35"/>
    </row>
    <row r="1146" spans="2:7">
      <c r="B1146" s="3" t="s">
        <v>1112</v>
      </c>
      <c r="C1146" s="92" t="s">
        <v>235</v>
      </c>
      <c r="D1146" s="93">
        <v>10119593506</v>
      </c>
      <c r="E1146" s="93" t="s">
        <v>1030</v>
      </c>
      <c r="F1146" t="s">
        <v>52</v>
      </c>
      <c r="G1146" s="35"/>
    </row>
    <row r="1147" spans="2:7">
      <c r="B1147" s="3" t="s">
        <v>1113</v>
      </c>
      <c r="C1147" s="92" t="s">
        <v>1031</v>
      </c>
      <c r="D1147" s="93">
        <v>10171946426</v>
      </c>
      <c r="E1147" s="93" t="s">
        <v>70</v>
      </c>
      <c r="F1147" t="s">
        <v>52</v>
      </c>
      <c r="G1147" s="35"/>
    </row>
    <row r="1148" spans="2:7">
      <c r="B1148" s="3" t="s">
        <v>1114</v>
      </c>
      <c r="C1148" s="92" t="s">
        <v>1032</v>
      </c>
      <c r="D1148" s="93">
        <v>10152456092</v>
      </c>
      <c r="E1148" s="93" t="s">
        <v>154</v>
      </c>
      <c r="F1148" t="s">
        <v>52</v>
      </c>
      <c r="G1148" s="35"/>
    </row>
    <row r="1149" spans="2:7">
      <c r="B1149" s="3" t="s">
        <v>1115</v>
      </c>
      <c r="C1149" s="92" t="s">
        <v>602</v>
      </c>
      <c r="D1149" s="93">
        <v>10161160935</v>
      </c>
      <c r="E1149" s="93" t="s">
        <v>240</v>
      </c>
      <c r="F1149" t="s">
        <v>52</v>
      </c>
      <c r="G1149" s="35"/>
    </row>
    <row r="1150" spans="2:7">
      <c r="B1150" s="3" t="s">
        <v>1116</v>
      </c>
      <c r="C1150" s="92" t="s">
        <v>1033</v>
      </c>
      <c r="D1150" s="93">
        <v>10131930286</v>
      </c>
      <c r="E1150" s="93" t="s">
        <v>246</v>
      </c>
      <c r="F1150" t="s">
        <v>52</v>
      </c>
      <c r="G1150" s="35"/>
    </row>
    <row r="1151" spans="2:7">
      <c r="B1151" s="3" t="s">
        <v>1117</v>
      </c>
      <c r="C1151" s="92" t="s">
        <v>1034</v>
      </c>
      <c r="D1151" s="93">
        <v>10129733642</v>
      </c>
      <c r="E1151" s="93" t="s">
        <v>1035</v>
      </c>
      <c r="F1151" t="s">
        <v>52</v>
      </c>
      <c r="G1151" s="35"/>
    </row>
    <row r="1152" spans="2:7">
      <c r="B1152" s="3" t="s">
        <v>1118</v>
      </c>
      <c r="C1152" s="92" t="s">
        <v>1036</v>
      </c>
      <c r="D1152" s="93">
        <v>10164774385</v>
      </c>
      <c r="E1152" s="93" t="s">
        <v>6</v>
      </c>
      <c r="F1152" t="s">
        <v>52</v>
      </c>
      <c r="G1152" s="35"/>
    </row>
    <row r="1153" spans="2:7">
      <c r="B1153" s="3" t="s">
        <v>1119</v>
      </c>
      <c r="C1153" s="92" t="s">
        <v>1037</v>
      </c>
      <c r="D1153" s="93">
        <v>10126522639</v>
      </c>
      <c r="E1153" s="93" t="s">
        <v>84</v>
      </c>
      <c r="F1153" t="s">
        <v>52</v>
      </c>
      <c r="G1153" s="35"/>
    </row>
    <row r="1154" spans="2:7">
      <c r="B1154" s="3" t="s">
        <v>1120</v>
      </c>
      <c r="C1154" s="92" t="s">
        <v>1038</v>
      </c>
      <c r="D1154" s="93">
        <v>10165016683</v>
      </c>
      <c r="E1154" s="93" t="s">
        <v>108</v>
      </c>
      <c r="F1154" t="s">
        <v>52</v>
      </c>
      <c r="G1154" s="35"/>
    </row>
    <row r="1155" spans="2:7">
      <c r="B1155" s="3" t="s">
        <v>1121</v>
      </c>
      <c r="C1155" s="92" t="s">
        <v>1039</v>
      </c>
      <c r="D1155" s="93">
        <v>10128869837</v>
      </c>
      <c r="E1155" s="93" t="s">
        <v>1040</v>
      </c>
      <c r="F1155" t="s">
        <v>52</v>
      </c>
      <c r="G1155" s="35"/>
    </row>
    <row r="1156" spans="2:7">
      <c r="B1156" s="3" t="s">
        <v>1122</v>
      </c>
      <c r="C1156" s="92" t="s">
        <v>261</v>
      </c>
      <c r="D1156" s="93">
        <v>10173505601</v>
      </c>
      <c r="E1156" s="93" t="s">
        <v>110</v>
      </c>
      <c r="F1156" t="s">
        <v>52</v>
      </c>
      <c r="G1156" s="35"/>
    </row>
    <row r="1157" spans="2:7">
      <c r="B1157" s="3" t="s">
        <v>1123</v>
      </c>
      <c r="C1157" s="92" t="s">
        <v>1041</v>
      </c>
      <c r="D1157" s="93">
        <v>10125275278</v>
      </c>
      <c r="E1157" s="93" t="s">
        <v>1024</v>
      </c>
      <c r="F1157" t="s">
        <v>52</v>
      </c>
      <c r="G1157" s="35"/>
    </row>
    <row r="1158" spans="2:7">
      <c r="B1158" s="3" t="s">
        <v>1124</v>
      </c>
      <c r="C1158" s="92" t="s">
        <v>1042</v>
      </c>
      <c r="D1158" s="93">
        <v>10170820014</v>
      </c>
      <c r="E1158" s="93" t="s">
        <v>614</v>
      </c>
      <c r="F1158" t="s">
        <v>52</v>
      </c>
      <c r="G1158" s="35"/>
    </row>
    <row r="1159" spans="2:7">
      <c r="B1159" s="3" t="s">
        <v>1125</v>
      </c>
      <c r="C1159" s="92" t="s">
        <v>238</v>
      </c>
      <c r="D1159" s="93" t="s">
        <v>66</v>
      </c>
      <c r="E1159" s="93" t="s">
        <v>84</v>
      </c>
      <c r="F1159" t="s">
        <v>52</v>
      </c>
      <c r="G1159" s="35"/>
    </row>
    <row r="1160" spans="2:7">
      <c r="B1160" s="3" t="s">
        <v>1126</v>
      </c>
      <c r="C1160" s="92" t="s">
        <v>255</v>
      </c>
      <c r="D1160" s="93">
        <v>10164526027</v>
      </c>
      <c r="E1160" s="93" t="s">
        <v>71</v>
      </c>
      <c r="F1160" t="s">
        <v>52</v>
      </c>
      <c r="G1160" s="35"/>
    </row>
    <row r="1161" spans="2:7">
      <c r="B1161" s="3" t="s">
        <v>1127</v>
      </c>
      <c r="C1161" s="92" t="s">
        <v>1043</v>
      </c>
      <c r="D1161" s="93">
        <v>10142925440</v>
      </c>
      <c r="E1161" s="93" t="s">
        <v>133</v>
      </c>
      <c r="F1161" t="s">
        <v>52</v>
      </c>
      <c r="G1161" s="35"/>
    </row>
    <row r="1162" spans="2:7">
      <c r="B1162" s="3" t="s">
        <v>1128</v>
      </c>
      <c r="C1162" s="92" t="s">
        <v>1044</v>
      </c>
      <c r="D1162" s="93">
        <v>10133141372</v>
      </c>
      <c r="E1162" s="93" t="s">
        <v>1045</v>
      </c>
      <c r="F1162" t="s">
        <v>52</v>
      </c>
      <c r="G1162" s="35"/>
    </row>
    <row r="1163" spans="2:7">
      <c r="B1163" s="3" t="s">
        <v>1129</v>
      </c>
      <c r="C1163" s="92" t="s">
        <v>1046</v>
      </c>
      <c r="D1163" s="93">
        <v>10172011902</v>
      </c>
      <c r="E1163" s="93" t="s">
        <v>1047</v>
      </c>
      <c r="F1163" t="s">
        <v>52</v>
      </c>
      <c r="G1163" s="35"/>
    </row>
    <row r="1164" spans="2:7">
      <c r="B1164" s="3" t="s">
        <v>1130</v>
      </c>
      <c r="C1164" s="92" t="s">
        <v>213</v>
      </c>
      <c r="D1164" s="93">
        <v>10171656234</v>
      </c>
      <c r="E1164" s="93" t="s">
        <v>1048</v>
      </c>
      <c r="F1164" t="s">
        <v>52</v>
      </c>
      <c r="G1164" s="35"/>
    </row>
    <row r="1165" spans="2:7">
      <c r="B1165" s="3" t="s">
        <v>1131</v>
      </c>
      <c r="C1165" s="92" t="s">
        <v>1049</v>
      </c>
      <c r="D1165" s="93">
        <v>10171432932</v>
      </c>
      <c r="E1165" s="93" t="s">
        <v>240</v>
      </c>
      <c r="F1165" t="s">
        <v>52</v>
      </c>
      <c r="G1165" s="35"/>
    </row>
    <row r="1166" spans="2:7">
      <c r="B1166" s="3" t="s">
        <v>1132</v>
      </c>
      <c r="C1166" s="92" t="s">
        <v>1050</v>
      </c>
      <c r="D1166" s="93">
        <v>10151269157</v>
      </c>
      <c r="E1166" s="93" t="s">
        <v>957</v>
      </c>
      <c r="F1166" t="s">
        <v>52</v>
      </c>
      <c r="G1166" s="35"/>
    </row>
    <row r="1167" spans="2:7">
      <c r="B1167" s="3" t="s">
        <v>1133</v>
      </c>
      <c r="C1167" s="92" t="s">
        <v>1051</v>
      </c>
      <c r="D1167" s="93" t="s">
        <v>66</v>
      </c>
      <c r="E1167" s="93" t="s">
        <v>123</v>
      </c>
      <c r="F1167" t="s">
        <v>52</v>
      </c>
      <c r="G1167" s="35"/>
    </row>
    <row r="1168" spans="2:7">
      <c r="B1168" s="3"/>
      <c r="C1168" s="92"/>
      <c r="D1168" s="93"/>
      <c r="E1168" s="93"/>
      <c r="F1168" t="s">
        <v>52</v>
      </c>
      <c r="G1168" s="35"/>
    </row>
    <row r="1169" spans="2:7">
      <c r="B1169" s="3"/>
      <c r="C1169" s="92"/>
      <c r="D1169" s="93"/>
      <c r="E1169" s="93"/>
      <c r="F1169" s="8"/>
      <c r="G1169" s="35"/>
    </row>
    <row r="1170" spans="2:7">
      <c r="B1170" s="3" t="s">
        <v>1134</v>
      </c>
      <c r="C1170" s="92" t="s">
        <v>1052</v>
      </c>
      <c r="D1170" s="93">
        <v>10119540861</v>
      </c>
      <c r="E1170" s="93" t="s">
        <v>901</v>
      </c>
      <c r="F1170" s="8" t="s">
        <v>53</v>
      </c>
      <c r="G1170" s="35"/>
    </row>
    <row r="1171" spans="2:7">
      <c r="B1171" s="3" t="s">
        <v>1135</v>
      </c>
      <c r="C1171" s="92" t="s">
        <v>1053</v>
      </c>
      <c r="D1171" s="93">
        <v>10122143289</v>
      </c>
      <c r="E1171" s="93" t="s">
        <v>1035</v>
      </c>
      <c r="F1171" s="8" t="s">
        <v>53</v>
      </c>
      <c r="G1171" s="35"/>
    </row>
    <row r="1172" spans="2:7">
      <c r="B1172" s="3" t="s">
        <v>1136</v>
      </c>
      <c r="C1172" s="92" t="s">
        <v>1054</v>
      </c>
      <c r="D1172" s="93">
        <v>10122460056</v>
      </c>
      <c r="E1172" s="93" t="s">
        <v>863</v>
      </c>
      <c r="F1172" s="8" t="s">
        <v>53</v>
      </c>
      <c r="G1172" s="35"/>
    </row>
    <row r="1173" spans="2:7">
      <c r="B1173" s="3" t="s">
        <v>1137</v>
      </c>
      <c r="C1173" s="92" t="s">
        <v>264</v>
      </c>
      <c r="D1173" s="93">
        <v>10141535916</v>
      </c>
      <c r="E1173" s="93" t="s">
        <v>642</v>
      </c>
      <c r="F1173" s="8" t="s">
        <v>53</v>
      </c>
      <c r="G1173" s="35"/>
    </row>
    <row r="1174" spans="2:7">
      <c r="B1174" s="3" t="s">
        <v>1138</v>
      </c>
      <c r="C1174" s="92" t="s">
        <v>1055</v>
      </c>
      <c r="D1174" s="93">
        <v>10164933831</v>
      </c>
      <c r="E1174" s="93" t="s">
        <v>128</v>
      </c>
      <c r="F1174" s="8" t="s">
        <v>53</v>
      </c>
      <c r="G1174" s="35"/>
    </row>
    <row r="1175" spans="2:7">
      <c r="B1175" s="22"/>
      <c r="C1175" s="92"/>
      <c r="D1175" s="93"/>
      <c r="E1175" s="93"/>
      <c r="G1175" s="35"/>
    </row>
    <row r="1176" spans="2:7">
      <c r="B1176" s="22">
        <v>302</v>
      </c>
      <c r="C1176" s="92" t="s">
        <v>971</v>
      </c>
      <c r="D1176" s="93">
        <v>10128933895</v>
      </c>
      <c r="E1176" s="93" t="s">
        <v>972</v>
      </c>
      <c r="F1176" t="s">
        <v>54</v>
      </c>
      <c r="G1176" s="35"/>
    </row>
    <row r="1177" spans="2:7">
      <c r="B1177" s="22">
        <v>301</v>
      </c>
      <c r="C1177" s="92" t="s">
        <v>267</v>
      </c>
      <c r="D1177" s="93">
        <v>10142436295</v>
      </c>
      <c r="E1177" s="93" t="s">
        <v>109</v>
      </c>
      <c r="F1177" t="s">
        <v>54</v>
      </c>
      <c r="G1177" s="35"/>
    </row>
    <row r="1178" spans="2:7">
      <c r="B1178" s="22">
        <v>304</v>
      </c>
      <c r="C1178" s="92" t="s">
        <v>645</v>
      </c>
      <c r="D1178" s="93">
        <v>10156150681</v>
      </c>
      <c r="E1178" s="93" t="s">
        <v>958</v>
      </c>
      <c r="F1178" t="s">
        <v>54</v>
      </c>
      <c r="G1178" s="35"/>
    </row>
    <row r="1179" spans="2:7">
      <c r="B1179" s="22">
        <v>325</v>
      </c>
      <c r="C1179" s="92" t="s">
        <v>299</v>
      </c>
      <c r="D1179" s="93">
        <v>10152418609</v>
      </c>
      <c r="E1179" s="93" t="s">
        <v>6</v>
      </c>
      <c r="F1179" t="s">
        <v>54</v>
      </c>
      <c r="G1179" s="35"/>
    </row>
    <row r="1180" spans="2:7">
      <c r="B1180" s="22">
        <v>311</v>
      </c>
      <c r="C1180" s="92" t="s">
        <v>655</v>
      </c>
      <c r="D1180" s="93">
        <v>10128424344</v>
      </c>
      <c r="E1180" s="92" t="s">
        <v>108</v>
      </c>
      <c r="F1180" t="s">
        <v>54</v>
      </c>
      <c r="G1180" s="35"/>
    </row>
    <row r="1181" spans="2:7" ht="29.25">
      <c r="B1181" s="22">
        <v>303</v>
      </c>
      <c r="C1181" s="23" t="s">
        <v>269</v>
      </c>
      <c r="D1181" s="93">
        <v>10152378694</v>
      </c>
      <c r="E1181" s="93" t="s">
        <v>110</v>
      </c>
      <c r="F1181" t="s">
        <v>54</v>
      </c>
      <c r="G1181" s="35"/>
    </row>
    <row r="1182" spans="2:7">
      <c r="B1182" s="22">
        <v>323</v>
      </c>
      <c r="C1182" s="92" t="s">
        <v>959</v>
      </c>
      <c r="D1182" s="93">
        <v>10111930102</v>
      </c>
      <c r="E1182" s="93" t="s">
        <v>648</v>
      </c>
      <c r="F1182" t="s">
        <v>54</v>
      </c>
      <c r="G1182" s="35"/>
    </row>
    <row r="1183" spans="2:7">
      <c r="B1183" s="22">
        <v>307</v>
      </c>
      <c r="C1183" s="92" t="s">
        <v>282</v>
      </c>
      <c r="D1183" s="93">
        <v>10153824200</v>
      </c>
      <c r="E1183" s="92" t="s">
        <v>108</v>
      </c>
      <c r="F1183" t="s">
        <v>54</v>
      </c>
      <c r="G1183" s="35"/>
    </row>
    <row r="1184" spans="2:7">
      <c r="B1184" s="22">
        <v>321</v>
      </c>
      <c r="C1184" s="92" t="s">
        <v>291</v>
      </c>
      <c r="D1184" s="93">
        <v>10153036577</v>
      </c>
      <c r="E1184" s="93" t="s">
        <v>71</v>
      </c>
      <c r="F1184" t="s">
        <v>54</v>
      </c>
      <c r="G1184" s="35"/>
    </row>
    <row r="1185" spans="2:7">
      <c r="B1185" s="22">
        <v>337</v>
      </c>
      <c r="C1185" s="23" t="s">
        <v>317</v>
      </c>
      <c r="D1185" s="93">
        <v>10173459020</v>
      </c>
      <c r="E1185" s="93" t="s">
        <v>133</v>
      </c>
      <c r="F1185" t="s">
        <v>54</v>
      </c>
      <c r="G1185" s="35"/>
    </row>
    <row r="1186" spans="2:7">
      <c r="B1186" s="107">
        <v>349</v>
      </c>
      <c r="C1186" s="92" t="s">
        <v>954</v>
      </c>
      <c r="D1186" s="93">
        <v>10131228149</v>
      </c>
      <c r="E1186" s="93" t="s">
        <v>955</v>
      </c>
      <c r="F1186" t="s">
        <v>54</v>
      </c>
      <c r="G1186" s="35"/>
    </row>
    <row r="1187" spans="2:7">
      <c r="B1187" s="22">
        <v>305</v>
      </c>
      <c r="C1187" s="92" t="s">
        <v>961</v>
      </c>
      <c r="D1187" s="93">
        <v>10152909669</v>
      </c>
      <c r="E1187" s="93" t="s">
        <v>273</v>
      </c>
      <c r="F1187" t="s">
        <v>54</v>
      </c>
      <c r="G1187" s="35"/>
    </row>
    <row r="1188" spans="2:7">
      <c r="B1188" s="22">
        <v>333</v>
      </c>
      <c r="C1188" s="92" t="s">
        <v>960</v>
      </c>
      <c r="D1188" s="93">
        <v>10170459902</v>
      </c>
      <c r="E1188" s="93" t="s">
        <v>71</v>
      </c>
      <c r="F1188" t="s">
        <v>54</v>
      </c>
      <c r="G1188" s="35"/>
    </row>
    <row r="1189" spans="2:7">
      <c r="B1189" s="22">
        <v>314</v>
      </c>
      <c r="C1189" s="92" t="s">
        <v>283</v>
      </c>
      <c r="D1189" s="93">
        <v>10164592614</v>
      </c>
      <c r="E1189" s="93" t="s">
        <v>108</v>
      </c>
      <c r="F1189" t="s">
        <v>54</v>
      </c>
      <c r="G1189" s="35"/>
    </row>
    <row r="1190" spans="2:7">
      <c r="B1190" s="107">
        <v>350</v>
      </c>
      <c r="C1190" s="92" t="s">
        <v>956</v>
      </c>
      <c r="D1190" s="93">
        <v>10139137386</v>
      </c>
      <c r="E1190" s="93" t="s">
        <v>932</v>
      </c>
      <c r="F1190" t="s">
        <v>54</v>
      </c>
      <c r="G1190" s="35"/>
    </row>
    <row r="1191" spans="2:7">
      <c r="B1191" s="22">
        <v>309</v>
      </c>
      <c r="C1191" s="92" t="s">
        <v>277</v>
      </c>
      <c r="D1191" s="93">
        <v>10171656840</v>
      </c>
      <c r="E1191" s="92" t="s">
        <v>108</v>
      </c>
      <c r="F1191" t="s">
        <v>54</v>
      </c>
      <c r="G1191" s="35"/>
    </row>
    <row r="1192" spans="2:7">
      <c r="B1192" s="22">
        <v>310</v>
      </c>
      <c r="C1192" s="92" t="s">
        <v>278</v>
      </c>
      <c r="D1192" s="93">
        <v>10140942495</v>
      </c>
      <c r="E1192" s="93" t="s">
        <v>108</v>
      </c>
      <c r="F1192" t="s">
        <v>54</v>
      </c>
      <c r="G1192" s="35"/>
    </row>
    <row r="1193" spans="2:7">
      <c r="B1193" s="22">
        <v>328</v>
      </c>
      <c r="C1193" s="23" t="s">
        <v>969</v>
      </c>
      <c r="D1193" s="60">
        <v>10162461543</v>
      </c>
      <c r="E1193" s="93" t="s">
        <v>970</v>
      </c>
      <c r="F1193" t="s">
        <v>54</v>
      </c>
      <c r="G1193" s="35"/>
    </row>
    <row r="1194" spans="2:7">
      <c r="B1194" s="22">
        <v>306</v>
      </c>
      <c r="C1194" s="92" t="s">
        <v>964</v>
      </c>
      <c r="D1194" s="93">
        <v>10170771312</v>
      </c>
      <c r="E1194" s="93" t="s">
        <v>108</v>
      </c>
      <c r="F1194" t="s">
        <v>54</v>
      </c>
      <c r="G1194" s="35"/>
    </row>
    <row r="1195" spans="2:7">
      <c r="B1195" s="22">
        <v>326</v>
      </c>
      <c r="C1195" s="92" t="s">
        <v>667</v>
      </c>
      <c r="D1195" s="93">
        <v>10120480953</v>
      </c>
      <c r="E1195" s="93" t="s">
        <v>957</v>
      </c>
      <c r="F1195" t="s">
        <v>54</v>
      </c>
      <c r="G1195" s="35"/>
    </row>
    <row r="1196" spans="2:7">
      <c r="B1196" s="22">
        <v>322</v>
      </c>
      <c r="C1196" s="92" t="s">
        <v>293</v>
      </c>
      <c r="D1196" s="93">
        <v>10141584820</v>
      </c>
      <c r="E1196" s="93" t="s">
        <v>967</v>
      </c>
      <c r="F1196" t="s">
        <v>54</v>
      </c>
      <c r="G1196" s="35"/>
    </row>
    <row r="1197" spans="2:7">
      <c r="B1197" s="22">
        <v>327</v>
      </c>
      <c r="C1197" s="92" t="s">
        <v>301</v>
      </c>
      <c r="D1197" s="93">
        <v>10171445864</v>
      </c>
      <c r="E1197" s="93" t="s">
        <v>240</v>
      </c>
      <c r="F1197" t="s">
        <v>54</v>
      </c>
      <c r="G1197" s="35"/>
    </row>
    <row r="1198" spans="2:7">
      <c r="B1198" s="22">
        <v>338</v>
      </c>
      <c r="C1198" s="92" t="s">
        <v>318</v>
      </c>
      <c r="D1198" s="93">
        <v>10173361919</v>
      </c>
      <c r="E1198" s="93" t="s">
        <v>319</v>
      </c>
      <c r="F1198" t="s">
        <v>54</v>
      </c>
      <c r="G1198" s="35"/>
    </row>
    <row r="1199" spans="2:7">
      <c r="B1199" s="22">
        <v>348</v>
      </c>
      <c r="C1199" s="92" t="s">
        <v>965</v>
      </c>
      <c r="D1199" s="93">
        <v>10165439746</v>
      </c>
      <c r="E1199" s="93" t="s">
        <v>966</v>
      </c>
      <c r="F1199" t="s">
        <v>54</v>
      </c>
      <c r="G1199" s="35"/>
    </row>
    <row r="1200" spans="2:7">
      <c r="B1200" s="22">
        <v>332</v>
      </c>
      <c r="C1200" s="92" t="s">
        <v>308</v>
      </c>
      <c r="D1200" s="93">
        <v>10166671242</v>
      </c>
      <c r="E1200" s="93" t="s">
        <v>71</v>
      </c>
      <c r="F1200" t="s">
        <v>54</v>
      </c>
      <c r="G1200" s="35"/>
    </row>
    <row r="1201" spans="2:7">
      <c r="B1201" s="22">
        <v>342</v>
      </c>
      <c r="C1201" s="92" t="s">
        <v>962</v>
      </c>
      <c r="D1201" s="93">
        <v>10166012652</v>
      </c>
      <c r="E1201" s="92" t="s">
        <v>963</v>
      </c>
      <c r="F1201" t="s">
        <v>54</v>
      </c>
      <c r="G1201" s="35"/>
    </row>
    <row r="1202" spans="2:7">
      <c r="B1202" s="22">
        <v>324</v>
      </c>
      <c r="C1202" s="92" t="s">
        <v>973</v>
      </c>
      <c r="D1202" s="93">
        <v>10161110819</v>
      </c>
      <c r="E1202" s="93" t="s">
        <v>974</v>
      </c>
      <c r="F1202" t="s">
        <v>54</v>
      </c>
      <c r="G1202" s="35"/>
    </row>
    <row r="1203" spans="2:7" ht="19.5" customHeight="1">
      <c r="B1203" s="22">
        <v>341</v>
      </c>
      <c r="C1203" s="92" t="s">
        <v>968</v>
      </c>
      <c r="D1203" s="93">
        <v>209350007</v>
      </c>
      <c r="E1203" s="93" t="s">
        <v>71</v>
      </c>
      <c r="F1203" t="s">
        <v>54</v>
      </c>
      <c r="G1203" s="35"/>
    </row>
    <row r="1204" spans="2:7">
      <c r="B1204" s="22"/>
      <c r="C1204" s="23"/>
      <c r="D1204" s="93"/>
      <c r="E1204" s="93"/>
      <c r="F1204" t="s">
        <v>54</v>
      </c>
      <c r="G1204" s="35"/>
    </row>
    <row r="1205" spans="2:7">
      <c r="B1205" s="22"/>
      <c r="C1205" s="23"/>
      <c r="D1205" s="93"/>
      <c r="E1205" s="93"/>
      <c r="F1205" s="8"/>
      <c r="G1205" s="35"/>
    </row>
    <row r="1206" spans="2:7">
      <c r="B1206" s="22">
        <v>381</v>
      </c>
      <c r="C1206" s="92" t="s">
        <v>322</v>
      </c>
      <c r="D1206" s="93">
        <v>10125653679</v>
      </c>
      <c r="E1206" s="92" t="s">
        <v>100</v>
      </c>
      <c r="F1206" s="8" t="s">
        <v>55</v>
      </c>
      <c r="G1206" s="35"/>
    </row>
    <row r="1207" spans="2:7">
      <c r="B1207" s="22">
        <v>386</v>
      </c>
      <c r="C1207" s="92" t="s">
        <v>977</v>
      </c>
      <c r="D1207" s="93">
        <v>10152378391</v>
      </c>
      <c r="E1207" s="93" t="s">
        <v>978</v>
      </c>
      <c r="F1207" s="8" t="s">
        <v>55</v>
      </c>
      <c r="G1207" s="35"/>
    </row>
    <row r="1208" spans="2:7">
      <c r="B1208" s="22">
        <v>385</v>
      </c>
      <c r="C1208" s="93" t="s">
        <v>683</v>
      </c>
      <c r="D1208" s="93">
        <v>10171339063</v>
      </c>
      <c r="E1208" s="92" t="s">
        <v>108</v>
      </c>
      <c r="F1208" s="8" t="s">
        <v>55</v>
      </c>
      <c r="G1208" s="35"/>
    </row>
    <row r="1209" spans="2:7">
      <c r="B1209" s="22">
        <v>384</v>
      </c>
      <c r="C1209" s="92" t="s">
        <v>976</v>
      </c>
      <c r="D1209" s="93">
        <v>10141538340</v>
      </c>
      <c r="E1209" s="92" t="s">
        <v>71</v>
      </c>
      <c r="F1209" s="8" t="s">
        <v>55</v>
      </c>
      <c r="G1209" s="35"/>
    </row>
    <row r="1210" spans="2:7">
      <c r="B1210" s="22">
        <v>388</v>
      </c>
      <c r="C1210" s="93" t="s">
        <v>330</v>
      </c>
      <c r="D1210" s="93">
        <v>10128284605</v>
      </c>
      <c r="E1210" s="92" t="s">
        <v>975</v>
      </c>
      <c r="F1210" s="8" t="s">
        <v>55</v>
      </c>
      <c r="G1210" s="35"/>
    </row>
    <row r="1211" spans="2:7">
      <c r="B1211" s="22"/>
      <c r="C1211" s="92"/>
      <c r="D1211" s="93"/>
      <c r="E1211" s="92"/>
      <c r="F1211" s="8" t="s">
        <v>55</v>
      </c>
      <c r="G1211" s="35"/>
    </row>
    <row r="1212" spans="2:7">
      <c r="B1212" s="22"/>
      <c r="C1212" s="92"/>
      <c r="D1212" s="93"/>
      <c r="E1212" s="92"/>
      <c r="F1212" s="8" t="s">
        <v>55</v>
      </c>
      <c r="G1212" s="35"/>
    </row>
    <row r="1213" spans="2:7">
      <c r="B1213" s="22"/>
      <c r="C1213" s="93"/>
      <c r="D1213" s="93"/>
      <c r="E1213" s="92"/>
      <c r="F1213" s="8" t="s">
        <v>55</v>
      </c>
      <c r="G1213" s="35"/>
    </row>
    <row r="1214" spans="2:7">
      <c r="B1214" s="22"/>
      <c r="C1214" s="92"/>
      <c r="D1214" s="93"/>
      <c r="E1214" s="93"/>
      <c r="F1214" s="8" t="s">
        <v>55</v>
      </c>
      <c r="G1214" s="35"/>
    </row>
    <row r="1215" spans="2:7">
      <c r="B1215" s="22"/>
      <c r="C1215" s="92"/>
      <c r="D1215" s="93"/>
      <c r="E1215" s="93"/>
      <c r="F1215" s="8"/>
      <c r="G1215" s="35"/>
    </row>
    <row r="1216" spans="2:7">
      <c r="B1216" s="22">
        <v>510</v>
      </c>
      <c r="C1216" s="92" t="s">
        <v>347</v>
      </c>
      <c r="D1216" s="95">
        <v>10126142218</v>
      </c>
      <c r="E1216" s="93" t="s">
        <v>125</v>
      </c>
      <c r="F1216" s="8" t="s">
        <v>56</v>
      </c>
      <c r="G1216" s="35"/>
    </row>
    <row r="1217" spans="2:7">
      <c r="B1217" s="22">
        <v>518</v>
      </c>
      <c r="C1217" s="92" t="s">
        <v>930</v>
      </c>
      <c r="D1217" s="93">
        <v>10141584517</v>
      </c>
      <c r="E1217" s="92" t="s">
        <v>357</v>
      </c>
      <c r="F1217" s="8" t="s">
        <v>56</v>
      </c>
      <c r="G1217" s="35"/>
    </row>
    <row r="1218" spans="2:7">
      <c r="B1218" s="22">
        <v>502</v>
      </c>
      <c r="C1218" s="92" t="s">
        <v>691</v>
      </c>
      <c r="D1218" s="93">
        <v>10139359880</v>
      </c>
      <c r="E1218" s="93" t="s">
        <v>933</v>
      </c>
      <c r="F1218" s="8" t="s">
        <v>56</v>
      </c>
      <c r="G1218" s="35"/>
    </row>
    <row r="1219" spans="2:7">
      <c r="B1219" s="22">
        <v>505</v>
      </c>
      <c r="C1219" s="92" t="s">
        <v>690</v>
      </c>
      <c r="D1219" s="93">
        <v>10156807554</v>
      </c>
      <c r="E1219" s="93" t="s">
        <v>340</v>
      </c>
      <c r="F1219" s="8" t="s">
        <v>56</v>
      </c>
      <c r="G1219" s="35"/>
    </row>
    <row r="1220" spans="2:7">
      <c r="B1220" s="22">
        <v>501</v>
      </c>
      <c r="C1220" s="92" t="s">
        <v>692</v>
      </c>
      <c r="D1220" s="93">
        <v>10171463345</v>
      </c>
      <c r="E1220" s="93" t="s">
        <v>669</v>
      </c>
      <c r="F1220" s="8" t="s">
        <v>56</v>
      </c>
      <c r="G1220" s="35"/>
    </row>
    <row r="1221" spans="2:7">
      <c r="B1221" s="22">
        <v>521</v>
      </c>
      <c r="C1221" s="92" t="s">
        <v>942</v>
      </c>
      <c r="D1221" s="93">
        <v>10153425183</v>
      </c>
      <c r="E1221" s="92" t="s">
        <v>125</v>
      </c>
      <c r="F1221" s="8" t="s">
        <v>56</v>
      </c>
      <c r="G1221" s="35"/>
    </row>
    <row r="1222" spans="2:7">
      <c r="B1222" s="22">
        <v>507</v>
      </c>
      <c r="C1222" s="92" t="s">
        <v>696</v>
      </c>
      <c r="D1222" s="93">
        <v>10129054440</v>
      </c>
      <c r="E1222" s="92" t="s">
        <v>150</v>
      </c>
      <c r="F1222" s="8" t="s">
        <v>56</v>
      </c>
      <c r="G1222" s="35"/>
    </row>
    <row r="1223" spans="2:7">
      <c r="B1223" s="22">
        <v>524</v>
      </c>
      <c r="C1223" s="92" t="s">
        <v>935</v>
      </c>
      <c r="D1223" s="93">
        <v>10097164173</v>
      </c>
      <c r="E1223" s="93" t="s">
        <v>936</v>
      </c>
      <c r="F1223" s="8" t="s">
        <v>56</v>
      </c>
      <c r="G1223" s="35"/>
    </row>
    <row r="1224" spans="2:7">
      <c r="B1224" s="22">
        <v>512</v>
      </c>
      <c r="C1224" s="92" t="s">
        <v>934</v>
      </c>
      <c r="D1224" s="93">
        <v>10131905735</v>
      </c>
      <c r="E1224" s="93" t="s">
        <v>128</v>
      </c>
      <c r="F1224" s="8" t="s">
        <v>56</v>
      </c>
      <c r="G1224" s="35"/>
    </row>
    <row r="1225" spans="2:7">
      <c r="B1225" s="22">
        <v>503</v>
      </c>
      <c r="C1225" s="92" t="s">
        <v>939</v>
      </c>
      <c r="D1225" s="93">
        <v>10142567550</v>
      </c>
      <c r="E1225" s="93" t="s">
        <v>940</v>
      </c>
      <c r="F1225" s="8" t="s">
        <v>56</v>
      </c>
      <c r="G1225" s="35"/>
    </row>
    <row r="1226" spans="2:7">
      <c r="B1226" s="107">
        <v>535</v>
      </c>
      <c r="C1226" s="92" t="s">
        <v>931</v>
      </c>
      <c r="D1226" s="93">
        <v>10139137386</v>
      </c>
      <c r="E1226" s="93" t="s">
        <v>932</v>
      </c>
      <c r="F1226" s="8" t="s">
        <v>56</v>
      </c>
      <c r="G1226" s="35"/>
    </row>
    <row r="1227" spans="2:7">
      <c r="B1227" s="22">
        <v>514</v>
      </c>
      <c r="C1227" s="92" t="s">
        <v>944</v>
      </c>
      <c r="D1227" s="95" t="s">
        <v>945</v>
      </c>
      <c r="E1227" s="92" t="s">
        <v>946</v>
      </c>
      <c r="F1227" s="8" t="s">
        <v>56</v>
      </c>
      <c r="G1227" s="35"/>
    </row>
    <row r="1228" spans="2:7">
      <c r="B1228" s="22">
        <v>504</v>
      </c>
      <c r="C1228" s="92" t="s">
        <v>947</v>
      </c>
      <c r="D1228" s="93">
        <v>10154828350</v>
      </c>
      <c r="E1228" s="93" t="s">
        <v>124</v>
      </c>
      <c r="F1228" s="8" t="s">
        <v>56</v>
      </c>
      <c r="G1228" s="35"/>
    </row>
    <row r="1229" spans="2:7">
      <c r="B1229" s="22">
        <v>513</v>
      </c>
      <c r="C1229" s="92" t="s">
        <v>350</v>
      </c>
      <c r="D1229" s="93">
        <v>10131905331</v>
      </c>
      <c r="E1229" s="93" t="s">
        <v>130</v>
      </c>
      <c r="F1229" s="8" t="s">
        <v>56</v>
      </c>
      <c r="G1229" s="35"/>
    </row>
    <row r="1230" spans="2:7">
      <c r="B1230" s="22">
        <v>506</v>
      </c>
      <c r="C1230" s="92" t="s">
        <v>341</v>
      </c>
      <c r="D1230" s="93">
        <v>10171702512</v>
      </c>
      <c r="E1230" s="93" t="s">
        <v>108</v>
      </c>
      <c r="F1230" s="8" t="s">
        <v>56</v>
      </c>
      <c r="G1230" s="35"/>
    </row>
    <row r="1231" spans="2:7">
      <c r="B1231" s="22">
        <v>517</v>
      </c>
      <c r="C1231" s="92" t="s">
        <v>706</v>
      </c>
      <c r="D1231" s="93">
        <v>10171431821</v>
      </c>
      <c r="E1231" s="92" t="s">
        <v>240</v>
      </c>
      <c r="F1231" s="8" t="s">
        <v>56</v>
      </c>
      <c r="G1231" s="35"/>
    </row>
    <row r="1232" spans="2:7">
      <c r="B1232" s="22">
        <v>515</v>
      </c>
      <c r="C1232" s="92" t="s">
        <v>948</v>
      </c>
      <c r="D1232" s="93">
        <v>10171999875</v>
      </c>
      <c r="E1232" s="93" t="s">
        <v>130</v>
      </c>
      <c r="F1232" s="8" t="s">
        <v>56</v>
      </c>
      <c r="G1232" s="35"/>
    </row>
    <row r="1233" spans="2:7">
      <c r="B1233" s="22">
        <v>530</v>
      </c>
      <c r="C1233" s="92" t="s">
        <v>941</v>
      </c>
      <c r="D1233" s="93">
        <v>10173144172</v>
      </c>
      <c r="E1233" s="93" t="s">
        <v>626</v>
      </c>
      <c r="F1233" s="8" t="s">
        <v>56</v>
      </c>
      <c r="G1233" s="35"/>
    </row>
    <row r="1234" spans="2:7">
      <c r="B1234" s="22">
        <v>520</v>
      </c>
      <c r="C1234" s="92" t="s">
        <v>937</v>
      </c>
      <c r="D1234" s="93" t="s">
        <v>66</v>
      </c>
      <c r="E1234" s="93" t="s">
        <v>938</v>
      </c>
      <c r="F1234" s="8" t="s">
        <v>56</v>
      </c>
      <c r="G1234" s="35"/>
    </row>
    <row r="1235" spans="2:7">
      <c r="B1235" s="22">
        <v>509</v>
      </c>
      <c r="C1235" s="92" t="s">
        <v>708</v>
      </c>
      <c r="D1235" s="93">
        <v>10164774688</v>
      </c>
      <c r="E1235" s="93" t="s">
        <v>71</v>
      </c>
      <c r="F1235" s="8" t="s">
        <v>56</v>
      </c>
      <c r="G1235" s="35"/>
    </row>
    <row r="1236" spans="2:7">
      <c r="B1236" s="22">
        <v>529</v>
      </c>
      <c r="C1236" s="92" t="s">
        <v>717</v>
      </c>
      <c r="D1236" s="93">
        <v>10162504282</v>
      </c>
      <c r="E1236" s="93" t="s">
        <v>125</v>
      </c>
      <c r="F1236" s="8" t="s">
        <v>56</v>
      </c>
      <c r="G1236" s="35"/>
    </row>
    <row r="1237" spans="2:7">
      <c r="B1237" s="107">
        <v>536</v>
      </c>
      <c r="C1237" s="92" t="s">
        <v>949</v>
      </c>
      <c r="D1237" s="93">
        <v>402950828</v>
      </c>
      <c r="E1237" s="93" t="s">
        <v>71</v>
      </c>
      <c r="F1237" s="8" t="s">
        <v>56</v>
      </c>
      <c r="G1237" s="35"/>
    </row>
    <row r="1238" spans="2:7">
      <c r="B1238" s="107">
        <v>537</v>
      </c>
      <c r="C1238" s="92" t="s">
        <v>943</v>
      </c>
      <c r="D1238" s="93">
        <v>10175124992</v>
      </c>
      <c r="E1238" s="93" t="s">
        <v>669</v>
      </c>
      <c r="F1238" s="8" t="s">
        <v>56</v>
      </c>
      <c r="G1238" s="35"/>
    </row>
    <row r="1239" spans="2:7">
      <c r="B1239" s="22"/>
      <c r="C1239" s="92"/>
      <c r="D1239" s="93"/>
      <c r="E1239" s="92"/>
      <c r="F1239" s="8"/>
      <c r="G1239" s="35"/>
    </row>
    <row r="1240" spans="2:7">
      <c r="B1240" s="2">
        <v>581</v>
      </c>
      <c r="C1240" s="92" t="s">
        <v>366</v>
      </c>
      <c r="D1240" s="17">
        <v>10156197262</v>
      </c>
      <c r="E1240" t="s">
        <v>109</v>
      </c>
      <c r="F1240" s="8" t="s">
        <v>57</v>
      </c>
      <c r="G1240" s="35"/>
    </row>
    <row r="1241" spans="2:7">
      <c r="B1241" s="22">
        <v>583</v>
      </c>
      <c r="C1241" s="93" t="s">
        <v>951</v>
      </c>
      <c r="D1241" s="93">
        <v>10154228768</v>
      </c>
      <c r="E1241" s="92" t="s">
        <v>124</v>
      </c>
      <c r="F1241" s="8" t="s">
        <v>57</v>
      </c>
      <c r="G1241" s="35"/>
    </row>
    <row r="1242" spans="2:7">
      <c r="B1242" s="22">
        <v>584</v>
      </c>
      <c r="C1242" s="92" t="s">
        <v>369</v>
      </c>
      <c r="D1242" s="93">
        <v>10154309503</v>
      </c>
      <c r="E1242" s="93" t="s">
        <v>110</v>
      </c>
      <c r="F1242" s="8" t="s">
        <v>57</v>
      </c>
      <c r="G1242" s="35"/>
    </row>
    <row r="1243" spans="2:7">
      <c r="B1243" s="22">
        <v>582</v>
      </c>
      <c r="C1243" s="92" t="s">
        <v>950</v>
      </c>
      <c r="D1243" s="93">
        <v>10131906139</v>
      </c>
      <c r="E1243" s="93" t="s">
        <v>130</v>
      </c>
      <c r="F1243" s="8" t="s">
        <v>57</v>
      </c>
      <c r="G1243" s="35"/>
    </row>
    <row r="1244" spans="2:7">
      <c r="B1244" s="22">
        <v>585</v>
      </c>
      <c r="C1244" s="92" t="s">
        <v>952</v>
      </c>
      <c r="D1244" s="93">
        <v>10132320209</v>
      </c>
      <c r="E1244" s="93" t="s">
        <v>134</v>
      </c>
      <c r="F1244" s="8" t="s">
        <v>57</v>
      </c>
      <c r="G1244" s="35"/>
    </row>
    <row r="1245" spans="2:7">
      <c r="B1245" s="7"/>
      <c r="C1245" s="8"/>
      <c r="D1245" s="17"/>
      <c r="E1245" s="17"/>
      <c r="F1245" s="8" t="s">
        <v>57</v>
      </c>
      <c r="G1245" s="35"/>
    </row>
    <row r="1246" spans="2:7" ht="15.75">
      <c r="B1246" s="52"/>
      <c r="C1246" s="8"/>
      <c r="D1246" s="17"/>
      <c r="E1246" s="17"/>
      <c r="F1246" s="8"/>
      <c r="G1246" s="35"/>
    </row>
    <row r="1247" spans="2:7">
      <c r="B1247" s="7"/>
      <c r="C1247" s="8"/>
      <c r="D1247" s="17"/>
      <c r="E1247" s="17"/>
      <c r="F1247" s="8"/>
      <c r="G1247" s="35"/>
    </row>
    <row r="1248" spans="2:7">
      <c r="B1248" s="22">
        <v>401</v>
      </c>
      <c r="C1248" s="92" t="s">
        <v>1056</v>
      </c>
      <c r="D1248" s="93">
        <v>10162383236</v>
      </c>
      <c r="E1248" s="93" t="s">
        <v>744</v>
      </c>
      <c r="F1248" s="8" t="s">
        <v>158</v>
      </c>
      <c r="G1248" s="35"/>
    </row>
    <row r="1249" spans="2:7">
      <c r="B1249" s="22">
        <v>402</v>
      </c>
      <c r="C1249" s="92" t="s">
        <v>745</v>
      </c>
      <c r="D1249" s="93">
        <v>7500</v>
      </c>
      <c r="E1249" s="93" t="s">
        <v>71</v>
      </c>
      <c r="F1249" s="8" t="s">
        <v>158</v>
      </c>
      <c r="G1249" s="35"/>
    </row>
    <row r="1250" spans="2:7">
      <c r="B1250" s="22">
        <v>406</v>
      </c>
      <c r="C1250" s="92" t="s">
        <v>383</v>
      </c>
      <c r="D1250" s="93">
        <v>10172211659</v>
      </c>
      <c r="E1250" s="92" t="s">
        <v>975</v>
      </c>
      <c r="F1250" s="8" t="s">
        <v>158</v>
      </c>
      <c r="G1250" s="35"/>
    </row>
    <row r="1251" spans="2:7">
      <c r="B1251" s="22">
        <v>407</v>
      </c>
      <c r="C1251" s="92" t="s">
        <v>1057</v>
      </c>
      <c r="D1251" s="93" t="s">
        <v>66</v>
      </c>
      <c r="E1251" s="93" t="s">
        <v>933</v>
      </c>
      <c r="F1251" s="8" t="s">
        <v>158</v>
      </c>
      <c r="G1251" s="35"/>
    </row>
    <row r="1252" spans="2:7">
      <c r="B1252" s="22">
        <v>404</v>
      </c>
      <c r="C1252" s="92" t="s">
        <v>380</v>
      </c>
      <c r="D1252" s="93">
        <v>10130330796</v>
      </c>
      <c r="E1252" s="93" t="s">
        <v>65</v>
      </c>
      <c r="F1252" s="8" t="s">
        <v>158</v>
      </c>
      <c r="G1252" s="35"/>
    </row>
    <row r="1253" spans="2:7">
      <c r="B1253" s="107">
        <v>411</v>
      </c>
      <c r="C1253" s="92" t="s">
        <v>1058</v>
      </c>
      <c r="D1253" s="93">
        <v>10151394247</v>
      </c>
      <c r="E1253" s="93" t="s">
        <v>70</v>
      </c>
      <c r="F1253" s="8" t="s">
        <v>158</v>
      </c>
      <c r="G1253" s="35"/>
    </row>
    <row r="1254" spans="2:7">
      <c r="B1254" s="107">
        <v>412</v>
      </c>
      <c r="C1254" s="92" t="s">
        <v>1059</v>
      </c>
      <c r="D1254" s="93">
        <v>1234</v>
      </c>
      <c r="E1254" s="93" t="s">
        <v>1060</v>
      </c>
      <c r="F1254" s="8" t="s">
        <v>158</v>
      </c>
      <c r="G1254" s="35"/>
    </row>
    <row r="1255" spans="2:7">
      <c r="B1255" s="107">
        <v>413</v>
      </c>
      <c r="C1255" s="92" t="s">
        <v>1061</v>
      </c>
      <c r="D1255" s="93">
        <v>10113255059</v>
      </c>
      <c r="E1255" s="93" t="s">
        <v>240</v>
      </c>
      <c r="F1255" s="8" t="s">
        <v>158</v>
      </c>
      <c r="G1255" s="35"/>
    </row>
    <row r="1256" spans="2:7">
      <c r="B1256" s="22"/>
      <c r="C1256" s="92"/>
      <c r="D1256" s="93"/>
      <c r="E1256" s="93"/>
      <c r="F1256" s="8" t="s">
        <v>158</v>
      </c>
      <c r="G1256" s="35"/>
    </row>
    <row r="1257" spans="2:7">
      <c r="B1257" s="22"/>
      <c r="C1257" s="92"/>
      <c r="D1257" s="93"/>
      <c r="E1257" s="93"/>
      <c r="F1257" s="8" t="s">
        <v>158</v>
      </c>
      <c r="G1257" s="35"/>
    </row>
    <row r="1258" spans="2:7">
      <c r="B1258" s="22"/>
      <c r="C1258" s="8"/>
      <c r="D1258" s="17"/>
      <c r="F1258" s="8"/>
      <c r="G1258" s="35"/>
    </row>
    <row r="1259" spans="2:7" ht="15.75">
      <c r="B1259" s="21"/>
      <c r="C1259" s="8"/>
      <c r="D1259" s="17"/>
      <c r="E1259" s="17"/>
      <c r="F1259" s="8"/>
      <c r="G1259" s="35"/>
    </row>
    <row r="1260" spans="2:7">
      <c r="B1260" s="22">
        <v>481</v>
      </c>
      <c r="C1260" s="92" t="s">
        <v>751</v>
      </c>
      <c r="D1260" s="93">
        <v>10162377172</v>
      </c>
      <c r="E1260" s="93" t="s">
        <v>385</v>
      </c>
      <c r="F1260" s="8" t="s">
        <v>159</v>
      </c>
      <c r="G1260" s="35"/>
    </row>
    <row r="1261" spans="2:7">
      <c r="B1261" s="22">
        <v>484</v>
      </c>
      <c r="C1261" s="92" t="s">
        <v>389</v>
      </c>
      <c r="D1261" s="93">
        <v>10162507114</v>
      </c>
      <c r="E1261" s="92" t="s">
        <v>125</v>
      </c>
      <c r="F1261" s="8" t="s">
        <v>159</v>
      </c>
      <c r="G1261" s="35"/>
    </row>
    <row r="1262" spans="2:7">
      <c r="B1262" s="22">
        <v>482</v>
      </c>
      <c r="C1262" s="92" t="s">
        <v>386</v>
      </c>
      <c r="D1262" s="93">
        <v>10171940261</v>
      </c>
      <c r="E1262" s="93" t="s">
        <v>953</v>
      </c>
      <c r="F1262" s="8" t="s">
        <v>159</v>
      </c>
      <c r="G1262" s="35"/>
    </row>
    <row r="1263" spans="2:7">
      <c r="B1263" s="22">
        <v>483</v>
      </c>
      <c r="C1263" s="92" t="s">
        <v>388</v>
      </c>
      <c r="D1263" s="93">
        <v>10156361455</v>
      </c>
      <c r="E1263" s="93" t="s">
        <v>71</v>
      </c>
      <c r="F1263" s="8" t="s">
        <v>159</v>
      </c>
      <c r="G1263" s="35"/>
    </row>
    <row r="1264" spans="2:7">
      <c r="B1264" s="22"/>
      <c r="C1264" s="92"/>
      <c r="D1264" s="93"/>
      <c r="E1264" s="93"/>
      <c r="F1264" s="8" t="s">
        <v>159</v>
      </c>
      <c r="G1264" s="35"/>
    </row>
    <row r="1265" spans="2:7">
      <c r="B1265" s="22">
        <v>701</v>
      </c>
      <c r="C1265" s="92" t="s">
        <v>760</v>
      </c>
      <c r="D1265" s="93">
        <v>10079383568</v>
      </c>
      <c r="E1265" s="93" t="s">
        <v>862</v>
      </c>
      <c r="F1265" s="8" t="s">
        <v>58</v>
      </c>
      <c r="G1265" s="35"/>
    </row>
    <row r="1266" spans="2:7">
      <c r="B1266" s="22">
        <v>708</v>
      </c>
      <c r="C1266" s="92" t="s">
        <v>761</v>
      </c>
      <c r="D1266" s="93">
        <v>10056033143</v>
      </c>
      <c r="E1266" s="93" t="s">
        <v>863</v>
      </c>
      <c r="F1266" s="8" t="s">
        <v>58</v>
      </c>
      <c r="G1266" s="35"/>
    </row>
    <row r="1267" spans="2:7">
      <c r="B1267" s="22">
        <v>704</v>
      </c>
      <c r="C1267" s="92" t="s">
        <v>103</v>
      </c>
      <c r="D1267" s="93">
        <v>10125323576</v>
      </c>
      <c r="E1267" s="93" t="s">
        <v>503</v>
      </c>
      <c r="F1267" s="8" t="s">
        <v>58</v>
      </c>
      <c r="G1267" s="35"/>
    </row>
    <row r="1268" spans="2:7">
      <c r="B1268" s="22">
        <v>702</v>
      </c>
      <c r="C1268" s="93" t="s">
        <v>870</v>
      </c>
      <c r="D1268" s="93" t="s">
        <v>66</v>
      </c>
      <c r="E1268" s="93" t="s">
        <v>762</v>
      </c>
      <c r="F1268" s="8" t="s">
        <v>58</v>
      </c>
      <c r="G1268" s="35"/>
    </row>
    <row r="1269" spans="2:7">
      <c r="B1269" s="22">
        <v>709</v>
      </c>
      <c r="C1269" s="93" t="s">
        <v>871</v>
      </c>
      <c r="D1269" s="93">
        <v>10124844640</v>
      </c>
      <c r="E1269" s="93" t="s">
        <v>401</v>
      </c>
      <c r="F1269" s="8" t="s">
        <v>58</v>
      </c>
      <c r="G1269" s="35"/>
    </row>
    <row r="1270" spans="2:7">
      <c r="B1270" s="22">
        <v>705</v>
      </c>
      <c r="C1270" s="92" t="s">
        <v>868</v>
      </c>
      <c r="D1270" s="93">
        <v>10016062372</v>
      </c>
      <c r="E1270" s="93" t="s">
        <v>869</v>
      </c>
      <c r="F1270" s="8" t="s">
        <v>58</v>
      </c>
      <c r="G1270" s="35"/>
    </row>
    <row r="1271" spans="2:7">
      <c r="B1271" s="22">
        <v>713</v>
      </c>
      <c r="C1271" s="92" t="s">
        <v>766</v>
      </c>
      <c r="D1271" s="93">
        <v>10006255268</v>
      </c>
      <c r="E1271" s="93" t="s">
        <v>100</v>
      </c>
      <c r="F1271" s="8" t="s">
        <v>58</v>
      </c>
      <c r="G1271" s="35"/>
    </row>
    <row r="1272" spans="2:7">
      <c r="B1272" s="107">
        <v>715</v>
      </c>
      <c r="C1272" s="93" t="s">
        <v>872</v>
      </c>
      <c r="D1272" s="93">
        <v>10149059072</v>
      </c>
      <c r="E1272" s="93" t="s">
        <v>422</v>
      </c>
      <c r="F1272" s="8" t="s">
        <v>58</v>
      </c>
      <c r="G1272" s="35"/>
    </row>
    <row r="1273" spans="2:7">
      <c r="B1273" s="107">
        <v>716</v>
      </c>
      <c r="C1273" s="92" t="s">
        <v>873</v>
      </c>
      <c r="D1273" s="93">
        <v>10159628335</v>
      </c>
      <c r="E1273" s="93" t="s">
        <v>874</v>
      </c>
      <c r="F1273" s="8" t="s">
        <v>58</v>
      </c>
      <c r="G1273" s="35"/>
    </row>
    <row r="1274" spans="2:7">
      <c r="B1274" s="107">
        <v>717</v>
      </c>
      <c r="C1274" s="93" t="s">
        <v>864</v>
      </c>
      <c r="D1274" s="93">
        <v>10109664746</v>
      </c>
      <c r="E1274" s="93" t="s">
        <v>865</v>
      </c>
      <c r="F1274" s="8" t="s">
        <v>58</v>
      </c>
      <c r="G1274" s="35"/>
    </row>
    <row r="1275" spans="2:7">
      <c r="B1275" s="107">
        <v>718</v>
      </c>
      <c r="C1275" s="92" t="s">
        <v>866</v>
      </c>
      <c r="D1275" s="93">
        <v>10050357936</v>
      </c>
      <c r="E1275" s="93" t="s">
        <v>867</v>
      </c>
      <c r="F1275" s="8" t="s">
        <v>58</v>
      </c>
      <c r="G1275" s="35"/>
    </row>
    <row r="1276" spans="2:7">
      <c r="B1276" s="107">
        <v>719</v>
      </c>
      <c r="C1276" s="92" t="s">
        <v>875</v>
      </c>
      <c r="D1276" s="93">
        <v>10171945315</v>
      </c>
      <c r="E1276" s="93" t="s">
        <v>876</v>
      </c>
      <c r="F1276" s="8" t="s">
        <v>58</v>
      </c>
      <c r="G1276" s="35"/>
    </row>
    <row r="1277" spans="2:7">
      <c r="B1277" s="22"/>
      <c r="C1277" s="92"/>
      <c r="D1277" s="93"/>
      <c r="E1277" s="93"/>
      <c r="F1277" s="8"/>
      <c r="G1277" s="35"/>
    </row>
    <row r="1278" spans="2:7">
      <c r="B1278" s="22">
        <v>751</v>
      </c>
      <c r="C1278" s="92" t="s">
        <v>114</v>
      </c>
      <c r="D1278" s="93">
        <v>10127988349</v>
      </c>
      <c r="E1278" s="93" t="s">
        <v>100</v>
      </c>
      <c r="F1278" s="8" t="s">
        <v>59</v>
      </c>
      <c r="G1278" s="35"/>
    </row>
    <row r="1279" spans="2:7">
      <c r="B1279" s="22">
        <v>758</v>
      </c>
      <c r="C1279" s="92" t="s">
        <v>879</v>
      </c>
      <c r="D1279" s="93">
        <v>10140636745</v>
      </c>
      <c r="E1279" s="93" t="s">
        <v>130</v>
      </c>
      <c r="F1279" s="8" t="s">
        <v>59</v>
      </c>
      <c r="G1279" s="35"/>
    </row>
    <row r="1280" spans="2:7">
      <c r="B1280" s="22">
        <v>756</v>
      </c>
      <c r="C1280" s="92" t="s">
        <v>412</v>
      </c>
      <c r="D1280" s="93">
        <v>10137070781</v>
      </c>
      <c r="E1280" s="93" t="s">
        <v>394</v>
      </c>
      <c r="F1280" s="8" t="s">
        <v>59</v>
      </c>
      <c r="G1280" s="35"/>
    </row>
    <row r="1281" spans="2:7">
      <c r="B1281" s="22">
        <v>765</v>
      </c>
      <c r="C1281" s="92" t="s">
        <v>425</v>
      </c>
      <c r="D1281" s="93">
        <v>10170981880</v>
      </c>
      <c r="E1281" s="93" t="s">
        <v>426</v>
      </c>
      <c r="F1281" s="8" t="s">
        <v>59</v>
      </c>
      <c r="G1281" s="35"/>
    </row>
    <row r="1282" spans="2:7">
      <c r="B1282" s="22">
        <v>761</v>
      </c>
      <c r="C1282" s="92" t="s">
        <v>87</v>
      </c>
      <c r="D1282" s="93">
        <v>10126504047</v>
      </c>
      <c r="E1282" s="93" t="s">
        <v>880</v>
      </c>
      <c r="F1282" s="8" t="s">
        <v>59</v>
      </c>
      <c r="G1282" s="35"/>
    </row>
    <row r="1283" spans="2:7">
      <c r="B1283" s="22">
        <v>752</v>
      </c>
      <c r="C1283" s="92" t="s">
        <v>877</v>
      </c>
      <c r="D1283" s="93">
        <v>10001352223</v>
      </c>
      <c r="E1283" s="93" t="s">
        <v>878</v>
      </c>
      <c r="F1283" s="8" t="s">
        <v>59</v>
      </c>
      <c r="G1283" s="35"/>
    </row>
    <row r="1284" spans="2:7">
      <c r="B1284" s="22">
        <v>769</v>
      </c>
      <c r="C1284" s="92" t="s">
        <v>777</v>
      </c>
      <c r="D1284" s="93">
        <v>10053119810</v>
      </c>
      <c r="E1284" s="93" t="s">
        <v>778</v>
      </c>
      <c r="F1284" s="8" t="s">
        <v>59</v>
      </c>
      <c r="G1284" s="35"/>
    </row>
    <row r="1285" spans="2:7">
      <c r="B1285" s="22">
        <v>763</v>
      </c>
      <c r="C1285" s="92" t="s">
        <v>881</v>
      </c>
      <c r="D1285" s="93">
        <v>10103825447</v>
      </c>
      <c r="E1285" s="93" t="s">
        <v>422</v>
      </c>
      <c r="F1285" s="8" t="s">
        <v>59</v>
      </c>
      <c r="G1285" s="35"/>
    </row>
    <row r="1286" spans="2:7">
      <c r="B1286" s="22">
        <v>768</v>
      </c>
      <c r="C1286" s="92" t="s">
        <v>776</v>
      </c>
      <c r="D1286" s="93">
        <v>10061819595</v>
      </c>
      <c r="E1286" s="93" t="s">
        <v>133</v>
      </c>
      <c r="F1286" s="8" t="s">
        <v>59</v>
      </c>
      <c r="G1286" s="35"/>
    </row>
    <row r="1287" spans="2:7">
      <c r="B1287" s="22">
        <v>766</v>
      </c>
      <c r="C1287" s="92" t="s">
        <v>883</v>
      </c>
      <c r="D1287" s="93">
        <v>10082235671</v>
      </c>
      <c r="E1287" s="93" t="s">
        <v>884</v>
      </c>
      <c r="F1287" s="8" t="s">
        <v>59</v>
      </c>
      <c r="G1287" s="35"/>
    </row>
    <row r="1288" spans="2:7">
      <c r="B1288" s="107">
        <v>773</v>
      </c>
      <c r="C1288" s="92" t="s">
        <v>882</v>
      </c>
      <c r="D1288" s="93">
        <v>10124667111</v>
      </c>
      <c r="E1288" s="93" t="s">
        <v>394</v>
      </c>
      <c r="F1288" s="8" t="s">
        <v>59</v>
      </c>
      <c r="G1288" s="35"/>
    </row>
    <row r="1289" spans="2:7">
      <c r="B1289" s="22"/>
      <c r="C1289" s="92"/>
      <c r="D1289" s="93"/>
      <c r="E1289" s="93"/>
      <c r="F1289" s="8" t="s">
        <v>59</v>
      </c>
      <c r="G1289" s="35"/>
    </row>
    <row r="1290" spans="2:7">
      <c r="B1290" s="22"/>
      <c r="C1290" s="92"/>
      <c r="D1290" s="93"/>
      <c r="E1290" s="93"/>
      <c r="F1290" s="8" t="s">
        <v>59</v>
      </c>
      <c r="G1290" s="35"/>
    </row>
    <row r="1291" spans="2:7">
      <c r="B1291" s="22"/>
      <c r="C1291" s="92"/>
      <c r="D1291" s="93"/>
      <c r="E1291" s="93"/>
      <c r="F1291" s="8" t="s">
        <v>59</v>
      </c>
      <c r="G1291" s="35"/>
    </row>
    <row r="1292" spans="2:7">
      <c r="B1292" s="104"/>
      <c r="C1292" s="8"/>
      <c r="D1292" s="17"/>
      <c r="E1292" s="17"/>
      <c r="F1292" s="8"/>
      <c r="G1292" s="35"/>
    </row>
    <row r="1293" spans="2:7">
      <c r="B1293" s="96">
        <v>810</v>
      </c>
      <c r="C1293" s="97" t="s">
        <v>437</v>
      </c>
      <c r="D1293" s="98">
        <v>10061985206</v>
      </c>
      <c r="E1293" s="98" t="s">
        <v>100</v>
      </c>
      <c r="F1293" s="8" t="s">
        <v>72</v>
      </c>
      <c r="G1293" s="35"/>
    </row>
    <row r="1294" spans="2:7">
      <c r="B1294" s="96">
        <v>801</v>
      </c>
      <c r="C1294" s="92" t="s">
        <v>115</v>
      </c>
      <c r="D1294" s="93">
        <v>10102979628</v>
      </c>
      <c r="E1294" s="93" t="s">
        <v>427</v>
      </c>
      <c r="F1294" s="8" t="s">
        <v>72</v>
      </c>
      <c r="G1294" s="35"/>
    </row>
    <row r="1295" spans="2:7">
      <c r="B1295" s="96">
        <v>813</v>
      </c>
      <c r="C1295" s="92" t="s">
        <v>899</v>
      </c>
      <c r="D1295" s="93">
        <v>10051209819</v>
      </c>
      <c r="E1295" s="93" t="s">
        <v>442</v>
      </c>
      <c r="F1295" s="8" t="s">
        <v>72</v>
      </c>
      <c r="G1295" s="35"/>
    </row>
    <row r="1296" spans="2:7">
      <c r="B1296" s="96">
        <v>811</v>
      </c>
      <c r="C1296" s="92" t="s">
        <v>438</v>
      </c>
      <c r="D1296" s="93">
        <v>10124200400</v>
      </c>
      <c r="E1296" s="93" t="s">
        <v>394</v>
      </c>
      <c r="F1296" s="8" t="s">
        <v>72</v>
      </c>
      <c r="G1296" s="35"/>
    </row>
    <row r="1297" spans="2:7">
      <c r="B1297" s="96">
        <v>805</v>
      </c>
      <c r="C1297" s="92" t="s">
        <v>785</v>
      </c>
      <c r="D1297" s="93">
        <v>10122661938</v>
      </c>
      <c r="E1297" s="93" t="s">
        <v>6</v>
      </c>
      <c r="F1297" s="8" t="s">
        <v>72</v>
      </c>
      <c r="G1297" s="35"/>
    </row>
    <row r="1298" spans="2:7">
      <c r="B1298" s="96">
        <v>814</v>
      </c>
      <c r="C1298" s="97" t="s">
        <v>88</v>
      </c>
      <c r="D1298" s="98">
        <v>10114540513</v>
      </c>
      <c r="E1298" s="98" t="s">
        <v>89</v>
      </c>
      <c r="F1298" s="8" t="s">
        <v>72</v>
      </c>
      <c r="G1298" s="35"/>
    </row>
    <row r="1299" spans="2:7">
      <c r="B1299" s="96">
        <v>818</v>
      </c>
      <c r="C1299" s="92" t="s">
        <v>789</v>
      </c>
      <c r="D1299" s="93">
        <v>10061991973</v>
      </c>
      <c r="E1299" s="93" t="s">
        <v>429</v>
      </c>
      <c r="F1299" s="8" t="s">
        <v>72</v>
      </c>
      <c r="G1299" s="35"/>
    </row>
    <row r="1300" spans="2:7">
      <c r="B1300" s="96">
        <v>820</v>
      </c>
      <c r="C1300" s="92" t="s">
        <v>897</v>
      </c>
      <c r="D1300" s="93">
        <v>10094103118</v>
      </c>
      <c r="E1300" s="93" t="s">
        <v>898</v>
      </c>
      <c r="F1300" s="8" t="s">
        <v>72</v>
      </c>
      <c r="G1300" s="35"/>
    </row>
    <row r="1301" spans="2:7">
      <c r="B1301" s="22">
        <v>819</v>
      </c>
      <c r="C1301" s="92" t="s">
        <v>904</v>
      </c>
      <c r="D1301" s="93">
        <v>10089829761</v>
      </c>
      <c r="E1301" s="92" t="s">
        <v>429</v>
      </c>
      <c r="F1301" s="8" t="s">
        <v>72</v>
      </c>
      <c r="G1301" s="35"/>
    </row>
    <row r="1302" spans="2:7">
      <c r="B1302" s="96">
        <v>809</v>
      </c>
      <c r="C1302" s="92" t="s">
        <v>435</v>
      </c>
      <c r="D1302" s="93">
        <v>10114420473</v>
      </c>
      <c r="E1302" s="93" t="s">
        <v>436</v>
      </c>
      <c r="F1302" s="8" t="s">
        <v>72</v>
      </c>
      <c r="G1302" s="35"/>
    </row>
    <row r="1303" spans="2:7">
      <c r="B1303" s="96">
        <v>802</v>
      </c>
      <c r="C1303" s="92" t="s">
        <v>896</v>
      </c>
      <c r="D1303" s="93">
        <v>10075677966</v>
      </c>
      <c r="E1303" s="93" t="s">
        <v>429</v>
      </c>
      <c r="F1303" s="8" t="s">
        <v>72</v>
      </c>
      <c r="G1303" s="35"/>
    </row>
    <row r="1304" spans="2:7">
      <c r="B1304" s="96">
        <v>806</v>
      </c>
      <c r="C1304" s="92" t="s">
        <v>140</v>
      </c>
      <c r="D1304" s="93">
        <v>10074956126</v>
      </c>
      <c r="E1304" s="93" t="s">
        <v>433</v>
      </c>
      <c r="F1304" s="8" t="s">
        <v>72</v>
      </c>
      <c r="G1304" s="35"/>
    </row>
    <row r="1305" spans="2:7">
      <c r="B1305" s="108">
        <v>822</v>
      </c>
      <c r="C1305" s="92" t="s">
        <v>900</v>
      </c>
      <c r="D1305" s="93">
        <v>10035259177</v>
      </c>
      <c r="E1305" s="93" t="s">
        <v>901</v>
      </c>
      <c r="F1305" s="8" t="s">
        <v>72</v>
      </c>
      <c r="G1305" s="35"/>
    </row>
    <row r="1306" spans="2:7">
      <c r="B1306" s="96">
        <v>803</v>
      </c>
      <c r="C1306" s="92" t="s">
        <v>141</v>
      </c>
      <c r="D1306" s="93">
        <v>10097275725</v>
      </c>
      <c r="E1306" s="93" t="s">
        <v>905</v>
      </c>
      <c r="F1306" s="8" t="s">
        <v>72</v>
      </c>
      <c r="G1306" s="35"/>
    </row>
    <row r="1307" spans="2:7">
      <c r="B1307" s="108">
        <v>823</v>
      </c>
      <c r="C1307" s="92" t="s">
        <v>902</v>
      </c>
      <c r="D1307" s="93">
        <v>10051458783</v>
      </c>
      <c r="E1307" s="93" t="s">
        <v>903</v>
      </c>
      <c r="F1307" s="8" t="s">
        <v>72</v>
      </c>
      <c r="G1307" s="35"/>
    </row>
    <row r="1308" spans="2:7">
      <c r="B1308" s="108">
        <v>824</v>
      </c>
      <c r="C1308" s="97" t="s">
        <v>906</v>
      </c>
      <c r="D1308" s="98" t="s">
        <v>66</v>
      </c>
      <c r="E1308" s="93" t="s">
        <v>762</v>
      </c>
      <c r="F1308" s="8" t="s">
        <v>72</v>
      </c>
      <c r="G1308" s="35"/>
    </row>
    <row r="1309" spans="2:7">
      <c r="B1309" s="7"/>
      <c r="C1309" s="8"/>
      <c r="D1309" s="17"/>
      <c r="E1309" s="17"/>
      <c r="F1309" s="8"/>
      <c r="G1309" s="35"/>
    </row>
    <row r="1310" spans="2:7">
      <c r="B1310" s="22">
        <v>851</v>
      </c>
      <c r="C1310" s="92" t="s">
        <v>915</v>
      </c>
      <c r="D1310" s="93">
        <v>10060932451</v>
      </c>
      <c r="E1310" s="93" t="s">
        <v>116</v>
      </c>
      <c r="F1310" s="8" t="s">
        <v>90</v>
      </c>
      <c r="G1310" s="35"/>
    </row>
    <row r="1311" spans="2:7">
      <c r="B1311" s="22">
        <v>868</v>
      </c>
      <c r="C1311" s="92" t="s">
        <v>797</v>
      </c>
      <c r="D1311" s="93">
        <v>10074930662</v>
      </c>
      <c r="E1311" s="93" t="s">
        <v>429</v>
      </c>
      <c r="F1311" s="8" t="s">
        <v>90</v>
      </c>
      <c r="G1311" s="35"/>
    </row>
    <row r="1312" spans="2:7">
      <c r="B1312" s="22">
        <v>853</v>
      </c>
      <c r="C1312" s="92" t="s">
        <v>798</v>
      </c>
      <c r="D1312" s="93">
        <v>10122227054</v>
      </c>
      <c r="E1312" s="93" t="s">
        <v>100</v>
      </c>
      <c r="F1312" s="8" t="s">
        <v>90</v>
      </c>
      <c r="G1312" s="35"/>
    </row>
    <row r="1313" spans="2:7">
      <c r="B1313" s="22">
        <v>860</v>
      </c>
      <c r="C1313" s="92" t="s">
        <v>799</v>
      </c>
      <c r="D1313" s="93">
        <v>10061984903</v>
      </c>
      <c r="E1313" s="93" t="s">
        <v>424</v>
      </c>
      <c r="F1313" s="8" t="s">
        <v>90</v>
      </c>
      <c r="G1313" s="35"/>
    </row>
    <row r="1314" spans="2:7">
      <c r="B1314" s="22">
        <v>865</v>
      </c>
      <c r="C1314" s="92" t="s">
        <v>465</v>
      </c>
      <c r="D1314" s="93">
        <v>10138850531</v>
      </c>
      <c r="E1314" s="93" t="s">
        <v>800</v>
      </c>
      <c r="F1314" s="8" t="s">
        <v>90</v>
      </c>
      <c r="G1314" s="35"/>
    </row>
    <row r="1315" spans="2:7">
      <c r="B1315" s="22">
        <v>863</v>
      </c>
      <c r="C1315" s="92" t="s">
        <v>914</v>
      </c>
      <c r="D1315" s="93">
        <v>10104387239</v>
      </c>
      <c r="E1315" s="93" t="s">
        <v>131</v>
      </c>
      <c r="F1315" s="8" t="s">
        <v>90</v>
      </c>
      <c r="G1315" s="35"/>
    </row>
    <row r="1316" spans="2:7">
      <c r="B1316" s="22">
        <v>861</v>
      </c>
      <c r="C1316" s="92" t="s">
        <v>461</v>
      </c>
      <c r="D1316" s="93">
        <v>10060624980</v>
      </c>
      <c r="E1316" s="93" t="s">
        <v>462</v>
      </c>
      <c r="F1316" s="8" t="s">
        <v>90</v>
      </c>
      <c r="G1316" s="35"/>
    </row>
    <row r="1317" spans="2:7">
      <c r="B1317" s="22">
        <v>864</v>
      </c>
      <c r="C1317" s="92" t="s">
        <v>464</v>
      </c>
      <c r="D1317" s="93">
        <v>10126882448</v>
      </c>
      <c r="E1317" s="93" t="s">
        <v>69</v>
      </c>
      <c r="F1317" s="8" t="s">
        <v>90</v>
      </c>
      <c r="G1317" s="35"/>
    </row>
    <row r="1318" spans="2:7">
      <c r="B1318" s="22">
        <v>855</v>
      </c>
      <c r="C1318" s="92" t="s">
        <v>450</v>
      </c>
      <c r="D1318" s="93">
        <v>10059069243</v>
      </c>
      <c r="E1318" s="93" t="s">
        <v>110</v>
      </c>
      <c r="F1318" s="8" t="s">
        <v>90</v>
      </c>
      <c r="G1318" s="35"/>
    </row>
    <row r="1319" spans="2:7">
      <c r="B1319" s="22">
        <v>866</v>
      </c>
      <c r="C1319" s="92" t="s">
        <v>913</v>
      </c>
      <c r="D1319" s="93">
        <v>10079385386</v>
      </c>
      <c r="E1319" s="93" t="s">
        <v>6</v>
      </c>
      <c r="F1319" s="8" t="s">
        <v>90</v>
      </c>
      <c r="G1319" s="35"/>
    </row>
    <row r="1320" spans="2:7">
      <c r="B1320" s="107">
        <v>870</v>
      </c>
      <c r="C1320" s="92" t="s">
        <v>907</v>
      </c>
      <c r="D1320" s="93">
        <v>10089830468</v>
      </c>
      <c r="E1320" s="93" t="s">
        <v>908</v>
      </c>
      <c r="F1320" s="8" t="s">
        <v>90</v>
      </c>
      <c r="G1320" s="35"/>
    </row>
    <row r="1321" spans="2:7">
      <c r="B1321" s="107">
        <v>871</v>
      </c>
      <c r="C1321" s="92" t="s">
        <v>911</v>
      </c>
      <c r="D1321" s="93">
        <v>10151491146</v>
      </c>
      <c r="E1321" s="93" t="s">
        <v>912</v>
      </c>
      <c r="F1321" s="8" t="s">
        <v>90</v>
      </c>
      <c r="G1321" s="35"/>
    </row>
    <row r="1322" spans="2:7">
      <c r="B1322" s="107">
        <v>872</v>
      </c>
      <c r="C1322" s="92" t="s">
        <v>909</v>
      </c>
      <c r="D1322" s="93">
        <v>10061991771</v>
      </c>
      <c r="E1322" s="93" t="s">
        <v>910</v>
      </c>
      <c r="F1322" s="8" t="s">
        <v>90</v>
      </c>
      <c r="G1322" s="35"/>
    </row>
    <row r="1323" spans="2:7">
      <c r="B1323" s="22"/>
      <c r="C1323" s="92"/>
      <c r="D1323" s="93"/>
      <c r="E1323" s="93"/>
      <c r="F1323" s="8" t="s">
        <v>90</v>
      </c>
      <c r="G1323" s="35"/>
    </row>
    <row r="1324" spans="2:7" ht="15.75">
      <c r="B1324" s="48"/>
      <c r="C1324" s="8"/>
      <c r="D1324" s="2"/>
      <c r="E1324" s="17"/>
      <c r="F1324" s="8"/>
      <c r="G1324" s="35"/>
    </row>
    <row r="1325" spans="2:7">
      <c r="B1325" s="96">
        <v>906</v>
      </c>
      <c r="C1325" s="92" t="s">
        <v>476</v>
      </c>
      <c r="D1325" s="22">
        <v>10054780328</v>
      </c>
      <c r="E1325" s="93" t="s">
        <v>100</v>
      </c>
      <c r="F1325" s="8" t="s">
        <v>91</v>
      </c>
      <c r="G1325" s="35"/>
    </row>
    <row r="1326" spans="2:7">
      <c r="B1326" s="96">
        <v>908</v>
      </c>
      <c r="C1326" s="92" t="s">
        <v>807</v>
      </c>
      <c r="D1326" s="22">
        <v>10101986891</v>
      </c>
      <c r="E1326" s="92" t="s">
        <v>918</v>
      </c>
      <c r="F1326" s="8" t="s">
        <v>91</v>
      </c>
      <c r="G1326" s="35"/>
    </row>
    <row r="1327" spans="2:7">
      <c r="B1327" s="96">
        <v>903</v>
      </c>
      <c r="C1327" s="92" t="s">
        <v>73</v>
      </c>
      <c r="D1327" s="22">
        <v>10061997734</v>
      </c>
      <c r="E1327" s="93" t="s">
        <v>69</v>
      </c>
      <c r="F1327" s="8" t="s">
        <v>91</v>
      </c>
      <c r="G1327" s="35"/>
    </row>
    <row r="1328" spans="2:7">
      <c r="B1328" s="96">
        <v>902</v>
      </c>
      <c r="C1328" s="92" t="s">
        <v>917</v>
      </c>
      <c r="D1328" s="22">
        <v>10061990660</v>
      </c>
      <c r="E1328" s="93" t="s">
        <v>144</v>
      </c>
      <c r="F1328" s="8" t="s">
        <v>91</v>
      </c>
      <c r="G1328" s="35"/>
    </row>
    <row r="1329" spans="2:7">
      <c r="B1329" s="96">
        <v>905</v>
      </c>
      <c r="C1329" s="92" t="s">
        <v>921</v>
      </c>
      <c r="D1329" s="22">
        <v>10061855668</v>
      </c>
      <c r="E1329" s="93" t="s">
        <v>922</v>
      </c>
      <c r="F1329" s="8" t="s">
        <v>91</v>
      </c>
      <c r="G1329" s="35"/>
    </row>
    <row r="1330" spans="2:7">
      <c r="B1330" s="96">
        <v>913</v>
      </c>
      <c r="C1330" s="97" t="s">
        <v>925</v>
      </c>
      <c r="D1330" s="99">
        <v>10172012306</v>
      </c>
      <c r="E1330" s="98" t="s">
        <v>487</v>
      </c>
      <c r="F1330" s="8" t="s">
        <v>91</v>
      </c>
      <c r="G1330" s="35"/>
    </row>
    <row r="1331" spans="2:7">
      <c r="B1331" s="96">
        <v>910</v>
      </c>
      <c r="C1331" s="92" t="s">
        <v>481</v>
      </c>
      <c r="D1331" s="22">
        <v>10112076915</v>
      </c>
      <c r="E1331" s="93" t="s">
        <v>482</v>
      </c>
      <c r="F1331" s="8" t="s">
        <v>91</v>
      </c>
      <c r="G1331" s="35"/>
    </row>
    <row r="1332" spans="2:7">
      <c r="B1332" s="108">
        <v>920</v>
      </c>
      <c r="C1332" s="92" t="s">
        <v>926</v>
      </c>
      <c r="D1332" s="22">
        <v>10058250100</v>
      </c>
      <c r="E1332" s="93" t="s">
        <v>927</v>
      </c>
      <c r="F1332" s="8" t="s">
        <v>91</v>
      </c>
      <c r="G1332" s="35"/>
    </row>
    <row r="1333" spans="2:7">
      <c r="B1333" s="108">
        <v>921</v>
      </c>
      <c r="C1333" s="92" t="s">
        <v>919</v>
      </c>
      <c r="D1333" s="22">
        <v>10086665945</v>
      </c>
      <c r="E1333" s="92" t="s">
        <v>920</v>
      </c>
      <c r="F1333" s="8" t="s">
        <v>91</v>
      </c>
      <c r="G1333" s="35"/>
    </row>
    <row r="1334" spans="2:7">
      <c r="B1334" s="108">
        <v>922</v>
      </c>
      <c r="C1334" s="92" t="s">
        <v>923</v>
      </c>
      <c r="D1334" s="22">
        <v>10126639241</v>
      </c>
      <c r="E1334" s="93" t="s">
        <v>924</v>
      </c>
      <c r="F1334" s="8" t="s">
        <v>91</v>
      </c>
      <c r="G1334" s="35"/>
    </row>
    <row r="1335" spans="2:7">
      <c r="B1335" s="96"/>
      <c r="C1335" s="92"/>
      <c r="D1335" s="22"/>
      <c r="E1335" s="93"/>
      <c r="F1335" s="8" t="s">
        <v>91</v>
      </c>
      <c r="G1335" s="35"/>
    </row>
    <row r="1336" spans="2:7">
      <c r="B1336" s="41"/>
      <c r="C1336" s="54"/>
      <c r="D1336" s="17"/>
      <c r="F1336" s="17"/>
      <c r="G1336" s="35"/>
    </row>
    <row r="1337" spans="2:7" ht="15.75">
      <c r="B1337" s="21"/>
      <c r="C1337" s="8"/>
      <c r="D1337" s="17"/>
      <c r="E1337" s="17"/>
      <c r="F1337" s="17"/>
      <c r="G1337" s="35"/>
    </row>
    <row r="1338" spans="2:7">
      <c r="B1338" s="22">
        <v>935</v>
      </c>
      <c r="C1338" s="93" t="s">
        <v>916</v>
      </c>
      <c r="D1338" s="93">
        <v>10083854965</v>
      </c>
      <c r="E1338" s="92" t="s">
        <v>1062</v>
      </c>
      <c r="F1338" s="8" t="s">
        <v>160</v>
      </c>
      <c r="G1338" s="35"/>
    </row>
    <row r="1339" spans="2:7">
      <c r="B1339" s="22"/>
      <c r="C1339" s="93"/>
      <c r="D1339" s="93"/>
      <c r="E1339" s="92"/>
      <c r="F1339" s="8" t="s">
        <v>160</v>
      </c>
      <c r="G1339" s="35"/>
    </row>
    <row r="1340" spans="2:7">
      <c r="B1340" s="22"/>
      <c r="C1340" s="92"/>
      <c r="D1340" s="93"/>
      <c r="E1340" s="93"/>
      <c r="F1340" s="8" t="s">
        <v>160</v>
      </c>
      <c r="G1340" s="35"/>
    </row>
    <row r="1341" spans="2:7">
      <c r="B1341" s="22"/>
      <c r="C1341" s="93"/>
      <c r="D1341" s="93"/>
      <c r="E1341" s="93"/>
      <c r="F1341" s="8" t="s">
        <v>160</v>
      </c>
      <c r="G1341" s="35"/>
    </row>
    <row r="1342" spans="2:7">
      <c r="B1342" s="41"/>
      <c r="C1342" s="54"/>
      <c r="D1342" s="17"/>
      <c r="F1342" s="17"/>
      <c r="G1342" s="35"/>
    </row>
    <row r="1343" spans="2:7">
      <c r="B1343" s="22">
        <v>951</v>
      </c>
      <c r="C1343" s="93" t="s">
        <v>928</v>
      </c>
      <c r="D1343" s="93">
        <v>10101986689</v>
      </c>
      <c r="E1343" s="92" t="s">
        <v>929</v>
      </c>
      <c r="F1343" s="8" t="s">
        <v>161</v>
      </c>
      <c r="G1343" s="35"/>
    </row>
    <row r="1344" spans="2:7">
      <c r="B1344" s="22">
        <v>955</v>
      </c>
      <c r="C1344" s="93" t="s">
        <v>831</v>
      </c>
      <c r="D1344" s="93">
        <v>10052912268</v>
      </c>
      <c r="E1344" s="92" t="s">
        <v>695</v>
      </c>
      <c r="F1344" s="8" t="s">
        <v>161</v>
      </c>
      <c r="G1344" s="35"/>
    </row>
    <row r="1345" spans="2:7">
      <c r="B1345" s="3"/>
      <c r="C1345" s="93"/>
      <c r="D1345" s="93"/>
      <c r="E1345" s="92"/>
      <c r="F1345" s="8" t="s">
        <v>161</v>
      </c>
      <c r="G1345" s="35"/>
    </row>
    <row r="1346" spans="2:7">
      <c r="B1346" s="3"/>
      <c r="C1346" s="93"/>
      <c r="D1346" s="93"/>
      <c r="E1346" s="92"/>
      <c r="F1346" s="8" t="s">
        <v>161</v>
      </c>
      <c r="G1346" s="35"/>
    </row>
    <row r="1347" spans="2:7">
      <c r="B1347" s="3"/>
      <c r="C1347" s="93"/>
      <c r="D1347" s="93"/>
      <c r="E1347" s="92"/>
      <c r="F1347" s="8"/>
      <c r="G1347" s="35"/>
    </row>
    <row r="1348" spans="2:7">
      <c r="B1348" s="22">
        <v>609</v>
      </c>
      <c r="C1348" s="92" t="s">
        <v>888</v>
      </c>
      <c r="D1348" s="93">
        <v>10063635620</v>
      </c>
      <c r="E1348" s="93" t="s">
        <v>889</v>
      </c>
      <c r="F1348" s="8" t="s">
        <v>60</v>
      </c>
      <c r="G1348" s="35"/>
    </row>
    <row r="1349" spans="2:7">
      <c r="B1349" s="22">
        <v>614</v>
      </c>
      <c r="C1349" s="92" t="s">
        <v>885</v>
      </c>
      <c r="D1349" s="93">
        <v>10153041631</v>
      </c>
      <c r="E1349" s="92" t="s">
        <v>886</v>
      </c>
      <c r="F1349" s="8" t="s">
        <v>60</v>
      </c>
      <c r="G1349" s="35"/>
    </row>
    <row r="1350" spans="2:7">
      <c r="B1350" s="22">
        <v>603</v>
      </c>
      <c r="C1350" s="92" t="s">
        <v>891</v>
      </c>
      <c r="D1350" s="93">
        <v>10164876237</v>
      </c>
      <c r="E1350" s="93" t="s">
        <v>836</v>
      </c>
      <c r="F1350" s="8" t="s">
        <v>60</v>
      </c>
      <c r="G1350" s="35"/>
    </row>
    <row r="1351" spans="2:7">
      <c r="B1351" s="22">
        <v>610</v>
      </c>
      <c r="C1351" s="93" t="s">
        <v>515</v>
      </c>
      <c r="D1351" s="93" t="s">
        <v>66</v>
      </c>
      <c r="E1351" s="92" t="s">
        <v>516</v>
      </c>
      <c r="F1351" s="8" t="s">
        <v>60</v>
      </c>
      <c r="G1351" s="35"/>
    </row>
    <row r="1352" spans="2:7">
      <c r="B1352" s="22">
        <v>622</v>
      </c>
      <c r="C1352" s="92" t="s">
        <v>402</v>
      </c>
      <c r="D1352" s="93" t="s">
        <v>66</v>
      </c>
      <c r="E1352" s="92" t="s">
        <v>890</v>
      </c>
      <c r="F1352" s="8" t="s">
        <v>60</v>
      </c>
      <c r="G1352" s="35"/>
    </row>
    <row r="1353" spans="2:7">
      <c r="B1353" s="22">
        <v>618</v>
      </c>
      <c r="C1353" s="92" t="s">
        <v>887</v>
      </c>
      <c r="D1353" s="93">
        <v>10127815668</v>
      </c>
      <c r="E1353" s="93" t="s">
        <v>394</v>
      </c>
      <c r="F1353" s="8" t="s">
        <v>60</v>
      </c>
      <c r="G1353" s="35"/>
    </row>
    <row r="1354" spans="2:7">
      <c r="B1354" s="22">
        <v>619</v>
      </c>
      <c r="C1354" s="92" t="s">
        <v>528</v>
      </c>
      <c r="D1354" s="93">
        <v>10154842595</v>
      </c>
      <c r="E1354" s="93" t="s">
        <v>101</v>
      </c>
      <c r="F1354" s="8" t="s">
        <v>60</v>
      </c>
      <c r="G1354" s="35"/>
    </row>
    <row r="1355" spans="2:7">
      <c r="B1355" s="22">
        <v>625</v>
      </c>
      <c r="C1355" s="92" t="s">
        <v>533</v>
      </c>
      <c r="D1355" s="93">
        <v>10172016144</v>
      </c>
      <c r="E1355" s="93" t="s">
        <v>6</v>
      </c>
      <c r="F1355" s="8" t="s">
        <v>60</v>
      </c>
      <c r="G1355" s="35"/>
    </row>
    <row r="1356" spans="2:7">
      <c r="B1356" s="22">
        <v>617</v>
      </c>
      <c r="C1356" s="92" t="s">
        <v>894</v>
      </c>
      <c r="D1356" s="93">
        <v>10096302287</v>
      </c>
      <c r="E1356" s="93" t="s">
        <v>895</v>
      </c>
      <c r="F1356" s="8" t="s">
        <v>60</v>
      </c>
      <c r="G1356" s="35"/>
    </row>
    <row r="1357" spans="2:7">
      <c r="B1357" s="107">
        <v>627</v>
      </c>
      <c r="C1357" s="92" t="s">
        <v>892</v>
      </c>
      <c r="D1357" s="93">
        <v>10123139965</v>
      </c>
      <c r="E1357" s="93" t="s">
        <v>893</v>
      </c>
      <c r="F1357" s="8" t="s">
        <v>60</v>
      </c>
      <c r="G1357" s="35"/>
    </row>
    <row r="1358" spans="2:7">
      <c r="B1358" s="22"/>
      <c r="C1358" s="92"/>
      <c r="D1358" s="93"/>
      <c r="E1358" s="93"/>
      <c r="F1358" s="8" t="s">
        <v>60</v>
      </c>
      <c r="G1358" s="35"/>
    </row>
    <row r="1359" spans="2:7">
      <c r="B1359" s="7"/>
      <c r="C1359" s="8"/>
      <c r="D1359" s="17"/>
      <c r="E1359" s="17"/>
      <c r="F1359" s="17"/>
      <c r="G1359" s="35"/>
    </row>
    <row r="1360" spans="2:7">
      <c r="B1360" s="7"/>
      <c r="C1360" s="8"/>
      <c r="D1360" s="17"/>
      <c r="E1360" s="17"/>
      <c r="F1360" s="17"/>
      <c r="G1360" s="35"/>
    </row>
    <row r="1361" spans="2:7">
      <c r="B1361" s="22">
        <v>671</v>
      </c>
      <c r="C1361" s="92" t="s">
        <v>532</v>
      </c>
      <c r="D1361" s="93">
        <v>10136876074</v>
      </c>
      <c r="E1361" s="92" t="s">
        <v>394</v>
      </c>
      <c r="F1361" s="8" t="s">
        <v>92</v>
      </c>
      <c r="G1361" s="35"/>
    </row>
    <row r="1362" spans="2:7">
      <c r="B1362" s="18"/>
      <c r="C1362" s="19"/>
      <c r="D1362" s="19"/>
      <c r="E1362" s="19"/>
      <c r="F1362" s="19"/>
      <c r="G1362" s="35"/>
    </row>
    <row r="1363" spans="2:7">
      <c r="B1363" s="18"/>
      <c r="C1363" s="19"/>
      <c r="D1363" s="19"/>
      <c r="E1363" s="19"/>
      <c r="F1363" s="19"/>
      <c r="G1363" s="35"/>
    </row>
    <row r="1364" spans="2:7">
      <c r="B1364" s="18"/>
      <c r="C1364" s="19"/>
      <c r="D1364" s="19"/>
      <c r="E1364" s="19"/>
      <c r="F1364" s="19"/>
      <c r="G1364" s="35"/>
    </row>
    <row r="1365" spans="2:7">
      <c r="B1365" s="18"/>
      <c r="C1365" s="19" t="s">
        <v>559</v>
      </c>
      <c r="D1365" s="19"/>
      <c r="E1365" s="19"/>
      <c r="F1365" s="19"/>
      <c r="G1365" s="35"/>
    </row>
    <row r="1366" spans="2:7">
      <c r="B1366" s="3">
        <v>20</v>
      </c>
      <c r="C1366" s="93" t="s">
        <v>560</v>
      </c>
      <c r="D1366" s="93">
        <v>10058573533</v>
      </c>
      <c r="E1366" s="92" t="s">
        <v>170</v>
      </c>
      <c r="F1366" t="s">
        <v>50</v>
      </c>
      <c r="G1366" s="35"/>
    </row>
    <row r="1367" spans="2:7">
      <c r="B1367" s="22">
        <v>1</v>
      </c>
      <c r="C1367" s="93" t="s">
        <v>164</v>
      </c>
      <c r="D1367" s="93">
        <v>10009200331</v>
      </c>
      <c r="E1367" s="92" t="s">
        <v>561</v>
      </c>
      <c r="F1367" t="s">
        <v>50</v>
      </c>
      <c r="G1367" s="35"/>
    </row>
    <row r="1368" spans="2:7">
      <c r="B1368" s="3">
        <v>2</v>
      </c>
      <c r="C1368" s="92" t="s">
        <v>166</v>
      </c>
      <c r="D1368" s="93">
        <v>10092456037</v>
      </c>
      <c r="E1368" s="93" t="s">
        <v>562</v>
      </c>
      <c r="F1368" t="s">
        <v>50</v>
      </c>
      <c r="G1368" s="35"/>
    </row>
    <row r="1369" spans="2:7">
      <c r="B1369" s="3">
        <v>21</v>
      </c>
      <c r="C1369" s="93" t="s">
        <v>563</v>
      </c>
      <c r="D1369" s="93">
        <v>10056016167</v>
      </c>
      <c r="E1369" s="92" t="s">
        <v>109</v>
      </c>
      <c r="F1369" t="s">
        <v>50</v>
      </c>
      <c r="G1369" s="35"/>
    </row>
    <row r="1370" spans="2:7">
      <c r="B1370" s="3">
        <v>22</v>
      </c>
      <c r="C1370" s="92" t="s">
        <v>564</v>
      </c>
      <c r="D1370" s="93">
        <v>10007693090</v>
      </c>
      <c r="E1370" s="93" t="s">
        <v>565</v>
      </c>
      <c r="F1370" t="s">
        <v>50</v>
      </c>
      <c r="G1370" s="35"/>
    </row>
    <row r="1371" spans="2:7">
      <c r="B1371" s="3">
        <v>3</v>
      </c>
      <c r="C1371" s="92" t="s">
        <v>106</v>
      </c>
      <c r="D1371" s="93">
        <v>10105198201</v>
      </c>
      <c r="E1371" s="93" t="s">
        <v>566</v>
      </c>
      <c r="F1371" t="s">
        <v>50</v>
      </c>
      <c r="G1371" s="35"/>
    </row>
    <row r="1372" spans="2:7">
      <c r="B1372" s="3">
        <v>4</v>
      </c>
      <c r="C1372" s="92" t="s">
        <v>567</v>
      </c>
      <c r="D1372" s="93">
        <v>10076890971</v>
      </c>
      <c r="E1372" s="93" t="s">
        <v>109</v>
      </c>
      <c r="F1372" t="s">
        <v>50</v>
      </c>
      <c r="G1372" s="35"/>
    </row>
    <row r="1373" spans="2:7">
      <c r="B1373" s="3">
        <v>5</v>
      </c>
      <c r="C1373" s="92" t="s">
        <v>568</v>
      </c>
      <c r="D1373" s="93">
        <v>10075992208</v>
      </c>
      <c r="E1373" s="93" t="s">
        <v>110</v>
      </c>
      <c r="F1373" t="s">
        <v>50</v>
      </c>
      <c r="G1373" s="35"/>
    </row>
    <row r="1374" spans="2:7">
      <c r="B1374" s="3">
        <v>6</v>
      </c>
      <c r="C1374" s="92" t="s">
        <v>569</v>
      </c>
      <c r="D1374" s="93">
        <v>10051220327</v>
      </c>
      <c r="E1374" s="93" t="s">
        <v>170</v>
      </c>
      <c r="F1374" t="s">
        <v>50</v>
      </c>
      <c r="G1374" s="35"/>
    </row>
    <row r="1375" spans="2:7">
      <c r="B1375" s="3">
        <v>7</v>
      </c>
      <c r="C1375" s="92" t="s">
        <v>171</v>
      </c>
      <c r="D1375" s="93">
        <v>10140483767</v>
      </c>
      <c r="E1375" s="93" t="s">
        <v>172</v>
      </c>
      <c r="F1375" t="s">
        <v>50</v>
      </c>
      <c r="G1375" s="35"/>
    </row>
    <row r="1376" spans="2:7">
      <c r="B1376" s="3">
        <v>23</v>
      </c>
      <c r="C1376" s="92" t="s">
        <v>570</v>
      </c>
      <c r="D1376" s="93">
        <v>10089547148</v>
      </c>
      <c r="E1376" s="93" t="s">
        <v>109</v>
      </c>
      <c r="F1376" t="s">
        <v>50</v>
      </c>
      <c r="G1376" s="35"/>
    </row>
    <row r="1377" spans="2:7">
      <c r="B1377" s="3">
        <v>10</v>
      </c>
      <c r="C1377" s="92" t="s">
        <v>571</v>
      </c>
      <c r="D1377" s="93">
        <v>10103820090</v>
      </c>
      <c r="E1377" s="93" t="s">
        <v>109</v>
      </c>
      <c r="F1377" t="s">
        <v>50</v>
      </c>
      <c r="G1377" s="35"/>
    </row>
    <row r="1378" spans="2:7">
      <c r="B1378" s="3">
        <v>15</v>
      </c>
      <c r="C1378" s="92" t="s">
        <v>181</v>
      </c>
      <c r="D1378" s="93">
        <v>10120369001</v>
      </c>
      <c r="E1378" s="93" t="s">
        <v>100</v>
      </c>
      <c r="F1378" t="s">
        <v>50</v>
      </c>
      <c r="G1378" s="35"/>
    </row>
    <row r="1379" spans="2:7">
      <c r="B1379" s="3">
        <v>11</v>
      </c>
      <c r="C1379" s="92" t="s">
        <v>176</v>
      </c>
      <c r="D1379" s="93">
        <v>10121754380</v>
      </c>
      <c r="E1379" s="93" t="s">
        <v>100</v>
      </c>
      <c r="F1379" t="s">
        <v>50</v>
      </c>
      <c r="G1379" s="35"/>
    </row>
    <row r="1380" spans="2:7">
      <c r="B1380" s="3">
        <v>18</v>
      </c>
      <c r="C1380" s="92" t="s">
        <v>187</v>
      </c>
      <c r="D1380" s="93">
        <v>10120252500</v>
      </c>
      <c r="E1380" s="93" t="s">
        <v>572</v>
      </c>
      <c r="F1380" t="s">
        <v>50</v>
      </c>
      <c r="G1380" s="35"/>
    </row>
    <row r="1381" spans="2:7">
      <c r="B1381" s="3">
        <v>16</v>
      </c>
      <c r="C1381" s="92" t="s">
        <v>573</v>
      </c>
      <c r="D1381" s="93">
        <v>10144142687</v>
      </c>
      <c r="E1381" s="93" t="s">
        <v>184</v>
      </c>
      <c r="F1381" t="s">
        <v>50</v>
      </c>
      <c r="G1381" s="35"/>
    </row>
    <row r="1382" spans="2:7">
      <c r="B1382" s="3">
        <v>24</v>
      </c>
      <c r="C1382" s="92" t="s">
        <v>574</v>
      </c>
      <c r="D1382" s="93">
        <v>10061669651</v>
      </c>
      <c r="E1382" s="93" t="s">
        <v>70</v>
      </c>
      <c r="F1382" t="s">
        <v>50</v>
      </c>
      <c r="G1382" s="35"/>
    </row>
    <row r="1383" spans="2:7">
      <c r="B1383" s="3">
        <v>25</v>
      </c>
      <c r="C1383" s="92" t="s">
        <v>575</v>
      </c>
      <c r="D1383" s="93">
        <v>10113743291</v>
      </c>
      <c r="E1383" s="93" t="s">
        <v>70</v>
      </c>
      <c r="F1383" t="s">
        <v>50</v>
      </c>
      <c r="G1383" s="35"/>
    </row>
    <row r="1384" spans="2:7">
      <c r="B1384" s="3">
        <v>27</v>
      </c>
      <c r="C1384" s="92" t="s">
        <v>576</v>
      </c>
      <c r="D1384" s="93" t="s">
        <v>66</v>
      </c>
      <c r="E1384" s="93" t="s">
        <v>70</v>
      </c>
      <c r="F1384" t="s">
        <v>50</v>
      </c>
      <c r="G1384" s="35"/>
    </row>
    <row r="1385" spans="2:7">
      <c r="B1385" s="3">
        <v>28</v>
      </c>
      <c r="C1385" s="93" t="s">
        <v>577</v>
      </c>
      <c r="D1385" s="93" t="s">
        <v>66</v>
      </c>
      <c r="E1385" s="92" t="s">
        <v>578</v>
      </c>
      <c r="F1385" t="s">
        <v>50</v>
      </c>
      <c r="G1385" s="35"/>
    </row>
    <row r="1386" spans="2:7" ht="29.25">
      <c r="B1386" s="3">
        <v>29</v>
      </c>
      <c r="C1386" s="97" t="s">
        <v>579</v>
      </c>
      <c r="D1386" s="97">
        <v>10138661278</v>
      </c>
      <c r="E1386" s="94" t="s">
        <v>580</v>
      </c>
      <c r="F1386" t="s">
        <v>50</v>
      </c>
      <c r="G1386" s="35"/>
    </row>
    <row r="1387" spans="2:7">
      <c r="B1387" s="22">
        <v>17</v>
      </c>
      <c r="C1387" s="97" t="s">
        <v>581</v>
      </c>
      <c r="D1387" s="97">
        <v>10121518449</v>
      </c>
      <c r="E1387" s="94" t="s">
        <v>123</v>
      </c>
      <c r="F1387" t="s">
        <v>50</v>
      </c>
      <c r="G1387" s="35"/>
    </row>
    <row r="1388" spans="2:7">
      <c r="B1388" s="22">
        <v>30</v>
      </c>
      <c r="C1388" s="92" t="s">
        <v>582</v>
      </c>
      <c r="D1388" s="93">
        <v>10082024901</v>
      </c>
      <c r="E1388" s="92" t="s">
        <v>583</v>
      </c>
      <c r="F1388" t="s">
        <v>50</v>
      </c>
      <c r="G1388" s="35"/>
    </row>
    <row r="1389" spans="2:7">
      <c r="B1389" s="3"/>
      <c r="C1389" s="92"/>
      <c r="D1389" s="93"/>
      <c r="E1389" s="93"/>
      <c r="F1389" t="s">
        <v>50</v>
      </c>
      <c r="G1389" s="35"/>
    </row>
    <row r="1390" spans="2:7">
      <c r="B1390" s="10"/>
      <c r="C1390" s="8"/>
      <c r="D1390" s="17"/>
      <c r="E1390" s="17"/>
      <c r="F1390" t="s">
        <v>50</v>
      </c>
      <c r="G1390" s="35"/>
    </row>
    <row r="1391" spans="2:7">
      <c r="B1391" s="10"/>
      <c r="C1391" s="8"/>
      <c r="D1391" s="17"/>
      <c r="E1391" s="17"/>
      <c r="F1391" t="s">
        <v>50</v>
      </c>
      <c r="G1391" s="35"/>
    </row>
    <row r="1392" spans="2:7" ht="15.75">
      <c r="B1392" s="40"/>
      <c r="C1392" s="8"/>
      <c r="D1392" s="54"/>
      <c r="E1392" s="54"/>
      <c r="F1392" s="8"/>
      <c r="G1392" s="35"/>
    </row>
    <row r="1393" spans="2:7">
      <c r="B1393" s="7">
        <v>82</v>
      </c>
      <c r="C1393" s="8" t="s">
        <v>148</v>
      </c>
      <c r="D1393" s="17">
        <v>10059847263</v>
      </c>
      <c r="E1393" s="17" t="s">
        <v>584</v>
      </c>
      <c r="F1393" s="8" t="s">
        <v>51</v>
      </c>
      <c r="G1393" s="35"/>
    </row>
    <row r="1394" spans="2:7">
      <c r="B1394" s="41">
        <v>92</v>
      </c>
      <c r="C1394" s="8" t="s">
        <v>585</v>
      </c>
      <c r="D1394" s="17">
        <v>10077498132</v>
      </c>
      <c r="E1394" s="17" t="s">
        <v>109</v>
      </c>
      <c r="F1394" s="8" t="s">
        <v>51</v>
      </c>
      <c r="G1394" s="35"/>
    </row>
    <row r="1395" spans="2:7">
      <c r="B1395" s="41">
        <v>93</v>
      </c>
      <c r="C1395" s="8" t="s">
        <v>586</v>
      </c>
      <c r="D1395" s="17">
        <v>10077498435</v>
      </c>
      <c r="E1395" s="17" t="s">
        <v>109</v>
      </c>
      <c r="F1395" s="8" t="s">
        <v>51</v>
      </c>
      <c r="G1395" s="35"/>
    </row>
    <row r="1396" spans="2:7">
      <c r="B1396" s="41">
        <v>94</v>
      </c>
      <c r="C1396" s="8" t="s">
        <v>587</v>
      </c>
      <c r="D1396" s="17">
        <v>10112699836</v>
      </c>
      <c r="E1396" s="17" t="s">
        <v>133</v>
      </c>
      <c r="F1396" s="8" t="s">
        <v>51</v>
      </c>
      <c r="G1396" s="35"/>
    </row>
    <row r="1397" spans="2:7">
      <c r="B1397" s="7">
        <v>87</v>
      </c>
      <c r="C1397" s="8" t="s">
        <v>588</v>
      </c>
      <c r="D1397" s="17">
        <v>10120014242</v>
      </c>
      <c r="E1397" s="17" t="s">
        <v>199</v>
      </c>
      <c r="F1397" s="8" t="s">
        <v>51</v>
      </c>
      <c r="G1397" s="35"/>
    </row>
    <row r="1398" spans="2:7">
      <c r="B1398" s="7">
        <v>85</v>
      </c>
      <c r="C1398" s="8" t="s">
        <v>196</v>
      </c>
      <c r="D1398" s="17">
        <v>10101990228</v>
      </c>
      <c r="E1398" s="17" t="s">
        <v>100</v>
      </c>
      <c r="F1398" s="8" t="s">
        <v>51</v>
      </c>
      <c r="G1398" s="35"/>
    </row>
    <row r="1399" spans="2:7">
      <c r="B1399" s="7">
        <v>89</v>
      </c>
      <c r="C1399" s="8" t="s">
        <v>589</v>
      </c>
      <c r="D1399" s="17">
        <v>10076571982</v>
      </c>
      <c r="E1399" s="17" t="s">
        <v>134</v>
      </c>
      <c r="F1399" s="8" t="s">
        <v>51</v>
      </c>
      <c r="G1399" s="35"/>
    </row>
    <row r="1400" spans="2:7">
      <c r="B1400" s="7">
        <v>90</v>
      </c>
      <c r="C1400" s="8" t="s">
        <v>202</v>
      </c>
      <c r="D1400" s="17">
        <v>10104125238</v>
      </c>
      <c r="E1400" s="17" t="s">
        <v>100</v>
      </c>
      <c r="F1400" s="8" t="s">
        <v>51</v>
      </c>
      <c r="G1400" s="35"/>
    </row>
    <row r="1401" spans="2:7">
      <c r="B1401" s="22"/>
      <c r="C1401" s="94"/>
      <c r="D1401" s="93"/>
      <c r="E1401" s="93"/>
      <c r="F1401" s="8" t="s">
        <v>51</v>
      </c>
      <c r="G1401" s="35"/>
    </row>
    <row r="1402" spans="2:7">
      <c r="B1402" s="3"/>
      <c r="C1402" s="94"/>
      <c r="D1402" s="93"/>
      <c r="E1402" s="93"/>
      <c r="F1402" s="8" t="s">
        <v>51</v>
      </c>
      <c r="G1402" s="35"/>
    </row>
    <row r="1403" spans="2:7">
      <c r="B1403" s="22"/>
      <c r="C1403" s="94"/>
      <c r="D1403" s="93"/>
      <c r="E1403" s="93"/>
      <c r="F1403" s="8" t="s">
        <v>51</v>
      </c>
      <c r="G1403" s="35"/>
    </row>
    <row r="1404" spans="2:7">
      <c r="B1404" s="10"/>
      <c r="C1404" s="8"/>
      <c r="D1404" s="17"/>
      <c r="E1404" s="17"/>
      <c r="G1404" s="35"/>
    </row>
    <row r="1405" spans="2:7">
      <c r="B1405" s="3">
        <v>101</v>
      </c>
      <c r="C1405" s="92" t="s">
        <v>204</v>
      </c>
      <c r="D1405" s="93">
        <v>10089728923</v>
      </c>
      <c r="E1405" s="93" t="s">
        <v>565</v>
      </c>
      <c r="F1405" t="s">
        <v>52</v>
      </c>
      <c r="G1405" s="35"/>
    </row>
    <row r="1406" spans="2:7">
      <c r="B1406" s="3">
        <v>103</v>
      </c>
      <c r="C1406" s="92" t="s">
        <v>206</v>
      </c>
      <c r="D1406" s="93">
        <v>10154951521</v>
      </c>
      <c r="E1406" s="93" t="s">
        <v>565</v>
      </c>
      <c r="F1406" t="s">
        <v>52</v>
      </c>
      <c r="G1406" s="35"/>
    </row>
    <row r="1407" spans="2:7">
      <c r="B1407" s="3">
        <v>102</v>
      </c>
      <c r="C1407" s="92" t="s">
        <v>590</v>
      </c>
      <c r="D1407" s="93">
        <v>10116215680</v>
      </c>
      <c r="E1407" s="93" t="s">
        <v>109</v>
      </c>
      <c r="F1407" t="s">
        <v>52</v>
      </c>
      <c r="G1407" s="35"/>
    </row>
    <row r="1408" spans="2:7">
      <c r="B1408" s="3">
        <v>104</v>
      </c>
      <c r="C1408" s="92" t="s">
        <v>208</v>
      </c>
      <c r="D1408" s="93">
        <v>10141533185</v>
      </c>
      <c r="E1408" s="93" t="s">
        <v>591</v>
      </c>
      <c r="F1408" t="s">
        <v>52</v>
      </c>
      <c r="G1408" s="35"/>
    </row>
    <row r="1409" spans="2:7">
      <c r="B1409" s="3">
        <v>125</v>
      </c>
      <c r="C1409" s="92" t="s">
        <v>592</v>
      </c>
      <c r="D1409" s="93">
        <v>10119593506</v>
      </c>
      <c r="E1409" s="93" t="s">
        <v>128</v>
      </c>
      <c r="F1409" t="s">
        <v>52</v>
      </c>
      <c r="G1409" s="35"/>
    </row>
    <row r="1410" spans="2:7">
      <c r="B1410" s="3">
        <v>131</v>
      </c>
      <c r="C1410" s="92" t="s">
        <v>593</v>
      </c>
      <c r="D1410" s="93">
        <v>10152089718</v>
      </c>
      <c r="E1410" s="93" t="s">
        <v>127</v>
      </c>
      <c r="F1410" t="s">
        <v>52</v>
      </c>
      <c r="G1410" s="35"/>
    </row>
    <row r="1411" spans="2:7">
      <c r="B1411" s="3">
        <v>130</v>
      </c>
      <c r="C1411" s="92" t="s">
        <v>594</v>
      </c>
      <c r="D1411" s="93">
        <v>10141535512</v>
      </c>
      <c r="E1411" s="93" t="s">
        <v>127</v>
      </c>
      <c r="F1411" t="s">
        <v>52</v>
      </c>
      <c r="G1411" s="35"/>
    </row>
    <row r="1412" spans="2:7">
      <c r="B1412" s="3">
        <v>118</v>
      </c>
      <c r="C1412" s="92" t="s">
        <v>226</v>
      </c>
      <c r="D1412" s="93">
        <v>10131783170</v>
      </c>
      <c r="E1412" s="93" t="s">
        <v>84</v>
      </c>
      <c r="F1412" t="s">
        <v>52</v>
      </c>
      <c r="G1412" s="35"/>
    </row>
    <row r="1413" spans="2:7">
      <c r="B1413" s="3">
        <v>117</v>
      </c>
      <c r="C1413" s="92" t="s">
        <v>225</v>
      </c>
      <c r="D1413" s="93" t="s">
        <v>66</v>
      </c>
      <c r="E1413" s="93" t="s">
        <v>84</v>
      </c>
      <c r="F1413" t="s">
        <v>52</v>
      </c>
      <c r="G1413" s="35"/>
    </row>
    <row r="1414" spans="2:7">
      <c r="B1414" s="3">
        <v>132</v>
      </c>
      <c r="C1414" s="92" t="s">
        <v>595</v>
      </c>
      <c r="D1414" s="93">
        <v>10152089819</v>
      </c>
      <c r="E1414" s="93" t="s">
        <v>127</v>
      </c>
      <c r="F1414" t="s">
        <v>52</v>
      </c>
      <c r="G1414" s="35"/>
    </row>
    <row r="1415" spans="2:7">
      <c r="B1415" s="3">
        <v>135</v>
      </c>
      <c r="C1415" s="92" t="s">
        <v>596</v>
      </c>
      <c r="D1415" s="93">
        <v>10132702145</v>
      </c>
      <c r="E1415" s="93" t="s">
        <v>597</v>
      </c>
      <c r="F1415" t="s">
        <v>52</v>
      </c>
      <c r="G1415" s="35"/>
    </row>
    <row r="1416" spans="2:7">
      <c r="B1416" s="3">
        <v>123</v>
      </c>
      <c r="C1416" s="92" t="s">
        <v>598</v>
      </c>
      <c r="D1416" s="93">
        <v>10171946426</v>
      </c>
      <c r="E1416" s="93" t="s">
        <v>6</v>
      </c>
      <c r="F1416" t="s">
        <v>52</v>
      </c>
      <c r="G1416" s="35"/>
    </row>
    <row r="1417" spans="2:7">
      <c r="B1417" s="3">
        <v>136</v>
      </c>
      <c r="C1417" s="92" t="s">
        <v>599</v>
      </c>
      <c r="D1417" s="93">
        <v>10152456092</v>
      </c>
      <c r="E1417" s="93" t="s">
        <v>147</v>
      </c>
      <c r="F1417" t="s">
        <v>52</v>
      </c>
      <c r="G1417" s="35"/>
    </row>
    <row r="1418" spans="2:7">
      <c r="B1418" s="3">
        <v>134</v>
      </c>
      <c r="C1418" s="92" t="s">
        <v>247</v>
      </c>
      <c r="D1418" s="93">
        <v>10164774385</v>
      </c>
      <c r="E1418" s="93" t="s">
        <v>600</v>
      </c>
      <c r="F1418" t="s">
        <v>52</v>
      </c>
      <c r="G1418" s="35"/>
    </row>
    <row r="1419" spans="2:7">
      <c r="B1419" s="3">
        <v>115</v>
      </c>
      <c r="C1419" s="92" t="s">
        <v>222</v>
      </c>
      <c r="D1419" s="93">
        <v>10114172014</v>
      </c>
      <c r="E1419" s="93" t="s">
        <v>601</v>
      </c>
      <c r="F1419" t="s">
        <v>52</v>
      </c>
      <c r="G1419" s="35"/>
    </row>
    <row r="1420" spans="2:7">
      <c r="B1420" s="3">
        <v>111</v>
      </c>
      <c r="C1420" s="92" t="s">
        <v>216</v>
      </c>
      <c r="D1420" s="93">
        <v>10137506372</v>
      </c>
      <c r="E1420" s="93" t="s">
        <v>217</v>
      </c>
      <c r="F1420" t="s">
        <v>52</v>
      </c>
      <c r="G1420" s="35"/>
    </row>
    <row r="1421" spans="2:7">
      <c r="B1421" s="3">
        <v>128</v>
      </c>
      <c r="C1421" s="92" t="s">
        <v>602</v>
      </c>
      <c r="D1421" s="93">
        <v>10161160935</v>
      </c>
      <c r="E1421" s="93" t="s">
        <v>240</v>
      </c>
      <c r="F1421" t="s">
        <v>52</v>
      </c>
      <c r="G1421" s="35"/>
    </row>
    <row r="1422" spans="2:7">
      <c r="B1422" s="3">
        <v>133</v>
      </c>
      <c r="C1422" s="92" t="s">
        <v>603</v>
      </c>
      <c r="D1422" s="93">
        <v>10131930286</v>
      </c>
      <c r="E1422" s="93" t="s">
        <v>340</v>
      </c>
      <c r="F1422" t="s">
        <v>52</v>
      </c>
      <c r="G1422" s="35"/>
    </row>
    <row r="1423" spans="2:7">
      <c r="B1423" s="3">
        <v>112</v>
      </c>
      <c r="C1423" s="92" t="s">
        <v>604</v>
      </c>
      <c r="D1423" s="93">
        <v>10152284728</v>
      </c>
      <c r="E1423" s="93" t="s">
        <v>172</v>
      </c>
      <c r="F1423" t="s">
        <v>52</v>
      </c>
      <c r="G1423" s="35"/>
    </row>
    <row r="1424" spans="2:7">
      <c r="B1424" s="3">
        <v>126</v>
      </c>
      <c r="C1424" s="92" t="s">
        <v>236</v>
      </c>
      <c r="D1424" s="93">
        <v>10171940059</v>
      </c>
      <c r="E1424" s="93" t="s">
        <v>605</v>
      </c>
      <c r="F1424" t="s">
        <v>52</v>
      </c>
      <c r="G1424" s="35"/>
    </row>
    <row r="1425" spans="2:7">
      <c r="B1425" s="3">
        <v>121</v>
      </c>
      <c r="C1425" s="92" t="s">
        <v>606</v>
      </c>
      <c r="D1425" s="93">
        <v>12828</v>
      </c>
      <c r="E1425" s="93" t="s">
        <v>130</v>
      </c>
      <c r="F1425" t="s">
        <v>52</v>
      </c>
      <c r="G1425" s="35"/>
    </row>
    <row r="1426" spans="2:7">
      <c r="B1426" s="3">
        <v>113</v>
      </c>
      <c r="C1426" s="92" t="s">
        <v>607</v>
      </c>
      <c r="D1426" s="93">
        <v>10161366554</v>
      </c>
      <c r="E1426" s="93" t="s">
        <v>85</v>
      </c>
      <c r="F1426" t="s">
        <v>52</v>
      </c>
      <c r="G1426" s="35"/>
    </row>
    <row r="1427" spans="2:7">
      <c r="B1427" s="3">
        <v>106</v>
      </c>
      <c r="C1427" s="92" t="s">
        <v>608</v>
      </c>
      <c r="D1427" s="93">
        <v>10164874621</v>
      </c>
      <c r="E1427" s="93" t="s">
        <v>108</v>
      </c>
      <c r="F1427" t="s">
        <v>52</v>
      </c>
      <c r="G1427" s="35"/>
    </row>
    <row r="1428" spans="2:7">
      <c r="B1428" s="3">
        <v>127</v>
      </c>
      <c r="C1428" s="92" t="s">
        <v>609</v>
      </c>
      <c r="D1428" s="93" t="s">
        <v>66</v>
      </c>
      <c r="E1428" s="93" t="s">
        <v>84</v>
      </c>
      <c r="F1428" t="s">
        <v>52</v>
      </c>
      <c r="G1428" s="35"/>
    </row>
    <row r="1429" spans="2:7">
      <c r="B1429" s="3">
        <v>137</v>
      </c>
      <c r="C1429" s="92" t="s">
        <v>610</v>
      </c>
      <c r="D1429" s="93" t="s">
        <v>66</v>
      </c>
      <c r="E1429" s="93" t="s">
        <v>292</v>
      </c>
      <c r="F1429" t="s">
        <v>52</v>
      </c>
      <c r="G1429" s="35"/>
    </row>
    <row r="1430" spans="2:7">
      <c r="B1430" s="3">
        <v>107</v>
      </c>
      <c r="C1430" s="92" t="s">
        <v>611</v>
      </c>
      <c r="D1430" s="93">
        <v>10165016683</v>
      </c>
      <c r="E1430" s="93" t="s">
        <v>108</v>
      </c>
      <c r="F1430" t="s">
        <v>52</v>
      </c>
      <c r="G1430" s="35"/>
    </row>
    <row r="1431" spans="2:7">
      <c r="B1431" s="3">
        <v>120</v>
      </c>
      <c r="C1431" s="92" t="s">
        <v>612</v>
      </c>
      <c r="D1431" s="93">
        <v>10131783069</v>
      </c>
      <c r="E1431" s="93" t="s">
        <v>84</v>
      </c>
      <c r="F1431" t="s">
        <v>52</v>
      </c>
      <c r="G1431" s="35"/>
    </row>
    <row r="1432" spans="2:7">
      <c r="B1432" s="3">
        <v>110</v>
      </c>
      <c r="C1432" s="92" t="s">
        <v>215</v>
      </c>
      <c r="D1432" s="93">
        <v>10152458823</v>
      </c>
      <c r="E1432" s="93" t="s">
        <v>172</v>
      </c>
      <c r="F1432" t="s">
        <v>52</v>
      </c>
      <c r="G1432" s="35"/>
    </row>
    <row r="1433" spans="2:7">
      <c r="B1433" s="3">
        <v>116</v>
      </c>
      <c r="C1433" s="92" t="s">
        <v>224</v>
      </c>
      <c r="D1433" s="93">
        <v>10127011982</v>
      </c>
      <c r="E1433" s="93" t="s">
        <v>172</v>
      </c>
      <c r="F1433" t="s">
        <v>52</v>
      </c>
      <c r="G1433" s="35"/>
    </row>
    <row r="1434" spans="2:7">
      <c r="B1434" s="3">
        <v>109</v>
      </c>
      <c r="C1434" s="92" t="s">
        <v>613</v>
      </c>
      <c r="D1434" s="93">
        <v>10170820014</v>
      </c>
      <c r="E1434" s="93" t="s">
        <v>614</v>
      </c>
      <c r="F1434" t="s">
        <v>52</v>
      </c>
      <c r="G1434" s="35"/>
    </row>
    <row r="1435" spans="2:7">
      <c r="B1435" s="3">
        <v>108</v>
      </c>
      <c r="C1435" s="92" t="s">
        <v>213</v>
      </c>
      <c r="D1435" s="93">
        <v>13241</v>
      </c>
      <c r="E1435" s="93" t="s">
        <v>108</v>
      </c>
      <c r="F1435" t="s">
        <v>52</v>
      </c>
      <c r="G1435" s="35"/>
    </row>
    <row r="1436" spans="2:7">
      <c r="B1436" s="3">
        <v>114</v>
      </c>
      <c r="C1436" s="92" t="s">
        <v>615</v>
      </c>
      <c r="D1436" s="93">
        <v>10142353645</v>
      </c>
      <c r="E1436" s="93" t="s">
        <v>221</v>
      </c>
      <c r="F1436" t="s">
        <v>52</v>
      </c>
      <c r="G1436" s="35"/>
    </row>
    <row r="1437" spans="2:7">
      <c r="B1437" s="3">
        <v>119</v>
      </c>
      <c r="C1437" s="92" t="s">
        <v>616</v>
      </c>
      <c r="D1437" s="93" t="s">
        <v>66</v>
      </c>
      <c r="E1437" s="93" t="s">
        <v>84</v>
      </c>
      <c r="F1437" t="s">
        <v>52</v>
      </c>
      <c r="G1437" s="35"/>
    </row>
    <row r="1438" spans="2:7">
      <c r="B1438" s="3">
        <v>122</v>
      </c>
      <c r="C1438" s="92" t="s">
        <v>617</v>
      </c>
      <c r="D1438" s="93">
        <v>10127124544</v>
      </c>
      <c r="E1438" s="93" t="s">
        <v>618</v>
      </c>
      <c r="F1438" t="s">
        <v>52</v>
      </c>
      <c r="G1438" s="35"/>
    </row>
    <row r="1439" spans="2:7">
      <c r="B1439" s="3">
        <v>140</v>
      </c>
      <c r="C1439" s="92" t="s">
        <v>256</v>
      </c>
      <c r="D1439" s="93">
        <v>10133141372</v>
      </c>
      <c r="E1439" s="93" t="s">
        <v>619</v>
      </c>
      <c r="F1439" t="s">
        <v>52</v>
      </c>
      <c r="G1439" s="35"/>
    </row>
    <row r="1440" spans="2:7">
      <c r="B1440" s="3">
        <v>142</v>
      </c>
      <c r="C1440" s="92" t="s">
        <v>259</v>
      </c>
      <c r="D1440" s="93">
        <v>10126142117</v>
      </c>
      <c r="E1440" s="93" t="s">
        <v>620</v>
      </c>
      <c r="F1440" t="s">
        <v>52</v>
      </c>
      <c r="G1440" s="35"/>
    </row>
    <row r="1441" spans="2:7">
      <c r="B1441" s="3">
        <v>145</v>
      </c>
      <c r="C1441" s="92" t="s">
        <v>621</v>
      </c>
      <c r="D1441" s="93">
        <v>10126522639</v>
      </c>
      <c r="E1441" s="93" t="s">
        <v>84</v>
      </c>
      <c r="F1441" t="s">
        <v>52</v>
      </c>
      <c r="G1441" s="35"/>
    </row>
    <row r="1442" spans="2:7">
      <c r="B1442" s="3">
        <v>146</v>
      </c>
      <c r="C1442" s="92" t="s">
        <v>622</v>
      </c>
      <c r="D1442" s="93">
        <v>10171432932</v>
      </c>
      <c r="E1442" s="93" t="s">
        <v>623</v>
      </c>
      <c r="F1442" t="s">
        <v>52</v>
      </c>
      <c r="G1442" s="35"/>
    </row>
    <row r="1443" spans="2:7">
      <c r="B1443" s="3">
        <v>147</v>
      </c>
      <c r="C1443" s="92" t="s">
        <v>261</v>
      </c>
      <c r="D1443" s="93">
        <v>120230461</v>
      </c>
      <c r="E1443" s="93" t="s">
        <v>110</v>
      </c>
      <c r="F1443" t="s">
        <v>52</v>
      </c>
      <c r="G1443" s="35"/>
    </row>
    <row r="1444" spans="2:7">
      <c r="B1444" s="3">
        <v>148</v>
      </c>
      <c r="C1444" s="92" t="s">
        <v>624</v>
      </c>
      <c r="D1444" s="93">
        <v>10142925440</v>
      </c>
      <c r="E1444" s="93" t="s">
        <v>487</v>
      </c>
      <c r="F1444" t="s">
        <v>52</v>
      </c>
      <c r="G1444" s="35"/>
    </row>
    <row r="1445" spans="2:7">
      <c r="B1445" s="3">
        <v>149</v>
      </c>
      <c r="C1445" s="92" t="s">
        <v>625</v>
      </c>
      <c r="D1445" s="93">
        <v>13317</v>
      </c>
      <c r="E1445" s="93" t="s">
        <v>626</v>
      </c>
      <c r="F1445" t="s">
        <v>52</v>
      </c>
      <c r="G1445" s="35"/>
    </row>
    <row r="1446" spans="2:7">
      <c r="B1446" s="3">
        <v>150</v>
      </c>
      <c r="C1446" s="92" t="s">
        <v>627</v>
      </c>
      <c r="D1446" s="93" t="s">
        <v>66</v>
      </c>
      <c r="E1446" s="93" t="s">
        <v>628</v>
      </c>
      <c r="F1446" t="s">
        <v>52</v>
      </c>
      <c r="G1446" s="35"/>
    </row>
    <row r="1447" spans="2:7">
      <c r="B1447" s="3">
        <v>151</v>
      </c>
      <c r="C1447" s="92" t="s">
        <v>629</v>
      </c>
      <c r="D1447" s="93">
        <v>10128423940</v>
      </c>
      <c r="E1447" s="93" t="s">
        <v>71</v>
      </c>
      <c r="F1447" t="s">
        <v>52</v>
      </c>
      <c r="G1447" s="35"/>
    </row>
    <row r="1448" spans="2:7">
      <c r="B1448" s="3">
        <v>152</v>
      </c>
      <c r="C1448" s="92" t="s">
        <v>630</v>
      </c>
      <c r="D1448" s="93">
        <v>10142265941</v>
      </c>
      <c r="E1448" s="93" t="s">
        <v>101</v>
      </c>
      <c r="F1448" t="s">
        <v>52</v>
      </c>
      <c r="G1448" s="35"/>
    </row>
    <row r="1449" spans="2:7">
      <c r="B1449" s="3">
        <v>153</v>
      </c>
      <c r="C1449" s="92" t="s">
        <v>631</v>
      </c>
      <c r="D1449" s="93">
        <v>10173143061</v>
      </c>
      <c r="E1449" s="93" t="s">
        <v>632</v>
      </c>
      <c r="F1449" t="s">
        <v>52</v>
      </c>
      <c r="G1449" s="35"/>
    </row>
    <row r="1450" spans="2:7">
      <c r="B1450" s="3">
        <v>154</v>
      </c>
      <c r="C1450" s="92" t="s">
        <v>633</v>
      </c>
      <c r="D1450" s="93">
        <v>10173142758</v>
      </c>
      <c r="E1450" s="93" t="s">
        <v>634</v>
      </c>
      <c r="F1450" t="s">
        <v>52</v>
      </c>
      <c r="G1450" s="35"/>
    </row>
    <row r="1451" spans="2:7">
      <c r="B1451" s="3">
        <v>155</v>
      </c>
      <c r="C1451" s="92" t="s">
        <v>635</v>
      </c>
      <c r="D1451" s="93" t="s">
        <v>66</v>
      </c>
      <c r="E1451" s="93" t="s">
        <v>636</v>
      </c>
      <c r="F1451" t="s">
        <v>52</v>
      </c>
      <c r="G1451" s="35"/>
    </row>
    <row r="1452" spans="2:7">
      <c r="B1452" s="3">
        <v>156</v>
      </c>
      <c r="C1452" s="92" t="s">
        <v>540</v>
      </c>
      <c r="D1452" s="93">
        <v>10129943002</v>
      </c>
      <c r="E1452" s="93" t="s">
        <v>111</v>
      </c>
      <c r="F1452" t="s">
        <v>52</v>
      </c>
      <c r="G1452" s="35"/>
    </row>
    <row r="1453" spans="2:7">
      <c r="B1453" s="3">
        <v>157</v>
      </c>
      <c r="C1453" s="92" t="s">
        <v>637</v>
      </c>
      <c r="D1453" s="93">
        <v>10128869837</v>
      </c>
      <c r="E1453" s="93" t="s">
        <v>638</v>
      </c>
      <c r="F1453" t="s">
        <v>52</v>
      </c>
      <c r="G1453" s="35"/>
    </row>
    <row r="1454" spans="2:7">
      <c r="B1454" s="3"/>
      <c r="C1454" s="92"/>
      <c r="D1454" s="93"/>
      <c r="E1454" s="93"/>
      <c r="F1454" s="8"/>
      <c r="G1454" s="35"/>
    </row>
    <row r="1455" spans="2:7">
      <c r="B1455" s="3">
        <v>261</v>
      </c>
      <c r="C1455" s="92" t="s">
        <v>639</v>
      </c>
      <c r="D1455" s="93">
        <v>10122460056</v>
      </c>
      <c r="E1455" s="93" t="s">
        <v>565</v>
      </c>
      <c r="F1455" s="8" t="s">
        <v>53</v>
      </c>
      <c r="G1455" s="35"/>
    </row>
    <row r="1456" spans="2:7">
      <c r="B1456" s="3">
        <v>262</v>
      </c>
      <c r="C1456" s="92" t="s">
        <v>640</v>
      </c>
      <c r="D1456" s="93">
        <v>10128546505</v>
      </c>
      <c r="E1456" s="93" t="s">
        <v>108</v>
      </c>
      <c r="F1456" s="8" t="s">
        <v>53</v>
      </c>
      <c r="G1456" s="35"/>
    </row>
    <row r="1457" spans="2:7">
      <c r="B1457" s="3">
        <v>263</v>
      </c>
      <c r="C1457" s="92" t="s">
        <v>641</v>
      </c>
      <c r="D1457" s="93">
        <v>10141535916</v>
      </c>
      <c r="E1457" s="93" t="s">
        <v>642</v>
      </c>
      <c r="F1457" s="8" t="s">
        <v>53</v>
      </c>
      <c r="G1457" s="35"/>
    </row>
    <row r="1458" spans="2:7">
      <c r="B1458" s="3">
        <v>265</v>
      </c>
      <c r="C1458" s="92" t="s">
        <v>643</v>
      </c>
      <c r="D1458" s="93" t="s">
        <v>66</v>
      </c>
      <c r="E1458" s="93" t="s">
        <v>128</v>
      </c>
      <c r="F1458" s="8" t="s">
        <v>53</v>
      </c>
      <c r="G1458" s="35"/>
    </row>
    <row r="1459" spans="2:7">
      <c r="B1459" s="22"/>
      <c r="C1459" s="8"/>
      <c r="D1459" s="17"/>
      <c r="E1459" s="17"/>
      <c r="G1459" s="35"/>
    </row>
    <row r="1460" spans="2:7">
      <c r="B1460" s="22">
        <v>302</v>
      </c>
      <c r="C1460" s="92" t="s">
        <v>644</v>
      </c>
      <c r="D1460" s="93">
        <v>10128933895</v>
      </c>
      <c r="E1460" s="93" t="s">
        <v>565</v>
      </c>
      <c r="F1460" t="s">
        <v>54</v>
      </c>
      <c r="G1460" s="35"/>
    </row>
    <row r="1461" spans="2:7">
      <c r="B1461" s="22">
        <v>321</v>
      </c>
      <c r="C1461" s="92" t="s">
        <v>291</v>
      </c>
      <c r="D1461" s="93">
        <v>10153036577</v>
      </c>
      <c r="E1461" s="93" t="s">
        <v>6</v>
      </c>
      <c r="F1461" t="s">
        <v>54</v>
      </c>
      <c r="G1461" s="35"/>
    </row>
    <row r="1462" spans="2:7">
      <c r="B1462" s="22">
        <v>304</v>
      </c>
      <c r="C1462" s="92" t="s">
        <v>645</v>
      </c>
      <c r="D1462" s="93">
        <v>10156150681</v>
      </c>
      <c r="E1462" s="93" t="s">
        <v>646</v>
      </c>
      <c r="F1462" t="s">
        <v>54</v>
      </c>
      <c r="G1462" s="35"/>
    </row>
    <row r="1463" spans="2:7">
      <c r="B1463" s="22">
        <v>323</v>
      </c>
      <c r="C1463" s="23" t="s">
        <v>647</v>
      </c>
      <c r="D1463" s="60">
        <v>10111930102</v>
      </c>
      <c r="E1463" s="93" t="s">
        <v>648</v>
      </c>
      <c r="F1463" t="s">
        <v>54</v>
      </c>
      <c r="G1463" s="35"/>
    </row>
    <row r="1464" spans="2:7">
      <c r="B1464" s="22">
        <v>303</v>
      </c>
      <c r="C1464" s="92" t="s">
        <v>269</v>
      </c>
      <c r="D1464" s="93">
        <v>10152378694</v>
      </c>
      <c r="E1464" s="93" t="s">
        <v>110</v>
      </c>
      <c r="F1464" t="s">
        <v>54</v>
      </c>
      <c r="G1464" s="35"/>
    </row>
    <row r="1465" spans="2:7">
      <c r="B1465" s="22">
        <v>319</v>
      </c>
      <c r="C1465" s="92" t="s">
        <v>288</v>
      </c>
      <c r="D1465" s="93">
        <v>10155992956</v>
      </c>
      <c r="E1465" s="92" t="s">
        <v>125</v>
      </c>
      <c r="F1465" t="s">
        <v>54</v>
      </c>
      <c r="G1465" s="35"/>
    </row>
    <row r="1466" spans="2:7">
      <c r="B1466" s="22">
        <v>337</v>
      </c>
      <c r="C1466" s="92" t="s">
        <v>317</v>
      </c>
      <c r="D1466" s="93">
        <v>10173459020</v>
      </c>
      <c r="E1466" s="93" t="s">
        <v>133</v>
      </c>
      <c r="F1466" t="s">
        <v>54</v>
      </c>
      <c r="G1466" s="35"/>
    </row>
    <row r="1467" spans="2:7">
      <c r="B1467" s="22">
        <v>325</v>
      </c>
      <c r="C1467" s="23" t="s">
        <v>649</v>
      </c>
      <c r="D1467" s="60">
        <v>10152418609</v>
      </c>
      <c r="E1467" s="93" t="s">
        <v>6</v>
      </c>
      <c r="F1467" t="s">
        <v>54</v>
      </c>
      <c r="G1467" s="35"/>
    </row>
    <row r="1468" spans="2:7">
      <c r="B1468" s="22">
        <v>336</v>
      </c>
      <c r="C1468" s="92" t="s">
        <v>315</v>
      </c>
      <c r="D1468" s="93">
        <v>10173205507</v>
      </c>
      <c r="E1468" s="93" t="s">
        <v>316</v>
      </c>
      <c r="F1468" t="s">
        <v>54</v>
      </c>
      <c r="G1468" s="35"/>
    </row>
    <row r="1469" spans="2:7">
      <c r="B1469" s="22">
        <v>305</v>
      </c>
      <c r="C1469" s="23" t="s">
        <v>650</v>
      </c>
      <c r="D1469" s="60">
        <v>10152909669</v>
      </c>
      <c r="E1469" s="93" t="s">
        <v>651</v>
      </c>
      <c r="F1469" t="s">
        <v>54</v>
      </c>
      <c r="G1469" s="35"/>
    </row>
    <row r="1470" spans="2:7">
      <c r="B1470" s="22">
        <v>314</v>
      </c>
      <c r="C1470" s="92" t="s">
        <v>652</v>
      </c>
      <c r="D1470" s="93">
        <v>10164592614</v>
      </c>
      <c r="E1470" s="92" t="s">
        <v>108</v>
      </c>
      <c r="F1470" t="s">
        <v>54</v>
      </c>
      <c r="G1470" s="35"/>
    </row>
    <row r="1471" spans="2:7">
      <c r="B1471" s="22">
        <v>333</v>
      </c>
      <c r="C1471" s="92" t="s">
        <v>653</v>
      </c>
      <c r="D1471" s="93">
        <v>10170459902</v>
      </c>
      <c r="E1471" s="93" t="s">
        <v>71</v>
      </c>
      <c r="F1471" t="s">
        <v>54</v>
      </c>
      <c r="G1471" s="35"/>
    </row>
    <row r="1472" spans="2:7">
      <c r="B1472" s="22">
        <v>307</v>
      </c>
      <c r="C1472" s="92" t="s">
        <v>654</v>
      </c>
      <c r="D1472" s="93">
        <v>10153824200</v>
      </c>
      <c r="E1472" s="93" t="s">
        <v>108</v>
      </c>
      <c r="F1472" t="s">
        <v>54</v>
      </c>
      <c r="G1472" s="35"/>
    </row>
    <row r="1473" spans="2:7">
      <c r="B1473" s="22">
        <v>331</v>
      </c>
      <c r="C1473" s="92" t="s">
        <v>306</v>
      </c>
      <c r="D1473" s="93">
        <v>305900561</v>
      </c>
      <c r="E1473" s="92" t="s">
        <v>307</v>
      </c>
      <c r="F1473" t="s">
        <v>54</v>
      </c>
      <c r="G1473" s="35"/>
    </row>
    <row r="1474" spans="2:7">
      <c r="B1474" s="22">
        <v>310</v>
      </c>
      <c r="C1474" s="92" t="s">
        <v>278</v>
      </c>
      <c r="D1474" s="93">
        <v>10140942495</v>
      </c>
      <c r="E1474" s="92" t="s">
        <v>108</v>
      </c>
      <c r="F1474" t="s">
        <v>54</v>
      </c>
      <c r="G1474" s="35"/>
    </row>
    <row r="1475" spans="2:7">
      <c r="B1475" s="22">
        <v>311</v>
      </c>
      <c r="C1475" s="92" t="s">
        <v>655</v>
      </c>
      <c r="D1475" s="93">
        <v>10128424344</v>
      </c>
      <c r="E1475" s="92" t="s">
        <v>108</v>
      </c>
      <c r="F1475" t="s">
        <v>54</v>
      </c>
      <c r="G1475" s="35"/>
    </row>
    <row r="1476" spans="2:7">
      <c r="B1476" s="22">
        <v>328</v>
      </c>
      <c r="C1476" s="92" t="s">
        <v>656</v>
      </c>
      <c r="D1476" s="93">
        <v>10162461543</v>
      </c>
      <c r="E1476" s="93" t="s">
        <v>303</v>
      </c>
      <c r="F1476" t="s">
        <v>54</v>
      </c>
      <c r="G1476" s="35"/>
    </row>
    <row r="1477" spans="2:7">
      <c r="B1477" s="22">
        <v>335</v>
      </c>
      <c r="C1477" s="92" t="s">
        <v>657</v>
      </c>
      <c r="D1477" s="93">
        <v>10154135004</v>
      </c>
      <c r="E1477" s="92" t="s">
        <v>658</v>
      </c>
      <c r="F1477" t="s">
        <v>54</v>
      </c>
      <c r="G1477" s="35"/>
    </row>
    <row r="1478" spans="2:7">
      <c r="B1478" s="22">
        <v>320</v>
      </c>
      <c r="C1478" s="92" t="s">
        <v>659</v>
      </c>
      <c r="D1478" s="93">
        <v>10136994902</v>
      </c>
      <c r="E1478" s="93" t="s">
        <v>449</v>
      </c>
      <c r="F1478" t="s">
        <v>54</v>
      </c>
      <c r="G1478" s="35"/>
    </row>
    <row r="1479" spans="2:7">
      <c r="B1479" s="22">
        <v>315</v>
      </c>
      <c r="C1479" s="92" t="s">
        <v>284</v>
      </c>
      <c r="D1479" s="93">
        <v>10155740655</v>
      </c>
      <c r="E1479" s="93" t="s">
        <v>86</v>
      </c>
      <c r="F1479" t="s">
        <v>54</v>
      </c>
      <c r="G1479" s="35"/>
    </row>
    <row r="1480" spans="2:7">
      <c r="B1480" s="22">
        <v>317</v>
      </c>
      <c r="C1480" s="92" t="s">
        <v>660</v>
      </c>
      <c r="D1480" s="93" t="s">
        <v>66</v>
      </c>
      <c r="E1480" s="93" t="s">
        <v>84</v>
      </c>
      <c r="F1480" t="s">
        <v>54</v>
      </c>
      <c r="G1480" s="35"/>
    </row>
    <row r="1481" spans="2:7">
      <c r="B1481" s="22">
        <v>306</v>
      </c>
      <c r="C1481" s="92" t="s">
        <v>274</v>
      </c>
      <c r="D1481" s="93">
        <v>10170771312</v>
      </c>
      <c r="E1481" s="93" t="s">
        <v>108</v>
      </c>
      <c r="F1481" t="s">
        <v>54</v>
      </c>
      <c r="G1481" s="35"/>
    </row>
    <row r="1482" spans="2:7">
      <c r="B1482" s="22">
        <v>318</v>
      </c>
      <c r="C1482" s="92" t="s">
        <v>661</v>
      </c>
      <c r="D1482" s="93" t="s">
        <v>66</v>
      </c>
      <c r="E1482" s="93" t="s">
        <v>84</v>
      </c>
      <c r="F1482" t="s">
        <v>54</v>
      </c>
      <c r="G1482" s="35"/>
    </row>
    <row r="1483" spans="2:7">
      <c r="B1483" s="22">
        <v>338</v>
      </c>
      <c r="C1483" s="92" t="s">
        <v>662</v>
      </c>
      <c r="D1483" s="93">
        <v>10173361919</v>
      </c>
      <c r="E1483" s="93" t="s">
        <v>663</v>
      </c>
      <c r="F1483" t="s">
        <v>54</v>
      </c>
      <c r="G1483" s="35"/>
    </row>
    <row r="1484" spans="2:7">
      <c r="B1484" s="22">
        <v>322</v>
      </c>
      <c r="C1484" s="92" t="s">
        <v>664</v>
      </c>
      <c r="D1484" s="93">
        <v>10141584820</v>
      </c>
      <c r="E1484" s="92" t="s">
        <v>296</v>
      </c>
      <c r="F1484" t="s">
        <v>54</v>
      </c>
      <c r="G1484" s="35"/>
    </row>
    <row r="1485" spans="2:7">
      <c r="B1485" s="22">
        <v>324</v>
      </c>
      <c r="C1485" s="92" t="s">
        <v>665</v>
      </c>
      <c r="D1485" s="93">
        <v>10161110819</v>
      </c>
      <c r="E1485" s="93" t="s">
        <v>666</v>
      </c>
      <c r="F1485" t="s">
        <v>54</v>
      </c>
      <c r="G1485" s="35"/>
    </row>
    <row r="1486" spans="2:7">
      <c r="B1486" s="22">
        <v>316</v>
      </c>
      <c r="C1486" s="92" t="s">
        <v>285</v>
      </c>
      <c r="D1486" s="93" t="s">
        <v>66</v>
      </c>
      <c r="E1486" s="93" t="s">
        <v>84</v>
      </c>
      <c r="F1486" t="s">
        <v>54</v>
      </c>
      <c r="G1486" s="35"/>
    </row>
    <row r="1487" spans="2:7">
      <c r="B1487" s="22">
        <v>332</v>
      </c>
      <c r="C1487" s="92" t="s">
        <v>308</v>
      </c>
      <c r="D1487" s="93">
        <v>121280045</v>
      </c>
      <c r="E1487" s="92" t="s">
        <v>65</v>
      </c>
      <c r="F1487" t="s">
        <v>54</v>
      </c>
      <c r="G1487" s="35"/>
    </row>
    <row r="1488" spans="2:7">
      <c r="B1488" s="22">
        <v>309</v>
      </c>
      <c r="C1488" s="92" t="s">
        <v>277</v>
      </c>
      <c r="D1488" s="93">
        <v>10171656840</v>
      </c>
      <c r="E1488" s="93" t="s">
        <v>108</v>
      </c>
      <c r="F1488" t="s">
        <v>54</v>
      </c>
      <c r="G1488" s="35"/>
    </row>
    <row r="1489" spans="2:7">
      <c r="B1489" s="22">
        <v>301</v>
      </c>
      <c r="C1489" s="92" t="s">
        <v>267</v>
      </c>
      <c r="D1489" s="93">
        <v>120760930</v>
      </c>
      <c r="E1489" s="93" t="s">
        <v>109</v>
      </c>
      <c r="F1489" t="s">
        <v>54</v>
      </c>
      <c r="G1489" s="35"/>
    </row>
    <row r="1490" spans="2:7">
      <c r="B1490" s="22">
        <v>326</v>
      </c>
      <c r="C1490" s="92" t="s">
        <v>667</v>
      </c>
      <c r="D1490" s="93">
        <v>10120480953</v>
      </c>
      <c r="E1490" s="93" t="s">
        <v>128</v>
      </c>
      <c r="F1490" t="s">
        <v>54</v>
      </c>
      <c r="G1490" s="35"/>
    </row>
    <row r="1491" spans="2:7">
      <c r="B1491" s="22">
        <v>327</v>
      </c>
      <c r="C1491" s="92" t="s">
        <v>301</v>
      </c>
      <c r="D1491" s="93">
        <v>10171445864</v>
      </c>
      <c r="E1491" s="93" t="s">
        <v>240</v>
      </c>
      <c r="F1491" t="s">
        <v>54</v>
      </c>
      <c r="G1491" s="35"/>
    </row>
    <row r="1492" spans="2:7">
      <c r="B1492" s="22">
        <v>329</v>
      </c>
      <c r="C1492" s="92" t="s">
        <v>668</v>
      </c>
      <c r="D1492" s="93">
        <v>10144442579</v>
      </c>
      <c r="E1492" s="92" t="s">
        <v>125</v>
      </c>
      <c r="F1492" t="s">
        <v>54</v>
      </c>
      <c r="G1492" s="35"/>
    </row>
    <row r="1493" spans="2:7">
      <c r="B1493" s="22">
        <v>334</v>
      </c>
      <c r="C1493" s="23" t="s">
        <v>311</v>
      </c>
      <c r="D1493" s="93">
        <v>128883</v>
      </c>
      <c r="E1493" s="93" t="s">
        <v>669</v>
      </c>
      <c r="F1493" t="s">
        <v>54</v>
      </c>
      <c r="G1493" s="35"/>
    </row>
    <row r="1494" spans="2:7">
      <c r="B1494" s="22">
        <v>341</v>
      </c>
      <c r="C1494" s="92" t="s">
        <v>670</v>
      </c>
      <c r="D1494" s="93" t="s">
        <v>66</v>
      </c>
      <c r="E1494" s="92" t="s">
        <v>65</v>
      </c>
      <c r="F1494" t="s">
        <v>54</v>
      </c>
      <c r="G1494" s="35"/>
    </row>
    <row r="1495" spans="2:7">
      <c r="B1495" s="22">
        <v>342</v>
      </c>
      <c r="C1495" s="92" t="s">
        <v>671</v>
      </c>
      <c r="D1495" s="93">
        <v>10166012652</v>
      </c>
      <c r="E1495" s="93" t="s">
        <v>672</v>
      </c>
      <c r="F1495" t="s">
        <v>54</v>
      </c>
      <c r="G1495" s="35"/>
    </row>
    <row r="1496" spans="2:7">
      <c r="B1496" s="22">
        <v>343</v>
      </c>
      <c r="C1496" s="92" t="s">
        <v>673</v>
      </c>
      <c r="D1496" s="93" t="s">
        <v>66</v>
      </c>
      <c r="E1496" s="93" t="s">
        <v>107</v>
      </c>
      <c r="F1496" t="s">
        <v>54</v>
      </c>
      <c r="G1496" s="35"/>
    </row>
    <row r="1497" spans="2:7">
      <c r="B1497" s="22">
        <v>344</v>
      </c>
      <c r="C1497" s="92" t="s">
        <v>674</v>
      </c>
      <c r="D1497" s="93">
        <v>10128563982</v>
      </c>
      <c r="E1497" s="93" t="s">
        <v>675</v>
      </c>
      <c r="F1497" t="s">
        <v>54</v>
      </c>
      <c r="G1497" s="35"/>
    </row>
    <row r="1498" spans="2:7">
      <c r="B1498" s="22">
        <v>345</v>
      </c>
      <c r="C1498" s="92" t="s">
        <v>676</v>
      </c>
      <c r="D1498" s="93" t="s">
        <v>66</v>
      </c>
      <c r="E1498" s="92" t="s">
        <v>591</v>
      </c>
      <c r="F1498" t="s">
        <v>54</v>
      </c>
      <c r="G1498" s="35"/>
    </row>
    <row r="1499" spans="2:7">
      <c r="B1499" s="22">
        <v>346</v>
      </c>
      <c r="C1499" s="92" t="s">
        <v>677</v>
      </c>
      <c r="D1499" s="93">
        <v>10127119086</v>
      </c>
      <c r="E1499" s="92" t="s">
        <v>678</v>
      </c>
      <c r="F1499" t="s">
        <v>54</v>
      </c>
      <c r="G1499" s="35"/>
    </row>
    <row r="1500" spans="2:7">
      <c r="B1500" s="22">
        <v>347</v>
      </c>
      <c r="C1500" s="92" t="s">
        <v>679</v>
      </c>
      <c r="D1500" s="93">
        <v>10127318746</v>
      </c>
      <c r="E1500" s="93" t="s">
        <v>125</v>
      </c>
      <c r="F1500" t="s">
        <v>54</v>
      </c>
      <c r="G1500" s="35"/>
    </row>
    <row r="1501" spans="2:7">
      <c r="B1501" s="22">
        <v>348</v>
      </c>
      <c r="C1501" s="23" t="s">
        <v>680</v>
      </c>
      <c r="D1501" s="93">
        <v>10165439746</v>
      </c>
      <c r="E1501" s="93" t="s">
        <v>104</v>
      </c>
      <c r="F1501" t="s">
        <v>54</v>
      </c>
      <c r="G1501" s="35"/>
    </row>
    <row r="1502" spans="2:7">
      <c r="B1502" s="22"/>
      <c r="C1502" s="23"/>
      <c r="D1502" s="93"/>
      <c r="E1502" s="93"/>
      <c r="F1502" s="8"/>
      <c r="G1502" s="35"/>
    </row>
    <row r="1503" spans="2:7">
      <c r="B1503" s="22">
        <v>381</v>
      </c>
      <c r="C1503" s="92" t="s">
        <v>322</v>
      </c>
      <c r="D1503" s="93">
        <v>10125653679</v>
      </c>
      <c r="E1503" s="93" t="s">
        <v>100</v>
      </c>
      <c r="F1503" s="8" t="s">
        <v>55</v>
      </c>
      <c r="G1503" s="35"/>
    </row>
    <row r="1504" spans="2:7">
      <c r="B1504" s="22">
        <v>387</v>
      </c>
      <c r="C1504" s="92" t="s">
        <v>329</v>
      </c>
      <c r="D1504" s="93" t="s">
        <v>66</v>
      </c>
      <c r="E1504" s="93" t="s">
        <v>100</v>
      </c>
      <c r="F1504" s="8" t="s">
        <v>55</v>
      </c>
      <c r="G1504" s="35"/>
    </row>
    <row r="1505" spans="2:7">
      <c r="B1505" s="22">
        <v>386</v>
      </c>
      <c r="C1505" s="93" t="s">
        <v>681</v>
      </c>
      <c r="D1505" s="93">
        <v>10152378391</v>
      </c>
      <c r="E1505" s="92" t="s">
        <v>108</v>
      </c>
      <c r="F1505" s="8" t="s">
        <v>55</v>
      </c>
      <c r="G1505" s="35"/>
    </row>
    <row r="1506" spans="2:7">
      <c r="B1506" s="22">
        <v>382</v>
      </c>
      <c r="C1506" s="92" t="s">
        <v>323</v>
      </c>
      <c r="D1506" s="93">
        <v>10128546909</v>
      </c>
      <c r="E1506" s="92" t="s">
        <v>682</v>
      </c>
      <c r="F1506" s="8" t="s">
        <v>55</v>
      </c>
      <c r="G1506" s="35"/>
    </row>
    <row r="1507" spans="2:7">
      <c r="B1507" s="22">
        <v>385</v>
      </c>
      <c r="C1507" s="92" t="s">
        <v>683</v>
      </c>
      <c r="D1507" s="93">
        <v>10171339063</v>
      </c>
      <c r="E1507" s="93" t="s">
        <v>108</v>
      </c>
      <c r="F1507" s="8" t="s">
        <v>55</v>
      </c>
      <c r="G1507" s="35"/>
    </row>
    <row r="1508" spans="2:7">
      <c r="B1508" s="22">
        <v>388</v>
      </c>
      <c r="C1508" s="92" t="s">
        <v>684</v>
      </c>
      <c r="D1508" s="93">
        <v>10128284605</v>
      </c>
      <c r="E1508" s="92" t="s">
        <v>672</v>
      </c>
      <c r="F1508" s="8" t="s">
        <v>55</v>
      </c>
      <c r="G1508" s="35"/>
    </row>
    <row r="1509" spans="2:7">
      <c r="B1509" s="22">
        <v>383</v>
      </c>
      <c r="C1509" s="92" t="s">
        <v>685</v>
      </c>
      <c r="D1509" s="93">
        <v>10128827401</v>
      </c>
      <c r="E1509" s="92" t="s">
        <v>64</v>
      </c>
      <c r="F1509" s="8" t="s">
        <v>55</v>
      </c>
      <c r="G1509" s="35"/>
    </row>
    <row r="1510" spans="2:7">
      <c r="B1510" s="22">
        <v>384</v>
      </c>
      <c r="C1510" s="93" t="s">
        <v>686</v>
      </c>
      <c r="D1510" s="93">
        <v>10141538340</v>
      </c>
      <c r="E1510" s="92" t="s">
        <v>71</v>
      </c>
      <c r="F1510" s="8" t="s">
        <v>55</v>
      </c>
      <c r="G1510" s="35"/>
    </row>
    <row r="1511" spans="2:7">
      <c r="B1511" s="22">
        <v>390</v>
      </c>
      <c r="C1511" s="92" t="s">
        <v>687</v>
      </c>
      <c r="D1511" s="93">
        <v>10152964031</v>
      </c>
      <c r="E1511" s="93" t="s">
        <v>688</v>
      </c>
      <c r="F1511" s="8" t="s">
        <v>55</v>
      </c>
      <c r="G1511" s="35"/>
    </row>
    <row r="1512" spans="2:7">
      <c r="B1512" s="22"/>
      <c r="C1512" s="92"/>
      <c r="D1512" s="93"/>
      <c r="E1512" s="93"/>
      <c r="F1512" s="8"/>
      <c r="G1512" s="35"/>
    </row>
    <row r="1513" spans="2:7">
      <c r="B1513" s="22">
        <v>510</v>
      </c>
      <c r="C1513" s="92" t="s">
        <v>347</v>
      </c>
      <c r="D1513" s="93">
        <v>10126142218</v>
      </c>
      <c r="E1513" s="93" t="s">
        <v>125</v>
      </c>
      <c r="F1513" s="8" t="s">
        <v>56</v>
      </c>
      <c r="G1513" s="35"/>
    </row>
    <row r="1514" spans="2:7">
      <c r="B1514" s="22">
        <v>512</v>
      </c>
      <c r="C1514" s="92" t="s">
        <v>689</v>
      </c>
      <c r="D1514" s="93" t="s">
        <v>66</v>
      </c>
      <c r="E1514" s="93" t="s">
        <v>128</v>
      </c>
      <c r="F1514" s="8" t="s">
        <v>56</v>
      </c>
      <c r="G1514" s="35"/>
    </row>
    <row r="1515" spans="2:7">
      <c r="B1515" s="22">
        <v>518</v>
      </c>
      <c r="C1515" s="92" t="s">
        <v>356</v>
      </c>
      <c r="D1515" s="93">
        <v>10141584517</v>
      </c>
      <c r="E1515" s="92" t="s">
        <v>357</v>
      </c>
      <c r="F1515" s="8" t="s">
        <v>56</v>
      </c>
      <c r="G1515" s="35"/>
    </row>
    <row r="1516" spans="2:7">
      <c r="B1516" s="22">
        <v>505</v>
      </c>
      <c r="C1516" s="92" t="s">
        <v>690</v>
      </c>
      <c r="D1516" s="93">
        <v>10156807554</v>
      </c>
      <c r="E1516" s="93" t="s">
        <v>340</v>
      </c>
      <c r="F1516" s="8" t="s">
        <v>56</v>
      </c>
      <c r="G1516" s="35"/>
    </row>
    <row r="1517" spans="2:7">
      <c r="B1517" s="22">
        <v>502</v>
      </c>
      <c r="C1517" s="92" t="s">
        <v>691</v>
      </c>
      <c r="D1517" s="93">
        <v>10139359880</v>
      </c>
      <c r="E1517" s="92" t="s">
        <v>127</v>
      </c>
      <c r="F1517" s="8" t="s">
        <v>56</v>
      </c>
      <c r="G1517" s="35"/>
    </row>
    <row r="1518" spans="2:7">
      <c r="B1518" s="22">
        <v>501</v>
      </c>
      <c r="C1518" s="92" t="s">
        <v>692</v>
      </c>
      <c r="D1518" s="93">
        <v>13221</v>
      </c>
      <c r="E1518" s="93" t="s">
        <v>669</v>
      </c>
      <c r="F1518" s="8" t="s">
        <v>56</v>
      </c>
      <c r="G1518" s="35"/>
    </row>
    <row r="1519" spans="2:7">
      <c r="B1519" s="22">
        <v>521</v>
      </c>
      <c r="C1519" s="92" t="s">
        <v>693</v>
      </c>
      <c r="D1519" s="93">
        <v>10153425183</v>
      </c>
      <c r="E1519" s="92" t="s">
        <v>125</v>
      </c>
      <c r="F1519" s="8" t="s">
        <v>56</v>
      </c>
      <c r="G1519" s="35"/>
    </row>
    <row r="1520" spans="2:7">
      <c r="B1520" s="22">
        <v>524</v>
      </c>
      <c r="C1520" s="92" t="s">
        <v>694</v>
      </c>
      <c r="D1520" s="93">
        <v>1511</v>
      </c>
      <c r="E1520" s="93" t="s">
        <v>695</v>
      </c>
      <c r="F1520" s="8" t="s">
        <v>56</v>
      </c>
      <c r="G1520" s="35"/>
    </row>
    <row r="1521" spans="2:7">
      <c r="B1521" s="22">
        <v>507</v>
      </c>
      <c r="C1521" s="92" t="s">
        <v>696</v>
      </c>
      <c r="D1521" s="93">
        <v>10129054440</v>
      </c>
      <c r="E1521" s="92" t="s">
        <v>150</v>
      </c>
      <c r="F1521" s="8" t="s">
        <v>56</v>
      </c>
      <c r="G1521" s="35"/>
    </row>
    <row r="1522" spans="2:7">
      <c r="B1522" s="22">
        <v>514</v>
      </c>
      <c r="C1522" s="92" t="s">
        <v>351</v>
      </c>
      <c r="D1522" s="93">
        <v>10156979326</v>
      </c>
      <c r="E1522" s="93" t="s">
        <v>352</v>
      </c>
      <c r="F1522" s="8" t="s">
        <v>56</v>
      </c>
      <c r="G1522" s="35"/>
    </row>
    <row r="1523" spans="2:7">
      <c r="B1523" s="22">
        <v>503</v>
      </c>
      <c r="C1523" s="92" t="s">
        <v>697</v>
      </c>
      <c r="D1523" s="93">
        <v>10142567550</v>
      </c>
      <c r="E1523" s="93" t="s">
        <v>565</v>
      </c>
      <c r="F1523" s="8" t="s">
        <v>56</v>
      </c>
      <c r="G1523" s="35"/>
    </row>
    <row r="1524" spans="2:7">
      <c r="B1524" s="22">
        <v>520</v>
      </c>
      <c r="C1524" s="92" t="s">
        <v>698</v>
      </c>
      <c r="D1524" s="93" t="s">
        <v>66</v>
      </c>
      <c r="E1524" s="92" t="s">
        <v>699</v>
      </c>
      <c r="F1524" s="8" t="s">
        <v>56</v>
      </c>
      <c r="G1524" s="35"/>
    </row>
    <row r="1525" spans="2:7">
      <c r="B1525" s="22">
        <v>504</v>
      </c>
      <c r="C1525" s="92" t="s">
        <v>700</v>
      </c>
      <c r="D1525" s="93">
        <v>10154828350</v>
      </c>
      <c r="E1525" s="93" t="s">
        <v>124</v>
      </c>
      <c r="F1525" s="8" t="s">
        <v>56</v>
      </c>
      <c r="G1525" s="35"/>
    </row>
    <row r="1526" spans="2:7">
      <c r="B1526" s="22">
        <v>523</v>
      </c>
      <c r="C1526" s="92" t="s">
        <v>364</v>
      </c>
      <c r="D1526" s="93" t="s">
        <v>66</v>
      </c>
      <c r="E1526" s="93" t="s">
        <v>125</v>
      </c>
      <c r="F1526" s="8" t="s">
        <v>56</v>
      </c>
      <c r="G1526" s="35"/>
    </row>
    <row r="1527" spans="2:7">
      <c r="B1527" s="22">
        <v>522</v>
      </c>
      <c r="C1527" s="92" t="s">
        <v>701</v>
      </c>
      <c r="D1527" s="93">
        <v>10141592496</v>
      </c>
      <c r="E1527" s="92" t="s">
        <v>7</v>
      </c>
      <c r="F1527" s="8" t="s">
        <v>56</v>
      </c>
      <c r="G1527" s="35"/>
    </row>
    <row r="1528" spans="2:7">
      <c r="B1528" s="22">
        <v>513</v>
      </c>
      <c r="C1528" s="92" t="s">
        <v>702</v>
      </c>
      <c r="D1528" s="93">
        <v>9876</v>
      </c>
      <c r="E1528" s="93" t="s">
        <v>130</v>
      </c>
      <c r="F1528" s="8" t="s">
        <v>56</v>
      </c>
      <c r="G1528" s="35"/>
    </row>
    <row r="1529" spans="2:7">
      <c r="B1529" s="22">
        <v>516</v>
      </c>
      <c r="C1529" s="92" t="s">
        <v>703</v>
      </c>
      <c r="D1529" s="95" t="s">
        <v>66</v>
      </c>
      <c r="E1529" s="93" t="s">
        <v>84</v>
      </c>
      <c r="F1529" s="8" t="s">
        <v>56</v>
      </c>
      <c r="G1529" s="35"/>
    </row>
    <row r="1530" spans="2:7">
      <c r="B1530" s="22">
        <v>506</v>
      </c>
      <c r="C1530" s="92" t="s">
        <v>704</v>
      </c>
      <c r="D1530" s="95">
        <v>10171702512</v>
      </c>
      <c r="E1530" s="92" t="s">
        <v>108</v>
      </c>
      <c r="F1530" s="8" t="s">
        <v>56</v>
      </c>
      <c r="G1530" s="35"/>
    </row>
    <row r="1531" spans="2:7">
      <c r="B1531" s="22">
        <v>515</v>
      </c>
      <c r="C1531" s="92" t="s">
        <v>705</v>
      </c>
      <c r="D1531" s="93" t="s">
        <v>66</v>
      </c>
      <c r="E1531" s="93" t="s">
        <v>130</v>
      </c>
      <c r="F1531" s="8" t="s">
        <v>56</v>
      </c>
      <c r="G1531" s="35"/>
    </row>
    <row r="1532" spans="2:7">
      <c r="B1532" s="22">
        <v>517</v>
      </c>
      <c r="C1532" s="92" t="s">
        <v>706</v>
      </c>
      <c r="D1532" s="93">
        <v>10171431821</v>
      </c>
      <c r="E1532" s="93" t="s">
        <v>240</v>
      </c>
      <c r="F1532" s="8" t="s">
        <v>56</v>
      </c>
      <c r="G1532" s="35"/>
    </row>
    <row r="1533" spans="2:7">
      <c r="B1533" s="22">
        <v>508</v>
      </c>
      <c r="C1533" s="92" t="s">
        <v>707</v>
      </c>
      <c r="D1533" s="93">
        <v>10171656133</v>
      </c>
      <c r="E1533" s="93" t="s">
        <v>108</v>
      </c>
      <c r="F1533" s="8" t="s">
        <v>56</v>
      </c>
      <c r="G1533" s="35"/>
    </row>
    <row r="1534" spans="2:7">
      <c r="B1534" s="22">
        <v>509</v>
      </c>
      <c r="C1534" s="92" t="s">
        <v>708</v>
      </c>
      <c r="D1534" s="93">
        <v>605370547</v>
      </c>
      <c r="E1534" s="92" t="s">
        <v>71</v>
      </c>
      <c r="F1534" s="8" t="s">
        <v>56</v>
      </c>
      <c r="G1534" s="35"/>
    </row>
    <row r="1535" spans="2:7">
      <c r="B1535" s="22">
        <v>525</v>
      </c>
      <c r="C1535" s="92" t="s">
        <v>709</v>
      </c>
      <c r="D1535" s="93" t="s">
        <v>66</v>
      </c>
      <c r="E1535" s="93" t="s">
        <v>710</v>
      </c>
      <c r="F1535" s="8" t="s">
        <v>56</v>
      </c>
      <c r="G1535" s="35"/>
    </row>
    <row r="1536" spans="2:7">
      <c r="B1536" s="22">
        <v>526</v>
      </c>
      <c r="C1536" s="92" t="s">
        <v>711</v>
      </c>
      <c r="D1536" s="93" t="s">
        <v>66</v>
      </c>
      <c r="E1536" s="92" t="s">
        <v>712</v>
      </c>
      <c r="F1536" s="8" t="s">
        <v>56</v>
      </c>
      <c r="G1536" s="35"/>
    </row>
    <row r="1537" spans="2:7">
      <c r="B1537" s="22">
        <v>527</v>
      </c>
      <c r="C1537" s="92" t="s">
        <v>713</v>
      </c>
      <c r="D1537" s="93">
        <v>10162613309</v>
      </c>
      <c r="E1537" s="93" t="s">
        <v>714</v>
      </c>
      <c r="F1537" s="8" t="s">
        <v>56</v>
      </c>
      <c r="G1537" s="35"/>
    </row>
    <row r="1538" spans="2:7">
      <c r="B1538" s="22">
        <v>528</v>
      </c>
      <c r="C1538" s="92" t="s">
        <v>715</v>
      </c>
      <c r="D1538" s="93" t="s">
        <v>66</v>
      </c>
      <c r="E1538" s="93" t="s">
        <v>716</v>
      </c>
      <c r="F1538" s="8" t="s">
        <v>56</v>
      </c>
      <c r="G1538" s="35"/>
    </row>
    <row r="1539" spans="2:7">
      <c r="B1539" s="22">
        <v>529</v>
      </c>
      <c r="C1539" s="92" t="s">
        <v>717</v>
      </c>
      <c r="D1539" s="93">
        <v>10162504282</v>
      </c>
      <c r="E1539" s="92" t="s">
        <v>718</v>
      </c>
      <c r="F1539" s="8" t="s">
        <v>56</v>
      </c>
      <c r="G1539" s="35"/>
    </row>
    <row r="1540" spans="2:7">
      <c r="B1540" s="22">
        <v>530</v>
      </c>
      <c r="C1540" s="92" t="s">
        <v>719</v>
      </c>
      <c r="D1540" s="93">
        <v>13320</v>
      </c>
      <c r="E1540" s="92" t="s">
        <v>626</v>
      </c>
      <c r="F1540" s="8" t="s">
        <v>56</v>
      </c>
      <c r="G1540" s="35"/>
    </row>
    <row r="1541" spans="2:7">
      <c r="B1541" s="22">
        <v>531</v>
      </c>
      <c r="C1541" s="92" t="s">
        <v>720</v>
      </c>
      <c r="D1541" s="93" t="s">
        <v>66</v>
      </c>
      <c r="E1541" s="92" t="s">
        <v>721</v>
      </c>
      <c r="F1541" s="8" t="s">
        <v>56</v>
      </c>
      <c r="G1541" s="35"/>
    </row>
    <row r="1542" spans="2:7">
      <c r="B1542" s="22">
        <v>532</v>
      </c>
      <c r="C1542" s="92" t="s">
        <v>722</v>
      </c>
      <c r="D1542" s="93" t="s">
        <v>66</v>
      </c>
      <c r="E1542" s="92" t="s">
        <v>723</v>
      </c>
      <c r="F1542" s="8" t="s">
        <v>56</v>
      </c>
      <c r="G1542" s="35"/>
    </row>
    <row r="1543" spans="2:7">
      <c r="B1543" s="22">
        <v>533</v>
      </c>
      <c r="C1543" s="92" t="s">
        <v>724</v>
      </c>
      <c r="D1543" s="93" t="s">
        <v>725</v>
      </c>
      <c r="E1543" s="92" t="s">
        <v>721</v>
      </c>
      <c r="F1543" s="8" t="s">
        <v>56</v>
      </c>
      <c r="G1543" s="35"/>
    </row>
    <row r="1544" spans="2:7">
      <c r="B1544" s="22">
        <v>534</v>
      </c>
      <c r="C1544" s="92" t="s">
        <v>726</v>
      </c>
      <c r="D1544" s="93" t="s">
        <v>66</v>
      </c>
      <c r="E1544" s="92" t="s">
        <v>86</v>
      </c>
      <c r="F1544" s="8" t="s">
        <v>56</v>
      </c>
      <c r="G1544" s="35"/>
    </row>
    <row r="1545" spans="2:7">
      <c r="B1545" s="22"/>
      <c r="C1545" s="92"/>
      <c r="D1545" s="93"/>
      <c r="E1545" s="92"/>
      <c r="F1545" s="8"/>
      <c r="G1545" s="35"/>
    </row>
    <row r="1546" spans="2:7">
      <c r="B1546" s="7">
        <v>581</v>
      </c>
      <c r="C1546" s="8" t="s">
        <v>366</v>
      </c>
      <c r="D1546" s="17">
        <v>121480116</v>
      </c>
      <c r="E1546" s="17" t="s">
        <v>109</v>
      </c>
      <c r="F1546" s="8" t="s">
        <v>57</v>
      </c>
      <c r="G1546" s="35"/>
    </row>
    <row r="1547" spans="2:7">
      <c r="B1547" s="7">
        <v>584</v>
      </c>
      <c r="C1547" s="8" t="s">
        <v>369</v>
      </c>
      <c r="D1547" s="17">
        <v>10154309503</v>
      </c>
      <c r="E1547" s="17" t="s">
        <v>110</v>
      </c>
      <c r="F1547" s="8" t="s">
        <v>57</v>
      </c>
      <c r="G1547" s="35"/>
    </row>
    <row r="1548" spans="2:7">
      <c r="B1548" s="7">
        <v>583</v>
      </c>
      <c r="C1548" s="8" t="s">
        <v>727</v>
      </c>
      <c r="D1548" s="17">
        <v>10154228768</v>
      </c>
      <c r="E1548" s="17" t="s">
        <v>124</v>
      </c>
      <c r="F1548" s="8" t="s">
        <v>57</v>
      </c>
      <c r="G1548" s="35"/>
    </row>
    <row r="1549" spans="2:7">
      <c r="B1549" s="7">
        <v>586</v>
      </c>
      <c r="C1549" s="8" t="s">
        <v>728</v>
      </c>
      <c r="D1549" s="17" t="s">
        <v>66</v>
      </c>
      <c r="E1549" s="17" t="s">
        <v>150</v>
      </c>
      <c r="F1549" s="8" t="s">
        <v>57</v>
      </c>
      <c r="G1549" s="35"/>
    </row>
    <row r="1550" spans="2:7">
      <c r="B1550" s="7">
        <v>589</v>
      </c>
      <c r="C1550" s="8" t="s">
        <v>374</v>
      </c>
      <c r="D1550" s="17">
        <v>10164743366</v>
      </c>
      <c r="E1550" s="17" t="s">
        <v>150</v>
      </c>
      <c r="F1550" s="8" t="s">
        <v>57</v>
      </c>
      <c r="G1550" s="35"/>
    </row>
    <row r="1551" spans="2:7">
      <c r="B1551" s="7">
        <v>582</v>
      </c>
      <c r="C1551" s="8" t="s">
        <v>367</v>
      </c>
      <c r="D1551" s="17">
        <v>9879</v>
      </c>
      <c r="E1551" s="17" t="s">
        <v>130</v>
      </c>
      <c r="F1551" s="8" t="s">
        <v>57</v>
      </c>
      <c r="G1551" s="35"/>
    </row>
    <row r="1552" spans="2:7">
      <c r="B1552" s="7">
        <v>585</v>
      </c>
      <c r="C1552" s="8" t="s">
        <v>370</v>
      </c>
      <c r="D1552" s="17">
        <v>101323202009</v>
      </c>
      <c r="E1552" s="17" t="s">
        <v>134</v>
      </c>
      <c r="F1552" s="8" t="s">
        <v>57</v>
      </c>
      <c r="G1552" s="35"/>
    </row>
    <row r="1553" spans="2:7">
      <c r="B1553" s="7">
        <v>588</v>
      </c>
      <c r="C1553" s="8" t="s">
        <v>729</v>
      </c>
      <c r="D1553" s="17" t="s">
        <v>66</v>
      </c>
      <c r="E1553" s="17" t="s">
        <v>150</v>
      </c>
      <c r="F1553" s="8" t="s">
        <v>57</v>
      </c>
      <c r="G1553" s="35"/>
    </row>
    <row r="1554" spans="2:7">
      <c r="B1554" s="7">
        <v>590</v>
      </c>
      <c r="C1554" s="8" t="s">
        <v>730</v>
      </c>
      <c r="D1554" s="17">
        <v>1017221158</v>
      </c>
      <c r="E1554" s="17" t="s">
        <v>376</v>
      </c>
      <c r="F1554" s="8" t="s">
        <v>57</v>
      </c>
      <c r="G1554" s="35"/>
    </row>
    <row r="1555" spans="2:7">
      <c r="B1555" s="41">
        <v>591</v>
      </c>
      <c r="C1555" s="8" t="s">
        <v>731</v>
      </c>
      <c r="D1555" s="17">
        <v>10173195096</v>
      </c>
      <c r="E1555" s="17" t="s">
        <v>732</v>
      </c>
      <c r="F1555" s="8" t="s">
        <v>57</v>
      </c>
      <c r="G1555" s="35"/>
    </row>
    <row r="1556" spans="2:7">
      <c r="B1556" s="41">
        <v>592</v>
      </c>
      <c r="C1556" s="8" t="s">
        <v>733</v>
      </c>
      <c r="D1556" s="17">
        <v>10173194591</v>
      </c>
      <c r="E1556" s="17" t="s">
        <v>734</v>
      </c>
      <c r="F1556" s="8" t="s">
        <v>57</v>
      </c>
      <c r="G1556" s="35"/>
    </row>
    <row r="1557" spans="2:7">
      <c r="B1557" s="41">
        <v>593</v>
      </c>
      <c r="C1557" s="8" t="s">
        <v>735</v>
      </c>
      <c r="D1557" s="17" t="s">
        <v>66</v>
      </c>
      <c r="E1557" s="17" t="s">
        <v>736</v>
      </c>
      <c r="F1557" s="8" t="s">
        <v>57</v>
      </c>
      <c r="G1557" s="35"/>
    </row>
    <row r="1558" spans="2:7">
      <c r="B1558" s="41">
        <v>594</v>
      </c>
      <c r="C1558" s="8" t="s">
        <v>737</v>
      </c>
      <c r="D1558" s="17">
        <v>10156410359</v>
      </c>
      <c r="E1558" s="17" t="s">
        <v>63</v>
      </c>
      <c r="F1558" s="8" t="s">
        <v>57</v>
      </c>
      <c r="G1558" s="35"/>
    </row>
    <row r="1559" spans="2:7">
      <c r="B1559" s="41">
        <v>595</v>
      </c>
      <c r="C1559" s="8" t="s">
        <v>738</v>
      </c>
      <c r="D1559" s="17" t="s">
        <v>66</v>
      </c>
      <c r="E1559" s="17" t="s">
        <v>125</v>
      </c>
      <c r="F1559" s="8" t="s">
        <v>57</v>
      </c>
      <c r="G1559" s="35"/>
    </row>
    <row r="1560" spans="2:7">
      <c r="B1560" s="41">
        <v>596</v>
      </c>
      <c r="C1560" s="8" t="s">
        <v>739</v>
      </c>
      <c r="D1560" s="17" t="s">
        <v>66</v>
      </c>
      <c r="E1560" s="17" t="s">
        <v>125</v>
      </c>
      <c r="F1560" s="8" t="s">
        <v>57</v>
      </c>
      <c r="G1560" s="35"/>
    </row>
    <row r="1561" spans="2:7" ht="15.75">
      <c r="B1561" s="52"/>
      <c r="C1561" s="8"/>
      <c r="D1561" s="17"/>
      <c r="E1561" s="17"/>
      <c r="F1561" s="8"/>
      <c r="G1561" s="35"/>
    </row>
    <row r="1562" spans="2:7">
      <c r="B1562" s="7"/>
      <c r="C1562" s="8"/>
      <c r="D1562" s="17"/>
      <c r="E1562" s="17"/>
      <c r="F1562" s="8"/>
      <c r="G1562" s="35"/>
    </row>
    <row r="1563" spans="2:7">
      <c r="B1563" s="22">
        <v>405</v>
      </c>
      <c r="C1563" s="92" t="s">
        <v>740</v>
      </c>
      <c r="D1563" s="93">
        <v>10172048072</v>
      </c>
      <c r="E1563" s="93" t="s">
        <v>741</v>
      </c>
      <c r="F1563" s="8" t="s">
        <v>158</v>
      </c>
      <c r="G1563" s="35"/>
    </row>
    <row r="1564" spans="2:7">
      <c r="B1564" s="22">
        <v>406</v>
      </c>
      <c r="C1564" s="92" t="s">
        <v>742</v>
      </c>
      <c r="D1564" s="93">
        <v>10172211659</v>
      </c>
      <c r="E1564" s="93" t="s">
        <v>672</v>
      </c>
      <c r="F1564" s="8" t="s">
        <v>158</v>
      </c>
      <c r="G1564" s="35"/>
    </row>
    <row r="1565" spans="2:7">
      <c r="B1565" s="22">
        <v>401</v>
      </c>
      <c r="C1565" s="92" t="s">
        <v>743</v>
      </c>
      <c r="D1565" s="93">
        <v>10162383236</v>
      </c>
      <c r="E1565" s="93" t="s">
        <v>744</v>
      </c>
      <c r="F1565" s="8" t="s">
        <v>158</v>
      </c>
      <c r="G1565" s="35"/>
    </row>
    <row r="1566" spans="2:7">
      <c r="B1566" s="22">
        <v>403</v>
      </c>
      <c r="C1566" s="92" t="s">
        <v>379</v>
      </c>
      <c r="D1566" s="93" t="s">
        <v>66</v>
      </c>
      <c r="E1566" s="93" t="s">
        <v>101</v>
      </c>
      <c r="F1566" s="8" t="s">
        <v>158</v>
      </c>
      <c r="G1566" s="35"/>
    </row>
    <row r="1567" spans="2:7">
      <c r="B1567" s="22">
        <v>402</v>
      </c>
      <c r="C1567" s="92" t="s">
        <v>745</v>
      </c>
      <c r="D1567" s="93">
        <v>5600</v>
      </c>
      <c r="E1567" s="93" t="s">
        <v>65</v>
      </c>
      <c r="F1567" s="8" t="s">
        <v>158</v>
      </c>
      <c r="G1567" s="35"/>
    </row>
    <row r="1568" spans="2:7">
      <c r="B1568" s="22">
        <v>404</v>
      </c>
      <c r="C1568" s="92" t="s">
        <v>380</v>
      </c>
      <c r="D1568" s="93">
        <v>10130330796</v>
      </c>
      <c r="E1568" s="93" t="s">
        <v>65</v>
      </c>
      <c r="F1568" s="8" t="s">
        <v>158</v>
      </c>
      <c r="G1568" s="35"/>
    </row>
    <row r="1569" spans="2:7">
      <c r="B1569" s="22">
        <v>407</v>
      </c>
      <c r="C1569" s="92" t="s">
        <v>746</v>
      </c>
      <c r="D1569" s="93" t="s">
        <v>66</v>
      </c>
      <c r="E1569" s="93" t="s">
        <v>747</v>
      </c>
      <c r="F1569" s="8" t="s">
        <v>158</v>
      </c>
      <c r="G1569" s="35"/>
    </row>
    <row r="1570" spans="2:7">
      <c r="B1570" s="22">
        <v>408</v>
      </c>
      <c r="C1570" s="92" t="s">
        <v>748</v>
      </c>
      <c r="D1570" s="93">
        <v>10173413550</v>
      </c>
      <c r="E1570" s="93" t="s">
        <v>63</v>
      </c>
      <c r="F1570" s="8" t="s">
        <v>158</v>
      </c>
      <c r="G1570" s="35"/>
    </row>
    <row r="1571" spans="2:7">
      <c r="B1571" s="22">
        <v>409</v>
      </c>
      <c r="C1571" s="92" t="s">
        <v>749</v>
      </c>
      <c r="D1571" s="93">
        <v>10137506372</v>
      </c>
      <c r="E1571" s="93" t="s">
        <v>217</v>
      </c>
      <c r="F1571" s="8" t="s">
        <v>158</v>
      </c>
      <c r="G1571" s="35"/>
    </row>
    <row r="1572" spans="2:7">
      <c r="B1572" s="22">
        <v>410</v>
      </c>
      <c r="C1572" s="92" t="s">
        <v>750</v>
      </c>
      <c r="D1572" s="93">
        <v>10137506372</v>
      </c>
      <c r="E1572" s="93" t="s">
        <v>217</v>
      </c>
      <c r="F1572" s="8" t="s">
        <v>158</v>
      </c>
      <c r="G1572" s="35"/>
    </row>
    <row r="1573" spans="2:7">
      <c r="B1573" s="22"/>
      <c r="C1573" s="8"/>
      <c r="D1573" s="17"/>
      <c r="F1573" s="8"/>
      <c r="G1573" s="35"/>
    </row>
    <row r="1574" spans="2:7" ht="15.75">
      <c r="B1574" s="21"/>
      <c r="C1574" s="8"/>
      <c r="D1574" s="17"/>
      <c r="E1574" s="17"/>
      <c r="F1574" s="8"/>
      <c r="G1574" s="35"/>
    </row>
    <row r="1575" spans="2:7">
      <c r="B1575" s="22">
        <v>481</v>
      </c>
      <c r="C1575" s="92" t="s">
        <v>751</v>
      </c>
      <c r="D1575" s="93">
        <v>10162377172</v>
      </c>
      <c r="E1575" s="93" t="s">
        <v>752</v>
      </c>
      <c r="F1575" s="8" t="s">
        <v>159</v>
      </c>
      <c r="G1575" s="35"/>
    </row>
    <row r="1576" spans="2:7">
      <c r="B1576" s="22">
        <v>482</v>
      </c>
      <c r="C1576" s="92" t="s">
        <v>753</v>
      </c>
      <c r="D1576" s="93">
        <v>10171940261</v>
      </c>
      <c r="E1576" s="92" t="s">
        <v>754</v>
      </c>
      <c r="F1576" s="8" t="s">
        <v>159</v>
      </c>
      <c r="G1576" s="35"/>
    </row>
    <row r="1577" spans="2:7">
      <c r="B1577" s="22">
        <v>484</v>
      </c>
      <c r="C1577" s="92" t="s">
        <v>389</v>
      </c>
      <c r="D1577" s="93" t="s">
        <v>66</v>
      </c>
      <c r="E1577" s="93" t="s">
        <v>125</v>
      </c>
      <c r="F1577" s="8" t="s">
        <v>159</v>
      </c>
      <c r="G1577" s="35"/>
    </row>
    <row r="1578" spans="2:7">
      <c r="B1578" s="22">
        <v>483</v>
      </c>
      <c r="C1578" s="92" t="s">
        <v>755</v>
      </c>
      <c r="D1578" s="93" t="s">
        <v>66</v>
      </c>
      <c r="E1578" s="93" t="s">
        <v>71</v>
      </c>
      <c r="F1578" s="8" t="s">
        <v>159</v>
      </c>
      <c r="G1578" s="35"/>
    </row>
    <row r="1579" spans="2:7">
      <c r="B1579" s="22">
        <v>485</v>
      </c>
      <c r="C1579" s="92" t="s">
        <v>756</v>
      </c>
      <c r="D1579" s="93">
        <v>10173194793</v>
      </c>
      <c r="E1579" s="93" t="s">
        <v>732</v>
      </c>
      <c r="F1579" s="8" t="s">
        <v>159</v>
      </c>
      <c r="G1579" s="35"/>
    </row>
    <row r="1580" spans="2:7">
      <c r="B1580" s="22">
        <v>486</v>
      </c>
      <c r="C1580" s="92" t="s">
        <v>757</v>
      </c>
      <c r="D1580" s="93" t="s">
        <v>66</v>
      </c>
      <c r="E1580" s="93" t="s">
        <v>150</v>
      </c>
      <c r="F1580" s="8" t="s">
        <v>159</v>
      </c>
      <c r="G1580" s="35"/>
    </row>
    <row r="1581" spans="2:7">
      <c r="B1581" s="22">
        <v>487</v>
      </c>
      <c r="C1581" s="92" t="s">
        <v>758</v>
      </c>
      <c r="D1581" s="93">
        <v>10162095872</v>
      </c>
      <c r="E1581" s="93" t="s">
        <v>7</v>
      </c>
      <c r="F1581" s="8" t="s">
        <v>159</v>
      </c>
      <c r="G1581" s="35"/>
    </row>
    <row r="1582" spans="2:7">
      <c r="B1582" s="22">
        <v>488</v>
      </c>
      <c r="C1582" s="92" t="s">
        <v>759</v>
      </c>
      <c r="D1582" s="93" t="s">
        <v>66</v>
      </c>
      <c r="E1582" s="93" t="s">
        <v>125</v>
      </c>
      <c r="F1582" s="8" t="s">
        <v>159</v>
      </c>
      <c r="G1582" s="35"/>
    </row>
    <row r="1583" spans="2:7" ht="15.75">
      <c r="B1583" s="21"/>
      <c r="C1583" s="8"/>
      <c r="D1583" s="17"/>
      <c r="E1583" s="17"/>
      <c r="F1583" s="8" t="s">
        <v>159</v>
      </c>
      <c r="G1583" s="35"/>
    </row>
    <row r="1584" spans="2:7" ht="15.75">
      <c r="B1584" s="21"/>
      <c r="C1584" s="8"/>
      <c r="D1584" s="17"/>
      <c r="E1584" s="17"/>
      <c r="F1584" s="8"/>
      <c r="G1584" s="35"/>
    </row>
    <row r="1585" spans="2:7">
      <c r="B1585" s="22">
        <v>701</v>
      </c>
      <c r="C1585" s="92" t="s">
        <v>760</v>
      </c>
      <c r="D1585" s="93">
        <v>10079383568</v>
      </c>
      <c r="E1585" s="93" t="s">
        <v>151</v>
      </c>
      <c r="F1585" s="8" t="s">
        <v>58</v>
      </c>
      <c r="G1585" s="35"/>
    </row>
    <row r="1586" spans="2:7">
      <c r="B1586" s="22">
        <v>708</v>
      </c>
      <c r="C1586" s="92" t="s">
        <v>761</v>
      </c>
      <c r="D1586" s="93">
        <v>10056033143</v>
      </c>
      <c r="E1586" s="93" t="s">
        <v>565</v>
      </c>
      <c r="F1586" s="8" t="s">
        <v>58</v>
      </c>
      <c r="G1586" s="35"/>
    </row>
    <row r="1587" spans="2:7">
      <c r="B1587" s="22">
        <v>702</v>
      </c>
      <c r="C1587" s="93" t="s">
        <v>391</v>
      </c>
      <c r="D1587" s="93" t="s">
        <v>66</v>
      </c>
      <c r="E1587" s="93" t="s">
        <v>762</v>
      </c>
      <c r="F1587" s="8" t="s">
        <v>58</v>
      </c>
      <c r="G1587" s="35"/>
    </row>
    <row r="1588" spans="2:7">
      <c r="B1588" s="22">
        <v>704</v>
      </c>
      <c r="C1588" s="92" t="s">
        <v>763</v>
      </c>
      <c r="D1588" s="93">
        <v>10125323576</v>
      </c>
      <c r="E1588" s="93" t="s">
        <v>394</v>
      </c>
      <c r="F1588" s="8" t="s">
        <v>58</v>
      </c>
      <c r="G1588" s="35"/>
    </row>
    <row r="1589" spans="2:7">
      <c r="B1589" s="22">
        <v>709</v>
      </c>
      <c r="C1589" s="93" t="s">
        <v>764</v>
      </c>
      <c r="D1589" s="93">
        <v>10124844640</v>
      </c>
      <c r="E1589" s="93" t="s">
        <v>401</v>
      </c>
      <c r="F1589" s="8" t="s">
        <v>58</v>
      </c>
      <c r="G1589" s="35"/>
    </row>
    <row r="1590" spans="2:7">
      <c r="B1590" s="22">
        <v>712</v>
      </c>
      <c r="C1590" s="92" t="s">
        <v>765</v>
      </c>
      <c r="D1590" s="93" t="s">
        <v>66</v>
      </c>
      <c r="E1590" s="93" t="s">
        <v>70</v>
      </c>
      <c r="F1590" s="8" t="s">
        <v>58</v>
      </c>
      <c r="G1590" s="35"/>
    </row>
    <row r="1591" spans="2:7">
      <c r="B1591" s="22">
        <v>713</v>
      </c>
      <c r="C1591" s="92" t="s">
        <v>766</v>
      </c>
      <c r="D1591" s="93">
        <v>10006255268</v>
      </c>
      <c r="E1591" s="93" t="s">
        <v>100</v>
      </c>
      <c r="F1591" s="8" t="s">
        <v>58</v>
      </c>
      <c r="G1591" s="35"/>
    </row>
    <row r="1592" spans="2:7">
      <c r="B1592" s="22">
        <v>714</v>
      </c>
      <c r="C1592" s="93" t="s">
        <v>767</v>
      </c>
      <c r="D1592" s="93" t="s">
        <v>66</v>
      </c>
      <c r="E1592" s="93" t="s">
        <v>128</v>
      </c>
      <c r="F1592" s="8" t="s">
        <v>58</v>
      </c>
      <c r="G1592" s="35"/>
    </row>
    <row r="1593" spans="2:7">
      <c r="B1593" s="22"/>
      <c r="C1593" s="92"/>
      <c r="D1593" s="93"/>
      <c r="E1593" s="93"/>
      <c r="F1593" s="8" t="s">
        <v>58</v>
      </c>
      <c r="G1593" s="35"/>
    </row>
    <row r="1594" spans="2:7">
      <c r="B1594" s="22"/>
      <c r="C1594" s="92"/>
      <c r="D1594" s="93"/>
      <c r="E1594" s="93"/>
      <c r="F1594" s="8" t="s">
        <v>58</v>
      </c>
      <c r="G1594" s="35"/>
    </row>
    <row r="1595" spans="2:7">
      <c r="B1595" s="22"/>
      <c r="C1595" s="92"/>
      <c r="D1595" s="93"/>
      <c r="E1595" s="93"/>
      <c r="F1595" s="8" t="s">
        <v>58</v>
      </c>
      <c r="G1595" s="35"/>
    </row>
    <row r="1596" spans="2:7" ht="15.75">
      <c r="B1596" s="21"/>
      <c r="C1596" s="8"/>
      <c r="D1596" s="17"/>
      <c r="E1596" s="17"/>
      <c r="F1596" s="8"/>
      <c r="G1596" s="35"/>
    </row>
    <row r="1597" spans="2:7">
      <c r="B1597" s="22">
        <v>751</v>
      </c>
      <c r="C1597" s="92" t="s">
        <v>114</v>
      </c>
      <c r="D1597" s="93">
        <v>10127988349</v>
      </c>
      <c r="E1597" s="93" t="s">
        <v>100</v>
      </c>
      <c r="F1597" s="8" t="s">
        <v>59</v>
      </c>
      <c r="G1597" s="35"/>
    </row>
    <row r="1598" spans="2:7">
      <c r="B1598" s="22">
        <v>758</v>
      </c>
      <c r="C1598" s="92" t="s">
        <v>768</v>
      </c>
      <c r="D1598" s="93">
        <v>10140636745</v>
      </c>
      <c r="E1598" s="93" t="s">
        <v>124</v>
      </c>
      <c r="F1598" s="8" t="s">
        <v>59</v>
      </c>
      <c r="G1598" s="35"/>
    </row>
    <row r="1599" spans="2:7">
      <c r="B1599" s="22">
        <v>756</v>
      </c>
      <c r="C1599" s="92" t="s">
        <v>412</v>
      </c>
      <c r="D1599" s="93">
        <v>10137070781</v>
      </c>
      <c r="E1599" s="93" t="s">
        <v>6</v>
      </c>
      <c r="F1599" s="8" t="s">
        <v>59</v>
      </c>
      <c r="G1599" s="35"/>
    </row>
    <row r="1600" spans="2:7">
      <c r="B1600" s="22">
        <v>764</v>
      </c>
      <c r="C1600" s="92" t="s">
        <v>423</v>
      </c>
      <c r="D1600" s="93">
        <v>10090080749</v>
      </c>
      <c r="E1600" s="93" t="s">
        <v>424</v>
      </c>
      <c r="F1600" s="8" t="s">
        <v>59</v>
      </c>
      <c r="G1600" s="35"/>
    </row>
    <row r="1601" spans="2:7">
      <c r="B1601" s="22">
        <v>765</v>
      </c>
      <c r="C1601" s="92" t="s">
        <v>425</v>
      </c>
      <c r="D1601" s="93">
        <v>10170981880</v>
      </c>
      <c r="E1601" s="93" t="s">
        <v>769</v>
      </c>
      <c r="F1601" s="8" t="s">
        <v>59</v>
      </c>
      <c r="G1601" s="35"/>
    </row>
    <row r="1602" spans="2:7">
      <c r="B1602" s="22">
        <v>760</v>
      </c>
      <c r="C1602" s="92" t="s">
        <v>770</v>
      </c>
      <c r="D1602" s="93">
        <v>10112138246</v>
      </c>
      <c r="E1602" s="93" t="s">
        <v>771</v>
      </c>
      <c r="F1602" s="8" t="s">
        <v>59</v>
      </c>
      <c r="G1602" s="35"/>
    </row>
    <row r="1603" spans="2:7">
      <c r="B1603" s="22">
        <v>766</v>
      </c>
      <c r="C1603" s="92" t="s">
        <v>772</v>
      </c>
      <c r="D1603" s="93">
        <v>10082235671</v>
      </c>
      <c r="E1603" s="93" t="s">
        <v>773</v>
      </c>
      <c r="F1603" s="8" t="s">
        <v>59</v>
      </c>
      <c r="G1603" s="35"/>
    </row>
    <row r="1604" spans="2:7">
      <c r="B1604" s="22">
        <v>767</v>
      </c>
      <c r="C1604" s="92" t="s">
        <v>774</v>
      </c>
      <c r="D1604" s="93" t="s">
        <v>66</v>
      </c>
      <c r="E1604" s="93" t="s">
        <v>775</v>
      </c>
      <c r="F1604" s="8" t="s">
        <v>59</v>
      </c>
      <c r="G1604" s="35"/>
    </row>
    <row r="1605" spans="2:7">
      <c r="B1605" s="22">
        <v>768</v>
      </c>
      <c r="C1605" s="92" t="s">
        <v>776</v>
      </c>
      <c r="D1605" s="93">
        <v>10061819595</v>
      </c>
      <c r="E1605" s="93" t="s">
        <v>487</v>
      </c>
      <c r="F1605" s="8" t="s">
        <v>59</v>
      </c>
      <c r="G1605" s="35"/>
    </row>
    <row r="1606" spans="2:7">
      <c r="B1606" s="22">
        <v>769</v>
      </c>
      <c r="C1606" s="92" t="s">
        <v>777</v>
      </c>
      <c r="D1606" s="93">
        <v>10053119810</v>
      </c>
      <c r="E1606" s="93" t="s">
        <v>778</v>
      </c>
      <c r="F1606" s="8" t="s">
        <v>59</v>
      </c>
      <c r="G1606" s="35"/>
    </row>
    <row r="1607" spans="2:7">
      <c r="B1607" s="22">
        <v>770</v>
      </c>
      <c r="C1607" s="92" t="s">
        <v>779</v>
      </c>
      <c r="D1607" s="93" t="s">
        <v>66</v>
      </c>
      <c r="E1607" s="93" t="s">
        <v>6</v>
      </c>
      <c r="F1607" s="8" t="s">
        <v>59</v>
      </c>
      <c r="G1607" s="35"/>
    </row>
    <row r="1608" spans="2:7">
      <c r="B1608" s="22">
        <v>752</v>
      </c>
      <c r="C1608" s="92" t="s">
        <v>405</v>
      </c>
      <c r="D1608" s="93">
        <v>10001352223</v>
      </c>
      <c r="E1608" s="93" t="s">
        <v>406</v>
      </c>
      <c r="F1608" s="8" t="s">
        <v>59</v>
      </c>
      <c r="G1608" s="35"/>
    </row>
    <row r="1609" spans="2:7">
      <c r="B1609" s="22">
        <v>771</v>
      </c>
      <c r="C1609" s="92" t="s">
        <v>780</v>
      </c>
      <c r="D1609" s="93">
        <v>10111677902</v>
      </c>
      <c r="E1609" s="93" t="s">
        <v>781</v>
      </c>
      <c r="F1609" s="8" t="s">
        <v>59</v>
      </c>
      <c r="G1609" s="35"/>
    </row>
    <row r="1610" spans="2:7">
      <c r="B1610" s="22">
        <v>772</v>
      </c>
      <c r="C1610" s="92" t="s">
        <v>403</v>
      </c>
      <c r="D1610" s="93" t="s">
        <v>66</v>
      </c>
      <c r="E1610" s="93" t="s">
        <v>782</v>
      </c>
      <c r="F1610" s="8" t="s">
        <v>59</v>
      </c>
      <c r="G1610" s="35"/>
    </row>
    <row r="1611" spans="2:7">
      <c r="B1611" s="22"/>
      <c r="C1611" s="92"/>
      <c r="D1611" s="93"/>
      <c r="E1611" s="93"/>
      <c r="F1611" s="8" t="s">
        <v>59</v>
      </c>
      <c r="G1611" s="35"/>
    </row>
    <row r="1612" spans="2:7">
      <c r="B1612" s="104"/>
      <c r="C1612" s="8"/>
      <c r="D1612" s="17"/>
      <c r="E1612" s="17"/>
      <c r="F1612" s="8"/>
      <c r="G1612" s="35"/>
    </row>
    <row r="1613" spans="2:7">
      <c r="B1613" s="96">
        <v>810</v>
      </c>
      <c r="C1613" s="92" t="s">
        <v>783</v>
      </c>
      <c r="D1613" s="93">
        <v>10061985206</v>
      </c>
      <c r="E1613" s="93" t="s">
        <v>6</v>
      </c>
      <c r="F1613" s="8" t="s">
        <v>72</v>
      </c>
      <c r="G1613" s="35"/>
    </row>
    <row r="1614" spans="2:7">
      <c r="B1614" s="96">
        <v>801</v>
      </c>
      <c r="C1614" s="92" t="s">
        <v>115</v>
      </c>
      <c r="D1614" s="93">
        <v>10102979628</v>
      </c>
      <c r="E1614" s="93" t="s">
        <v>427</v>
      </c>
      <c r="F1614" s="8" t="s">
        <v>72</v>
      </c>
      <c r="G1614" s="35"/>
    </row>
    <row r="1615" spans="2:7">
      <c r="B1615" s="96">
        <v>811</v>
      </c>
      <c r="C1615" s="92" t="s">
        <v>438</v>
      </c>
      <c r="D1615" s="93">
        <v>10124200400</v>
      </c>
      <c r="E1615" s="93" t="s">
        <v>394</v>
      </c>
      <c r="F1615" s="8" t="s">
        <v>72</v>
      </c>
      <c r="G1615" s="35"/>
    </row>
    <row r="1616" spans="2:7">
      <c r="B1616" s="96">
        <v>813</v>
      </c>
      <c r="C1616" s="92" t="s">
        <v>784</v>
      </c>
      <c r="D1616" s="93">
        <v>10051209819</v>
      </c>
      <c r="E1616" s="93" t="s">
        <v>6</v>
      </c>
      <c r="F1616" s="8" t="s">
        <v>72</v>
      </c>
      <c r="G1616" s="35"/>
    </row>
    <row r="1617" spans="2:7">
      <c r="B1617" s="96">
        <v>805</v>
      </c>
      <c r="C1617" s="97" t="s">
        <v>785</v>
      </c>
      <c r="D1617" s="98">
        <v>10122661938</v>
      </c>
      <c r="E1617" s="98" t="s">
        <v>6</v>
      </c>
      <c r="F1617" s="8" t="s">
        <v>72</v>
      </c>
      <c r="G1617" s="35"/>
    </row>
    <row r="1618" spans="2:7">
      <c r="B1618" s="96">
        <v>814</v>
      </c>
      <c r="C1618" s="97" t="s">
        <v>88</v>
      </c>
      <c r="D1618" s="98">
        <v>10114540513</v>
      </c>
      <c r="E1618" s="98" t="s">
        <v>89</v>
      </c>
      <c r="F1618" s="8" t="s">
        <v>72</v>
      </c>
      <c r="G1618" s="35"/>
    </row>
    <row r="1619" spans="2:7">
      <c r="B1619" s="96">
        <v>809</v>
      </c>
      <c r="C1619" s="92" t="s">
        <v>435</v>
      </c>
      <c r="D1619" s="93">
        <v>10114420473</v>
      </c>
      <c r="E1619" s="93" t="s">
        <v>436</v>
      </c>
      <c r="F1619" s="8" t="s">
        <v>72</v>
      </c>
      <c r="G1619" s="35"/>
    </row>
    <row r="1620" spans="2:7">
      <c r="B1620" s="96">
        <v>808</v>
      </c>
      <c r="C1620" s="92" t="s">
        <v>113</v>
      </c>
      <c r="D1620" s="93">
        <v>10139092324</v>
      </c>
      <c r="E1620" s="93" t="s">
        <v>137</v>
      </c>
      <c r="F1620" s="8" t="s">
        <v>72</v>
      </c>
      <c r="G1620" s="35"/>
    </row>
    <row r="1621" spans="2:7">
      <c r="B1621" s="96">
        <v>815</v>
      </c>
      <c r="C1621" s="92" t="s">
        <v>786</v>
      </c>
      <c r="D1621" s="93">
        <v>10131791254</v>
      </c>
      <c r="E1621" s="93" t="s">
        <v>154</v>
      </c>
      <c r="F1621" s="8" t="s">
        <v>72</v>
      </c>
      <c r="G1621" s="35"/>
    </row>
    <row r="1622" spans="2:7">
      <c r="B1622" s="96">
        <v>817</v>
      </c>
      <c r="C1622" s="92" t="s">
        <v>787</v>
      </c>
      <c r="D1622" s="93">
        <v>10090082264</v>
      </c>
      <c r="E1622" s="93" t="s">
        <v>788</v>
      </c>
      <c r="F1622" s="8" t="s">
        <v>72</v>
      </c>
      <c r="G1622" s="35"/>
    </row>
    <row r="1623" spans="2:7">
      <c r="B1623" s="96">
        <v>818</v>
      </c>
      <c r="C1623" s="92" t="s">
        <v>789</v>
      </c>
      <c r="D1623" s="93">
        <v>10061991973</v>
      </c>
      <c r="E1623" s="93" t="s">
        <v>429</v>
      </c>
      <c r="F1623" s="8" t="s">
        <v>72</v>
      </c>
      <c r="G1623" s="35"/>
    </row>
    <row r="1624" spans="2:7">
      <c r="B1624" s="96">
        <v>819</v>
      </c>
      <c r="C1624" s="92" t="s">
        <v>790</v>
      </c>
      <c r="D1624" s="93">
        <v>10089829761</v>
      </c>
      <c r="E1624" s="93" t="s">
        <v>429</v>
      </c>
      <c r="F1624" s="8" t="s">
        <v>72</v>
      </c>
      <c r="G1624" s="35"/>
    </row>
    <row r="1625" spans="2:7">
      <c r="B1625" s="96">
        <v>820</v>
      </c>
      <c r="C1625" s="92" t="s">
        <v>791</v>
      </c>
      <c r="D1625" s="93">
        <v>10094103118</v>
      </c>
      <c r="E1625" s="93" t="s">
        <v>792</v>
      </c>
      <c r="F1625" s="8" t="s">
        <v>72</v>
      </c>
      <c r="G1625" s="35"/>
    </row>
    <row r="1626" spans="2:7">
      <c r="B1626" s="96">
        <v>821</v>
      </c>
      <c r="C1626" s="92" t="s">
        <v>793</v>
      </c>
      <c r="D1626" s="93">
        <v>10130945435</v>
      </c>
      <c r="E1626" s="93" t="s">
        <v>794</v>
      </c>
      <c r="F1626" s="8" t="s">
        <v>72</v>
      </c>
      <c r="G1626" s="35"/>
    </row>
    <row r="1627" spans="2:7">
      <c r="B1627" s="96"/>
      <c r="C1627" s="93"/>
      <c r="D1627" s="93"/>
      <c r="E1627" s="92"/>
      <c r="F1627" s="8"/>
      <c r="G1627" s="35"/>
    </row>
    <row r="1628" spans="2:7">
      <c r="B1628" s="96"/>
      <c r="C1628" s="97"/>
      <c r="D1628" s="98"/>
      <c r="E1628" s="98"/>
      <c r="F1628" s="8"/>
      <c r="G1628" s="35"/>
    </row>
    <row r="1629" spans="2:7">
      <c r="B1629" s="7"/>
      <c r="C1629" s="8"/>
      <c r="D1629" s="17"/>
      <c r="E1629" s="17"/>
      <c r="F1629" s="8"/>
      <c r="G1629" s="35"/>
    </row>
    <row r="1630" spans="2:7">
      <c r="B1630" s="22">
        <v>851</v>
      </c>
      <c r="C1630" s="92" t="s">
        <v>795</v>
      </c>
      <c r="D1630" s="93">
        <v>10060932451</v>
      </c>
      <c r="E1630" s="93" t="s">
        <v>116</v>
      </c>
      <c r="F1630" s="8" t="s">
        <v>90</v>
      </c>
      <c r="G1630" s="35"/>
    </row>
    <row r="1631" spans="2:7">
      <c r="B1631" s="22">
        <v>852</v>
      </c>
      <c r="C1631" s="92" t="s">
        <v>118</v>
      </c>
      <c r="D1631" s="93">
        <v>10007726234</v>
      </c>
      <c r="E1631" s="93" t="s">
        <v>119</v>
      </c>
      <c r="F1631" s="8" t="s">
        <v>90</v>
      </c>
      <c r="G1631" s="35"/>
    </row>
    <row r="1632" spans="2:7">
      <c r="B1632" s="22">
        <v>859</v>
      </c>
      <c r="C1632" s="92" t="s">
        <v>796</v>
      </c>
      <c r="D1632" s="93">
        <v>10051462726</v>
      </c>
      <c r="E1632" s="93" t="s">
        <v>459</v>
      </c>
      <c r="F1632" s="8" t="s">
        <v>90</v>
      </c>
      <c r="G1632" s="35"/>
    </row>
    <row r="1633" spans="2:7">
      <c r="B1633" s="22">
        <v>868</v>
      </c>
      <c r="C1633" s="92" t="s">
        <v>797</v>
      </c>
      <c r="D1633" s="93">
        <v>10074930662</v>
      </c>
      <c r="E1633" s="93" t="s">
        <v>429</v>
      </c>
      <c r="F1633" s="8" t="s">
        <v>90</v>
      </c>
      <c r="G1633" s="35"/>
    </row>
    <row r="1634" spans="2:7">
      <c r="B1634" s="22">
        <v>862</v>
      </c>
      <c r="C1634" s="92" t="s">
        <v>142</v>
      </c>
      <c r="D1634" s="93">
        <v>10120760132</v>
      </c>
      <c r="E1634" s="93" t="s">
        <v>117</v>
      </c>
      <c r="F1634" s="8" t="s">
        <v>90</v>
      </c>
      <c r="G1634" s="35"/>
    </row>
    <row r="1635" spans="2:7">
      <c r="B1635" s="22">
        <v>853</v>
      </c>
      <c r="C1635" s="92" t="s">
        <v>798</v>
      </c>
      <c r="D1635" s="93">
        <v>10122227054</v>
      </c>
      <c r="E1635" s="93" t="s">
        <v>100</v>
      </c>
      <c r="F1635" s="8" t="s">
        <v>90</v>
      </c>
      <c r="G1635" s="35"/>
    </row>
    <row r="1636" spans="2:7">
      <c r="B1636" s="22">
        <v>860</v>
      </c>
      <c r="C1636" s="92" t="s">
        <v>799</v>
      </c>
      <c r="D1636" s="93">
        <v>10061984903</v>
      </c>
      <c r="E1636" s="93" t="s">
        <v>424</v>
      </c>
      <c r="F1636" s="8" t="s">
        <v>90</v>
      </c>
      <c r="G1636" s="35"/>
    </row>
    <row r="1637" spans="2:7">
      <c r="B1637" s="22">
        <v>865</v>
      </c>
      <c r="C1637" s="92" t="s">
        <v>465</v>
      </c>
      <c r="D1637" s="93">
        <v>10138850531</v>
      </c>
      <c r="E1637" s="93" t="s">
        <v>800</v>
      </c>
      <c r="F1637" s="8" t="s">
        <v>90</v>
      </c>
      <c r="G1637" s="35"/>
    </row>
    <row r="1638" spans="2:7">
      <c r="B1638" s="22">
        <v>858</v>
      </c>
      <c r="C1638" s="92" t="s">
        <v>801</v>
      </c>
      <c r="D1638" s="93">
        <v>10172110114</v>
      </c>
      <c r="E1638" s="93" t="s">
        <v>802</v>
      </c>
      <c r="F1638" s="8" t="s">
        <v>90</v>
      </c>
      <c r="G1638" s="35"/>
    </row>
    <row r="1639" spans="2:7">
      <c r="B1639" s="22">
        <v>857</v>
      </c>
      <c r="C1639" s="92" t="s">
        <v>803</v>
      </c>
      <c r="D1639" s="93">
        <v>10101543725</v>
      </c>
      <c r="E1639" s="93" t="s">
        <v>454</v>
      </c>
      <c r="F1639" s="8" t="s">
        <v>90</v>
      </c>
      <c r="G1639" s="35"/>
    </row>
    <row r="1640" spans="2:7">
      <c r="B1640" s="22">
        <v>863</v>
      </c>
      <c r="C1640" s="92" t="s">
        <v>463</v>
      </c>
      <c r="D1640" s="93" t="s">
        <v>66</v>
      </c>
      <c r="E1640" s="93" t="s">
        <v>6</v>
      </c>
      <c r="F1640" s="8" t="s">
        <v>90</v>
      </c>
      <c r="G1640" s="35"/>
    </row>
    <row r="1641" spans="2:7">
      <c r="B1641" s="22">
        <v>861</v>
      </c>
      <c r="C1641" s="92" t="s">
        <v>804</v>
      </c>
      <c r="D1641" s="93">
        <v>10060624980</v>
      </c>
      <c r="E1641" s="93" t="s">
        <v>805</v>
      </c>
      <c r="F1641" s="8" t="s">
        <v>90</v>
      </c>
      <c r="G1641" s="35"/>
    </row>
    <row r="1642" spans="2:7">
      <c r="B1642" s="22">
        <v>864</v>
      </c>
      <c r="C1642" s="92" t="s">
        <v>464</v>
      </c>
      <c r="D1642" s="93">
        <v>10126882448</v>
      </c>
      <c r="E1642" s="93" t="s">
        <v>69</v>
      </c>
      <c r="F1642" s="8" t="s">
        <v>90</v>
      </c>
      <c r="G1642" s="35"/>
    </row>
    <row r="1643" spans="2:7">
      <c r="B1643" s="22"/>
      <c r="C1643" s="92"/>
      <c r="D1643" s="93"/>
      <c r="E1643" s="93"/>
      <c r="F1643" s="8" t="s">
        <v>90</v>
      </c>
      <c r="G1643" s="35"/>
    </row>
    <row r="1644" spans="2:7">
      <c r="B1644" s="22"/>
      <c r="C1644" s="92"/>
      <c r="D1644" s="93"/>
      <c r="E1644" s="93"/>
      <c r="F1644" s="8" t="s">
        <v>90</v>
      </c>
      <c r="G1644" s="35"/>
    </row>
    <row r="1645" spans="2:7">
      <c r="B1645" s="22"/>
      <c r="C1645" s="92"/>
      <c r="D1645" s="93"/>
      <c r="E1645" s="93"/>
      <c r="F1645" s="8" t="s">
        <v>90</v>
      </c>
      <c r="G1645" s="35"/>
    </row>
    <row r="1646" spans="2:7">
      <c r="B1646" s="22"/>
      <c r="C1646" s="92"/>
      <c r="D1646" s="93"/>
      <c r="E1646" s="93"/>
      <c r="F1646" s="8" t="s">
        <v>90</v>
      </c>
      <c r="G1646" s="35"/>
    </row>
    <row r="1647" spans="2:7">
      <c r="B1647" s="22"/>
      <c r="C1647" s="92"/>
      <c r="D1647" s="93"/>
      <c r="E1647" s="93"/>
      <c r="F1647" s="8" t="s">
        <v>90</v>
      </c>
      <c r="G1647" s="35"/>
    </row>
    <row r="1648" spans="2:7">
      <c r="B1648" s="22"/>
      <c r="C1648" s="92"/>
      <c r="D1648" s="93"/>
      <c r="E1648" s="93"/>
      <c r="F1648" s="8" t="s">
        <v>90</v>
      </c>
      <c r="G1648" s="35"/>
    </row>
    <row r="1649" spans="2:7" ht="15.75">
      <c r="B1649" s="48"/>
      <c r="C1649" s="8"/>
      <c r="D1649" s="2"/>
      <c r="E1649" s="17"/>
      <c r="F1649" s="8"/>
      <c r="G1649" s="35"/>
    </row>
    <row r="1650" spans="2:7">
      <c r="B1650" s="96">
        <v>906</v>
      </c>
      <c r="C1650" s="92" t="s">
        <v>476</v>
      </c>
      <c r="D1650" s="22">
        <v>10054780328</v>
      </c>
      <c r="E1650" s="93" t="s">
        <v>100</v>
      </c>
      <c r="F1650" s="8" t="s">
        <v>91</v>
      </c>
      <c r="G1650" s="35"/>
    </row>
    <row r="1651" spans="2:7">
      <c r="B1651" s="96">
        <v>911</v>
      </c>
      <c r="C1651" s="97" t="s">
        <v>806</v>
      </c>
      <c r="D1651" s="99">
        <v>10052413629</v>
      </c>
      <c r="E1651" s="98" t="s">
        <v>145</v>
      </c>
      <c r="F1651" s="8" t="s">
        <v>91</v>
      </c>
      <c r="G1651" s="35"/>
    </row>
    <row r="1652" spans="2:7">
      <c r="B1652" s="96">
        <v>908</v>
      </c>
      <c r="C1652" s="92" t="s">
        <v>807</v>
      </c>
      <c r="D1652" s="22">
        <v>10101986891</v>
      </c>
      <c r="E1652" s="93" t="s">
        <v>808</v>
      </c>
      <c r="F1652" s="8" t="s">
        <v>91</v>
      </c>
      <c r="G1652" s="35"/>
    </row>
    <row r="1653" spans="2:7">
      <c r="B1653" s="96">
        <v>904</v>
      </c>
      <c r="C1653" s="92" t="s">
        <v>146</v>
      </c>
      <c r="D1653" s="22">
        <v>10052228218</v>
      </c>
      <c r="E1653" s="92" t="s">
        <v>100</v>
      </c>
      <c r="F1653" s="8" t="s">
        <v>91</v>
      </c>
      <c r="G1653" s="35"/>
    </row>
    <row r="1654" spans="2:7">
      <c r="B1654" s="96">
        <v>903</v>
      </c>
      <c r="C1654" s="92" t="s">
        <v>73</v>
      </c>
      <c r="D1654" s="22">
        <v>10061997734</v>
      </c>
      <c r="E1654" s="93" t="s">
        <v>69</v>
      </c>
      <c r="F1654" s="8" t="s">
        <v>91</v>
      </c>
      <c r="G1654" s="35"/>
    </row>
    <row r="1655" spans="2:7">
      <c r="B1655" s="96">
        <v>909</v>
      </c>
      <c r="C1655" s="92" t="s">
        <v>809</v>
      </c>
      <c r="D1655" s="22" t="s">
        <v>66</v>
      </c>
      <c r="E1655" s="93" t="s">
        <v>480</v>
      </c>
      <c r="F1655" s="8" t="s">
        <v>91</v>
      </c>
      <c r="G1655" s="35"/>
    </row>
    <row r="1656" spans="2:7">
      <c r="B1656" s="96">
        <v>905</v>
      </c>
      <c r="C1656" s="92" t="s">
        <v>474</v>
      </c>
      <c r="D1656" s="22">
        <v>10061855668</v>
      </c>
      <c r="E1656" s="93" t="s">
        <v>810</v>
      </c>
      <c r="F1656" s="8" t="s">
        <v>91</v>
      </c>
      <c r="G1656" s="35"/>
    </row>
    <row r="1657" spans="2:7">
      <c r="B1657" s="96">
        <v>913</v>
      </c>
      <c r="C1657" s="92" t="s">
        <v>811</v>
      </c>
      <c r="D1657" s="22">
        <v>10172012306</v>
      </c>
      <c r="E1657" s="92" t="s">
        <v>487</v>
      </c>
      <c r="F1657" s="8" t="s">
        <v>91</v>
      </c>
      <c r="G1657" s="35"/>
    </row>
    <row r="1658" spans="2:7">
      <c r="B1658" s="96">
        <v>907</v>
      </c>
      <c r="C1658" s="92" t="s">
        <v>812</v>
      </c>
      <c r="D1658" s="22">
        <v>10075039079</v>
      </c>
      <c r="E1658" s="93" t="s">
        <v>813</v>
      </c>
      <c r="F1658" s="8" t="s">
        <v>91</v>
      </c>
      <c r="G1658" s="35"/>
    </row>
    <row r="1659" spans="2:7">
      <c r="B1659" s="96">
        <v>916</v>
      </c>
      <c r="C1659" s="92" t="s">
        <v>814</v>
      </c>
      <c r="D1659" s="22" t="s">
        <v>66</v>
      </c>
      <c r="E1659" s="93" t="s">
        <v>815</v>
      </c>
      <c r="F1659" s="8" t="s">
        <v>91</v>
      </c>
      <c r="G1659" s="35"/>
    </row>
    <row r="1660" spans="2:7">
      <c r="B1660" s="96">
        <v>917</v>
      </c>
      <c r="C1660" s="92" t="s">
        <v>816</v>
      </c>
      <c r="D1660" s="22">
        <v>10115730983</v>
      </c>
      <c r="E1660" s="93" t="s">
        <v>817</v>
      </c>
      <c r="F1660" s="8" t="s">
        <v>91</v>
      </c>
      <c r="G1660" s="35"/>
    </row>
    <row r="1661" spans="2:7">
      <c r="B1661" s="96">
        <v>918</v>
      </c>
      <c r="C1661" s="92" t="s">
        <v>818</v>
      </c>
      <c r="D1661" s="22">
        <v>10114832321</v>
      </c>
      <c r="E1661" s="93" t="s">
        <v>70</v>
      </c>
      <c r="F1661" s="8" t="s">
        <v>91</v>
      </c>
      <c r="G1661" s="35"/>
    </row>
    <row r="1662" spans="2:7">
      <c r="B1662" s="96">
        <v>919</v>
      </c>
      <c r="C1662" s="92" t="s">
        <v>819</v>
      </c>
      <c r="D1662" s="22">
        <v>10124529590</v>
      </c>
      <c r="E1662" s="93" t="s">
        <v>820</v>
      </c>
      <c r="F1662" s="8" t="s">
        <v>91</v>
      </c>
      <c r="G1662" s="35"/>
    </row>
    <row r="1663" spans="2:7">
      <c r="B1663" s="96"/>
      <c r="C1663" s="92"/>
      <c r="D1663" s="22"/>
      <c r="E1663" s="93"/>
      <c r="F1663" s="8" t="s">
        <v>91</v>
      </c>
      <c r="G1663" s="35"/>
    </row>
    <row r="1664" spans="2:7">
      <c r="B1664" s="96"/>
      <c r="C1664" s="92"/>
      <c r="D1664" s="22"/>
      <c r="E1664" s="93"/>
      <c r="F1664" s="8" t="s">
        <v>91</v>
      </c>
      <c r="G1664" s="35"/>
    </row>
    <row r="1665" spans="2:7">
      <c r="B1665" s="7"/>
      <c r="C1665" s="8"/>
      <c r="D1665" s="17"/>
      <c r="E1665" s="17"/>
      <c r="F1665" s="8" t="s">
        <v>91</v>
      </c>
      <c r="G1665" s="35"/>
    </row>
    <row r="1666" spans="2:7">
      <c r="B1666" s="41"/>
      <c r="C1666" s="8"/>
      <c r="D1666" s="17"/>
      <c r="F1666" s="8" t="s">
        <v>91</v>
      </c>
      <c r="G1666" s="35"/>
    </row>
    <row r="1667" spans="2:7">
      <c r="B1667" s="41"/>
      <c r="C1667" s="54"/>
      <c r="D1667" s="17"/>
      <c r="F1667" s="17"/>
      <c r="G1667" s="35"/>
    </row>
    <row r="1668" spans="2:7" ht="15.75">
      <c r="B1668" s="21"/>
      <c r="C1668" s="8"/>
      <c r="D1668" s="17"/>
      <c r="E1668" s="17"/>
      <c r="F1668" s="17"/>
      <c r="G1668" s="35"/>
    </row>
    <row r="1669" spans="2:7">
      <c r="B1669" s="22">
        <v>932</v>
      </c>
      <c r="C1669" s="92" t="s">
        <v>821</v>
      </c>
      <c r="D1669" s="93">
        <v>10121261300</v>
      </c>
      <c r="E1669" s="93" t="s">
        <v>822</v>
      </c>
      <c r="F1669" s="8" t="s">
        <v>160</v>
      </c>
      <c r="G1669" s="35"/>
    </row>
    <row r="1670" spans="2:7">
      <c r="B1670" s="22">
        <v>931</v>
      </c>
      <c r="C1670" s="93" t="s">
        <v>823</v>
      </c>
      <c r="D1670" s="93">
        <v>10115008234</v>
      </c>
      <c r="E1670" s="92" t="s">
        <v>824</v>
      </c>
      <c r="F1670" s="8" t="s">
        <v>160</v>
      </c>
      <c r="G1670" s="35"/>
    </row>
    <row r="1671" spans="2:7">
      <c r="B1671" s="22">
        <v>935</v>
      </c>
      <c r="C1671" s="92" t="s">
        <v>825</v>
      </c>
      <c r="D1671" s="93">
        <v>10083854965</v>
      </c>
      <c r="E1671" s="93" t="s">
        <v>792</v>
      </c>
      <c r="F1671" s="8" t="s">
        <v>160</v>
      </c>
      <c r="G1671" s="35"/>
    </row>
    <row r="1672" spans="2:7">
      <c r="B1672" s="22"/>
      <c r="C1672" s="93"/>
      <c r="D1672" s="93"/>
      <c r="E1672" s="93"/>
      <c r="F1672" s="8" t="s">
        <v>160</v>
      </c>
      <c r="G1672" s="35"/>
    </row>
    <row r="1673" spans="2:7">
      <c r="B1673" s="41"/>
      <c r="C1673" s="54"/>
      <c r="D1673" s="17"/>
      <c r="F1673" s="17"/>
      <c r="G1673" s="35"/>
    </row>
    <row r="1674" spans="2:7">
      <c r="B1674" s="22">
        <v>951</v>
      </c>
      <c r="C1674" s="93" t="s">
        <v>826</v>
      </c>
      <c r="D1674" s="93">
        <v>10101986689</v>
      </c>
      <c r="E1674" s="93" t="s">
        <v>827</v>
      </c>
      <c r="F1674" s="8" t="s">
        <v>161</v>
      </c>
      <c r="G1674" s="35"/>
    </row>
    <row r="1675" spans="2:7">
      <c r="B1675" s="3">
        <v>953</v>
      </c>
      <c r="C1675" s="93" t="s">
        <v>828</v>
      </c>
      <c r="D1675" s="93">
        <v>10138846992</v>
      </c>
      <c r="E1675" s="92" t="s">
        <v>829</v>
      </c>
      <c r="F1675" s="8" t="s">
        <v>161</v>
      </c>
      <c r="G1675" s="35"/>
    </row>
    <row r="1676" spans="2:7">
      <c r="B1676" s="3">
        <v>954</v>
      </c>
      <c r="C1676" s="93" t="s">
        <v>830</v>
      </c>
      <c r="D1676" s="93">
        <v>10061761496</v>
      </c>
      <c r="E1676" s="92" t="s">
        <v>134</v>
      </c>
      <c r="F1676" s="8" t="s">
        <v>161</v>
      </c>
      <c r="G1676" s="35"/>
    </row>
    <row r="1677" spans="2:7">
      <c r="B1677" s="3">
        <v>955</v>
      </c>
      <c r="C1677" s="93" t="s">
        <v>831</v>
      </c>
      <c r="D1677" s="93">
        <v>1015</v>
      </c>
      <c r="E1677" s="92" t="s">
        <v>695</v>
      </c>
      <c r="F1677" s="8" t="s">
        <v>161</v>
      </c>
      <c r="G1677" s="35"/>
    </row>
    <row r="1678" spans="2:7">
      <c r="B1678" s="3"/>
      <c r="C1678" s="93"/>
      <c r="D1678" s="93"/>
      <c r="E1678" s="92"/>
      <c r="F1678" s="8"/>
      <c r="G1678" s="35"/>
    </row>
    <row r="1679" spans="2:7">
      <c r="B1679" s="22">
        <v>614</v>
      </c>
      <c r="C1679" s="92" t="s">
        <v>157</v>
      </c>
      <c r="D1679" s="93">
        <v>10153041631</v>
      </c>
      <c r="E1679" s="93" t="s">
        <v>832</v>
      </c>
      <c r="F1679" s="8" t="s">
        <v>60</v>
      </c>
      <c r="G1679" s="35"/>
    </row>
    <row r="1680" spans="2:7">
      <c r="B1680" s="22">
        <v>609</v>
      </c>
      <c r="C1680" s="92" t="s">
        <v>833</v>
      </c>
      <c r="D1680" s="93">
        <v>10063635620</v>
      </c>
      <c r="E1680" s="93" t="s">
        <v>834</v>
      </c>
      <c r="F1680" s="8" t="s">
        <v>60</v>
      </c>
      <c r="G1680" s="35"/>
    </row>
    <row r="1681" spans="2:7">
      <c r="B1681" s="22">
        <v>603</v>
      </c>
      <c r="C1681" s="93" t="s">
        <v>835</v>
      </c>
      <c r="D1681" s="93">
        <v>10164876237</v>
      </c>
      <c r="E1681" s="92" t="s">
        <v>836</v>
      </c>
      <c r="F1681" s="8" t="s">
        <v>60</v>
      </c>
      <c r="G1681" s="35"/>
    </row>
    <row r="1682" spans="2:7">
      <c r="B1682" s="22">
        <v>608</v>
      </c>
      <c r="C1682" s="92" t="s">
        <v>511</v>
      </c>
      <c r="D1682" s="93" t="s">
        <v>66</v>
      </c>
      <c r="E1682" s="93" t="s">
        <v>512</v>
      </c>
      <c r="F1682" s="8" t="s">
        <v>60</v>
      </c>
      <c r="G1682" s="35"/>
    </row>
    <row r="1683" spans="2:7">
      <c r="B1683" s="22">
        <v>610</v>
      </c>
      <c r="C1683" s="92" t="s">
        <v>515</v>
      </c>
      <c r="D1683" s="93" t="s">
        <v>66</v>
      </c>
      <c r="E1683" s="93" t="s">
        <v>516</v>
      </c>
      <c r="F1683" s="8" t="s">
        <v>60</v>
      </c>
      <c r="G1683" s="35"/>
    </row>
    <row r="1684" spans="2:7">
      <c r="B1684" s="22">
        <v>606</v>
      </c>
      <c r="C1684" s="92" t="s">
        <v>837</v>
      </c>
      <c r="D1684" s="93" t="s">
        <v>66</v>
      </c>
      <c r="E1684" s="92" t="s">
        <v>838</v>
      </c>
      <c r="F1684" s="8" t="s">
        <v>60</v>
      </c>
      <c r="G1684" s="35"/>
    </row>
    <row r="1685" spans="2:7">
      <c r="B1685" s="22">
        <v>602</v>
      </c>
      <c r="C1685" s="92" t="s">
        <v>839</v>
      </c>
      <c r="D1685" s="93" t="s">
        <v>66</v>
      </c>
      <c r="E1685" s="93" t="s">
        <v>501</v>
      </c>
      <c r="F1685" s="8" t="s">
        <v>60</v>
      </c>
      <c r="G1685" s="35"/>
    </row>
    <row r="1686" spans="2:7">
      <c r="B1686" s="22">
        <v>611</v>
      </c>
      <c r="C1686" s="92" t="s">
        <v>840</v>
      </c>
      <c r="D1686" s="93" t="s">
        <v>66</v>
      </c>
      <c r="E1686" s="93" t="s">
        <v>376</v>
      </c>
      <c r="F1686" s="8" t="s">
        <v>60</v>
      </c>
      <c r="G1686" s="35"/>
    </row>
    <row r="1687" spans="2:7">
      <c r="B1687" s="22">
        <v>622</v>
      </c>
      <c r="C1687" s="92" t="s">
        <v>402</v>
      </c>
      <c r="D1687" s="93" t="s">
        <v>66</v>
      </c>
      <c r="E1687" s="93" t="s">
        <v>841</v>
      </c>
      <c r="F1687" s="8" t="s">
        <v>60</v>
      </c>
      <c r="G1687" s="35"/>
    </row>
    <row r="1688" spans="2:7">
      <c r="B1688" s="107">
        <v>623</v>
      </c>
      <c r="C1688" s="92" t="s">
        <v>582</v>
      </c>
      <c r="D1688" s="93">
        <v>10082024901</v>
      </c>
      <c r="E1688" s="92" t="s">
        <v>583</v>
      </c>
      <c r="F1688" s="8" t="s">
        <v>60</v>
      </c>
      <c r="G1688" s="35"/>
    </row>
    <row r="1689" spans="2:7">
      <c r="B1689" s="22">
        <v>624</v>
      </c>
      <c r="C1689" s="92" t="s">
        <v>842</v>
      </c>
      <c r="D1689" s="93" t="s">
        <v>66</v>
      </c>
      <c r="E1689" s="93" t="s">
        <v>843</v>
      </c>
      <c r="F1689" s="8" t="s">
        <v>60</v>
      </c>
      <c r="G1689" s="35"/>
    </row>
    <row r="1690" spans="2:7">
      <c r="B1690" s="22">
        <v>625</v>
      </c>
      <c r="C1690" s="92" t="s">
        <v>533</v>
      </c>
      <c r="D1690" s="93">
        <v>10172016144</v>
      </c>
      <c r="E1690" s="93" t="s">
        <v>120</v>
      </c>
      <c r="F1690" s="8" t="s">
        <v>60</v>
      </c>
      <c r="G1690" s="35"/>
    </row>
    <row r="1691" spans="2:7">
      <c r="B1691" s="22">
        <v>626</v>
      </c>
      <c r="C1691" s="92" t="s">
        <v>779</v>
      </c>
      <c r="D1691" s="93" t="s">
        <v>66</v>
      </c>
      <c r="E1691" s="93" t="s">
        <v>6</v>
      </c>
      <c r="F1691" s="8" t="s">
        <v>60</v>
      </c>
      <c r="G1691" s="35"/>
    </row>
    <row r="1692" spans="2:7">
      <c r="B1692" s="22"/>
      <c r="C1692" s="93"/>
      <c r="D1692" s="93"/>
      <c r="E1692" s="92"/>
      <c r="F1692" s="8" t="s">
        <v>60</v>
      </c>
      <c r="G1692" s="35"/>
    </row>
    <row r="1693" spans="2:7">
      <c r="B1693" s="22"/>
      <c r="C1693" s="93"/>
      <c r="D1693" s="93"/>
      <c r="E1693" s="92"/>
      <c r="F1693" s="8" t="s">
        <v>60</v>
      </c>
      <c r="G1693" s="35"/>
    </row>
    <row r="1694" spans="2:7">
      <c r="B1694" s="22"/>
      <c r="C1694" s="92"/>
      <c r="D1694" s="93"/>
      <c r="E1694" s="93"/>
      <c r="F1694" s="8" t="s">
        <v>60</v>
      </c>
      <c r="G1694" s="35"/>
    </row>
    <row r="1695" spans="2:7">
      <c r="B1695" s="22"/>
      <c r="C1695" s="92"/>
      <c r="D1695" s="93"/>
      <c r="E1695" s="93"/>
      <c r="F1695" s="8" t="s">
        <v>60</v>
      </c>
      <c r="G1695" s="35"/>
    </row>
    <row r="1696" spans="2:7">
      <c r="B1696" s="22"/>
      <c r="C1696" s="92"/>
      <c r="D1696" s="93"/>
      <c r="E1696" s="93"/>
      <c r="F1696" s="8" t="s">
        <v>60</v>
      </c>
      <c r="G1696" s="35"/>
    </row>
    <row r="1697" spans="2:7">
      <c r="B1697" s="22"/>
      <c r="C1697" s="92"/>
      <c r="D1697" s="93"/>
      <c r="E1697" s="93"/>
      <c r="F1697" s="8" t="s">
        <v>60</v>
      </c>
      <c r="G1697" s="35"/>
    </row>
    <row r="1698" spans="2:7">
      <c r="B1698" s="22"/>
      <c r="C1698" s="92"/>
      <c r="D1698" s="93"/>
      <c r="E1698" s="93"/>
      <c r="F1698" s="8" t="s">
        <v>60</v>
      </c>
      <c r="G1698" s="35"/>
    </row>
    <row r="1699" spans="2:7">
      <c r="B1699" s="7"/>
      <c r="C1699" s="8"/>
      <c r="D1699" s="17"/>
      <c r="E1699" s="17"/>
      <c r="F1699" s="17"/>
      <c r="G1699" s="35"/>
    </row>
    <row r="1700" spans="2:7">
      <c r="B1700" s="7"/>
      <c r="C1700" s="8"/>
      <c r="D1700" s="17"/>
      <c r="E1700" s="17"/>
      <c r="F1700" s="17"/>
      <c r="G1700" s="35"/>
    </row>
    <row r="1701" spans="2:7">
      <c r="B1701" s="22">
        <v>671</v>
      </c>
      <c r="C1701" s="92" t="s">
        <v>844</v>
      </c>
      <c r="D1701" s="93">
        <v>10136876074</v>
      </c>
      <c r="E1701" s="92" t="s">
        <v>394</v>
      </c>
      <c r="F1701" s="8" t="s">
        <v>92</v>
      </c>
      <c r="G1701" s="35"/>
    </row>
    <row r="1702" spans="2:7">
      <c r="B1702" s="22">
        <v>672</v>
      </c>
      <c r="C1702" s="92" t="s">
        <v>845</v>
      </c>
      <c r="D1702" s="93" t="s">
        <v>66</v>
      </c>
      <c r="E1702" s="92" t="s">
        <v>70</v>
      </c>
      <c r="F1702" s="8" t="s">
        <v>92</v>
      </c>
      <c r="G1702" s="35"/>
    </row>
    <row r="1703" spans="2:7">
      <c r="B1703" s="41"/>
      <c r="C1703" s="8"/>
      <c r="D1703" s="17"/>
      <c r="E1703" s="17"/>
      <c r="F1703" s="8"/>
      <c r="G1703" s="35"/>
    </row>
    <row r="1704" spans="2:7">
      <c r="B1704" s="22">
        <v>980</v>
      </c>
      <c r="C1704" s="92" t="s">
        <v>846</v>
      </c>
      <c r="D1704" s="93">
        <v>10172985235</v>
      </c>
      <c r="E1704" s="93" t="s">
        <v>303</v>
      </c>
      <c r="F1704" s="8" t="s">
        <v>162</v>
      </c>
      <c r="G1704" s="35"/>
    </row>
    <row r="1705" spans="2:7">
      <c r="B1705" s="22">
        <v>981</v>
      </c>
      <c r="C1705" s="92" t="s">
        <v>847</v>
      </c>
      <c r="D1705" s="93" t="s">
        <v>66</v>
      </c>
      <c r="E1705" s="93" t="s">
        <v>848</v>
      </c>
      <c r="F1705" s="8" t="s">
        <v>162</v>
      </c>
      <c r="G1705" s="35"/>
    </row>
    <row r="1706" spans="2:7">
      <c r="B1706" s="22">
        <v>982</v>
      </c>
      <c r="C1706" s="92" t="s">
        <v>849</v>
      </c>
      <c r="D1706" s="93">
        <v>10050347327</v>
      </c>
      <c r="E1706" s="92" t="s">
        <v>850</v>
      </c>
      <c r="F1706" s="8" t="s">
        <v>162</v>
      </c>
      <c r="G1706" s="35"/>
    </row>
    <row r="1707" spans="2:7">
      <c r="B1707" s="22"/>
      <c r="C1707" s="92"/>
      <c r="D1707" s="93"/>
      <c r="E1707" s="93"/>
      <c r="F1707" s="8" t="s">
        <v>162</v>
      </c>
      <c r="G1707" s="35"/>
    </row>
    <row r="1708" spans="2:7">
      <c r="B1708" s="8"/>
      <c r="C1708" s="8"/>
      <c r="D1708" s="54"/>
      <c r="E1708" s="8"/>
      <c r="F1708" s="8" t="s">
        <v>162</v>
      </c>
      <c r="G1708" s="35"/>
    </row>
    <row r="1709" spans="2:7">
      <c r="B1709" s="8"/>
      <c r="C1709" s="8"/>
      <c r="D1709" s="54"/>
      <c r="E1709" s="8"/>
      <c r="F1709" s="8" t="s">
        <v>162</v>
      </c>
      <c r="G1709" s="35"/>
    </row>
    <row r="1710" spans="2:7">
      <c r="B1710" s="8"/>
      <c r="C1710" s="8"/>
      <c r="D1710" s="54"/>
      <c r="E1710" s="8"/>
      <c r="F1710" s="8" t="s">
        <v>162</v>
      </c>
      <c r="G1710" s="35"/>
    </row>
    <row r="1711" spans="2:7">
      <c r="B1711" s="8"/>
      <c r="C1711" s="8"/>
      <c r="D1711" s="54"/>
      <c r="E1711" s="8"/>
      <c r="F1711" s="8" t="s">
        <v>162</v>
      </c>
      <c r="G1711" s="35"/>
    </row>
    <row r="1712" spans="2:7">
      <c r="B1712" s="8"/>
      <c r="C1712" s="8"/>
      <c r="D1712" s="54"/>
      <c r="E1712" s="8"/>
      <c r="F1712" s="8" t="s">
        <v>162</v>
      </c>
      <c r="G1712" s="35"/>
    </row>
    <row r="1713" spans="2:7">
      <c r="B1713" s="8"/>
      <c r="C1713" s="8"/>
      <c r="D1713" s="54"/>
      <c r="E1713" s="8"/>
      <c r="F1713" s="8" t="s">
        <v>162</v>
      </c>
      <c r="G1713" s="35"/>
    </row>
    <row r="1714" spans="2:7">
      <c r="B1714" s="8"/>
      <c r="C1714" s="8"/>
      <c r="D1714" s="54"/>
      <c r="E1714" s="8"/>
      <c r="F1714" s="8" t="s">
        <v>162</v>
      </c>
      <c r="G1714" s="35"/>
    </row>
    <row r="1715" spans="2:7">
      <c r="B1715" s="8"/>
      <c r="C1715" s="8"/>
      <c r="D1715" s="54"/>
      <c r="E1715" s="8"/>
      <c r="F1715" s="8" t="s">
        <v>162</v>
      </c>
      <c r="G1715" s="35"/>
    </row>
    <row r="1716" spans="2:7">
      <c r="B1716" s="8"/>
      <c r="C1716" s="8"/>
      <c r="D1716" s="54"/>
      <c r="E1716" s="8"/>
      <c r="F1716" s="8" t="s">
        <v>162</v>
      </c>
      <c r="G1716" s="35"/>
    </row>
    <row r="1717" spans="2:7">
      <c r="B1717" s="8"/>
      <c r="C1717" s="8"/>
      <c r="D1717" s="54"/>
      <c r="E1717" s="8"/>
      <c r="F1717" s="8" t="s">
        <v>162</v>
      </c>
      <c r="G1717" s="35"/>
    </row>
    <row r="1718" spans="2:7">
      <c r="B1718" s="8"/>
      <c r="C1718" s="8"/>
      <c r="D1718" s="54"/>
      <c r="E1718" s="8"/>
      <c r="F1718" s="8" t="s">
        <v>162</v>
      </c>
      <c r="G1718" s="35"/>
    </row>
    <row r="1719" spans="2:7">
      <c r="B1719" s="8"/>
      <c r="C1719" s="8"/>
      <c r="D1719" s="54"/>
      <c r="E1719" s="8"/>
      <c r="F1719" s="8"/>
      <c r="G1719" s="35"/>
    </row>
    <row r="1720" spans="2:7">
      <c r="B1720" s="22">
        <v>962</v>
      </c>
      <c r="C1720" s="92" t="s">
        <v>851</v>
      </c>
      <c r="D1720" s="93">
        <v>10136994700</v>
      </c>
      <c r="E1720" s="93" t="s">
        <v>111</v>
      </c>
      <c r="F1720" s="8" t="s">
        <v>102</v>
      </c>
      <c r="G1720" s="35"/>
    </row>
    <row r="1721" spans="2:7">
      <c r="B1721" s="22">
        <v>961</v>
      </c>
      <c r="C1721" s="92" t="s">
        <v>540</v>
      </c>
      <c r="D1721" s="93">
        <v>10129943002</v>
      </c>
      <c r="E1721" s="93" t="s">
        <v>111</v>
      </c>
      <c r="F1721" s="8" t="s">
        <v>102</v>
      </c>
      <c r="G1721" s="35"/>
    </row>
    <row r="1722" spans="2:7">
      <c r="B1722" s="22">
        <v>963</v>
      </c>
      <c r="C1722" s="92" t="s">
        <v>806</v>
      </c>
      <c r="D1722" s="93">
        <v>10052413629</v>
      </c>
      <c r="E1722" s="93" t="s">
        <v>145</v>
      </c>
      <c r="F1722" s="8" t="s">
        <v>102</v>
      </c>
      <c r="G1722" s="35"/>
    </row>
    <row r="1723" spans="2:7">
      <c r="B1723" s="22">
        <v>964</v>
      </c>
      <c r="C1723" s="92" t="s">
        <v>852</v>
      </c>
      <c r="D1723" s="93">
        <v>10061982172</v>
      </c>
      <c r="E1723" s="93" t="s">
        <v>449</v>
      </c>
      <c r="F1723" s="8" t="s">
        <v>102</v>
      </c>
      <c r="G1723" s="35"/>
    </row>
    <row r="1724" spans="2:7">
      <c r="B1724" s="8"/>
      <c r="C1724" s="8"/>
      <c r="D1724" s="54"/>
      <c r="E1724" s="8"/>
      <c r="F1724" s="8" t="s">
        <v>102</v>
      </c>
      <c r="G1724" s="35"/>
    </row>
    <row r="1725" spans="2:7">
      <c r="B1725" s="8"/>
      <c r="C1725" s="8"/>
      <c r="D1725" s="54"/>
      <c r="E1725" s="8"/>
      <c r="F1725" s="17"/>
      <c r="G1725" s="35"/>
    </row>
    <row r="1726" spans="2:7">
      <c r="B1726" s="8"/>
      <c r="C1726" s="8"/>
      <c r="D1726" s="54"/>
      <c r="E1726" s="8"/>
      <c r="F1726" s="17"/>
      <c r="G1726" s="35"/>
    </row>
    <row r="1727" spans="2:7">
      <c r="B1727" s="8"/>
      <c r="C1727" s="8"/>
      <c r="D1727" s="54"/>
      <c r="E1727" s="8"/>
      <c r="F1727" s="8" t="s">
        <v>853</v>
      </c>
      <c r="G1727" s="35"/>
    </row>
    <row r="1728" spans="2:7">
      <c r="B1728" s="8"/>
      <c r="C1728" s="8"/>
      <c r="D1728" s="54"/>
      <c r="E1728" s="8"/>
      <c r="F1728" s="17"/>
      <c r="G1728" s="35"/>
    </row>
    <row r="1729" spans="2:7">
      <c r="B1729" s="8"/>
      <c r="C1729" s="8"/>
      <c r="D1729" s="54"/>
      <c r="E1729" s="8"/>
      <c r="F1729" s="17"/>
      <c r="G1729" s="35"/>
    </row>
    <row r="1730" spans="2:7">
      <c r="B1730" s="22">
        <v>1010</v>
      </c>
      <c r="C1730" s="92" t="s">
        <v>476</v>
      </c>
      <c r="D1730" s="93">
        <v>10054780328</v>
      </c>
      <c r="E1730" s="93" t="s">
        <v>100</v>
      </c>
      <c r="F1730" s="54" t="s">
        <v>542</v>
      </c>
      <c r="G1730" s="35"/>
    </row>
    <row r="1731" spans="2:7">
      <c r="B1731" s="22">
        <v>1009</v>
      </c>
      <c r="C1731" s="92" t="s">
        <v>118</v>
      </c>
      <c r="D1731" s="93">
        <v>10007726234</v>
      </c>
      <c r="E1731" s="93" t="s">
        <v>119</v>
      </c>
      <c r="F1731" s="54" t="s">
        <v>542</v>
      </c>
      <c r="G1731" s="35"/>
    </row>
    <row r="1732" spans="2:7">
      <c r="B1732" s="22">
        <v>1011</v>
      </c>
      <c r="C1732" s="92" t="s">
        <v>547</v>
      </c>
      <c r="D1732" s="93">
        <v>10089437115</v>
      </c>
      <c r="E1732" s="93" t="s">
        <v>514</v>
      </c>
      <c r="F1732" s="54" t="s">
        <v>542</v>
      </c>
      <c r="G1732" s="35"/>
    </row>
    <row r="1733" spans="2:7">
      <c r="B1733" s="22">
        <v>1018</v>
      </c>
      <c r="C1733" s="92" t="s">
        <v>554</v>
      </c>
      <c r="D1733" s="93">
        <v>10089540377</v>
      </c>
      <c r="E1733" s="93" t="s">
        <v>555</v>
      </c>
      <c r="F1733" s="54" t="s">
        <v>542</v>
      </c>
      <c r="G1733" s="35"/>
    </row>
    <row r="1734" spans="2:7">
      <c r="B1734" s="22">
        <v>1002</v>
      </c>
      <c r="C1734" s="92" t="s">
        <v>854</v>
      </c>
      <c r="D1734" s="93">
        <v>10132574934</v>
      </c>
      <c r="E1734" s="93" t="s">
        <v>855</v>
      </c>
      <c r="F1734" s="54" t="s">
        <v>542</v>
      </c>
      <c r="G1734" s="35"/>
    </row>
    <row r="1735" spans="2:7">
      <c r="B1735" s="3">
        <v>1019</v>
      </c>
      <c r="C1735" s="92" t="s">
        <v>856</v>
      </c>
      <c r="D1735" s="93">
        <v>10082031971</v>
      </c>
      <c r="E1735" s="93" t="s">
        <v>119</v>
      </c>
      <c r="F1735" s="54" t="s">
        <v>542</v>
      </c>
      <c r="G1735" s="35"/>
    </row>
    <row r="1736" spans="2:7">
      <c r="B1736" s="3">
        <v>1020</v>
      </c>
      <c r="C1736" s="92" t="s">
        <v>857</v>
      </c>
      <c r="D1736" s="93">
        <v>10060999644</v>
      </c>
      <c r="E1736" s="92" t="s">
        <v>858</v>
      </c>
      <c r="F1736" s="54" t="s">
        <v>542</v>
      </c>
      <c r="G1736" s="35"/>
    </row>
    <row r="1737" spans="2:7">
      <c r="B1737" s="3">
        <v>1021</v>
      </c>
      <c r="C1737" s="92" t="s">
        <v>859</v>
      </c>
      <c r="D1737" s="93">
        <v>10086437185</v>
      </c>
      <c r="E1737" s="93" t="s">
        <v>860</v>
      </c>
      <c r="F1737" s="54" t="s">
        <v>542</v>
      </c>
      <c r="G1737" s="35"/>
    </row>
    <row r="1738" spans="2:7">
      <c r="B1738" s="3">
        <v>1022</v>
      </c>
      <c r="C1738" s="92" t="s">
        <v>464</v>
      </c>
      <c r="D1738" s="93">
        <v>10126882448</v>
      </c>
      <c r="E1738" s="93" t="s">
        <v>69</v>
      </c>
      <c r="F1738" s="54" t="s">
        <v>542</v>
      </c>
      <c r="G1738" s="35"/>
    </row>
    <row r="1739" spans="2:7">
      <c r="B1739" s="18"/>
      <c r="C1739" s="19"/>
      <c r="D1739" s="19"/>
      <c r="E1739" s="19"/>
      <c r="F1739" s="19"/>
      <c r="G1739" s="35"/>
    </row>
    <row r="1740" spans="2:7">
      <c r="B1740" s="18"/>
      <c r="C1740" s="19"/>
      <c r="D1740" s="19"/>
      <c r="E1740" s="19"/>
      <c r="F1740" s="19"/>
      <c r="G1740" s="35"/>
    </row>
    <row r="1741" spans="2:7">
      <c r="B1741" s="18"/>
      <c r="C1741" s="19"/>
      <c r="D1741" s="19"/>
      <c r="E1741" s="19"/>
      <c r="F1741" s="19"/>
      <c r="G1741" s="35"/>
    </row>
    <row r="1742" spans="2:7">
      <c r="B1742" s="18"/>
      <c r="C1742" s="19" t="s">
        <v>558</v>
      </c>
      <c r="D1742" s="19"/>
      <c r="E1742" s="19"/>
      <c r="F1742" s="19"/>
      <c r="G1742" s="35"/>
    </row>
    <row r="1743" spans="2:7">
      <c r="B1743" s="18"/>
      <c r="C1743" s="19"/>
      <c r="D1743" s="19"/>
      <c r="E1743" s="19"/>
      <c r="F1743" s="19"/>
      <c r="G1743" s="35"/>
    </row>
    <row r="1744" spans="2:7">
      <c r="B1744" s="3">
        <v>1</v>
      </c>
      <c r="C1744" s="92" t="s">
        <v>164</v>
      </c>
      <c r="D1744" s="93">
        <v>10009200331</v>
      </c>
      <c r="E1744" s="93" t="s">
        <v>165</v>
      </c>
      <c r="F1744" t="s">
        <v>50</v>
      </c>
    </row>
    <row r="1745" spans="2:6">
      <c r="B1745" s="3">
        <v>2</v>
      </c>
      <c r="C1745" s="92" t="s">
        <v>166</v>
      </c>
      <c r="D1745" s="93">
        <v>10092456037</v>
      </c>
      <c r="E1745" s="93" t="s">
        <v>100</v>
      </c>
      <c r="F1745" t="s">
        <v>50</v>
      </c>
    </row>
    <row r="1746" spans="2:6">
      <c r="B1746" s="3">
        <v>3</v>
      </c>
      <c r="C1746" s="92" t="s">
        <v>106</v>
      </c>
      <c r="D1746" s="93">
        <v>10105198201</v>
      </c>
      <c r="E1746" s="93" t="s">
        <v>167</v>
      </c>
      <c r="F1746" t="s">
        <v>50</v>
      </c>
    </row>
    <row r="1747" spans="2:6">
      <c r="B1747" s="3">
        <v>4</v>
      </c>
      <c r="C1747" s="92" t="s">
        <v>168</v>
      </c>
      <c r="D1747" s="93">
        <v>10076890971</v>
      </c>
      <c r="E1747" s="93" t="s">
        <v>109</v>
      </c>
      <c r="F1747" t="s">
        <v>50</v>
      </c>
    </row>
    <row r="1748" spans="2:6">
      <c r="B1748" s="3">
        <v>5</v>
      </c>
      <c r="C1748" s="92" t="s">
        <v>169</v>
      </c>
      <c r="D1748" s="93">
        <v>10075992208</v>
      </c>
      <c r="E1748" s="93" t="s">
        <v>110</v>
      </c>
      <c r="F1748" t="s">
        <v>50</v>
      </c>
    </row>
    <row r="1749" spans="2:6">
      <c r="B1749" s="3">
        <v>6</v>
      </c>
      <c r="C1749" s="92" t="s">
        <v>138</v>
      </c>
      <c r="D1749" s="93">
        <v>10051220327</v>
      </c>
      <c r="E1749" s="93" t="s">
        <v>170</v>
      </c>
      <c r="F1749" t="s">
        <v>50</v>
      </c>
    </row>
    <row r="1750" spans="2:6">
      <c r="B1750" s="3">
        <v>7</v>
      </c>
      <c r="C1750" s="92" t="s">
        <v>171</v>
      </c>
      <c r="D1750" s="93">
        <v>10140483767</v>
      </c>
      <c r="E1750" s="93" t="s">
        <v>172</v>
      </c>
      <c r="F1750" t="s">
        <v>50</v>
      </c>
    </row>
    <row r="1751" spans="2:6">
      <c r="B1751" s="3">
        <v>8</v>
      </c>
      <c r="C1751" s="93" t="s">
        <v>149</v>
      </c>
      <c r="D1751" s="93">
        <v>10112939407</v>
      </c>
      <c r="E1751" s="92" t="s">
        <v>173</v>
      </c>
      <c r="F1751" t="s">
        <v>50</v>
      </c>
    </row>
    <row r="1752" spans="2:6">
      <c r="B1752" s="3">
        <v>9</v>
      </c>
      <c r="C1752" s="93" t="s">
        <v>174</v>
      </c>
      <c r="D1752" s="93">
        <v>10131191672</v>
      </c>
      <c r="E1752" s="92" t="s">
        <v>108</v>
      </c>
      <c r="F1752" t="s">
        <v>50</v>
      </c>
    </row>
    <row r="1753" spans="2:6">
      <c r="B1753" s="3">
        <v>10</v>
      </c>
      <c r="C1753" s="92" t="s">
        <v>175</v>
      </c>
      <c r="D1753" s="93">
        <v>10103820090</v>
      </c>
      <c r="E1753" s="93" t="s">
        <v>109</v>
      </c>
      <c r="F1753" t="s">
        <v>50</v>
      </c>
    </row>
    <row r="1754" spans="2:6">
      <c r="B1754" s="3">
        <v>11</v>
      </c>
      <c r="C1754" s="92" t="s">
        <v>176</v>
      </c>
      <c r="D1754" s="93">
        <v>10121754380</v>
      </c>
      <c r="E1754" s="93" t="s">
        <v>108</v>
      </c>
      <c r="F1754" t="s">
        <v>50</v>
      </c>
    </row>
    <row r="1755" spans="2:6">
      <c r="B1755" s="3">
        <v>12</v>
      </c>
      <c r="C1755" s="92" t="s">
        <v>177</v>
      </c>
      <c r="D1755" s="93">
        <v>10101989521</v>
      </c>
      <c r="E1755" s="93" t="s">
        <v>104</v>
      </c>
      <c r="F1755" t="s">
        <v>50</v>
      </c>
    </row>
    <row r="1756" spans="2:6">
      <c r="B1756" s="3">
        <v>13</v>
      </c>
      <c r="C1756" s="92" t="s">
        <v>178</v>
      </c>
      <c r="D1756" s="93" t="s">
        <v>66</v>
      </c>
      <c r="E1756" s="93" t="s">
        <v>86</v>
      </c>
      <c r="F1756" t="s">
        <v>50</v>
      </c>
    </row>
    <row r="1757" spans="2:6">
      <c r="B1757" s="3">
        <v>14</v>
      </c>
      <c r="C1757" s="92" t="s">
        <v>179</v>
      </c>
      <c r="D1757" s="93">
        <v>10097019178</v>
      </c>
      <c r="E1757" s="93" t="s">
        <v>180</v>
      </c>
      <c r="F1757" t="s">
        <v>50</v>
      </c>
    </row>
    <row r="1758" spans="2:6">
      <c r="B1758" s="3">
        <v>15</v>
      </c>
      <c r="C1758" s="92" t="s">
        <v>181</v>
      </c>
      <c r="D1758" s="93">
        <v>10120369001</v>
      </c>
      <c r="E1758" s="93" t="s">
        <v>182</v>
      </c>
      <c r="F1758" t="s">
        <v>50</v>
      </c>
    </row>
    <row r="1759" spans="2:6">
      <c r="B1759" s="3">
        <v>16</v>
      </c>
      <c r="C1759" s="92" t="s">
        <v>183</v>
      </c>
      <c r="D1759" s="93" t="s">
        <v>66</v>
      </c>
      <c r="E1759" s="93" t="s">
        <v>184</v>
      </c>
      <c r="F1759" t="s">
        <v>50</v>
      </c>
    </row>
    <row r="1760" spans="2:6">
      <c r="B1760" s="3">
        <v>17</v>
      </c>
      <c r="C1760" s="92" t="s">
        <v>185</v>
      </c>
      <c r="D1760" s="93">
        <v>10121518449</v>
      </c>
      <c r="E1760" s="93" t="s">
        <v>186</v>
      </c>
      <c r="F1760" t="s">
        <v>50</v>
      </c>
    </row>
    <row r="1761" spans="2:6">
      <c r="B1761" s="3">
        <v>18</v>
      </c>
      <c r="C1761" s="92" t="s">
        <v>187</v>
      </c>
      <c r="D1761" s="93">
        <v>10120252500</v>
      </c>
      <c r="E1761" s="93" t="s">
        <v>112</v>
      </c>
      <c r="F1761" t="s">
        <v>50</v>
      </c>
    </row>
    <row r="1762" spans="2:6">
      <c r="B1762" s="22">
        <v>19</v>
      </c>
      <c r="C1762" s="93" t="s">
        <v>188</v>
      </c>
      <c r="D1762" s="93">
        <v>10116527902</v>
      </c>
      <c r="E1762" s="92" t="s">
        <v>189</v>
      </c>
      <c r="F1762" t="s">
        <v>50</v>
      </c>
    </row>
    <row r="1763" spans="2:6" ht="15.75">
      <c r="B1763" s="40"/>
      <c r="C1763" s="8"/>
      <c r="D1763" s="54"/>
      <c r="E1763" s="54"/>
      <c r="F1763" s="8"/>
    </row>
    <row r="1764" spans="2:6">
      <c r="B1764" s="22">
        <v>81</v>
      </c>
      <c r="C1764" s="94" t="s">
        <v>190</v>
      </c>
      <c r="D1764" s="93">
        <v>10052898528</v>
      </c>
      <c r="E1764" s="93" t="s">
        <v>191</v>
      </c>
      <c r="F1764" s="8" t="s">
        <v>51</v>
      </c>
    </row>
    <row r="1765" spans="2:6">
      <c r="B1765" s="3">
        <v>82</v>
      </c>
      <c r="C1765" s="94" t="s">
        <v>148</v>
      </c>
      <c r="D1765" s="93">
        <v>10059847263</v>
      </c>
      <c r="E1765" s="93" t="s">
        <v>192</v>
      </c>
      <c r="F1765" s="8" t="s">
        <v>51</v>
      </c>
    </row>
    <row r="1766" spans="2:6">
      <c r="B1766" s="22">
        <v>83</v>
      </c>
      <c r="C1766" s="94" t="s">
        <v>193</v>
      </c>
      <c r="D1766" s="93">
        <v>10052925305</v>
      </c>
      <c r="E1766" s="93" t="s">
        <v>109</v>
      </c>
      <c r="F1766" s="8" t="s">
        <v>51</v>
      </c>
    </row>
    <row r="1767" spans="2:6">
      <c r="B1767" s="3">
        <v>84</v>
      </c>
      <c r="C1767" s="94" t="s">
        <v>194</v>
      </c>
      <c r="D1767" s="93">
        <v>10076118308</v>
      </c>
      <c r="E1767" s="93" t="s">
        <v>195</v>
      </c>
      <c r="F1767" s="8" t="s">
        <v>51</v>
      </c>
    </row>
    <row r="1768" spans="2:6">
      <c r="B1768" s="22">
        <v>85</v>
      </c>
      <c r="C1768" s="92" t="s">
        <v>196</v>
      </c>
      <c r="D1768" s="93">
        <v>10101990228</v>
      </c>
      <c r="E1768" s="93" t="s">
        <v>100</v>
      </c>
      <c r="F1768" s="8" t="s">
        <v>51</v>
      </c>
    </row>
    <row r="1769" spans="2:6">
      <c r="B1769" s="3">
        <v>86</v>
      </c>
      <c r="C1769" s="94" t="s">
        <v>197</v>
      </c>
      <c r="D1769" s="93">
        <v>10104199505</v>
      </c>
      <c r="E1769" s="93" t="s">
        <v>128</v>
      </c>
      <c r="F1769" s="8" t="s">
        <v>51</v>
      </c>
    </row>
    <row r="1770" spans="2:6">
      <c r="B1770" s="22">
        <v>87</v>
      </c>
      <c r="C1770" s="92" t="s">
        <v>198</v>
      </c>
      <c r="D1770" s="93">
        <v>10120014242</v>
      </c>
      <c r="E1770" s="93" t="s">
        <v>199</v>
      </c>
      <c r="F1770" s="8" t="s">
        <v>51</v>
      </c>
    </row>
    <row r="1771" spans="2:6">
      <c r="B1771" s="3">
        <v>88</v>
      </c>
      <c r="C1771" s="94" t="s">
        <v>200</v>
      </c>
      <c r="D1771" s="93">
        <v>10091238382</v>
      </c>
      <c r="E1771" s="93" t="s">
        <v>195</v>
      </c>
      <c r="F1771" s="8" t="s">
        <v>51</v>
      </c>
    </row>
    <row r="1772" spans="2:6">
      <c r="B1772" s="22">
        <v>89</v>
      </c>
      <c r="C1772" s="94" t="s">
        <v>201</v>
      </c>
      <c r="D1772" s="93">
        <v>10076571982</v>
      </c>
      <c r="E1772" s="93" t="s">
        <v>134</v>
      </c>
      <c r="F1772" s="8" t="s">
        <v>51</v>
      </c>
    </row>
    <row r="1773" spans="2:6">
      <c r="B1773" s="3">
        <v>90</v>
      </c>
      <c r="C1773" s="94" t="s">
        <v>202</v>
      </c>
      <c r="D1773" s="93">
        <v>10104125238</v>
      </c>
      <c r="E1773" s="93" t="s">
        <v>100</v>
      </c>
      <c r="F1773" s="8" t="s">
        <v>51</v>
      </c>
    </row>
    <row r="1774" spans="2:6">
      <c r="B1774" s="22">
        <v>91</v>
      </c>
      <c r="C1774" s="94" t="s">
        <v>203</v>
      </c>
      <c r="D1774" s="93">
        <v>10114220817</v>
      </c>
      <c r="E1774" s="93" t="s">
        <v>195</v>
      </c>
      <c r="F1774" s="8" t="s">
        <v>51</v>
      </c>
    </row>
    <row r="1775" spans="2:6">
      <c r="B1775" s="10"/>
      <c r="D1775" s="17"/>
      <c r="E1775" s="17"/>
    </row>
    <row r="1776" spans="2:6">
      <c r="B1776" s="3">
        <v>101</v>
      </c>
      <c r="C1776" s="92" t="s">
        <v>204</v>
      </c>
      <c r="D1776" s="93">
        <v>10089728923</v>
      </c>
      <c r="E1776" s="93" t="s">
        <v>105</v>
      </c>
      <c r="F1776" t="s">
        <v>52</v>
      </c>
    </row>
    <row r="1777" spans="2:6">
      <c r="B1777" s="3">
        <v>102</v>
      </c>
      <c r="C1777" s="92" t="s">
        <v>205</v>
      </c>
      <c r="D1777" s="93">
        <v>10116215680</v>
      </c>
      <c r="E1777" s="93" t="s">
        <v>65</v>
      </c>
      <c r="F1777" t="s">
        <v>52</v>
      </c>
    </row>
    <row r="1778" spans="2:6">
      <c r="B1778" s="3">
        <v>103</v>
      </c>
      <c r="C1778" s="92" t="s">
        <v>206</v>
      </c>
      <c r="D1778" s="93">
        <v>10154951521</v>
      </c>
      <c r="E1778" s="93" t="s">
        <v>207</v>
      </c>
      <c r="F1778" t="s">
        <v>52</v>
      </c>
    </row>
    <row r="1779" spans="2:6">
      <c r="B1779" s="3">
        <v>104</v>
      </c>
      <c r="C1779" s="92" t="s">
        <v>208</v>
      </c>
      <c r="D1779" s="93">
        <v>10141533185</v>
      </c>
      <c r="E1779" s="93" t="s">
        <v>209</v>
      </c>
      <c r="F1779" t="s">
        <v>52</v>
      </c>
    </row>
    <row r="1780" spans="2:6">
      <c r="B1780" s="3">
        <v>105</v>
      </c>
      <c r="C1780" s="92" t="s">
        <v>210</v>
      </c>
      <c r="D1780" s="93">
        <v>10104387138</v>
      </c>
      <c r="E1780" s="93" t="s">
        <v>110</v>
      </c>
      <c r="F1780" t="s">
        <v>52</v>
      </c>
    </row>
    <row r="1781" spans="2:6">
      <c r="B1781" s="3">
        <v>106</v>
      </c>
      <c r="C1781" s="92" t="s">
        <v>211</v>
      </c>
      <c r="D1781" s="93">
        <v>10164874621</v>
      </c>
      <c r="E1781" s="93" t="s">
        <v>108</v>
      </c>
      <c r="F1781" t="s">
        <v>52</v>
      </c>
    </row>
    <row r="1782" spans="2:6">
      <c r="B1782" s="3">
        <v>107</v>
      </c>
      <c r="C1782" s="92" t="s">
        <v>212</v>
      </c>
      <c r="D1782" s="93">
        <v>10165016683</v>
      </c>
      <c r="E1782" s="93" t="s">
        <v>108</v>
      </c>
      <c r="F1782" t="s">
        <v>52</v>
      </c>
    </row>
    <row r="1783" spans="2:6">
      <c r="B1783" s="3">
        <v>108</v>
      </c>
      <c r="C1783" s="92" t="s">
        <v>213</v>
      </c>
      <c r="D1783" s="93">
        <v>10171656234</v>
      </c>
      <c r="E1783" s="93" t="s">
        <v>108</v>
      </c>
      <c r="F1783" t="s">
        <v>52</v>
      </c>
    </row>
    <row r="1784" spans="2:6">
      <c r="B1784" s="3">
        <v>109</v>
      </c>
      <c r="C1784" s="92" t="s">
        <v>214</v>
      </c>
      <c r="D1784" s="93">
        <v>10170820014</v>
      </c>
      <c r="E1784" s="93" t="s">
        <v>108</v>
      </c>
      <c r="F1784" t="s">
        <v>52</v>
      </c>
    </row>
    <row r="1785" spans="2:6">
      <c r="B1785" s="3">
        <v>110</v>
      </c>
      <c r="C1785" s="92" t="s">
        <v>215</v>
      </c>
      <c r="D1785" s="93">
        <v>1015245883</v>
      </c>
      <c r="E1785" s="93" t="s">
        <v>85</v>
      </c>
      <c r="F1785" t="s">
        <v>52</v>
      </c>
    </row>
    <row r="1786" spans="2:6">
      <c r="B1786" s="3">
        <v>111</v>
      </c>
      <c r="C1786" s="92" t="s">
        <v>216</v>
      </c>
      <c r="D1786" s="93">
        <v>10137506372</v>
      </c>
      <c r="E1786" s="93" t="s">
        <v>217</v>
      </c>
      <c r="F1786" t="s">
        <v>52</v>
      </c>
    </row>
    <row r="1787" spans="2:6">
      <c r="B1787" s="3">
        <v>112</v>
      </c>
      <c r="C1787" s="92" t="s">
        <v>218</v>
      </c>
      <c r="D1787" s="93">
        <v>10152284728</v>
      </c>
      <c r="E1787" s="93" t="s">
        <v>172</v>
      </c>
      <c r="F1787" t="s">
        <v>52</v>
      </c>
    </row>
    <row r="1788" spans="2:6">
      <c r="B1788" s="3">
        <v>113</v>
      </c>
      <c r="C1788" s="92" t="s">
        <v>219</v>
      </c>
      <c r="D1788" s="93">
        <v>10161366554</v>
      </c>
      <c r="E1788" s="93" t="s">
        <v>85</v>
      </c>
      <c r="F1788" t="s">
        <v>52</v>
      </c>
    </row>
    <row r="1789" spans="2:6">
      <c r="B1789" s="3">
        <v>114</v>
      </c>
      <c r="C1789" s="92" t="s">
        <v>220</v>
      </c>
      <c r="D1789" s="93">
        <v>10142353645</v>
      </c>
      <c r="E1789" s="93" t="s">
        <v>221</v>
      </c>
      <c r="F1789" t="s">
        <v>52</v>
      </c>
    </row>
    <row r="1790" spans="2:6">
      <c r="B1790" s="3">
        <v>115</v>
      </c>
      <c r="C1790" s="92" t="s">
        <v>222</v>
      </c>
      <c r="D1790" s="93">
        <v>10114172014</v>
      </c>
      <c r="E1790" s="93" t="s">
        <v>223</v>
      </c>
      <c r="F1790" t="s">
        <v>52</v>
      </c>
    </row>
    <row r="1791" spans="2:6">
      <c r="B1791" s="3">
        <v>116</v>
      </c>
      <c r="C1791" s="92" t="s">
        <v>224</v>
      </c>
      <c r="D1791" s="93">
        <v>10127011982</v>
      </c>
      <c r="E1791" s="93" t="s">
        <v>172</v>
      </c>
      <c r="F1791" t="s">
        <v>52</v>
      </c>
    </row>
    <row r="1792" spans="2:6">
      <c r="B1792" s="3">
        <v>117</v>
      </c>
      <c r="C1792" s="92" t="s">
        <v>225</v>
      </c>
      <c r="D1792" s="93" t="s">
        <v>66</v>
      </c>
      <c r="E1792" s="93" t="s">
        <v>84</v>
      </c>
      <c r="F1792" t="s">
        <v>52</v>
      </c>
    </row>
    <row r="1793" spans="2:6">
      <c r="B1793" s="3">
        <v>118</v>
      </c>
      <c r="C1793" s="92" t="s">
        <v>226</v>
      </c>
      <c r="D1793" s="93">
        <v>10131783170</v>
      </c>
      <c r="E1793" s="93" t="s">
        <v>84</v>
      </c>
      <c r="F1793" t="s">
        <v>52</v>
      </c>
    </row>
    <row r="1794" spans="2:6">
      <c r="B1794" s="3">
        <v>119</v>
      </c>
      <c r="C1794" s="92" t="s">
        <v>227</v>
      </c>
      <c r="D1794" s="93" t="s">
        <v>66</v>
      </c>
      <c r="E1794" s="93" t="s">
        <v>84</v>
      </c>
      <c r="F1794" t="s">
        <v>52</v>
      </c>
    </row>
    <row r="1795" spans="2:6">
      <c r="B1795" s="3">
        <v>120</v>
      </c>
      <c r="C1795" s="92" t="s">
        <v>228</v>
      </c>
      <c r="D1795" s="93">
        <v>10131783069</v>
      </c>
      <c r="E1795" s="93" t="s">
        <v>84</v>
      </c>
      <c r="F1795" t="s">
        <v>52</v>
      </c>
    </row>
    <row r="1796" spans="2:6">
      <c r="B1796" s="3">
        <v>121</v>
      </c>
      <c r="C1796" s="92" t="s">
        <v>229</v>
      </c>
      <c r="D1796" s="93">
        <v>10161111728</v>
      </c>
      <c r="E1796" s="93" t="s">
        <v>130</v>
      </c>
      <c r="F1796" t="s">
        <v>52</v>
      </c>
    </row>
    <row r="1797" spans="2:6">
      <c r="B1797" s="3">
        <v>122</v>
      </c>
      <c r="C1797" s="92" t="s">
        <v>230</v>
      </c>
      <c r="D1797" s="93">
        <v>10127124544</v>
      </c>
      <c r="E1797" s="93" t="s">
        <v>231</v>
      </c>
      <c r="F1797" t="s">
        <v>52</v>
      </c>
    </row>
    <row r="1798" spans="2:6">
      <c r="B1798" s="3">
        <v>123</v>
      </c>
      <c r="C1798" s="92" t="s">
        <v>232</v>
      </c>
      <c r="D1798" s="93">
        <v>10171946426</v>
      </c>
      <c r="E1798" s="93" t="s">
        <v>6</v>
      </c>
      <c r="F1798" t="s">
        <v>52</v>
      </c>
    </row>
    <row r="1799" spans="2:6">
      <c r="B1799" s="3">
        <v>124</v>
      </c>
      <c r="C1799" s="92" t="s">
        <v>233</v>
      </c>
      <c r="D1799" s="93">
        <v>10168944678</v>
      </c>
      <c r="E1799" s="93" t="s">
        <v>234</v>
      </c>
      <c r="F1799" t="s">
        <v>52</v>
      </c>
    </row>
    <row r="1800" spans="2:6">
      <c r="B1800" s="3">
        <v>125</v>
      </c>
      <c r="C1800" s="92" t="s">
        <v>235</v>
      </c>
      <c r="D1800" s="93">
        <v>10119593506</v>
      </c>
      <c r="E1800" s="93" t="s">
        <v>128</v>
      </c>
      <c r="F1800" t="s">
        <v>52</v>
      </c>
    </row>
    <row r="1801" spans="2:6">
      <c r="B1801" s="3">
        <v>126</v>
      </c>
      <c r="C1801" s="92" t="s">
        <v>236</v>
      </c>
      <c r="D1801" s="93" t="s">
        <v>66</v>
      </c>
      <c r="E1801" s="93" t="s">
        <v>237</v>
      </c>
      <c r="F1801" t="s">
        <v>52</v>
      </c>
    </row>
    <row r="1802" spans="2:6">
      <c r="B1802" s="3">
        <v>127</v>
      </c>
      <c r="C1802" s="92" t="s">
        <v>238</v>
      </c>
      <c r="D1802" s="93" t="s">
        <v>66</v>
      </c>
      <c r="E1802" s="93" t="s">
        <v>84</v>
      </c>
      <c r="F1802" t="s">
        <v>52</v>
      </c>
    </row>
    <row r="1803" spans="2:6">
      <c r="B1803" s="3">
        <v>128</v>
      </c>
      <c r="C1803" s="92" t="s">
        <v>239</v>
      </c>
      <c r="D1803" s="93">
        <v>10161160935</v>
      </c>
      <c r="E1803" s="93" t="s">
        <v>240</v>
      </c>
      <c r="F1803" t="s">
        <v>52</v>
      </c>
    </row>
    <row r="1804" spans="2:6">
      <c r="B1804" s="3">
        <v>129</v>
      </c>
      <c r="C1804" s="92" t="s">
        <v>241</v>
      </c>
      <c r="D1804" s="93">
        <v>10164035670</v>
      </c>
      <c r="E1804" s="93" t="s">
        <v>150</v>
      </c>
      <c r="F1804" t="s">
        <v>52</v>
      </c>
    </row>
    <row r="1805" spans="2:6">
      <c r="B1805" s="3">
        <v>130</v>
      </c>
      <c r="C1805" s="92" t="s">
        <v>242</v>
      </c>
      <c r="D1805" s="93">
        <v>10141535512</v>
      </c>
      <c r="E1805" s="93" t="s">
        <v>127</v>
      </c>
      <c r="F1805" t="s">
        <v>52</v>
      </c>
    </row>
    <row r="1806" spans="2:6">
      <c r="B1806" s="3">
        <v>131</v>
      </c>
      <c r="C1806" s="92" t="s">
        <v>243</v>
      </c>
      <c r="D1806" s="93">
        <v>12248</v>
      </c>
      <c r="E1806" s="93" t="s">
        <v>127</v>
      </c>
      <c r="F1806" t="s">
        <v>52</v>
      </c>
    </row>
    <row r="1807" spans="2:6">
      <c r="B1807" s="3">
        <v>132</v>
      </c>
      <c r="C1807" s="92" t="s">
        <v>244</v>
      </c>
      <c r="D1807" s="93">
        <v>12249</v>
      </c>
      <c r="E1807" s="93" t="s">
        <v>127</v>
      </c>
      <c r="F1807" t="s">
        <v>52</v>
      </c>
    </row>
    <row r="1808" spans="2:6">
      <c r="B1808" s="3">
        <v>133</v>
      </c>
      <c r="C1808" s="92" t="s">
        <v>245</v>
      </c>
      <c r="D1808" s="93">
        <v>10131930286</v>
      </c>
      <c r="E1808" s="93" t="s">
        <v>246</v>
      </c>
      <c r="F1808" t="s">
        <v>52</v>
      </c>
    </row>
    <row r="1809" spans="2:6">
      <c r="B1809" s="3">
        <v>134</v>
      </c>
      <c r="C1809" s="92" t="s">
        <v>247</v>
      </c>
      <c r="D1809" s="93">
        <v>10164774385</v>
      </c>
      <c r="E1809" s="93" t="s">
        <v>248</v>
      </c>
      <c r="F1809" t="s">
        <v>52</v>
      </c>
    </row>
    <row r="1810" spans="2:6">
      <c r="B1810" s="3">
        <v>135</v>
      </c>
      <c r="C1810" s="92" t="s">
        <v>249</v>
      </c>
      <c r="D1810" s="93">
        <v>10132702145</v>
      </c>
      <c r="E1810" s="93" t="s">
        <v>250</v>
      </c>
      <c r="F1810" t="s">
        <v>52</v>
      </c>
    </row>
    <row r="1811" spans="2:6">
      <c r="B1811" s="3">
        <v>136</v>
      </c>
      <c r="C1811" s="92" t="s">
        <v>251</v>
      </c>
      <c r="D1811" s="93">
        <v>10152456092</v>
      </c>
      <c r="E1811" s="93" t="s">
        <v>147</v>
      </c>
      <c r="F1811" t="s">
        <v>52</v>
      </c>
    </row>
    <row r="1812" spans="2:6">
      <c r="B1812" s="3">
        <v>137</v>
      </c>
      <c r="C1812" s="92" t="s">
        <v>252</v>
      </c>
      <c r="D1812" s="93" t="s">
        <v>66</v>
      </c>
      <c r="E1812" s="93" t="s">
        <v>253</v>
      </c>
      <c r="F1812" t="s">
        <v>52</v>
      </c>
    </row>
    <row r="1813" spans="2:6">
      <c r="B1813" s="3">
        <v>138</v>
      </c>
      <c r="C1813" s="92" t="s">
        <v>254</v>
      </c>
      <c r="D1813" s="93">
        <v>10161463756</v>
      </c>
      <c r="E1813" s="93" t="s">
        <v>7</v>
      </c>
      <c r="F1813" t="s">
        <v>52</v>
      </c>
    </row>
    <row r="1814" spans="2:6">
      <c r="B1814" s="3">
        <v>139</v>
      </c>
      <c r="C1814" s="92" t="s">
        <v>255</v>
      </c>
      <c r="D1814" s="93">
        <v>120250873</v>
      </c>
      <c r="E1814" s="93" t="s">
        <v>71</v>
      </c>
      <c r="F1814" t="s">
        <v>52</v>
      </c>
    </row>
    <row r="1815" spans="2:6">
      <c r="B1815" s="3">
        <v>140</v>
      </c>
      <c r="C1815" s="92" t="s">
        <v>256</v>
      </c>
      <c r="D1815" s="93">
        <v>10133141372</v>
      </c>
      <c r="E1815" s="93" t="s">
        <v>257</v>
      </c>
      <c r="F1815" t="s">
        <v>52</v>
      </c>
    </row>
    <row r="1816" spans="2:6">
      <c r="B1816" s="3">
        <v>141</v>
      </c>
      <c r="C1816" s="92" t="s">
        <v>258</v>
      </c>
      <c r="D1816" s="93" t="s">
        <v>66</v>
      </c>
      <c r="E1816" s="93" t="s">
        <v>150</v>
      </c>
      <c r="F1816" t="s">
        <v>52</v>
      </c>
    </row>
    <row r="1817" spans="2:6">
      <c r="B1817" s="3">
        <v>142</v>
      </c>
      <c r="C1817" s="92" t="s">
        <v>259</v>
      </c>
      <c r="D1817" s="93">
        <v>10126142117</v>
      </c>
      <c r="E1817" s="93" t="s">
        <v>6</v>
      </c>
      <c r="F1817" t="s">
        <v>52</v>
      </c>
    </row>
    <row r="1818" spans="2:6">
      <c r="B1818" s="3">
        <v>143</v>
      </c>
      <c r="C1818" s="92" t="s">
        <v>260</v>
      </c>
      <c r="D1818" s="93">
        <v>10166647596</v>
      </c>
      <c r="E1818" s="93" t="s">
        <v>126</v>
      </c>
      <c r="F1818" t="s">
        <v>52</v>
      </c>
    </row>
    <row r="1819" spans="2:6">
      <c r="B1819" s="3">
        <v>144</v>
      </c>
      <c r="C1819" s="92" t="s">
        <v>261</v>
      </c>
      <c r="D1819" s="93" t="s">
        <v>66</v>
      </c>
      <c r="E1819" s="93" t="s">
        <v>110</v>
      </c>
      <c r="F1819" t="s">
        <v>52</v>
      </c>
    </row>
    <row r="1820" spans="2:6" ht="15.75">
      <c r="B1820" s="40"/>
      <c r="D1820" s="17"/>
      <c r="E1820" s="17"/>
      <c r="F1820" s="8"/>
    </row>
    <row r="1821" spans="2:6">
      <c r="B1821" s="3">
        <v>261</v>
      </c>
      <c r="C1821" s="92" t="s">
        <v>262</v>
      </c>
      <c r="D1821" s="93">
        <v>10122460056</v>
      </c>
      <c r="E1821" s="93" t="s">
        <v>207</v>
      </c>
      <c r="F1821" s="8" t="s">
        <v>53</v>
      </c>
    </row>
    <row r="1822" spans="2:6">
      <c r="B1822" s="3">
        <v>262</v>
      </c>
      <c r="C1822" s="92" t="s">
        <v>263</v>
      </c>
      <c r="D1822" s="93">
        <v>10128546505</v>
      </c>
      <c r="E1822" s="93" t="s">
        <v>108</v>
      </c>
      <c r="F1822" s="8" t="s">
        <v>53</v>
      </c>
    </row>
    <row r="1823" spans="2:6">
      <c r="B1823" s="3">
        <v>263</v>
      </c>
      <c r="C1823" s="92" t="s">
        <v>264</v>
      </c>
      <c r="D1823" s="93">
        <v>10141535916</v>
      </c>
      <c r="E1823" s="93" t="s">
        <v>265</v>
      </c>
      <c r="F1823" s="8" t="s">
        <v>53</v>
      </c>
    </row>
    <row r="1824" spans="2:6">
      <c r="B1824" s="3">
        <v>264</v>
      </c>
      <c r="C1824" s="92" t="s">
        <v>266</v>
      </c>
      <c r="D1824" s="93">
        <v>10103913858</v>
      </c>
      <c r="E1824" s="93" t="s">
        <v>132</v>
      </c>
      <c r="F1824" s="8" t="s">
        <v>53</v>
      </c>
    </row>
    <row r="1825" spans="2:6">
      <c r="B1825" s="22"/>
      <c r="D1825" s="17"/>
      <c r="E1825" s="17"/>
    </row>
    <row r="1826" spans="2:6">
      <c r="B1826" s="22">
        <v>301</v>
      </c>
      <c r="C1826" s="92" t="s">
        <v>267</v>
      </c>
      <c r="D1826" s="93">
        <v>120760930</v>
      </c>
      <c r="E1826" s="93" t="s">
        <v>109</v>
      </c>
      <c r="F1826" t="s">
        <v>54</v>
      </c>
    </row>
    <row r="1827" spans="2:6">
      <c r="B1827" s="22">
        <v>302</v>
      </c>
      <c r="C1827" s="92" t="s">
        <v>268</v>
      </c>
      <c r="D1827" s="93">
        <v>10128933895</v>
      </c>
      <c r="E1827" s="93" t="s">
        <v>207</v>
      </c>
      <c r="F1827" t="s">
        <v>54</v>
      </c>
    </row>
    <row r="1828" spans="2:6">
      <c r="B1828" s="22">
        <v>303</v>
      </c>
      <c r="C1828" s="92" t="s">
        <v>269</v>
      </c>
      <c r="D1828" s="93">
        <v>10152378694</v>
      </c>
      <c r="E1828" s="93" t="s">
        <v>110</v>
      </c>
      <c r="F1828" t="s">
        <v>54</v>
      </c>
    </row>
    <row r="1829" spans="2:6">
      <c r="B1829" s="22">
        <v>304</v>
      </c>
      <c r="C1829" s="92" t="s">
        <v>270</v>
      </c>
      <c r="D1829" s="93">
        <v>10156150681</v>
      </c>
      <c r="E1829" s="93" t="s">
        <v>271</v>
      </c>
      <c r="F1829" t="s">
        <v>54</v>
      </c>
    </row>
    <row r="1830" spans="2:6">
      <c r="B1830" s="22">
        <v>305</v>
      </c>
      <c r="C1830" s="92" t="s">
        <v>272</v>
      </c>
      <c r="D1830" s="93">
        <v>10152909669</v>
      </c>
      <c r="E1830" s="93" t="s">
        <v>273</v>
      </c>
      <c r="F1830" t="s">
        <v>54</v>
      </c>
    </row>
    <row r="1831" spans="2:6">
      <c r="B1831" s="22">
        <v>306</v>
      </c>
      <c r="C1831" s="92" t="s">
        <v>274</v>
      </c>
      <c r="D1831" s="93">
        <v>10170771312</v>
      </c>
      <c r="E1831" s="93" t="s">
        <v>108</v>
      </c>
      <c r="F1831" t="s">
        <v>54</v>
      </c>
    </row>
    <row r="1832" spans="2:6">
      <c r="B1832" s="22">
        <v>307</v>
      </c>
      <c r="C1832" s="92" t="s">
        <v>275</v>
      </c>
      <c r="D1832" s="93">
        <v>10153824200</v>
      </c>
      <c r="E1832" s="93" t="s">
        <v>108</v>
      </c>
      <c r="F1832" t="s">
        <v>54</v>
      </c>
    </row>
    <row r="1833" spans="2:6">
      <c r="B1833" s="22">
        <v>308</v>
      </c>
      <c r="C1833" s="92" t="s">
        <v>276</v>
      </c>
      <c r="D1833" s="93">
        <v>10164592614</v>
      </c>
      <c r="E1833" s="93" t="s">
        <v>108</v>
      </c>
      <c r="F1833" t="s">
        <v>54</v>
      </c>
    </row>
    <row r="1834" spans="2:6">
      <c r="B1834" s="22">
        <v>309</v>
      </c>
      <c r="C1834" s="92" t="s">
        <v>277</v>
      </c>
      <c r="D1834" s="93">
        <v>10171656840</v>
      </c>
      <c r="E1834" s="92" t="s">
        <v>108</v>
      </c>
      <c r="F1834" t="s">
        <v>54</v>
      </c>
    </row>
    <row r="1835" spans="2:6">
      <c r="B1835" s="22">
        <v>310</v>
      </c>
      <c r="C1835" s="92" t="s">
        <v>278</v>
      </c>
      <c r="D1835" s="93">
        <v>10140942495</v>
      </c>
      <c r="E1835" s="93" t="s">
        <v>108</v>
      </c>
      <c r="F1835" t="s">
        <v>54</v>
      </c>
    </row>
    <row r="1836" spans="2:6">
      <c r="B1836" s="22">
        <v>311</v>
      </c>
      <c r="C1836" s="92" t="s">
        <v>279</v>
      </c>
      <c r="D1836" s="93">
        <v>10128424344</v>
      </c>
      <c r="E1836" s="93" t="s">
        <v>280</v>
      </c>
      <c r="F1836" t="s">
        <v>54</v>
      </c>
    </row>
    <row r="1837" spans="2:6">
      <c r="B1837" s="22">
        <v>312</v>
      </c>
      <c r="C1837" s="92" t="s">
        <v>281</v>
      </c>
      <c r="D1837" s="93">
        <v>10162918251</v>
      </c>
      <c r="E1837" s="93" t="s">
        <v>108</v>
      </c>
      <c r="F1837" t="s">
        <v>54</v>
      </c>
    </row>
    <row r="1838" spans="2:6">
      <c r="B1838" s="22">
        <v>313</v>
      </c>
      <c r="C1838" s="92" t="s">
        <v>282</v>
      </c>
      <c r="D1838" s="93">
        <v>10153824200</v>
      </c>
      <c r="E1838" s="93" t="s">
        <v>108</v>
      </c>
      <c r="F1838" t="s">
        <v>54</v>
      </c>
    </row>
    <row r="1839" spans="2:6">
      <c r="B1839" s="22">
        <v>314</v>
      </c>
      <c r="C1839" s="92" t="s">
        <v>283</v>
      </c>
      <c r="D1839" s="93">
        <v>10164592614</v>
      </c>
      <c r="E1839" s="92" t="s">
        <v>280</v>
      </c>
      <c r="F1839" t="s">
        <v>54</v>
      </c>
    </row>
    <row r="1840" spans="2:6">
      <c r="B1840" s="22">
        <v>315</v>
      </c>
      <c r="C1840" s="92" t="s">
        <v>284</v>
      </c>
      <c r="D1840" s="93">
        <v>10155740655</v>
      </c>
      <c r="E1840" s="93" t="s">
        <v>86</v>
      </c>
      <c r="F1840" t="s">
        <v>54</v>
      </c>
    </row>
    <row r="1841" spans="2:6">
      <c r="B1841" s="22">
        <v>316</v>
      </c>
      <c r="C1841" s="92" t="s">
        <v>285</v>
      </c>
      <c r="D1841" s="93" t="s">
        <v>66</v>
      </c>
      <c r="E1841" s="93" t="s">
        <v>84</v>
      </c>
      <c r="F1841" t="s">
        <v>54</v>
      </c>
    </row>
    <row r="1842" spans="2:6">
      <c r="B1842" s="22">
        <v>317</v>
      </c>
      <c r="C1842" s="92" t="s">
        <v>286</v>
      </c>
      <c r="D1842" s="93" t="s">
        <v>66</v>
      </c>
      <c r="E1842" s="92" t="s">
        <v>84</v>
      </c>
      <c r="F1842" t="s">
        <v>54</v>
      </c>
    </row>
    <row r="1843" spans="2:6">
      <c r="B1843" s="22">
        <v>318</v>
      </c>
      <c r="C1843" s="92" t="s">
        <v>287</v>
      </c>
      <c r="D1843" s="93" t="s">
        <v>66</v>
      </c>
      <c r="E1843" s="93" t="s">
        <v>84</v>
      </c>
      <c r="F1843" t="s">
        <v>54</v>
      </c>
    </row>
    <row r="1844" spans="2:6">
      <c r="B1844" s="22">
        <v>319</v>
      </c>
      <c r="C1844" s="92" t="s">
        <v>288</v>
      </c>
      <c r="D1844" s="93">
        <v>10155992956</v>
      </c>
      <c r="E1844" s="92" t="s">
        <v>289</v>
      </c>
      <c r="F1844" t="s">
        <v>54</v>
      </c>
    </row>
    <row r="1845" spans="2:6">
      <c r="B1845" s="22">
        <v>320</v>
      </c>
      <c r="C1845" s="92" t="s">
        <v>290</v>
      </c>
      <c r="D1845" s="93">
        <v>10136994902</v>
      </c>
      <c r="E1845" s="93" t="s">
        <v>107</v>
      </c>
      <c r="F1845" t="s">
        <v>54</v>
      </c>
    </row>
    <row r="1846" spans="2:6">
      <c r="B1846" s="22">
        <v>321</v>
      </c>
      <c r="C1846" s="92" t="s">
        <v>291</v>
      </c>
      <c r="D1846" s="93">
        <v>10153036577</v>
      </c>
      <c r="E1846" s="93" t="s">
        <v>292</v>
      </c>
      <c r="F1846" t="s">
        <v>54</v>
      </c>
    </row>
    <row r="1847" spans="2:6">
      <c r="B1847" s="22">
        <v>322</v>
      </c>
      <c r="C1847" s="92" t="s">
        <v>293</v>
      </c>
      <c r="D1847" s="93">
        <v>10141584820</v>
      </c>
      <c r="E1847" s="93" t="s">
        <v>294</v>
      </c>
      <c r="F1847" t="s">
        <v>54</v>
      </c>
    </row>
    <row r="1848" spans="2:6">
      <c r="B1848" s="22">
        <v>323</v>
      </c>
      <c r="C1848" s="23" t="s">
        <v>295</v>
      </c>
      <c r="D1848" s="93">
        <v>10111930102</v>
      </c>
      <c r="E1848" s="93" t="s">
        <v>296</v>
      </c>
      <c r="F1848" t="s">
        <v>54</v>
      </c>
    </row>
    <row r="1849" spans="2:6">
      <c r="B1849" s="22">
        <v>324</v>
      </c>
      <c r="C1849" s="92" t="s">
        <v>297</v>
      </c>
      <c r="D1849" s="93">
        <v>10161110819</v>
      </c>
      <c r="E1849" s="93" t="s">
        <v>298</v>
      </c>
      <c r="F1849" t="s">
        <v>54</v>
      </c>
    </row>
    <row r="1850" spans="2:6">
      <c r="B1850" s="22">
        <v>325</v>
      </c>
      <c r="C1850" s="92" t="s">
        <v>299</v>
      </c>
      <c r="D1850" s="93">
        <v>10152418609</v>
      </c>
      <c r="E1850" s="93" t="s">
        <v>6</v>
      </c>
      <c r="F1850" t="s">
        <v>54</v>
      </c>
    </row>
    <row r="1851" spans="2:6">
      <c r="B1851" s="22">
        <v>326</v>
      </c>
      <c r="C1851" s="23" t="s">
        <v>300</v>
      </c>
      <c r="D1851" s="93">
        <v>10120480953</v>
      </c>
      <c r="E1851" s="93" t="s">
        <v>128</v>
      </c>
      <c r="F1851" t="s">
        <v>54</v>
      </c>
    </row>
    <row r="1852" spans="2:6">
      <c r="B1852" s="22">
        <v>327</v>
      </c>
      <c r="C1852" s="23" t="s">
        <v>301</v>
      </c>
      <c r="D1852" s="60" t="s">
        <v>66</v>
      </c>
      <c r="E1852" s="93" t="s">
        <v>240</v>
      </c>
      <c r="F1852" t="s">
        <v>54</v>
      </c>
    </row>
    <row r="1853" spans="2:6">
      <c r="B1853" s="22">
        <v>328</v>
      </c>
      <c r="C1853" s="92" t="s">
        <v>302</v>
      </c>
      <c r="D1853" s="93">
        <v>10162461543</v>
      </c>
      <c r="E1853" s="93" t="s">
        <v>303</v>
      </c>
      <c r="F1853" t="s">
        <v>54</v>
      </c>
    </row>
    <row r="1854" spans="2:6">
      <c r="B1854" s="22">
        <v>329</v>
      </c>
      <c r="C1854" s="92" t="s">
        <v>304</v>
      </c>
      <c r="D1854" s="93">
        <v>10144442579</v>
      </c>
      <c r="E1854" s="93" t="s">
        <v>125</v>
      </c>
      <c r="F1854" t="s">
        <v>54</v>
      </c>
    </row>
    <row r="1855" spans="2:6">
      <c r="B1855" s="22">
        <v>330</v>
      </c>
      <c r="C1855" s="92" t="s">
        <v>305</v>
      </c>
      <c r="D1855" s="93">
        <v>10144520785</v>
      </c>
      <c r="E1855" s="93" t="s">
        <v>6</v>
      </c>
      <c r="F1855" t="s">
        <v>54</v>
      </c>
    </row>
    <row r="1856" spans="2:6">
      <c r="B1856" s="22">
        <v>331</v>
      </c>
      <c r="C1856" s="92" t="s">
        <v>306</v>
      </c>
      <c r="D1856" s="93">
        <v>305900561</v>
      </c>
      <c r="E1856" s="92" t="s">
        <v>307</v>
      </c>
      <c r="F1856" t="s">
        <v>54</v>
      </c>
    </row>
    <row r="1857" spans="2:6">
      <c r="B1857" s="22">
        <v>332</v>
      </c>
      <c r="C1857" s="23" t="s">
        <v>308</v>
      </c>
      <c r="D1857" s="60">
        <v>121280045</v>
      </c>
      <c r="E1857" s="93" t="s">
        <v>65</v>
      </c>
      <c r="F1857" t="s">
        <v>54</v>
      </c>
    </row>
    <row r="1858" spans="2:6">
      <c r="B1858" s="22">
        <v>333</v>
      </c>
      <c r="C1858" s="92" t="s">
        <v>309</v>
      </c>
      <c r="D1858" s="93">
        <v>504930380</v>
      </c>
      <c r="E1858" s="92" t="s">
        <v>310</v>
      </c>
      <c r="F1858" t="s">
        <v>54</v>
      </c>
    </row>
    <row r="1859" spans="2:6">
      <c r="B1859" s="22">
        <v>334</v>
      </c>
      <c r="C1859" s="23" t="s">
        <v>311</v>
      </c>
      <c r="D1859" s="60">
        <v>10162499737</v>
      </c>
      <c r="E1859" s="93" t="s">
        <v>312</v>
      </c>
      <c r="F1859" t="s">
        <v>54</v>
      </c>
    </row>
    <row r="1860" spans="2:6">
      <c r="B1860" s="22">
        <v>335</v>
      </c>
      <c r="C1860" s="92" t="s">
        <v>313</v>
      </c>
      <c r="D1860" s="93">
        <v>10154135004</v>
      </c>
      <c r="E1860" s="92" t="s">
        <v>314</v>
      </c>
      <c r="F1860" t="s">
        <v>54</v>
      </c>
    </row>
    <row r="1861" spans="2:6">
      <c r="B1861" s="22">
        <v>336</v>
      </c>
      <c r="C1861" s="92" t="s">
        <v>315</v>
      </c>
      <c r="D1861" s="93" t="s">
        <v>66</v>
      </c>
      <c r="E1861" s="92" t="s">
        <v>316</v>
      </c>
      <c r="F1861" t="s">
        <v>54</v>
      </c>
    </row>
    <row r="1862" spans="2:6">
      <c r="B1862" s="22">
        <v>337</v>
      </c>
      <c r="C1862" s="92" t="s">
        <v>317</v>
      </c>
      <c r="D1862" s="93">
        <v>1000000000</v>
      </c>
      <c r="E1862" s="92" t="s">
        <v>133</v>
      </c>
      <c r="F1862" t="s">
        <v>54</v>
      </c>
    </row>
    <row r="1863" spans="2:6">
      <c r="B1863" s="22">
        <v>338</v>
      </c>
      <c r="C1863" s="92" t="s">
        <v>318</v>
      </c>
      <c r="D1863" s="93" t="s">
        <v>66</v>
      </c>
      <c r="E1863" s="93" t="s">
        <v>319</v>
      </c>
      <c r="F1863" t="s">
        <v>54</v>
      </c>
    </row>
    <row r="1864" spans="2:6">
      <c r="B1864" s="22">
        <v>339</v>
      </c>
      <c r="C1864" s="92" t="s">
        <v>320</v>
      </c>
      <c r="D1864" s="93" t="s">
        <v>66</v>
      </c>
      <c r="E1864" s="93" t="s">
        <v>63</v>
      </c>
      <c r="F1864" t="s">
        <v>54</v>
      </c>
    </row>
    <row r="1865" spans="2:6">
      <c r="B1865" s="22">
        <v>340</v>
      </c>
      <c r="C1865" s="92" t="s">
        <v>321</v>
      </c>
      <c r="D1865" s="93">
        <v>10166711557</v>
      </c>
      <c r="E1865" s="92" t="s">
        <v>126</v>
      </c>
      <c r="F1865" t="s">
        <v>54</v>
      </c>
    </row>
    <row r="1866" spans="2:6" ht="15.75">
      <c r="B1866" s="21"/>
      <c r="D1866" s="17"/>
      <c r="E1866" s="17"/>
      <c r="F1866" s="8"/>
    </row>
    <row r="1867" spans="2:6">
      <c r="B1867" s="22">
        <v>381</v>
      </c>
      <c r="C1867" s="92" t="s">
        <v>322</v>
      </c>
      <c r="D1867" s="93">
        <v>10125653679</v>
      </c>
      <c r="E1867" s="93" t="s">
        <v>100</v>
      </c>
      <c r="F1867" s="8" t="s">
        <v>55</v>
      </c>
    </row>
    <row r="1868" spans="2:6">
      <c r="B1868" s="22">
        <v>382</v>
      </c>
      <c r="C1868" s="93" t="s">
        <v>323</v>
      </c>
      <c r="D1868" s="93">
        <v>10128546909</v>
      </c>
      <c r="E1868" s="92" t="s">
        <v>64</v>
      </c>
      <c r="F1868" s="8" t="s">
        <v>55</v>
      </c>
    </row>
    <row r="1869" spans="2:6">
      <c r="B1869" s="22">
        <v>383</v>
      </c>
      <c r="C1869" s="92" t="s">
        <v>324</v>
      </c>
      <c r="D1869" s="93">
        <v>10128827401</v>
      </c>
      <c r="E1869" s="92" t="s">
        <v>64</v>
      </c>
      <c r="F1869" s="8" t="s">
        <v>55</v>
      </c>
    </row>
    <row r="1870" spans="2:6">
      <c r="B1870" s="22">
        <v>384</v>
      </c>
      <c r="C1870" s="92" t="s">
        <v>325</v>
      </c>
      <c r="D1870" s="93">
        <v>10141538340</v>
      </c>
      <c r="E1870" s="92" t="s">
        <v>326</v>
      </c>
      <c r="F1870" s="8" t="s">
        <v>55</v>
      </c>
    </row>
    <row r="1871" spans="2:6">
      <c r="B1871" s="22">
        <v>385</v>
      </c>
      <c r="C1871" s="93" t="s">
        <v>327</v>
      </c>
      <c r="D1871" s="93">
        <v>10171339063</v>
      </c>
      <c r="E1871" s="92" t="s">
        <v>108</v>
      </c>
      <c r="F1871" s="8" t="s">
        <v>55</v>
      </c>
    </row>
    <row r="1872" spans="2:6">
      <c r="B1872" s="22">
        <v>386</v>
      </c>
      <c r="C1872" s="92" t="s">
        <v>328</v>
      </c>
      <c r="D1872" s="93">
        <v>10152378391</v>
      </c>
      <c r="E1872" s="93" t="s">
        <v>108</v>
      </c>
      <c r="F1872" s="8" t="s">
        <v>55</v>
      </c>
    </row>
    <row r="1873" spans="2:6">
      <c r="B1873" s="22">
        <v>387</v>
      </c>
      <c r="C1873" s="92" t="s">
        <v>329</v>
      </c>
      <c r="D1873" s="93" t="s">
        <v>66</v>
      </c>
      <c r="E1873" s="93" t="s">
        <v>100</v>
      </c>
      <c r="F1873" s="8" t="s">
        <v>55</v>
      </c>
    </row>
    <row r="1874" spans="2:6">
      <c r="B1874" s="22">
        <v>388</v>
      </c>
      <c r="C1874" s="92" t="s">
        <v>330</v>
      </c>
      <c r="D1874" s="93">
        <v>10128284605</v>
      </c>
      <c r="E1874" s="93" t="s">
        <v>331</v>
      </c>
      <c r="F1874" s="8" t="s">
        <v>55</v>
      </c>
    </row>
    <row r="1875" spans="2:6">
      <c r="B1875" s="22">
        <v>389</v>
      </c>
      <c r="C1875" s="92" t="s">
        <v>332</v>
      </c>
      <c r="D1875" s="93" t="s">
        <v>66</v>
      </c>
      <c r="E1875" s="92" t="s">
        <v>333</v>
      </c>
      <c r="F1875" s="8" t="s">
        <v>55</v>
      </c>
    </row>
    <row r="1876" spans="2:6">
      <c r="B1876" s="22"/>
      <c r="D1876" s="17"/>
      <c r="E1876" s="17"/>
      <c r="F1876" s="8"/>
    </row>
    <row r="1877" spans="2:6">
      <c r="B1877" s="22">
        <v>501</v>
      </c>
      <c r="C1877" s="92" t="s">
        <v>334</v>
      </c>
      <c r="D1877" s="93" t="s">
        <v>335</v>
      </c>
      <c r="E1877" s="92" t="s">
        <v>312</v>
      </c>
      <c r="F1877" s="8" t="s">
        <v>56</v>
      </c>
    </row>
    <row r="1878" spans="2:6">
      <c r="B1878" s="22">
        <v>502</v>
      </c>
      <c r="C1878" s="92" t="s">
        <v>336</v>
      </c>
      <c r="D1878" s="93">
        <v>10139359880</v>
      </c>
      <c r="E1878" s="93" t="s">
        <v>127</v>
      </c>
      <c r="F1878" s="8" t="s">
        <v>56</v>
      </c>
    </row>
    <row r="1879" spans="2:6">
      <c r="B1879" s="22">
        <v>503</v>
      </c>
      <c r="C1879" s="92" t="s">
        <v>337</v>
      </c>
      <c r="D1879" s="93">
        <v>10142567550</v>
      </c>
      <c r="E1879" s="92" t="s">
        <v>147</v>
      </c>
      <c r="F1879" s="8" t="s">
        <v>56</v>
      </c>
    </row>
    <row r="1880" spans="2:6">
      <c r="B1880" s="22">
        <v>504</v>
      </c>
      <c r="C1880" s="92" t="s">
        <v>338</v>
      </c>
      <c r="D1880" s="93">
        <v>10154828350</v>
      </c>
      <c r="E1880" s="93" t="s">
        <v>124</v>
      </c>
      <c r="F1880" s="8" t="s">
        <v>56</v>
      </c>
    </row>
    <row r="1881" spans="2:6">
      <c r="B1881" s="22">
        <v>505</v>
      </c>
      <c r="C1881" s="92" t="s">
        <v>339</v>
      </c>
      <c r="D1881" s="93">
        <v>10156807554</v>
      </c>
      <c r="E1881" s="93" t="s">
        <v>340</v>
      </c>
      <c r="F1881" s="8" t="s">
        <v>56</v>
      </c>
    </row>
    <row r="1882" spans="2:6">
      <c r="B1882" s="22">
        <v>506</v>
      </c>
      <c r="C1882" s="92" t="s">
        <v>341</v>
      </c>
      <c r="D1882" s="95" t="s">
        <v>342</v>
      </c>
      <c r="E1882" s="92" t="s">
        <v>108</v>
      </c>
      <c r="F1882" s="8" t="s">
        <v>56</v>
      </c>
    </row>
    <row r="1883" spans="2:6">
      <c r="B1883" s="22">
        <v>507</v>
      </c>
      <c r="C1883" s="92" t="s">
        <v>343</v>
      </c>
      <c r="D1883" s="93">
        <v>10129054440</v>
      </c>
      <c r="E1883" s="92" t="s">
        <v>111</v>
      </c>
      <c r="F1883" s="8" t="s">
        <v>56</v>
      </c>
    </row>
    <row r="1884" spans="2:6">
      <c r="B1884" s="22">
        <v>508</v>
      </c>
      <c r="C1884" s="92" t="s">
        <v>344</v>
      </c>
      <c r="D1884" s="95" t="s">
        <v>345</v>
      </c>
      <c r="E1884" s="93" t="s">
        <v>108</v>
      </c>
      <c r="F1884" s="8" t="s">
        <v>56</v>
      </c>
    </row>
    <row r="1885" spans="2:6">
      <c r="B1885" s="22">
        <v>509</v>
      </c>
      <c r="C1885" s="92" t="s">
        <v>346</v>
      </c>
      <c r="D1885" s="93">
        <v>605370547</v>
      </c>
      <c r="E1885" s="93" t="s">
        <v>65</v>
      </c>
      <c r="F1885" s="8" t="s">
        <v>56</v>
      </c>
    </row>
    <row r="1886" spans="2:6">
      <c r="B1886" s="22">
        <v>510</v>
      </c>
      <c r="C1886" s="92" t="s">
        <v>347</v>
      </c>
      <c r="D1886" s="93">
        <v>10126142218</v>
      </c>
      <c r="E1886" s="93" t="s">
        <v>125</v>
      </c>
      <c r="F1886" s="8" t="s">
        <v>56</v>
      </c>
    </row>
    <row r="1887" spans="2:6">
      <c r="B1887" s="22">
        <v>511</v>
      </c>
      <c r="C1887" s="92" t="s">
        <v>348</v>
      </c>
      <c r="D1887" s="93" t="s">
        <v>66</v>
      </c>
      <c r="E1887" s="93" t="s">
        <v>84</v>
      </c>
      <c r="F1887" s="8" t="s">
        <v>56</v>
      </c>
    </row>
    <row r="1888" spans="2:6">
      <c r="B1888" s="22">
        <v>512</v>
      </c>
      <c r="C1888" s="92" t="s">
        <v>349</v>
      </c>
      <c r="D1888" s="93">
        <v>10131905735</v>
      </c>
      <c r="E1888" s="93" t="s">
        <v>128</v>
      </c>
      <c r="F1888" s="8" t="s">
        <v>56</v>
      </c>
    </row>
    <row r="1889" spans="2:6">
      <c r="B1889" s="22">
        <v>513</v>
      </c>
      <c r="C1889" s="92" t="s">
        <v>350</v>
      </c>
      <c r="D1889" s="93">
        <v>10131905331</v>
      </c>
      <c r="E1889" s="93" t="s">
        <v>130</v>
      </c>
      <c r="F1889" s="8" t="s">
        <v>56</v>
      </c>
    </row>
    <row r="1890" spans="2:6">
      <c r="B1890" s="22">
        <v>514</v>
      </c>
      <c r="C1890" s="92" t="s">
        <v>351</v>
      </c>
      <c r="D1890" s="93">
        <v>10156979326</v>
      </c>
      <c r="E1890" s="93" t="s">
        <v>352</v>
      </c>
      <c r="F1890" s="8" t="s">
        <v>56</v>
      </c>
    </row>
    <row r="1891" spans="2:6">
      <c r="B1891" s="22">
        <v>515</v>
      </c>
      <c r="C1891" s="92" t="s">
        <v>353</v>
      </c>
      <c r="D1891" s="93" t="s">
        <v>66</v>
      </c>
      <c r="E1891" s="93" t="s">
        <v>130</v>
      </c>
      <c r="F1891" s="8" t="s">
        <v>56</v>
      </c>
    </row>
    <row r="1892" spans="2:6">
      <c r="B1892" s="22">
        <v>516</v>
      </c>
      <c r="C1892" s="92" t="s">
        <v>354</v>
      </c>
      <c r="D1892" s="93" t="s">
        <v>66</v>
      </c>
      <c r="E1892" s="93" t="s">
        <v>84</v>
      </c>
      <c r="F1892" s="8" t="s">
        <v>56</v>
      </c>
    </row>
    <row r="1893" spans="2:6">
      <c r="B1893" s="22">
        <v>517</v>
      </c>
      <c r="C1893" s="92" t="s">
        <v>355</v>
      </c>
      <c r="D1893" s="93" t="s">
        <v>66</v>
      </c>
      <c r="E1893" s="93" t="s">
        <v>240</v>
      </c>
      <c r="F1893" s="8" t="s">
        <v>56</v>
      </c>
    </row>
    <row r="1894" spans="2:6">
      <c r="B1894" s="22">
        <v>518</v>
      </c>
      <c r="C1894" s="92" t="s">
        <v>356</v>
      </c>
      <c r="D1894" s="93">
        <v>10141584517</v>
      </c>
      <c r="E1894" s="93" t="s">
        <v>357</v>
      </c>
      <c r="F1894" s="8" t="s">
        <v>56</v>
      </c>
    </row>
    <row r="1895" spans="2:6">
      <c r="B1895" s="22">
        <v>519</v>
      </c>
      <c r="C1895" s="92" t="s">
        <v>358</v>
      </c>
      <c r="D1895" s="93">
        <v>10132818848</v>
      </c>
      <c r="E1895" s="92" t="s">
        <v>359</v>
      </c>
      <c r="F1895" s="8" t="s">
        <v>56</v>
      </c>
    </row>
    <row r="1896" spans="2:6">
      <c r="B1896" s="22">
        <v>520</v>
      </c>
      <c r="C1896" s="92" t="s">
        <v>360</v>
      </c>
      <c r="D1896" s="93" t="s">
        <v>361</v>
      </c>
      <c r="E1896" s="93" t="s">
        <v>129</v>
      </c>
      <c r="F1896" s="8" t="s">
        <v>56</v>
      </c>
    </row>
    <row r="1897" spans="2:6">
      <c r="B1897" s="22">
        <v>521</v>
      </c>
      <c r="C1897" s="92" t="s">
        <v>362</v>
      </c>
      <c r="D1897" s="93">
        <v>10153425183</v>
      </c>
      <c r="E1897" s="93" t="s">
        <v>125</v>
      </c>
      <c r="F1897" s="8" t="s">
        <v>56</v>
      </c>
    </row>
    <row r="1898" spans="2:6">
      <c r="B1898" s="22">
        <v>522</v>
      </c>
      <c r="C1898" s="92" t="s">
        <v>363</v>
      </c>
      <c r="D1898" s="93">
        <v>10141592496</v>
      </c>
      <c r="E1898" s="93" t="s">
        <v>7</v>
      </c>
      <c r="F1898" s="8" t="s">
        <v>56</v>
      </c>
    </row>
    <row r="1899" spans="2:6">
      <c r="B1899" s="22">
        <v>523</v>
      </c>
      <c r="C1899" s="92" t="s">
        <v>364</v>
      </c>
      <c r="D1899" s="93" t="s">
        <v>66</v>
      </c>
      <c r="E1899" s="92" t="s">
        <v>125</v>
      </c>
      <c r="F1899" s="8" t="s">
        <v>56</v>
      </c>
    </row>
    <row r="1900" spans="2:6">
      <c r="B1900" s="22">
        <v>524</v>
      </c>
      <c r="C1900" s="92" t="s">
        <v>365</v>
      </c>
      <c r="D1900" s="93" t="s">
        <v>335</v>
      </c>
      <c r="E1900" s="92" t="s">
        <v>312</v>
      </c>
      <c r="F1900" s="8" t="s">
        <v>56</v>
      </c>
    </row>
    <row r="1901" spans="2:6" ht="15.75">
      <c r="B1901" s="21"/>
      <c r="D1901" s="17"/>
      <c r="E1901" s="17"/>
      <c r="F1901" s="8"/>
    </row>
    <row r="1902" spans="2:6">
      <c r="B1902" s="22">
        <v>581</v>
      </c>
      <c r="C1902" s="93" t="s">
        <v>366</v>
      </c>
      <c r="D1902" s="93">
        <v>121480116</v>
      </c>
      <c r="E1902" s="92" t="s">
        <v>109</v>
      </c>
      <c r="F1902" s="8" t="s">
        <v>57</v>
      </c>
    </row>
    <row r="1903" spans="2:6">
      <c r="B1903" s="22">
        <v>582</v>
      </c>
      <c r="C1903" s="92" t="s">
        <v>367</v>
      </c>
      <c r="D1903" s="93">
        <v>10131906139</v>
      </c>
      <c r="E1903" s="93" t="s">
        <v>130</v>
      </c>
      <c r="F1903" s="8" t="s">
        <v>57</v>
      </c>
    </row>
    <row r="1904" spans="2:6">
      <c r="B1904" s="22">
        <v>583</v>
      </c>
      <c r="C1904" s="92" t="s">
        <v>368</v>
      </c>
      <c r="D1904" s="93">
        <v>10154228768</v>
      </c>
      <c r="E1904" s="93" t="s">
        <v>130</v>
      </c>
      <c r="F1904" s="8" t="s">
        <v>57</v>
      </c>
    </row>
    <row r="1905" spans="2:6">
      <c r="B1905" s="22">
        <v>584</v>
      </c>
      <c r="C1905" s="93" t="s">
        <v>369</v>
      </c>
      <c r="D1905" s="93">
        <v>10154309503</v>
      </c>
      <c r="E1905" s="92" t="s">
        <v>110</v>
      </c>
      <c r="F1905" s="8" t="s">
        <v>57</v>
      </c>
    </row>
    <row r="1906" spans="2:6">
      <c r="B1906" s="22">
        <v>585</v>
      </c>
      <c r="C1906" s="92" t="s">
        <v>370</v>
      </c>
      <c r="D1906" s="93">
        <v>9957</v>
      </c>
      <c r="E1906" s="93" t="s">
        <v>134</v>
      </c>
      <c r="F1906" s="8" t="s">
        <v>57</v>
      </c>
    </row>
    <row r="1907" spans="2:6">
      <c r="B1907" s="22">
        <v>586</v>
      </c>
      <c r="C1907" s="92" t="s">
        <v>371</v>
      </c>
      <c r="D1907" s="93" t="s">
        <v>66</v>
      </c>
      <c r="E1907" s="92" t="s">
        <v>150</v>
      </c>
      <c r="F1907" s="8" t="s">
        <v>57</v>
      </c>
    </row>
    <row r="1908" spans="2:6">
      <c r="B1908" s="22">
        <v>587</v>
      </c>
      <c r="C1908" s="92" t="s">
        <v>372</v>
      </c>
      <c r="D1908" s="93" t="s">
        <v>66</v>
      </c>
      <c r="E1908" s="93" t="s">
        <v>150</v>
      </c>
      <c r="F1908" s="8" t="s">
        <v>57</v>
      </c>
    </row>
    <row r="1909" spans="2:6">
      <c r="B1909" s="22">
        <v>588</v>
      </c>
      <c r="C1909" s="92" t="s">
        <v>373</v>
      </c>
      <c r="D1909" s="93" t="s">
        <v>66</v>
      </c>
      <c r="E1909" s="93" t="s">
        <v>111</v>
      </c>
      <c r="F1909" s="8" t="s">
        <v>57</v>
      </c>
    </row>
    <row r="1910" spans="2:6">
      <c r="B1910" s="22">
        <v>589</v>
      </c>
      <c r="C1910" s="92" t="s">
        <v>374</v>
      </c>
      <c r="D1910" s="93">
        <v>10164743366</v>
      </c>
      <c r="E1910" s="93" t="s">
        <v>107</v>
      </c>
      <c r="F1910" s="8" t="s">
        <v>57</v>
      </c>
    </row>
    <row r="1911" spans="2:6">
      <c r="B1911" s="22">
        <v>590</v>
      </c>
      <c r="C1911" s="92" t="s">
        <v>375</v>
      </c>
      <c r="D1911" s="93" t="s">
        <v>66</v>
      </c>
      <c r="E1911" s="93" t="s">
        <v>376</v>
      </c>
      <c r="F1911" s="8" t="s">
        <v>57</v>
      </c>
    </row>
    <row r="1912" spans="2:6">
      <c r="B1912" s="2"/>
      <c r="D1912" s="17"/>
      <c r="E1912" s="17"/>
      <c r="F1912" s="8"/>
    </row>
    <row r="1913" spans="2:6">
      <c r="B1913" s="22">
        <v>401</v>
      </c>
      <c r="C1913" s="92" t="s">
        <v>377</v>
      </c>
      <c r="D1913" s="93">
        <v>12162383236</v>
      </c>
      <c r="E1913" s="93" t="s">
        <v>126</v>
      </c>
      <c r="F1913" s="8" t="s">
        <v>158</v>
      </c>
    </row>
    <row r="1914" spans="2:6">
      <c r="B1914" s="22">
        <v>402</v>
      </c>
      <c r="C1914" s="92" t="s">
        <v>378</v>
      </c>
      <c r="D1914" s="93" t="s">
        <v>66</v>
      </c>
      <c r="E1914" s="93" t="s">
        <v>65</v>
      </c>
      <c r="F1914" s="8" t="s">
        <v>158</v>
      </c>
    </row>
    <row r="1915" spans="2:6">
      <c r="B1915" s="22">
        <v>403</v>
      </c>
      <c r="C1915" s="92" t="s">
        <v>379</v>
      </c>
      <c r="D1915" s="93" t="s">
        <v>66</v>
      </c>
      <c r="E1915" s="93" t="s">
        <v>101</v>
      </c>
      <c r="F1915" s="8" t="s">
        <v>158</v>
      </c>
    </row>
    <row r="1916" spans="2:6">
      <c r="B1916" s="22">
        <v>404</v>
      </c>
      <c r="C1916" s="92" t="s">
        <v>380</v>
      </c>
      <c r="D1916" s="93">
        <v>10130330796</v>
      </c>
      <c r="E1916" s="93" t="s">
        <v>65</v>
      </c>
      <c r="F1916" s="8" t="s">
        <v>158</v>
      </c>
    </row>
    <row r="1917" spans="2:6">
      <c r="B1917" s="22">
        <v>405</v>
      </c>
      <c r="C1917" s="92" t="s">
        <v>381</v>
      </c>
      <c r="D1917" s="93">
        <v>10172048072</v>
      </c>
      <c r="E1917" s="93" t="s">
        <v>382</v>
      </c>
      <c r="F1917" s="8" t="s">
        <v>158</v>
      </c>
    </row>
    <row r="1918" spans="2:6">
      <c r="B1918" s="22">
        <v>406</v>
      </c>
      <c r="C1918" s="92" t="s">
        <v>383</v>
      </c>
      <c r="D1918" s="93" t="s">
        <v>66</v>
      </c>
      <c r="E1918" s="93" t="s">
        <v>331</v>
      </c>
      <c r="F1918" s="8" t="s">
        <v>158</v>
      </c>
    </row>
    <row r="1919" spans="2:6" ht="15.75">
      <c r="B1919" s="42"/>
      <c r="D1919" s="17"/>
      <c r="E1919" s="17"/>
      <c r="F1919" s="8"/>
    </row>
    <row r="1920" spans="2:6">
      <c r="B1920" s="22">
        <v>481</v>
      </c>
      <c r="C1920" s="92" t="s">
        <v>384</v>
      </c>
      <c r="D1920" s="93">
        <v>10162377172</v>
      </c>
      <c r="E1920" s="93" t="s">
        <v>385</v>
      </c>
      <c r="F1920" s="8" t="s">
        <v>159</v>
      </c>
    </row>
    <row r="1921" spans="2:6">
      <c r="B1921" s="22">
        <v>482</v>
      </c>
      <c r="C1921" s="92" t="s">
        <v>386</v>
      </c>
      <c r="D1921" s="93" t="s">
        <v>66</v>
      </c>
      <c r="E1921" s="92" t="s">
        <v>387</v>
      </c>
      <c r="F1921" s="8" t="s">
        <v>159</v>
      </c>
    </row>
    <row r="1922" spans="2:6">
      <c r="B1922" s="22">
        <v>483</v>
      </c>
      <c r="C1922" s="92" t="s">
        <v>388</v>
      </c>
      <c r="D1922" s="93" t="s">
        <v>66</v>
      </c>
      <c r="E1922" s="93" t="s">
        <v>65</v>
      </c>
      <c r="F1922" s="8" t="s">
        <v>159</v>
      </c>
    </row>
    <row r="1923" spans="2:6">
      <c r="B1923" s="22">
        <v>484</v>
      </c>
      <c r="C1923" s="92" t="s">
        <v>389</v>
      </c>
      <c r="D1923" s="93" t="s">
        <v>66</v>
      </c>
      <c r="E1923" s="93" t="s">
        <v>6</v>
      </c>
      <c r="F1923" s="8" t="s">
        <v>159</v>
      </c>
    </row>
    <row r="1924" spans="2:6" ht="15.75">
      <c r="B1924" s="21"/>
      <c r="D1924" s="17"/>
      <c r="E1924" s="17"/>
      <c r="F1924" s="8"/>
    </row>
    <row r="1925" spans="2:6">
      <c r="B1925" s="22">
        <v>701</v>
      </c>
      <c r="C1925" s="92" t="s">
        <v>390</v>
      </c>
      <c r="D1925" s="93">
        <v>10079383568</v>
      </c>
      <c r="E1925" s="93" t="s">
        <v>151</v>
      </c>
      <c r="F1925" s="8" t="s">
        <v>58</v>
      </c>
    </row>
    <row r="1926" spans="2:6">
      <c r="B1926" s="22">
        <v>702</v>
      </c>
      <c r="C1926" s="93" t="s">
        <v>391</v>
      </c>
      <c r="D1926" s="93" t="s">
        <v>66</v>
      </c>
      <c r="E1926" s="93" t="s">
        <v>392</v>
      </c>
      <c r="F1926" s="8" t="s">
        <v>58</v>
      </c>
    </row>
    <row r="1927" spans="2:6">
      <c r="B1927" s="22">
        <v>703</v>
      </c>
      <c r="C1927" s="92" t="s">
        <v>393</v>
      </c>
      <c r="D1927" s="93">
        <v>10132019812</v>
      </c>
      <c r="E1927" s="93" t="s">
        <v>123</v>
      </c>
      <c r="F1927" s="8" t="s">
        <v>58</v>
      </c>
    </row>
    <row r="1928" spans="2:6">
      <c r="B1928" s="22">
        <v>704</v>
      </c>
      <c r="C1928" s="92" t="s">
        <v>103</v>
      </c>
      <c r="D1928" s="93">
        <v>10125323576</v>
      </c>
      <c r="E1928" s="93" t="s">
        <v>394</v>
      </c>
      <c r="F1928" s="8" t="s">
        <v>58</v>
      </c>
    </row>
    <row r="1929" spans="2:6">
      <c r="B1929" s="22">
        <v>705</v>
      </c>
      <c r="C1929" s="92" t="s">
        <v>395</v>
      </c>
      <c r="D1929" s="93">
        <v>10016062372</v>
      </c>
      <c r="E1929" s="93" t="s">
        <v>110</v>
      </c>
      <c r="F1929" s="8" t="s">
        <v>58</v>
      </c>
    </row>
    <row r="1930" spans="2:6">
      <c r="B1930" s="22">
        <v>706</v>
      </c>
      <c r="C1930" s="93" t="s">
        <v>396</v>
      </c>
      <c r="D1930" s="93" t="s">
        <v>66</v>
      </c>
      <c r="E1930" s="93" t="s">
        <v>397</v>
      </c>
      <c r="F1930" s="8" t="s">
        <v>58</v>
      </c>
    </row>
    <row r="1931" spans="2:6">
      <c r="B1931" s="22">
        <v>707</v>
      </c>
      <c r="C1931" s="93" t="s">
        <v>135</v>
      </c>
      <c r="D1931" s="93" t="s">
        <v>66</v>
      </c>
      <c r="E1931" s="93" t="s">
        <v>398</v>
      </c>
      <c r="F1931" s="8" t="s">
        <v>58</v>
      </c>
    </row>
    <row r="1932" spans="2:6">
      <c r="B1932" s="22">
        <v>708</v>
      </c>
      <c r="C1932" s="92" t="s">
        <v>399</v>
      </c>
      <c r="D1932" s="93">
        <v>10056033143</v>
      </c>
      <c r="E1932" s="93" t="s">
        <v>400</v>
      </c>
      <c r="F1932" s="8" t="s">
        <v>58</v>
      </c>
    </row>
    <row r="1933" spans="2:6">
      <c r="B1933" s="22">
        <v>709</v>
      </c>
      <c r="C1933" s="92" t="s">
        <v>153</v>
      </c>
      <c r="D1933" s="93">
        <v>10124844640</v>
      </c>
      <c r="E1933" s="93" t="s">
        <v>401</v>
      </c>
      <c r="F1933" s="8" t="s">
        <v>58</v>
      </c>
    </row>
    <row r="1934" spans="2:6">
      <c r="B1934" s="22">
        <v>710</v>
      </c>
      <c r="C1934" s="92" t="s">
        <v>402</v>
      </c>
      <c r="D1934" s="93" t="s">
        <v>66</v>
      </c>
      <c r="E1934" s="93" t="s">
        <v>131</v>
      </c>
      <c r="F1934" s="8" t="s">
        <v>58</v>
      </c>
    </row>
    <row r="1935" spans="2:6">
      <c r="B1935" s="22">
        <v>711</v>
      </c>
      <c r="C1935" s="92" t="s">
        <v>403</v>
      </c>
      <c r="D1935" s="93" t="s">
        <v>66</v>
      </c>
      <c r="E1935" s="93" t="s">
        <v>404</v>
      </c>
      <c r="F1935" s="8" t="s">
        <v>58</v>
      </c>
    </row>
    <row r="1936" spans="2:6" ht="15.75">
      <c r="B1936" s="21"/>
      <c r="D1936" s="17"/>
      <c r="E1936" s="17"/>
      <c r="F1936" s="8"/>
    </row>
    <row r="1937" spans="2:6">
      <c r="B1937" s="22">
        <v>751</v>
      </c>
      <c r="C1937" s="92" t="s">
        <v>114</v>
      </c>
      <c r="D1937" s="93">
        <v>10127988349</v>
      </c>
      <c r="E1937" s="93" t="s">
        <v>100</v>
      </c>
      <c r="F1937" s="8" t="s">
        <v>59</v>
      </c>
    </row>
    <row r="1938" spans="2:6">
      <c r="B1938" s="22">
        <v>752</v>
      </c>
      <c r="C1938" s="92" t="s">
        <v>405</v>
      </c>
      <c r="D1938" s="93">
        <v>10001352223</v>
      </c>
      <c r="E1938" s="93" t="s">
        <v>406</v>
      </c>
      <c r="F1938" s="8" t="s">
        <v>59</v>
      </c>
    </row>
    <row r="1939" spans="2:6">
      <c r="B1939" s="22">
        <v>753</v>
      </c>
      <c r="C1939" s="92" t="s">
        <v>407</v>
      </c>
      <c r="D1939" s="93" t="s">
        <v>66</v>
      </c>
      <c r="E1939" s="93" t="s">
        <v>408</v>
      </c>
      <c r="F1939" s="8" t="s">
        <v>59</v>
      </c>
    </row>
    <row r="1940" spans="2:6">
      <c r="B1940" s="22">
        <v>754</v>
      </c>
      <c r="C1940" s="92" t="s">
        <v>139</v>
      </c>
      <c r="D1940" s="93">
        <v>10055096788</v>
      </c>
      <c r="E1940" s="93" t="s">
        <v>409</v>
      </c>
      <c r="F1940" s="8" t="s">
        <v>59</v>
      </c>
    </row>
    <row r="1941" spans="2:6">
      <c r="B1941" s="22">
        <v>755</v>
      </c>
      <c r="C1941" s="92" t="s">
        <v>410</v>
      </c>
      <c r="D1941" s="93">
        <v>10076558444</v>
      </c>
      <c r="E1941" s="93" t="s">
        <v>411</v>
      </c>
      <c r="F1941" s="8" t="s">
        <v>59</v>
      </c>
    </row>
    <row r="1942" spans="2:6">
      <c r="B1942" s="22">
        <v>756</v>
      </c>
      <c r="C1942" s="92" t="s">
        <v>412</v>
      </c>
      <c r="D1942" s="93">
        <v>10137070781</v>
      </c>
      <c r="E1942" s="93" t="s">
        <v>6</v>
      </c>
      <c r="F1942" s="8" t="s">
        <v>59</v>
      </c>
    </row>
    <row r="1943" spans="2:6">
      <c r="B1943" s="22">
        <v>757</v>
      </c>
      <c r="C1943" s="92" t="s">
        <v>136</v>
      </c>
      <c r="D1943" s="93">
        <v>10111671939</v>
      </c>
      <c r="E1943" s="93" t="s">
        <v>413</v>
      </c>
      <c r="F1943" s="8" t="s">
        <v>59</v>
      </c>
    </row>
    <row r="1944" spans="2:6">
      <c r="B1944" s="22">
        <v>758</v>
      </c>
      <c r="C1944" s="92" t="s">
        <v>414</v>
      </c>
      <c r="D1944" s="93">
        <v>10140636745</v>
      </c>
      <c r="E1944" s="93" t="s">
        <v>124</v>
      </c>
      <c r="F1944" s="8" t="s">
        <v>59</v>
      </c>
    </row>
    <row r="1945" spans="2:6">
      <c r="B1945" s="22">
        <v>759</v>
      </c>
      <c r="C1945" s="92" t="s">
        <v>415</v>
      </c>
      <c r="D1945" s="93" t="s">
        <v>66</v>
      </c>
      <c r="E1945" s="93" t="s">
        <v>416</v>
      </c>
      <c r="F1945" s="8" t="s">
        <v>59</v>
      </c>
    </row>
    <row r="1946" spans="2:6">
      <c r="B1946" s="22">
        <v>760</v>
      </c>
      <c r="C1946" s="92" t="s">
        <v>417</v>
      </c>
      <c r="D1946" s="93">
        <v>10112138246</v>
      </c>
      <c r="E1946" s="93" t="s">
        <v>418</v>
      </c>
      <c r="F1946" s="8" t="s">
        <v>59</v>
      </c>
    </row>
    <row r="1947" spans="2:6">
      <c r="B1947" s="22">
        <v>761</v>
      </c>
      <c r="C1947" s="92" t="s">
        <v>87</v>
      </c>
      <c r="D1947" s="93">
        <v>10126504047</v>
      </c>
      <c r="E1947" s="93" t="s">
        <v>419</v>
      </c>
      <c r="F1947" s="8" t="s">
        <v>59</v>
      </c>
    </row>
    <row r="1948" spans="2:6">
      <c r="B1948" s="22">
        <v>762</v>
      </c>
      <c r="C1948" s="92" t="s">
        <v>420</v>
      </c>
      <c r="D1948" s="93">
        <v>10122223115</v>
      </c>
      <c r="E1948" s="93" t="s">
        <v>70</v>
      </c>
      <c r="F1948" s="8" t="s">
        <v>59</v>
      </c>
    </row>
    <row r="1949" spans="2:6">
      <c r="B1949" s="22">
        <v>763</v>
      </c>
      <c r="C1949" s="92" t="s">
        <v>421</v>
      </c>
      <c r="D1949" s="93">
        <v>10103825447</v>
      </c>
      <c r="E1949" s="93" t="s">
        <v>422</v>
      </c>
      <c r="F1949" s="8" t="s">
        <v>59</v>
      </c>
    </row>
    <row r="1950" spans="2:6">
      <c r="B1950" s="22">
        <v>764</v>
      </c>
      <c r="C1950" s="92" t="s">
        <v>423</v>
      </c>
      <c r="D1950" s="93">
        <v>10090080749</v>
      </c>
      <c r="E1950" s="93" t="s">
        <v>424</v>
      </c>
      <c r="F1950" s="8" t="s">
        <v>59</v>
      </c>
    </row>
    <row r="1951" spans="2:6">
      <c r="B1951" s="22">
        <v>765</v>
      </c>
      <c r="C1951" s="92" t="s">
        <v>425</v>
      </c>
      <c r="D1951" s="93">
        <v>10170981880</v>
      </c>
      <c r="E1951" s="93" t="s">
        <v>426</v>
      </c>
      <c r="F1951" s="8" t="s">
        <v>59</v>
      </c>
    </row>
    <row r="1952" spans="2:6">
      <c r="B1952" s="77"/>
      <c r="D1952" s="17"/>
      <c r="E1952" s="17"/>
      <c r="F1952" s="8"/>
    </row>
    <row r="1953" spans="2:6">
      <c r="B1953" s="96">
        <v>801</v>
      </c>
      <c r="C1953" s="92" t="s">
        <v>115</v>
      </c>
      <c r="D1953" s="93">
        <v>10102979628</v>
      </c>
      <c r="E1953" s="93" t="s">
        <v>427</v>
      </c>
      <c r="F1953" s="8" t="s">
        <v>72</v>
      </c>
    </row>
    <row r="1954" spans="2:6">
      <c r="B1954" s="96">
        <v>802</v>
      </c>
      <c r="C1954" s="97" t="s">
        <v>428</v>
      </c>
      <c r="D1954" s="98">
        <v>10075677966</v>
      </c>
      <c r="E1954" s="98" t="s">
        <v>429</v>
      </c>
      <c r="F1954" s="8" t="s">
        <v>72</v>
      </c>
    </row>
    <row r="1955" spans="2:6">
      <c r="B1955" s="96">
        <v>803</v>
      </c>
      <c r="C1955" s="92" t="s">
        <v>141</v>
      </c>
      <c r="D1955" s="93">
        <v>10097275725</v>
      </c>
      <c r="E1955" s="93" t="s">
        <v>6</v>
      </c>
      <c r="F1955" s="8" t="s">
        <v>72</v>
      </c>
    </row>
    <row r="1956" spans="2:6">
      <c r="B1956" s="96">
        <v>804</v>
      </c>
      <c r="C1956" s="92" t="s">
        <v>430</v>
      </c>
      <c r="D1956" s="93">
        <v>10057935252</v>
      </c>
      <c r="E1956" s="93" t="s">
        <v>431</v>
      </c>
      <c r="F1956" s="8" t="s">
        <v>72</v>
      </c>
    </row>
    <row r="1957" spans="2:6">
      <c r="B1957" s="96">
        <v>805</v>
      </c>
      <c r="C1957" s="97" t="s">
        <v>432</v>
      </c>
      <c r="D1957" s="98">
        <v>10122661938</v>
      </c>
      <c r="E1957" s="98" t="s">
        <v>6</v>
      </c>
      <c r="F1957" s="8" t="s">
        <v>72</v>
      </c>
    </row>
    <row r="1958" spans="2:6">
      <c r="B1958" s="96">
        <v>806</v>
      </c>
      <c r="C1958" s="92" t="s">
        <v>140</v>
      </c>
      <c r="D1958" s="93">
        <v>10074956126</v>
      </c>
      <c r="E1958" s="93" t="s">
        <v>433</v>
      </c>
      <c r="F1958" s="8" t="s">
        <v>72</v>
      </c>
    </row>
    <row r="1959" spans="2:6">
      <c r="B1959" s="96">
        <v>807</v>
      </c>
      <c r="C1959" s="92" t="s">
        <v>434</v>
      </c>
      <c r="D1959" s="93">
        <v>10165483293</v>
      </c>
      <c r="E1959" s="93" t="s">
        <v>240</v>
      </c>
      <c r="F1959" s="8" t="s">
        <v>72</v>
      </c>
    </row>
    <row r="1960" spans="2:6">
      <c r="B1960" s="96">
        <v>808</v>
      </c>
      <c r="C1960" s="92" t="s">
        <v>113</v>
      </c>
      <c r="D1960" s="93">
        <v>10139092324</v>
      </c>
      <c r="E1960" s="93" t="s">
        <v>137</v>
      </c>
      <c r="F1960" s="8" t="s">
        <v>72</v>
      </c>
    </row>
    <row r="1961" spans="2:6">
      <c r="B1961" s="96">
        <v>809</v>
      </c>
      <c r="C1961" s="92" t="s">
        <v>435</v>
      </c>
      <c r="D1961" s="93">
        <v>10114420473</v>
      </c>
      <c r="E1961" s="93" t="s">
        <v>436</v>
      </c>
      <c r="F1961" s="8" t="s">
        <v>72</v>
      </c>
    </row>
    <row r="1962" spans="2:6">
      <c r="B1962" s="96">
        <v>810</v>
      </c>
      <c r="C1962" s="92" t="s">
        <v>437</v>
      </c>
      <c r="D1962" s="93">
        <v>10061985206</v>
      </c>
      <c r="E1962" s="93" t="s">
        <v>100</v>
      </c>
      <c r="F1962" s="8" t="s">
        <v>72</v>
      </c>
    </row>
    <row r="1963" spans="2:6">
      <c r="B1963" s="96">
        <v>811</v>
      </c>
      <c r="C1963" s="92" t="s">
        <v>438</v>
      </c>
      <c r="D1963" s="93">
        <v>10124200400</v>
      </c>
      <c r="E1963" s="93" t="s">
        <v>394</v>
      </c>
      <c r="F1963" s="8" t="s">
        <v>72</v>
      </c>
    </row>
    <row r="1964" spans="2:6">
      <c r="B1964" s="96">
        <v>812</v>
      </c>
      <c r="C1964" s="92" t="s">
        <v>439</v>
      </c>
      <c r="D1964" s="93">
        <v>10061845463</v>
      </c>
      <c r="E1964" s="93" t="s">
        <v>440</v>
      </c>
      <c r="F1964" s="8" t="s">
        <v>72</v>
      </c>
    </row>
    <row r="1965" spans="2:6">
      <c r="B1965" s="96">
        <v>813</v>
      </c>
      <c r="C1965" s="92" t="s">
        <v>441</v>
      </c>
      <c r="D1965" s="93">
        <v>10051209819</v>
      </c>
      <c r="E1965" s="93" t="s">
        <v>442</v>
      </c>
      <c r="F1965" s="8" t="s">
        <v>72</v>
      </c>
    </row>
    <row r="1966" spans="2:6">
      <c r="B1966" s="96">
        <v>814</v>
      </c>
      <c r="C1966" s="92" t="s">
        <v>88</v>
      </c>
      <c r="D1966" s="93">
        <v>10114540513</v>
      </c>
      <c r="E1966" s="93" t="s">
        <v>89</v>
      </c>
      <c r="F1966" s="8" t="s">
        <v>72</v>
      </c>
    </row>
    <row r="1967" spans="2:6">
      <c r="B1967" s="96">
        <v>815</v>
      </c>
      <c r="C1967" s="93" t="s">
        <v>443</v>
      </c>
      <c r="D1967" s="93">
        <v>10131791254</v>
      </c>
      <c r="E1967" s="92" t="s">
        <v>154</v>
      </c>
      <c r="F1967" s="8" t="s">
        <v>72</v>
      </c>
    </row>
    <row r="1968" spans="2:6">
      <c r="B1968" s="96">
        <v>816</v>
      </c>
      <c r="C1968" s="97" t="s">
        <v>444</v>
      </c>
      <c r="D1968" s="98" t="s">
        <v>66</v>
      </c>
      <c r="E1968" s="98" t="s">
        <v>445</v>
      </c>
      <c r="F1968" s="8" t="s">
        <v>72</v>
      </c>
    </row>
    <row r="1969" spans="2:6">
      <c r="B1969" s="2"/>
      <c r="D1969" s="17"/>
      <c r="E1969" s="17"/>
      <c r="F1969" s="8"/>
    </row>
    <row r="1970" spans="2:6">
      <c r="B1970" s="22">
        <v>851</v>
      </c>
      <c r="C1970" s="92" t="s">
        <v>446</v>
      </c>
      <c r="D1970" s="93">
        <v>10060932451</v>
      </c>
      <c r="E1970" s="93" t="s">
        <v>116</v>
      </c>
      <c r="F1970" s="8" t="s">
        <v>90</v>
      </c>
    </row>
    <row r="1971" spans="2:6">
      <c r="B1971" s="22">
        <v>852</v>
      </c>
      <c r="C1971" s="92" t="s">
        <v>118</v>
      </c>
      <c r="D1971" s="93">
        <v>10007726234</v>
      </c>
      <c r="E1971" s="93" t="s">
        <v>119</v>
      </c>
      <c r="F1971" s="8" t="s">
        <v>90</v>
      </c>
    </row>
    <row r="1972" spans="2:6">
      <c r="B1972" s="22">
        <v>853</v>
      </c>
      <c r="C1972" s="92" t="s">
        <v>447</v>
      </c>
      <c r="D1972" s="93">
        <v>10122227054</v>
      </c>
      <c r="E1972" s="93" t="s">
        <v>100</v>
      </c>
      <c r="F1972" s="8" t="s">
        <v>90</v>
      </c>
    </row>
    <row r="1973" spans="2:6">
      <c r="B1973" s="22">
        <v>854</v>
      </c>
      <c r="C1973" s="92" t="s">
        <v>448</v>
      </c>
      <c r="D1973" s="93">
        <v>10061982172</v>
      </c>
      <c r="E1973" s="93" t="s">
        <v>449</v>
      </c>
      <c r="F1973" s="8" t="s">
        <v>90</v>
      </c>
    </row>
    <row r="1974" spans="2:6">
      <c r="B1974" s="22">
        <v>855</v>
      </c>
      <c r="C1974" s="92" t="s">
        <v>450</v>
      </c>
      <c r="D1974" s="93">
        <v>10059069243</v>
      </c>
      <c r="E1974" s="93" t="s">
        <v>110</v>
      </c>
      <c r="F1974" s="8" t="s">
        <v>90</v>
      </c>
    </row>
    <row r="1975" spans="2:6">
      <c r="B1975" s="22">
        <v>856</v>
      </c>
      <c r="C1975" s="92" t="s">
        <v>451</v>
      </c>
      <c r="D1975" s="93">
        <v>10075672815</v>
      </c>
      <c r="E1975" s="93" t="s">
        <v>452</v>
      </c>
      <c r="F1975" s="8" t="s">
        <v>90</v>
      </c>
    </row>
    <row r="1976" spans="2:6">
      <c r="B1976" s="22">
        <v>857</v>
      </c>
      <c r="C1976" s="92" t="s">
        <v>453</v>
      </c>
      <c r="D1976" s="93">
        <v>10101543725</v>
      </c>
      <c r="E1976" s="93" t="s">
        <v>454</v>
      </c>
      <c r="F1976" s="8" t="s">
        <v>90</v>
      </c>
    </row>
    <row r="1977" spans="2:6">
      <c r="B1977" s="22">
        <v>858</v>
      </c>
      <c r="C1977" s="92" t="s">
        <v>455</v>
      </c>
      <c r="D1977" s="93" t="s">
        <v>456</v>
      </c>
      <c r="E1977" s="93" t="s">
        <v>457</v>
      </c>
      <c r="F1977" s="8" t="s">
        <v>90</v>
      </c>
    </row>
    <row r="1978" spans="2:6">
      <c r="B1978" s="22">
        <v>859</v>
      </c>
      <c r="C1978" s="92" t="s">
        <v>458</v>
      </c>
      <c r="D1978" s="93">
        <v>10051462726</v>
      </c>
      <c r="E1978" s="93" t="s">
        <v>459</v>
      </c>
      <c r="F1978" s="8" t="s">
        <v>90</v>
      </c>
    </row>
    <row r="1979" spans="2:6">
      <c r="B1979" s="22">
        <v>860</v>
      </c>
      <c r="C1979" s="92" t="s">
        <v>460</v>
      </c>
      <c r="D1979" s="93">
        <v>10061984903</v>
      </c>
      <c r="E1979" s="93" t="s">
        <v>424</v>
      </c>
      <c r="F1979" s="8" t="s">
        <v>90</v>
      </c>
    </row>
    <row r="1980" spans="2:6">
      <c r="B1980" s="22">
        <v>861</v>
      </c>
      <c r="C1980" s="92" t="s">
        <v>461</v>
      </c>
      <c r="D1980" s="93" t="s">
        <v>66</v>
      </c>
      <c r="E1980" s="93" t="s">
        <v>462</v>
      </c>
      <c r="F1980" s="8" t="s">
        <v>90</v>
      </c>
    </row>
    <row r="1981" spans="2:6">
      <c r="B1981" s="22">
        <v>862</v>
      </c>
      <c r="C1981" s="92" t="s">
        <v>142</v>
      </c>
      <c r="D1981" s="93">
        <v>10120760132</v>
      </c>
      <c r="E1981" s="93" t="s">
        <v>117</v>
      </c>
      <c r="F1981" s="8" t="s">
        <v>90</v>
      </c>
    </row>
    <row r="1982" spans="2:6">
      <c r="B1982" s="22">
        <v>863</v>
      </c>
      <c r="C1982" s="92" t="s">
        <v>463</v>
      </c>
      <c r="D1982" s="93" t="s">
        <v>66</v>
      </c>
      <c r="E1982" s="93" t="s">
        <v>131</v>
      </c>
      <c r="F1982" s="8" t="s">
        <v>90</v>
      </c>
    </row>
    <row r="1983" spans="2:6">
      <c r="B1983" s="22">
        <v>864</v>
      </c>
      <c r="C1983" s="92" t="s">
        <v>464</v>
      </c>
      <c r="D1983" s="93">
        <v>10126882448</v>
      </c>
      <c r="E1983" s="93" t="s">
        <v>69</v>
      </c>
      <c r="F1983" s="8" t="s">
        <v>90</v>
      </c>
    </row>
    <row r="1984" spans="2:6">
      <c r="B1984" s="22">
        <v>865</v>
      </c>
      <c r="C1984" s="92" t="s">
        <v>465</v>
      </c>
      <c r="D1984" s="93">
        <v>10138850531</v>
      </c>
      <c r="E1984" s="93" t="s">
        <v>466</v>
      </c>
      <c r="F1984" s="8" t="s">
        <v>90</v>
      </c>
    </row>
    <row r="1985" spans="2:6">
      <c r="B1985" s="22">
        <v>866</v>
      </c>
      <c r="C1985" s="92" t="s">
        <v>467</v>
      </c>
      <c r="D1985" s="93">
        <v>10079385386</v>
      </c>
      <c r="E1985" s="93" t="s">
        <v>6</v>
      </c>
      <c r="F1985" s="8" t="s">
        <v>90</v>
      </c>
    </row>
    <row r="1986" spans="2:6">
      <c r="B1986" s="22">
        <v>867</v>
      </c>
      <c r="C1986" s="92" t="s">
        <v>468</v>
      </c>
      <c r="D1986" s="93">
        <v>10104387239</v>
      </c>
      <c r="E1986" s="93" t="s">
        <v>70</v>
      </c>
      <c r="F1986" s="8" t="s">
        <v>90</v>
      </c>
    </row>
    <row r="1987" spans="2:6">
      <c r="B1987" s="22">
        <v>868</v>
      </c>
      <c r="C1987" s="92" t="s">
        <v>469</v>
      </c>
      <c r="D1987" s="93">
        <v>10074930662</v>
      </c>
      <c r="E1987" s="93" t="s">
        <v>392</v>
      </c>
      <c r="F1987" s="8" t="s">
        <v>90</v>
      </c>
    </row>
    <row r="1988" spans="2:6">
      <c r="B1988" s="22">
        <v>869</v>
      </c>
      <c r="C1988" s="92" t="s">
        <v>470</v>
      </c>
      <c r="D1988" s="93" t="s">
        <v>66</v>
      </c>
      <c r="E1988" s="93" t="s">
        <v>471</v>
      </c>
      <c r="F1988" s="8" t="s">
        <v>90</v>
      </c>
    </row>
    <row r="1989" spans="2:6" ht="15.75">
      <c r="B1989" s="48"/>
      <c r="D1989" s="2"/>
      <c r="E1989" s="17"/>
      <c r="F1989" s="8"/>
    </row>
    <row r="1990" spans="2:6">
      <c r="B1990" s="96">
        <v>901</v>
      </c>
      <c r="C1990" s="92" t="s">
        <v>472</v>
      </c>
      <c r="D1990" s="22" t="s">
        <v>66</v>
      </c>
      <c r="E1990" s="92" t="s">
        <v>155</v>
      </c>
      <c r="F1990" s="8" t="s">
        <v>91</v>
      </c>
    </row>
    <row r="1991" spans="2:6">
      <c r="B1991" s="96">
        <v>902</v>
      </c>
      <c r="C1991" s="92" t="s">
        <v>473</v>
      </c>
      <c r="D1991" s="22">
        <v>10061990660</v>
      </c>
      <c r="E1991" s="93" t="s">
        <v>144</v>
      </c>
      <c r="F1991" s="8" t="s">
        <v>91</v>
      </c>
    </row>
    <row r="1992" spans="2:6">
      <c r="B1992" s="96">
        <v>903</v>
      </c>
      <c r="C1992" s="97" t="s">
        <v>73</v>
      </c>
      <c r="D1992" s="99">
        <v>10061997734</v>
      </c>
      <c r="E1992" s="98" t="s">
        <v>69</v>
      </c>
      <c r="F1992" s="8" t="s">
        <v>91</v>
      </c>
    </row>
    <row r="1993" spans="2:6">
      <c r="B1993" s="96">
        <v>904</v>
      </c>
      <c r="C1993" s="92" t="s">
        <v>146</v>
      </c>
      <c r="D1993" s="22">
        <v>10052228218</v>
      </c>
      <c r="E1993" s="93" t="s">
        <v>100</v>
      </c>
      <c r="F1993" s="8" t="s">
        <v>91</v>
      </c>
    </row>
    <row r="1994" spans="2:6">
      <c r="B1994" s="96">
        <v>905</v>
      </c>
      <c r="C1994" s="92" t="s">
        <v>474</v>
      </c>
      <c r="D1994" s="22">
        <v>10061855668</v>
      </c>
      <c r="E1994" s="93" t="s">
        <v>475</v>
      </c>
      <c r="F1994" s="8" t="s">
        <v>91</v>
      </c>
    </row>
    <row r="1995" spans="2:6">
      <c r="B1995" s="96">
        <v>906</v>
      </c>
      <c r="C1995" s="92" t="s">
        <v>476</v>
      </c>
      <c r="D1995" s="22">
        <v>10054780328</v>
      </c>
      <c r="E1995" s="93" t="s">
        <v>100</v>
      </c>
      <c r="F1995" s="8" t="s">
        <v>91</v>
      </c>
    </row>
    <row r="1996" spans="2:6">
      <c r="B1996" s="96">
        <v>907</v>
      </c>
      <c r="C1996" s="92" t="s">
        <v>477</v>
      </c>
      <c r="D1996" s="22">
        <v>10075039079</v>
      </c>
      <c r="E1996" s="93" t="s">
        <v>478</v>
      </c>
      <c r="F1996" s="8" t="s">
        <v>91</v>
      </c>
    </row>
    <row r="1997" spans="2:6">
      <c r="B1997" s="96">
        <v>908</v>
      </c>
      <c r="C1997" s="92" t="s">
        <v>121</v>
      </c>
      <c r="D1997" s="22">
        <v>10101986891</v>
      </c>
      <c r="E1997" s="92" t="s">
        <v>479</v>
      </c>
      <c r="F1997" s="8" t="s">
        <v>91</v>
      </c>
    </row>
    <row r="1998" spans="2:6">
      <c r="B1998" s="96">
        <v>909</v>
      </c>
      <c r="C1998" s="92" t="s">
        <v>122</v>
      </c>
      <c r="D1998" s="22" t="s">
        <v>66</v>
      </c>
      <c r="E1998" s="93" t="s">
        <v>480</v>
      </c>
      <c r="F1998" s="8" t="s">
        <v>91</v>
      </c>
    </row>
    <row r="1999" spans="2:6">
      <c r="B1999" s="96">
        <v>910</v>
      </c>
      <c r="C1999" s="92" t="s">
        <v>481</v>
      </c>
      <c r="D1999" s="22">
        <v>10112076915</v>
      </c>
      <c r="E1999" s="93" t="s">
        <v>482</v>
      </c>
      <c r="F1999" s="8" t="s">
        <v>91</v>
      </c>
    </row>
    <row r="2000" spans="2:6">
      <c r="B2000" s="96">
        <v>911</v>
      </c>
      <c r="C2000" s="92" t="s">
        <v>483</v>
      </c>
      <c r="D2000" s="22">
        <v>10052413629</v>
      </c>
      <c r="E2000" s="93" t="s">
        <v>145</v>
      </c>
      <c r="F2000" s="8" t="s">
        <v>91</v>
      </c>
    </row>
    <row r="2001" spans="2:6">
      <c r="B2001" s="96">
        <v>912</v>
      </c>
      <c r="C2001" s="92" t="s">
        <v>484</v>
      </c>
      <c r="D2001" s="22">
        <v>10089608580</v>
      </c>
      <c r="E2001" s="93" t="s">
        <v>485</v>
      </c>
      <c r="F2001" s="8" t="s">
        <v>91</v>
      </c>
    </row>
    <row r="2002" spans="2:6">
      <c r="B2002" s="96">
        <v>913</v>
      </c>
      <c r="C2002" s="92" t="s">
        <v>486</v>
      </c>
      <c r="D2002" s="22">
        <v>13276</v>
      </c>
      <c r="E2002" s="93" t="s">
        <v>487</v>
      </c>
      <c r="F2002" s="8" t="s">
        <v>91</v>
      </c>
    </row>
    <row r="2003" spans="2:6">
      <c r="B2003" s="96">
        <v>914</v>
      </c>
      <c r="C2003" s="92" t="s">
        <v>143</v>
      </c>
      <c r="D2003" s="22">
        <v>10109809842</v>
      </c>
      <c r="E2003" s="93" t="s">
        <v>488</v>
      </c>
      <c r="F2003" s="8" t="s">
        <v>91</v>
      </c>
    </row>
    <row r="2004" spans="2:6">
      <c r="B2004" s="96">
        <v>915</v>
      </c>
      <c r="C2004" s="92" t="s">
        <v>489</v>
      </c>
      <c r="D2004" s="22">
        <v>10090675378</v>
      </c>
      <c r="E2004" s="93" t="s">
        <v>490</v>
      </c>
      <c r="F2004" s="8" t="s">
        <v>91</v>
      </c>
    </row>
    <row r="2005" spans="2:6" ht="15.75">
      <c r="B2005" s="42"/>
      <c r="D2005" s="17"/>
      <c r="E2005" s="17"/>
      <c r="F2005" s="17"/>
    </row>
    <row r="2006" spans="2:6">
      <c r="B2006" s="22">
        <v>931</v>
      </c>
      <c r="C2006" s="93" t="s">
        <v>491</v>
      </c>
      <c r="D2006" s="93">
        <v>10115008234</v>
      </c>
      <c r="E2006" s="92" t="s">
        <v>394</v>
      </c>
      <c r="F2006" s="8" t="s">
        <v>160</v>
      </c>
    </row>
    <row r="2007" spans="2:6">
      <c r="B2007" s="22">
        <v>932</v>
      </c>
      <c r="C2007" s="92" t="s">
        <v>492</v>
      </c>
      <c r="D2007" s="93">
        <v>10121261300</v>
      </c>
      <c r="E2007" s="93" t="s">
        <v>493</v>
      </c>
      <c r="F2007" s="8" t="s">
        <v>160</v>
      </c>
    </row>
    <row r="2008" spans="2:6">
      <c r="B2008" s="22">
        <v>933</v>
      </c>
      <c r="C2008" s="92" t="s">
        <v>494</v>
      </c>
      <c r="D2008" s="93">
        <v>10128036546</v>
      </c>
      <c r="E2008" s="93" t="s">
        <v>495</v>
      </c>
      <c r="F2008" s="8" t="s">
        <v>160</v>
      </c>
    </row>
    <row r="2009" spans="2:6">
      <c r="B2009" s="22">
        <v>934</v>
      </c>
      <c r="C2009" s="93" t="s">
        <v>496</v>
      </c>
      <c r="D2009" s="93">
        <v>10133198663</v>
      </c>
      <c r="E2009" s="93" t="s">
        <v>497</v>
      </c>
      <c r="F2009" s="8" t="s">
        <v>160</v>
      </c>
    </row>
    <row r="2010" spans="2:6">
      <c r="B2010" s="18"/>
      <c r="C2010" s="17"/>
      <c r="D2010" s="17"/>
      <c r="F2010" s="17"/>
    </row>
    <row r="2011" spans="2:6">
      <c r="B2011" s="22">
        <v>951</v>
      </c>
      <c r="C2011" s="93" t="s">
        <v>156</v>
      </c>
      <c r="D2011" s="93">
        <v>10101986689</v>
      </c>
      <c r="E2011" s="92" t="s">
        <v>498</v>
      </c>
      <c r="F2011" s="8" t="s">
        <v>161</v>
      </c>
    </row>
    <row r="2012" spans="2:6">
      <c r="B2012" s="22">
        <v>952</v>
      </c>
      <c r="C2012" s="93" t="s">
        <v>499</v>
      </c>
      <c r="D2012" s="93">
        <v>10051455652</v>
      </c>
      <c r="E2012" s="92" t="s">
        <v>110</v>
      </c>
      <c r="F2012" s="8" t="s">
        <v>161</v>
      </c>
    </row>
    <row r="2013" spans="2:6">
      <c r="B2013" s="2"/>
      <c r="C2013" s="17"/>
      <c r="D2013" s="17"/>
      <c r="F2013" s="8"/>
    </row>
    <row r="2014" spans="2:6">
      <c r="B2014" s="22">
        <v>601</v>
      </c>
      <c r="C2014" s="92" t="s">
        <v>500</v>
      </c>
      <c r="D2014" s="93" t="s">
        <v>66</v>
      </c>
      <c r="E2014" s="92" t="s">
        <v>120</v>
      </c>
      <c r="F2014" s="8" t="s">
        <v>60</v>
      </c>
    </row>
    <row r="2015" spans="2:6">
      <c r="B2015" s="22">
        <v>602</v>
      </c>
      <c r="C2015" s="92" t="s">
        <v>152</v>
      </c>
      <c r="D2015" s="93" t="s">
        <v>66</v>
      </c>
      <c r="E2015" s="93" t="s">
        <v>501</v>
      </c>
      <c r="F2015" s="8" t="s">
        <v>60</v>
      </c>
    </row>
    <row r="2016" spans="2:6">
      <c r="B2016" s="22">
        <v>603</v>
      </c>
      <c r="C2016" s="92" t="s">
        <v>502</v>
      </c>
      <c r="D2016" s="93">
        <v>10164876237</v>
      </c>
      <c r="E2016" s="93" t="s">
        <v>503</v>
      </c>
      <c r="F2016" s="8" t="s">
        <v>60</v>
      </c>
    </row>
    <row r="2017" spans="2:6">
      <c r="B2017" s="22">
        <v>604</v>
      </c>
      <c r="C2017" s="93" t="s">
        <v>504</v>
      </c>
      <c r="D2017" s="93">
        <v>10079599594</v>
      </c>
      <c r="E2017" s="92" t="s">
        <v>110</v>
      </c>
      <c r="F2017" s="8" t="s">
        <v>60</v>
      </c>
    </row>
    <row r="2018" spans="2:6">
      <c r="B2018" s="22">
        <v>605</v>
      </c>
      <c r="C2018" s="92" t="s">
        <v>505</v>
      </c>
      <c r="D2018" s="93" t="s">
        <v>506</v>
      </c>
      <c r="E2018" s="92" t="s">
        <v>507</v>
      </c>
      <c r="F2018" s="8" t="s">
        <v>60</v>
      </c>
    </row>
    <row r="2019" spans="2:6">
      <c r="B2019" s="22">
        <v>606</v>
      </c>
      <c r="C2019" s="92" t="s">
        <v>508</v>
      </c>
      <c r="D2019" s="93" t="s">
        <v>66</v>
      </c>
      <c r="E2019" s="93" t="s">
        <v>401</v>
      </c>
      <c r="F2019" s="8" t="s">
        <v>60</v>
      </c>
    </row>
    <row r="2020" spans="2:6">
      <c r="B2020" s="22">
        <v>607</v>
      </c>
      <c r="C2020" s="92" t="s">
        <v>509</v>
      </c>
      <c r="D2020" s="93">
        <v>10159628335</v>
      </c>
      <c r="E2020" s="93" t="s">
        <v>510</v>
      </c>
      <c r="F2020" s="8" t="s">
        <v>60</v>
      </c>
    </row>
    <row r="2021" spans="2:6">
      <c r="B2021" s="22">
        <v>608</v>
      </c>
      <c r="C2021" s="92" t="s">
        <v>511</v>
      </c>
      <c r="D2021" s="93">
        <v>10143091047</v>
      </c>
      <c r="E2021" s="93" t="s">
        <v>512</v>
      </c>
      <c r="F2021" s="8" t="s">
        <v>60</v>
      </c>
    </row>
    <row r="2022" spans="2:6">
      <c r="B2022" s="22">
        <v>609</v>
      </c>
      <c r="C2022" s="92" t="s">
        <v>513</v>
      </c>
      <c r="D2022" s="93">
        <v>10063635620</v>
      </c>
      <c r="E2022" s="93" t="s">
        <v>514</v>
      </c>
      <c r="F2022" s="8" t="s">
        <v>60</v>
      </c>
    </row>
    <row r="2023" spans="2:6">
      <c r="B2023" s="22">
        <v>610</v>
      </c>
      <c r="C2023" s="92" t="s">
        <v>515</v>
      </c>
      <c r="D2023" s="93" t="s">
        <v>66</v>
      </c>
      <c r="E2023" s="93" t="s">
        <v>516</v>
      </c>
      <c r="F2023" s="8" t="s">
        <v>60</v>
      </c>
    </row>
    <row r="2024" spans="2:6">
      <c r="B2024" s="22">
        <v>611</v>
      </c>
      <c r="C2024" s="92" t="s">
        <v>517</v>
      </c>
      <c r="D2024" s="93" t="s">
        <v>66</v>
      </c>
      <c r="E2024" s="93" t="s">
        <v>111</v>
      </c>
      <c r="F2024" s="8" t="s">
        <v>60</v>
      </c>
    </row>
    <row r="2025" spans="2:6">
      <c r="B2025" s="22">
        <v>612</v>
      </c>
      <c r="C2025" s="92" t="s">
        <v>518</v>
      </c>
      <c r="D2025" s="93">
        <v>10082235671</v>
      </c>
      <c r="E2025" s="93" t="s">
        <v>519</v>
      </c>
      <c r="F2025" s="8" t="s">
        <v>60</v>
      </c>
    </row>
    <row r="2026" spans="2:6">
      <c r="B2026" s="22">
        <v>613</v>
      </c>
      <c r="C2026" s="92" t="s">
        <v>520</v>
      </c>
      <c r="D2026" s="93" t="s">
        <v>66</v>
      </c>
      <c r="E2026" s="93" t="s">
        <v>6</v>
      </c>
      <c r="F2026" s="8" t="s">
        <v>60</v>
      </c>
    </row>
    <row r="2027" spans="2:6">
      <c r="B2027" s="22">
        <v>614</v>
      </c>
      <c r="C2027" s="93" t="s">
        <v>157</v>
      </c>
      <c r="D2027" s="93">
        <v>10153041631</v>
      </c>
      <c r="E2027" s="92" t="s">
        <v>521</v>
      </c>
      <c r="F2027" s="8" t="s">
        <v>60</v>
      </c>
    </row>
    <row r="2028" spans="2:6">
      <c r="B2028" s="22">
        <v>615</v>
      </c>
      <c r="C2028" s="93" t="s">
        <v>522</v>
      </c>
      <c r="D2028" s="93" t="s">
        <v>66</v>
      </c>
      <c r="E2028" s="92" t="s">
        <v>523</v>
      </c>
      <c r="F2028" s="8" t="s">
        <v>60</v>
      </c>
    </row>
    <row r="2029" spans="2:6">
      <c r="B2029" s="22">
        <v>616</v>
      </c>
      <c r="C2029" s="92" t="s">
        <v>524</v>
      </c>
      <c r="D2029" s="93">
        <v>10126140804</v>
      </c>
      <c r="E2029" s="93" t="s">
        <v>525</v>
      </c>
      <c r="F2029" s="8" t="s">
        <v>60</v>
      </c>
    </row>
    <row r="2030" spans="2:6">
      <c r="B2030" s="22">
        <v>617</v>
      </c>
      <c r="C2030" s="92" t="s">
        <v>526</v>
      </c>
      <c r="D2030" s="93">
        <v>10096302287</v>
      </c>
      <c r="E2030" s="93" t="s">
        <v>449</v>
      </c>
      <c r="F2030" s="8" t="s">
        <v>60</v>
      </c>
    </row>
    <row r="2031" spans="2:6">
      <c r="B2031" s="22">
        <v>618</v>
      </c>
      <c r="C2031" s="92" t="s">
        <v>527</v>
      </c>
      <c r="D2031" s="93">
        <v>10127815668</v>
      </c>
      <c r="E2031" s="93" t="s">
        <v>6</v>
      </c>
      <c r="F2031" s="8" t="s">
        <v>60</v>
      </c>
    </row>
    <row r="2032" spans="2:6">
      <c r="B2032" s="22">
        <v>619</v>
      </c>
      <c r="C2032" s="92" t="s">
        <v>528</v>
      </c>
      <c r="D2032" s="93" t="s">
        <v>66</v>
      </c>
      <c r="E2032" s="93" t="s">
        <v>104</v>
      </c>
      <c r="F2032" s="8" t="s">
        <v>60</v>
      </c>
    </row>
    <row r="2033" spans="2:6">
      <c r="B2033" s="22">
        <v>620</v>
      </c>
      <c r="C2033" s="92" t="s">
        <v>529</v>
      </c>
      <c r="D2033" s="93">
        <v>10114420978</v>
      </c>
      <c r="E2033" s="93" t="s">
        <v>394</v>
      </c>
      <c r="F2033" s="8" t="s">
        <v>60</v>
      </c>
    </row>
    <row r="2034" spans="2:6">
      <c r="B2034" s="22">
        <v>621</v>
      </c>
      <c r="C2034" s="92" t="s">
        <v>530</v>
      </c>
      <c r="D2034" s="93" t="s">
        <v>66</v>
      </c>
      <c r="E2034" s="93" t="s">
        <v>531</v>
      </c>
      <c r="F2034" s="8" t="s">
        <v>60</v>
      </c>
    </row>
    <row r="2035" spans="2:6">
      <c r="B2035" s="2"/>
      <c r="D2035" s="17"/>
      <c r="E2035" s="17"/>
      <c r="F2035" s="17"/>
    </row>
    <row r="2036" spans="2:6">
      <c r="B2036" s="22">
        <v>671</v>
      </c>
      <c r="C2036" s="92" t="s">
        <v>532</v>
      </c>
      <c r="D2036" s="93">
        <v>10136876074</v>
      </c>
      <c r="E2036" s="92" t="s">
        <v>394</v>
      </c>
      <c r="F2036" s="8" t="s">
        <v>92</v>
      </c>
    </row>
    <row r="2037" spans="2:6">
      <c r="B2037" s="2"/>
      <c r="D2037" s="17"/>
      <c r="E2037" s="17"/>
      <c r="F2037" s="8" t="s">
        <v>92</v>
      </c>
    </row>
    <row r="2038" spans="2:6">
      <c r="B2038" s="18"/>
      <c r="D2038" s="17"/>
      <c r="E2038" s="17"/>
      <c r="F2038" s="8"/>
    </row>
    <row r="2039" spans="2:6">
      <c r="B2039" s="22">
        <v>976</v>
      </c>
      <c r="C2039" s="92" t="s">
        <v>533</v>
      </c>
      <c r="D2039" s="93" t="s">
        <v>66</v>
      </c>
      <c r="E2039" s="93" t="s">
        <v>6</v>
      </c>
      <c r="F2039" s="8" t="s">
        <v>162</v>
      </c>
    </row>
    <row r="2040" spans="2:6">
      <c r="B2040" s="22">
        <v>977</v>
      </c>
      <c r="C2040" s="92" t="s">
        <v>534</v>
      </c>
      <c r="D2040" s="93">
        <v>10171986438</v>
      </c>
      <c r="E2040" s="93" t="s">
        <v>535</v>
      </c>
      <c r="F2040" s="8" t="s">
        <v>162</v>
      </c>
    </row>
    <row r="2041" spans="2:6">
      <c r="B2041" s="22">
        <v>978</v>
      </c>
      <c r="C2041" s="92" t="s">
        <v>536</v>
      </c>
      <c r="D2041" s="93" t="s">
        <v>66</v>
      </c>
      <c r="E2041" s="92" t="s">
        <v>537</v>
      </c>
      <c r="F2041" s="8" t="s">
        <v>162</v>
      </c>
    </row>
    <row r="2042" spans="2:6">
      <c r="B2042" s="22">
        <v>979</v>
      </c>
      <c r="C2042" s="92" t="s">
        <v>538</v>
      </c>
      <c r="D2042" s="93" t="s">
        <v>66</v>
      </c>
      <c r="E2042" s="93" t="s">
        <v>539</v>
      </c>
      <c r="F2042" s="8" t="s">
        <v>162</v>
      </c>
    </row>
    <row r="2043" spans="2:6">
      <c r="B2043" s="8"/>
      <c r="C2043" s="8"/>
      <c r="D2043" s="54"/>
      <c r="E2043" s="8"/>
      <c r="F2043" s="8"/>
    </row>
    <row r="2044" spans="2:6">
      <c r="B2044" s="22">
        <v>961</v>
      </c>
      <c r="C2044" s="92" t="s">
        <v>540</v>
      </c>
      <c r="D2044" s="93">
        <v>10129943002</v>
      </c>
      <c r="E2044" s="93" t="s">
        <v>111</v>
      </c>
      <c r="F2044" s="8" t="s">
        <v>102</v>
      </c>
    </row>
    <row r="2045" spans="2:6">
      <c r="B2045" s="22">
        <v>962</v>
      </c>
      <c r="C2045" s="92" t="s">
        <v>541</v>
      </c>
      <c r="D2045" s="93">
        <v>10136994700</v>
      </c>
      <c r="E2045" s="93" t="s">
        <v>111</v>
      </c>
      <c r="F2045" s="8" t="s">
        <v>102</v>
      </c>
    </row>
    <row r="2046" spans="2:6">
      <c r="B2046" s="8"/>
      <c r="C2046" s="8"/>
      <c r="D2046" s="54"/>
      <c r="E2046" s="8"/>
      <c r="F2046" s="17"/>
    </row>
    <row r="2047" spans="2:6">
      <c r="B2047" s="22">
        <v>1001</v>
      </c>
      <c r="C2047" s="92" t="s">
        <v>448</v>
      </c>
      <c r="D2047" s="93">
        <v>10061982172</v>
      </c>
      <c r="E2047" s="93" t="s">
        <v>449</v>
      </c>
      <c r="F2047" s="54" t="s">
        <v>542</v>
      </c>
    </row>
    <row r="2048" spans="2:6">
      <c r="B2048" s="22">
        <v>1002</v>
      </c>
      <c r="C2048" s="92" t="s">
        <v>543</v>
      </c>
      <c r="D2048" s="93">
        <v>10132574934</v>
      </c>
      <c r="E2048" s="93" t="s">
        <v>544</v>
      </c>
      <c r="F2048" s="54" t="s">
        <v>542</v>
      </c>
    </row>
    <row r="2049" spans="2:6">
      <c r="B2049" s="22">
        <v>1003</v>
      </c>
      <c r="C2049" s="92" t="s">
        <v>545</v>
      </c>
      <c r="D2049" s="93" t="s">
        <v>66</v>
      </c>
      <c r="E2049" s="92" t="s">
        <v>546</v>
      </c>
      <c r="F2049" s="54" t="s">
        <v>542</v>
      </c>
    </row>
    <row r="2050" spans="2:6">
      <c r="B2050" s="22">
        <v>1004</v>
      </c>
      <c r="C2050" s="92" t="s">
        <v>407</v>
      </c>
      <c r="D2050" s="93" t="s">
        <v>66</v>
      </c>
      <c r="E2050" s="93" t="s">
        <v>408</v>
      </c>
      <c r="F2050" s="54" t="s">
        <v>542</v>
      </c>
    </row>
    <row r="2051" spans="2:6">
      <c r="B2051" s="22">
        <v>1005</v>
      </c>
      <c r="C2051" s="92" t="s">
        <v>541</v>
      </c>
      <c r="D2051" s="93">
        <v>10136994700</v>
      </c>
      <c r="E2051" s="93" t="s">
        <v>111</v>
      </c>
      <c r="F2051" s="54" t="s">
        <v>542</v>
      </c>
    </row>
    <row r="2052" spans="2:6">
      <c r="B2052" s="22">
        <v>1006</v>
      </c>
      <c r="C2052" s="92" t="s">
        <v>450</v>
      </c>
      <c r="D2052" s="93">
        <v>10059069243</v>
      </c>
      <c r="E2052" s="93" t="s">
        <v>110</v>
      </c>
      <c r="F2052" s="54" t="s">
        <v>542</v>
      </c>
    </row>
    <row r="2053" spans="2:6">
      <c r="B2053" s="22">
        <v>1007</v>
      </c>
      <c r="C2053" s="92" t="s">
        <v>508</v>
      </c>
      <c r="D2053" s="93" t="s">
        <v>66</v>
      </c>
      <c r="E2053" s="93" t="s">
        <v>401</v>
      </c>
      <c r="F2053" s="54" t="s">
        <v>542</v>
      </c>
    </row>
    <row r="2054" spans="2:6">
      <c r="B2054" s="22">
        <v>1008</v>
      </c>
      <c r="C2054" s="92" t="s">
        <v>245</v>
      </c>
      <c r="D2054" s="93">
        <v>10131930286</v>
      </c>
      <c r="E2054" s="93" t="s">
        <v>246</v>
      </c>
      <c r="F2054" s="54" t="s">
        <v>542</v>
      </c>
    </row>
    <row r="2055" spans="2:6">
      <c r="B2055" s="22">
        <v>1009</v>
      </c>
      <c r="C2055" s="92" t="s">
        <v>118</v>
      </c>
      <c r="D2055" s="93">
        <v>10007726234</v>
      </c>
      <c r="E2055" s="93" t="s">
        <v>119</v>
      </c>
      <c r="F2055" s="54" t="s">
        <v>542</v>
      </c>
    </row>
    <row r="2056" spans="2:6">
      <c r="B2056" s="22">
        <v>1010</v>
      </c>
      <c r="C2056" s="92" t="s">
        <v>476</v>
      </c>
      <c r="D2056" s="93">
        <v>10054780328</v>
      </c>
      <c r="E2056" s="93" t="s">
        <v>100</v>
      </c>
      <c r="F2056" s="54" t="s">
        <v>542</v>
      </c>
    </row>
    <row r="2057" spans="2:6">
      <c r="B2057" s="22">
        <v>1011</v>
      </c>
      <c r="C2057" s="92" t="s">
        <v>547</v>
      </c>
      <c r="D2057" s="93">
        <v>10089437115</v>
      </c>
      <c r="E2057" s="93" t="s">
        <v>514</v>
      </c>
      <c r="F2057" s="54" t="s">
        <v>542</v>
      </c>
    </row>
    <row r="2058" spans="2:6">
      <c r="B2058" s="22">
        <v>1012</v>
      </c>
      <c r="C2058" s="92" t="s">
        <v>548</v>
      </c>
      <c r="D2058" s="93" t="s">
        <v>66</v>
      </c>
      <c r="E2058" s="93" t="s">
        <v>549</v>
      </c>
      <c r="F2058" s="54" t="s">
        <v>542</v>
      </c>
    </row>
    <row r="2059" spans="2:6">
      <c r="B2059" s="22">
        <v>1013</v>
      </c>
      <c r="C2059" s="92" t="s">
        <v>430</v>
      </c>
      <c r="D2059" s="93">
        <v>10057935252</v>
      </c>
      <c r="E2059" s="93" t="s">
        <v>431</v>
      </c>
      <c r="F2059" s="54" t="s">
        <v>542</v>
      </c>
    </row>
    <row r="2060" spans="2:6">
      <c r="B2060" s="22">
        <v>1014</v>
      </c>
      <c r="C2060" s="92" t="s">
        <v>139</v>
      </c>
      <c r="D2060" s="93">
        <v>10055096788</v>
      </c>
      <c r="E2060" s="93" t="s">
        <v>409</v>
      </c>
      <c r="F2060" s="54" t="s">
        <v>542</v>
      </c>
    </row>
    <row r="2061" spans="2:6">
      <c r="B2061" s="22">
        <v>1015</v>
      </c>
      <c r="C2061" s="92" t="s">
        <v>550</v>
      </c>
      <c r="D2061" s="93" t="s">
        <v>66</v>
      </c>
      <c r="E2061" s="93" t="s">
        <v>551</v>
      </c>
      <c r="F2061" s="54" t="s">
        <v>542</v>
      </c>
    </row>
    <row r="2062" spans="2:6">
      <c r="B2062" s="22">
        <v>1016</v>
      </c>
      <c r="C2062" s="92" t="s">
        <v>552</v>
      </c>
      <c r="D2062" s="93">
        <v>10128869837</v>
      </c>
      <c r="E2062" s="93" t="s">
        <v>553</v>
      </c>
      <c r="F2062" s="54" t="s">
        <v>542</v>
      </c>
    </row>
    <row r="2063" spans="2:6">
      <c r="B2063" s="22">
        <v>1017</v>
      </c>
      <c r="C2063" s="92" t="s">
        <v>530</v>
      </c>
      <c r="D2063" s="93" t="s">
        <v>66</v>
      </c>
      <c r="E2063" s="93" t="s">
        <v>531</v>
      </c>
      <c r="F2063" s="54" t="s">
        <v>542</v>
      </c>
    </row>
    <row r="2064" spans="2:6">
      <c r="B2064" s="22">
        <v>1018</v>
      </c>
      <c r="C2064" s="92" t="s">
        <v>554</v>
      </c>
      <c r="D2064" s="93">
        <v>10089540377</v>
      </c>
      <c r="E2064" s="93" t="s">
        <v>555</v>
      </c>
      <c r="F2064" s="54" t="s">
        <v>542</v>
      </c>
    </row>
    <row r="2065" spans="2:6">
      <c r="B2065" s="8"/>
      <c r="C2065" s="8"/>
      <c r="D2065" s="54"/>
      <c r="E2065" s="8"/>
      <c r="F2065" s="8"/>
    </row>
    <row r="2066" spans="2:6">
      <c r="B2066" s="8"/>
      <c r="C2066" s="8"/>
      <c r="D2066" s="54"/>
      <c r="E2066" s="8"/>
      <c r="F2066" s="8"/>
    </row>
    <row r="2067" spans="2:6">
      <c r="B2067" s="8"/>
      <c r="C2067" s="8"/>
      <c r="D2067" s="54"/>
      <c r="E2067" s="8"/>
      <c r="F2067" s="8"/>
    </row>
    <row r="2068" spans="2:6">
      <c r="B2068" s="8"/>
      <c r="C2068" s="8"/>
      <c r="D2068" s="54"/>
      <c r="E2068" s="8"/>
      <c r="F2068" s="8"/>
    </row>
    <row r="2069" spans="2:6">
      <c r="B2069" s="8"/>
      <c r="C2069" s="8"/>
      <c r="D2069" s="54"/>
      <c r="E2069" s="8"/>
      <c r="F2069" s="8"/>
    </row>
    <row r="2070" spans="2:6">
      <c r="D2070" s="17"/>
      <c r="E2070" s="17"/>
    </row>
    <row r="2071" spans="2:6">
      <c r="D2071" s="17"/>
      <c r="E2071" s="17"/>
    </row>
    <row r="2072" spans="2:6">
      <c r="D2072" s="17"/>
      <c r="E2072" s="17"/>
    </row>
    <row r="2073" spans="2:6">
      <c r="D2073" s="17"/>
      <c r="E2073" s="17"/>
    </row>
    <row r="2074" spans="2:6">
      <c r="D2074" s="17"/>
      <c r="E2074" s="17"/>
    </row>
    <row r="2075" spans="2:6">
      <c r="D2075" s="17"/>
    </row>
    <row r="2076" spans="2:6">
      <c r="D2076" s="17"/>
      <c r="E2076" s="17"/>
    </row>
    <row r="2077" spans="2:6">
      <c r="D2077" s="17"/>
      <c r="E2077" s="17"/>
    </row>
    <row r="2078" spans="2:6">
      <c r="D2078" s="17"/>
      <c r="E2078" s="17"/>
    </row>
    <row r="2079" spans="2:6">
      <c r="D2079" s="17"/>
      <c r="E2079" s="17"/>
    </row>
    <row r="2080" spans="2:6">
      <c r="D2080" s="17"/>
      <c r="E2080" s="17"/>
    </row>
    <row r="2081" spans="2:6">
      <c r="D2081" s="17"/>
      <c r="E2081" s="17"/>
    </row>
    <row r="2082" spans="2:6">
      <c r="D2082" s="17"/>
      <c r="E2082" s="17"/>
    </row>
    <row r="2083" spans="2:6">
      <c r="D2083" s="17"/>
      <c r="E2083" s="17"/>
    </row>
    <row r="2084" spans="2:6">
      <c r="D2084" s="17"/>
      <c r="E2084" s="17"/>
    </row>
    <row r="2085" spans="2:6">
      <c r="D2085" s="17"/>
    </row>
    <row r="2086" spans="2:6">
      <c r="D2086" s="17"/>
      <c r="E2086" s="17"/>
    </row>
    <row r="2087" spans="2:6">
      <c r="D2087" s="17"/>
      <c r="E2087" s="17"/>
    </row>
    <row r="2088" spans="2:6" ht="15.75">
      <c r="B2088" s="21"/>
      <c r="D2088" s="17"/>
      <c r="E2088" s="17"/>
      <c r="F2088" s="8"/>
    </row>
    <row r="2089" spans="2:6" ht="15.75">
      <c r="B2089" s="21"/>
      <c r="D2089" s="17"/>
      <c r="E2089" s="17"/>
      <c r="F2089" s="8"/>
    </row>
    <row r="2090" spans="2:6" ht="15.75">
      <c r="B2090" s="21"/>
      <c r="D2090" s="17"/>
      <c r="E2090" s="17"/>
      <c r="F2090" s="8"/>
    </row>
    <row r="2091" spans="2:6" ht="15.75">
      <c r="B2091" s="21"/>
      <c r="D2091" s="17"/>
      <c r="E2091" s="17"/>
      <c r="F2091" s="8"/>
    </row>
    <row r="2092" spans="2:6" ht="15.75">
      <c r="B2092" s="21"/>
      <c r="D2092" s="17"/>
      <c r="E2092" s="17"/>
      <c r="F2092" s="8"/>
    </row>
    <row r="2093" spans="2:6" ht="15.75">
      <c r="B2093" s="21"/>
      <c r="D2093" s="17"/>
      <c r="E2093" s="17"/>
      <c r="F2093" s="8"/>
    </row>
    <row r="2094" spans="2:6" ht="15.75">
      <c r="B2094" s="21"/>
      <c r="D2094" s="17"/>
      <c r="E2094" s="17"/>
      <c r="F2094" s="8"/>
    </row>
    <row r="2095" spans="2:6" ht="15.75">
      <c r="B2095" s="21"/>
      <c r="D2095" s="17"/>
      <c r="E2095" s="17"/>
      <c r="F2095" s="8"/>
    </row>
    <row r="2096" spans="2:6" ht="15.75">
      <c r="B2096" s="21"/>
      <c r="D2096" s="17"/>
      <c r="E2096" s="17"/>
      <c r="F2096" s="8"/>
    </row>
    <row r="2097" spans="2:6" ht="15.75">
      <c r="B2097" s="21"/>
      <c r="D2097" s="17"/>
      <c r="E2097" s="17"/>
      <c r="F2097" s="8"/>
    </row>
    <row r="2098" spans="2:6" ht="15.75">
      <c r="B2098" s="21"/>
      <c r="D2098" s="17"/>
      <c r="E2098" s="17"/>
      <c r="F2098" s="8"/>
    </row>
    <row r="2099" spans="2:6" ht="15.75">
      <c r="B2099" s="21"/>
      <c r="D2099" s="17"/>
      <c r="E2099" s="17"/>
      <c r="F2099" s="8"/>
    </row>
    <row r="2100" spans="2:6" ht="15.75">
      <c r="B2100" s="21"/>
      <c r="D2100" s="17"/>
      <c r="E2100" s="17"/>
      <c r="F2100" s="8"/>
    </row>
    <row r="2101" spans="2:6" ht="15.75">
      <c r="B2101" s="21"/>
      <c r="D2101" s="17"/>
      <c r="E2101" s="17"/>
    </row>
    <row r="2102" spans="2:6" ht="15.75">
      <c r="B2102" s="21"/>
      <c r="D2102" s="17"/>
      <c r="E2102" s="17"/>
    </row>
    <row r="2103" spans="2:6" ht="15.75">
      <c r="B2103" s="21"/>
      <c r="D2103" s="17"/>
      <c r="E2103" s="17"/>
    </row>
    <row r="2104" spans="2:6" ht="15.75">
      <c r="B2104" s="21"/>
      <c r="D2104" s="17"/>
      <c r="E2104" s="17"/>
    </row>
    <row r="2105" spans="2:6" ht="15.75">
      <c r="B2105" s="21"/>
      <c r="D2105" s="17"/>
      <c r="E2105" s="17"/>
    </row>
    <row r="2106" spans="2:6" ht="15.75">
      <c r="B2106" s="21"/>
      <c r="D2106" s="17"/>
      <c r="E2106" s="17"/>
    </row>
    <row r="2107" spans="2:6" ht="15.75">
      <c r="B2107" s="21"/>
      <c r="D2107" s="17"/>
      <c r="E2107" s="17"/>
    </row>
    <row r="2108" spans="2:6" ht="15.75">
      <c r="B2108" s="21"/>
      <c r="D2108" s="17"/>
      <c r="E2108" s="17"/>
    </row>
    <row r="2109" spans="2:6" ht="15.75">
      <c r="B2109" s="21"/>
      <c r="D2109" s="17"/>
      <c r="E2109" s="17"/>
    </row>
    <row r="2110" spans="2:6" ht="15.75">
      <c r="B2110" s="21"/>
      <c r="D2110" s="17"/>
      <c r="E2110" s="17"/>
    </row>
    <row r="2111" spans="2:6" ht="15.75">
      <c r="B2111" s="21"/>
      <c r="D2111" s="17"/>
      <c r="E2111" s="17"/>
    </row>
    <row r="2112" spans="2:6" ht="15.75">
      <c r="B2112" s="21"/>
      <c r="D2112" s="17"/>
      <c r="E2112" s="17"/>
    </row>
    <row r="2113" spans="2:5" ht="15.75">
      <c r="B2113" s="21"/>
      <c r="D2113" s="17"/>
      <c r="E2113" s="17"/>
    </row>
    <row r="2114" spans="2:5" ht="15.75">
      <c r="B2114" s="21"/>
      <c r="D2114" s="17"/>
      <c r="E2114" s="17"/>
    </row>
    <row r="2115" spans="2:5" ht="15.75">
      <c r="B2115" s="21"/>
      <c r="D2115" s="17"/>
      <c r="E2115" s="17"/>
    </row>
    <row r="2116" spans="2:5" ht="15.75">
      <c r="B2116" s="21"/>
      <c r="D2116" s="17"/>
      <c r="E2116" s="17"/>
    </row>
    <row r="2117" spans="2:5" ht="15.75">
      <c r="B2117" s="21"/>
      <c r="D2117" s="17"/>
      <c r="E2117" s="17"/>
    </row>
    <row r="2118" spans="2:5" ht="15.75">
      <c r="B2118" s="21"/>
      <c r="D2118" s="17"/>
      <c r="E2118" s="17"/>
    </row>
    <row r="2119" spans="2:5" ht="15.75">
      <c r="B2119" s="21"/>
      <c r="D2119" s="17"/>
      <c r="E2119" s="17"/>
    </row>
    <row r="2120" spans="2:5" ht="15.75">
      <c r="B2120" s="21"/>
      <c r="D2120" s="17"/>
      <c r="E2120" s="17"/>
    </row>
    <row r="2121" spans="2:5" ht="15.75">
      <c r="B2121" s="21"/>
      <c r="D2121" s="17"/>
      <c r="E2121" s="17"/>
    </row>
    <row r="2122" spans="2:5">
      <c r="D2122" s="17"/>
    </row>
    <row r="2123" spans="2:5" ht="15.75">
      <c r="B2123" s="21"/>
      <c r="D2123" s="17"/>
      <c r="E2123" s="17"/>
    </row>
    <row r="2124" spans="2:5" ht="15.75">
      <c r="B2124" s="21"/>
      <c r="D2124" s="17"/>
      <c r="E2124" s="17"/>
    </row>
    <row r="2125" spans="2:5" ht="15.75">
      <c r="B2125" s="21"/>
      <c r="D2125" s="17"/>
      <c r="E2125" s="17"/>
    </row>
    <row r="2126" spans="2:5" ht="15.75">
      <c r="B2126" s="21"/>
      <c r="D2126" s="17"/>
      <c r="E2126" s="17"/>
    </row>
    <row r="2127" spans="2:5" ht="15.75">
      <c r="B2127" s="21"/>
      <c r="D2127" s="17"/>
      <c r="E2127" s="17"/>
    </row>
    <row r="2128" spans="2:5" ht="15.75">
      <c r="B2128" s="21"/>
      <c r="D2128" s="17"/>
      <c r="E2128" s="17"/>
    </row>
    <row r="2129" spans="2:5" ht="15.75">
      <c r="B2129" s="21"/>
      <c r="D2129" s="17"/>
      <c r="E2129" s="17"/>
    </row>
    <row r="2130" spans="2:5" ht="15.75">
      <c r="B2130" s="21"/>
      <c r="D2130" s="17"/>
      <c r="E2130" s="17"/>
    </row>
    <row r="2131" spans="2:5" ht="15.75">
      <c r="B2131" s="21"/>
      <c r="D2131" s="17"/>
      <c r="E2131" s="17"/>
    </row>
    <row r="2132" spans="2:5" ht="15.75">
      <c r="B2132" s="21"/>
      <c r="D2132" s="17"/>
      <c r="E2132" s="17"/>
    </row>
    <row r="2133" spans="2:5" ht="15.75">
      <c r="B2133" s="21"/>
      <c r="D2133" s="17"/>
      <c r="E2133" s="17"/>
    </row>
    <row r="2134" spans="2:5" ht="15.75">
      <c r="B2134" s="21"/>
      <c r="D2134" s="17"/>
      <c r="E2134" s="17"/>
    </row>
    <row r="2135" spans="2:5" ht="15.75">
      <c r="B2135" s="21"/>
      <c r="D2135" s="17"/>
      <c r="E2135" s="17"/>
    </row>
    <row r="2136" spans="2:5" ht="15.75">
      <c r="B2136" s="21"/>
      <c r="D2136" s="17"/>
      <c r="E2136" s="17"/>
    </row>
    <row r="2137" spans="2:5" ht="15.75">
      <c r="B2137" s="21"/>
      <c r="D2137" s="17"/>
      <c r="E2137" s="17"/>
    </row>
    <row r="2138" spans="2:5" ht="15.75">
      <c r="B2138" s="21"/>
      <c r="D2138" s="17"/>
      <c r="E2138" s="17"/>
    </row>
    <row r="2139" spans="2:5" ht="15.75">
      <c r="B2139" s="21"/>
      <c r="D2139" s="17"/>
      <c r="E2139" s="17"/>
    </row>
    <row r="2140" spans="2:5" ht="15.75">
      <c r="B2140" s="21"/>
      <c r="D2140" s="17"/>
      <c r="E2140" s="17"/>
    </row>
    <row r="2141" spans="2:5" ht="15.75">
      <c r="B2141" s="21"/>
      <c r="D2141" s="17"/>
      <c r="E2141" s="17"/>
    </row>
    <row r="2142" spans="2:5" ht="15.75">
      <c r="B2142" s="21"/>
      <c r="D2142" s="17"/>
      <c r="E2142" s="17"/>
    </row>
    <row r="2143" spans="2:5" ht="15.75">
      <c r="B2143" s="21"/>
      <c r="D2143" s="17"/>
      <c r="E2143" s="17"/>
    </row>
    <row r="2144" spans="2:5" ht="15.75">
      <c r="B2144" s="21"/>
      <c r="D2144" s="17"/>
      <c r="E2144" s="17"/>
    </row>
    <row r="2145" spans="2:5" ht="15.75">
      <c r="B2145" s="21"/>
      <c r="D2145" s="17"/>
      <c r="E2145" s="17"/>
    </row>
    <row r="2146" spans="2:5" ht="15.75">
      <c r="B2146" s="21"/>
      <c r="D2146" s="17"/>
      <c r="E2146" s="17"/>
    </row>
    <row r="2147" spans="2:5" ht="15.75">
      <c r="B2147" s="21"/>
      <c r="D2147" s="17"/>
      <c r="E2147" s="17"/>
    </row>
    <row r="2148" spans="2:5" ht="15.75">
      <c r="B2148" s="21"/>
      <c r="D2148" s="17"/>
      <c r="E2148" s="17"/>
    </row>
    <row r="2149" spans="2:5" ht="15.75">
      <c r="B2149" s="21"/>
      <c r="D2149" s="17"/>
      <c r="E2149" s="17"/>
    </row>
    <row r="2150" spans="2:5" ht="15.75">
      <c r="B2150" s="21"/>
      <c r="D2150" s="17"/>
      <c r="E2150" s="17"/>
    </row>
    <row r="2151" spans="2:5" ht="15.75">
      <c r="B2151" s="21"/>
      <c r="D2151" s="17"/>
      <c r="E2151" s="17"/>
    </row>
    <row r="2152" spans="2:5" ht="15.75">
      <c r="B2152" s="21"/>
      <c r="D2152" s="17"/>
      <c r="E2152" s="17"/>
    </row>
    <row r="2153" spans="2:5" ht="15.75">
      <c r="B2153" s="21"/>
      <c r="D2153" s="17"/>
      <c r="E2153" s="17"/>
    </row>
    <row r="2154" spans="2:5" ht="15.75">
      <c r="B2154" s="21"/>
      <c r="D2154" s="17"/>
      <c r="E2154" s="17"/>
    </row>
    <row r="2155" spans="2:5" ht="15.75">
      <c r="B2155" s="21"/>
      <c r="D2155" s="17"/>
      <c r="E2155" s="17"/>
    </row>
    <row r="2156" spans="2:5" ht="15.75">
      <c r="B2156" s="21"/>
      <c r="D2156" s="17"/>
      <c r="E2156" s="17"/>
    </row>
    <row r="2157" spans="2:5" ht="15.75">
      <c r="B2157" s="21"/>
      <c r="D2157" s="17"/>
      <c r="E2157" s="17"/>
    </row>
    <row r="2158" spans="2:5" ht="15.75">
      <c r="B2158" s="21"/>
      <c r="D2158" s="17"/>
      <c r="E2158" s="17"/>
    </row>
    <row r="2159" spans="2:5" ht="15.75">
      <c r="B2159" s="21"/>
      <c r="D2159" s="17"/>
      <c r="E2159" s="17"/>
    </row>
    <row r="2160" spans="2:5" ht="15.75">
      <c r="B2160" s="21"/>
      <c r="D2160" s="17"/>
      <c r="E2160" s="17"/>
    </row>
    <row r="2161" spans="2:6" ht="15.75">
      <c r="B2161" s="21"/>
      <c r="D2161" s="17"/>
      <c r="E2161" s="17"/>
    </row>
    <row r="2162" spans="2:6" ht="15.75">
      <c r="B2162" s="21"/>
      <c r="D2162" s="17"/>
      <c r="E2162" s="17"/>
    </row>
    <row r="2163" spans="2:6" ht="15.75">
      <c r="B2163" s="21"/>
      <c r="D2163" s="17"/>
      <c r="E2163" s="17"/>
    </row>
    <row r="2164" spans="2:6" ht="15.75">
      <c r="B2164" s="21"/>
      <c r="D2164" s="17"/>
      <c r="E2164" s="17"/>
    </row>
    <row r="2165" spans="2:6" ht="15.75">
      <c r="B2165" s="21"/>
      <c r="D2165" s="17"/>
      <c r="E2165" s="17"/>
    </row>
    <row r="2166" spans="2:6" ht="15.75">
      <c r="B2166" s="21"/>
      <c r="D2166" s="17"/>
      <c r="E2166" s="17"/>
    </row>
    <row r="2167" spans="2:6" ht="15.75">
      <c r="B2167" s="21"/>
      <c r="D2167" s="17"/>
      <c r="E2167" s="17"/>
      <c r="F2167" s="8"/>
    </row>
    <row r="2168" spans="2:6" ht="15.75">
      <c r="B2168" s="21"/>
      <c r="D2168" s="17"/>
      <c r="E2168" s="17"/>
      <c r="F2168" s="8"/>
    </row>
    <row r="2169" spans="2:6" ht="15.75">
      <c r="B2169" s="21"/>
      <c r="D2169" s="17"/>
      <c r="E2169" s="17"/>
      <c r="F2169" s="8"/>
    </row>
    <row r="2170" spans="2:6" ht="15.75">
      <c r="B2170" s="21"/>
      <c r="D2170" s="17"/>
      <c r="E2170" s="17"/>
      <c r="F2170" s="8"/>
    </row>
    <row r="2171" spans="2:6" ht="15.75">
      <c r="B2171" s="21"/>
      <c r="D2171" s="17"/>
      <c r="E2171" s="17"/>
      <c r="F2171" s="8"/>
    </row>
    <row r="2172" spans="2:6" ht="15.75">
      <c r="B2172" s="21"/>
      <c r="D2172" s="17"/>
      <c r="E2172" s="17"/>
      <c r="F2172" s="8"/>
    </row>
    <row r="2173" spans="2:6" ht="15.75">
      <c r="B2173" s="21"/>
      <c r="D2173" s="17"/>
      <c r="E2173" s="17"/>
      <c r="F2173" s="8"/>
    </row>
    <row r="2174" spans="2:6" ht="15.75">
      <c r="B2174" s="21"/>
      <c r="D2174" s="17"/>
      <c r="E2174" s="17"/>
      <c r="F2174" s="8"/>
    </row>
    <row r="2175" spans="2:6" ht="15.75">
      <c r="B2175" s="21"/>
      <c r="D2175" s="17"/>
      <c r="E2175" s="17"/>
      <c r="F2175" s="8"/>
    </row>
    <row r="2176" spans="2:6" ht="15.75">
      <c r="B2176" s="21"/>
      <c r="D2176" s="17"/>
      <c r="E2176" s="17"/>
      <c r="F2176" s="8"/>
    </row>
    <row r="2177" spans="2:6">
      <c r="C2177" s="17"/>
      <c r="D2177" s="17"/>
      <c r="F2177" s="8"/>
    </row>
    <row r="2178" spans="2:6" ht="15.75">
      <c r="B2178" s="21"/>
      <c r="D2178" s="17"/>
      <c r="E2178" s="17"/>
      <c r="F2178" s="8"/>
    </row>
    <row r="2179" spans="2:6" ht="15.75">
      <c r="B2179" s="21"/>
      <c r="D2179" s="17"/>
      <c r="E2179" s="17"/>
      <c r="F2179" s="8"/>
    </row>
    <row r="2180" spans="2:6" ht="15.75">
      <c r="B2180" s="21"/>
      <c r="D2180" s="17"/>
      <c r="E2180" s="17"/>
      <c r="F2180" s="8"/>
    </row>
    <row r="2181" spans="2:6" ht="15.75">
      <c r="B2181" s="21"/>
      <c r="D2181" s="17"/>
      <c r="E2181" s="17"/>
      <c r="F2181" s="8"/>
    </row>
    <row r="2182" spans="2:6" ht="15.75">
      <c r="B2182" s="21"/>
      <c r="D2182" s="17"/>
      <c r="E2182" s="17"/>
      <c r="F2182" s="8"/>
    </row>
    <row r="2183" spans="2:6" ht="15.75">
      <c r="B2183" s="21"/>
      <c r="D2183" s="17"/>
      <c r="E2183" s="17"/>
      <c r="F2183" s="8"/>
    </row>
    <row r="2184" spans="2:6" ht="15.75">
      <c r="B2184" s="21"/>
      <c r="D2184" s="17"/>
      <c r="E2184" s="17"/>
      <c r="F2184" s="8"/>
    </row>
    <row r="2185" spans="2:6" ht="15.75">
      <c r="B2185" s="21"/>
      <c r="D2185" s="17"/>
      <c r="E2185" s="17"/>
      <c r="F2185" s="8"/>
    </row>
    <row r="2186" spans="2:6" ht="15.75">
      <c r="B2186" s="21"/>
      <c r="D2186" s="17"/>
      <c r="E2186" s="17"/>
      <c r="F2186" s="8"/>
    </row>
    <row r="2187" spans="2:6" ht="15.75">
      <c r="B2187" s="21"/>
      <c r="D2187" s="17"/>
      <c r="E2187" s="17"/>
      <c r="F2187" s="8"/>
    </row>
    <row r="2188" spans="2:6" ht="15.75">
      <c r="B2188" s="21"/>
      <c r="D2188" s="17"/>
      <c r="E2188" s="17"/>
      <c r="F2188" s="8"/>
    </row>
    <row r="2189" spans="2:6" ht="15.75">
      <c r="B2189" s="21"/>
      <c r="D2189" s="17"/>
      <c r="E2189" s="17"/>
      <c r="F2189" s="8"/>
    </row>
    <row r="2190" spans="2:6" ht="15.75">
      <c r="B2190" s="21"/>
      <c r="D2190" s="17"/>
      <c r="E2190" s="17"/>
      <c r="F2190" s="8"/>
    </row>
    <row r="2191" spans="2:6" ht="15.75">
      <c r="B2191" s="21"/>
      <c r="D2191" s="17"/>
      <c r="E2191" s="17"/>
      <c r="F2191" s="8"/>
    </row>
    <row r="2192" spans="2:6" ht="15.75">
      <c r="B2192" s="21"/>
      <c r="D2192" s="17"/>
      <c r="E2192" s="17"/>
      <c r="F2192" s="8"/>
    </row>
    <row r="2193" spans="2:6" ht="15.75">
      <c r="B2193" s="21"/>
      <c r="D2193" s="17"/>
      <c r="E2193" s="17"/>
      <c r="F2193" s="8"/>
    </row>
    <row r="2194" spans="2:6" ht="15.75">
      <c r="B2194" s="21"/>
      <c r="D2194" s="17"/>
      <c r="E2194" s="17"/>
      <c r="F2194" s="8"/>
    </row>
    <row r="2195" spans="2:6" ht="15.75">
      <c r="B2195" s="21"/>
      <c r="D2195" s="17"/>
      <c r="E2195" s="17"/>
      <c r="F2195" s="8"/>
    </row>
    <row r="2196" spans="2:6" ht="15.75">
      <c r="B2196" s="21"/>
      <c r="D2196" s="17"/>
      <c r="E2196" s="17"/>
      <c r="F2196" s="8"/>
    </row>
    <row r="2197" spans="2:6" ht="15.75">
      <c r="B2197" s="21"/>
      <c r="D2197" s="17"/>
      <c r="E2197" s="17"/>
      <c r="F2197" s="8"/>
    </row>
    <row r="2198" spans="2:6" ht="15.75">
      <c r="B2198" s="21"/>
      <c r="D2198" s="17"/>
      <c r="E2198" s="17"/>
      <c r="F2198" s="8"/>
    </row>
    <row r="2199" spans="2:6" ht="15.75">
      <c r="B2199" s="21"/>
      <c r="D2199" s="17"/>
      <c r="E2199" s="17"/>
      <c r="F2199" s="8"/>
    </row>
    <row r="2200" spans="2:6" ht="15.75">
      <c r="B2200" s="21"/>
      <c r="D2200" s="17"/>
      <c r="E2200" s="17"/>
      <c r="F2200" s="8"/>
    </row>
    <row r="2201" spans="2:6" ht="15.75">
      <c r="B2201" s="21"/>
      <c r="D2201" s="17"/>
      <c r="E2201" s="17"/>
      <c r="F2201" s="8"/>
    </row>
    <row r="2202" spans="2:6" ht="15.75">
      <c r="B2202" s="21"/>
      <c r="D2202" s="17"/>
      <c r="E2202" s="17"/>
      <c r="F2202" s="8"/>
    </row>
    <row r="2203" spans="2:6" ht="15.75">
      <c r="B2203" s="21"/>
      <c r="D2203" s="17"/>
      <c r="E2203" s="17"/>
      <c r="F2203" s="8"/>
    </row>
    <row r="2204" spans="2:6" ht="15.75">
      <c r="B2204" s="21"/>
      <c r="D2204" s="17"/>
      <c r="F2204" s="8"/>
    </row>
    <row r="2205" spans="2:6" ht="15.75">
      <c r="B2205" s="21"/>
      <c r="D2205" s="17"/>
      <c r="E2205" s="17"/>
      <c r="F2205" s="8"/>
    </row>
    <row r="2206" spans="2:6" ht="15.75">
      <c r="B2206" s="21"/>
      <c r="D2206" s="17"/>
      <c r="E2206" s="17"/>
      <c r="F2206" s="8"/>
    </row>
    <row r="2207" spans="2:6" ht="15.75">
      <c r="B2207" s="21"/>
      <c r="D2207" s="17"/>
      <c r="E2207" s="17"/>
      <c r="F2207" s="8"/>
    </row>
    <row r="2208" spans="2:6" ht="15.75">
      <c r="B2208" s="21"/>
      <c r="D2208" s="17"/>
      <c r="E2208" s="17"/>
      <c r="F2208" s="8"/>
    </row>
    <row r="2209" spans="2:6" ht="15.75">
      <c r="B2209" s="21"/>
      <c r="D2209" s="17"/>
      <c r="E2209" s="17"/>
      <c r="F2209" s="8"/>
    </row>
    <row r="2210" spans="2:6" ht="15.75">
      <c r="B2210" s="21"/>
      <c r="D2210" s="17"/>
      <c r="E2210" s="17"/>
      <c r="F2210" s="8"/>
    </row>
    <row r="2211" spans="2:6" ht="15.75">
      <c r="B2211" s="21"/>
      <c r="D2211" s="17"/>
      <c r="E2211" s="17"/>
      <c r="F2211" s="8"/>
    </row>
    <row r="2212" spans="2:6" ht="15.75">
      <c r="B2212" s="21"/>
      <c r="D2212" s="17"/>
      <c r="E2212" s="17"/>
      <c r="F2212" s="8"/>
    </row>
    <row r="2213" spans="2:6" ht="15.75">
      <c r="B2213" s="21"/>
      <c r="D2213" s="17"/>
      <c r="E2213" s="17"/>
      <c r="F2213" s="8"/>
    </row>
    <row r="2214" spans="2:6" ht="15.75">
      <c r="B2214" s="21"/>
      <c r="D2214" s="17"/>
      <c r="E2214" s="17"/>
      <c r="F2214" s="8"/>
    </row>
    <row r="2215" spans="2:6" ht="15.75">
      <c r="B2215" s="21"/>
      <c r="D2215" s="17"/>
      <c r="E2215" s="17"/>
      <c r="F2215" s="8"/>
    </row>
    <row r="2216" spans="2:6" ht="15.75">
      <c r="B2216" s="21"/>
      <c r="D2216" s="17"/>
      <c r="E2216" s="17"/>
      <c r="F2216" s="8"/>
    </row>
    <row r="2217" spans="2:6" ht="15.75">
      <c r="B2217" s="21"/>
      <c r="D2217" s="17"/>
      <c r="E2217" s="17"/>
      <c r="F2217" s="8"/>
    </row>
    <row r="2218" spans="2:6">
      <c r="B2218" s="59"/>
      <c r="C2218" s="46"/>
      <c r="D2218" s="47"/>
      <c r="E2218" s="55"/>
      <c r="F2218" s="8"/>
    </row>
    <row r="2219" spans="2:6" ht="15.75">
      <c r="B2219" s="21"/>
      <c r="D2219" s="17"/>
      <c r="E2219" s="17"/>
      <c r="F2219" s="8"/>
    </row>
    <row r="2220" spans="2:6" ht="15.75">
      <c r="B2220" s="21"/>
      <c r="C2220" s="46"/>
      <c r="D2220" s="17"/>
      <c r="E2220" s="47"/>
      <c r="F2220" s="8"/>
    </row>
    <row r="2221" spans="2:6" ht="15.75">
      <c r="B2221" s="21"/>
      <c r="D2221" s="17"/>
      <c r="E2221" s="17"/>
      <c r="F2221" s="8"/>
    </row>
    <row r="2222" spans="2:6" ht="15.75">
      <c r="B2222" s="21"/>
      <c r="D2222" s="17"/>
      <c r="E2222" s="17"/>
      <c r="F2222" s="8"/>
    </row>
    <row r="2223" spans="2:6" ht="15.75">
      <c r="B2223" s="21"/>
      <c r="D2223" s="17"/>
      <c r="E2223" s="17"/>
      <c r="F2223" s="8"/>
    </row>
    <row r="2224" spans="2:6" ht="15.75">
      <c r="B2224" s="21"/>
      <c r="D2224" s="17"/>
      <c r="E2224" s="17"/>
      <c r="F2224" s="8"/>
    </row>
    <row r="2225" spans="2:6" ht="15.75">
      <c r="B2225" s="21"/>
      <c r="D2225" s="17"/>
      <c r="E2225" s="17"/>
      <c r="F2225" s="8"/>
    </row>
    <row r="2226" spans="2:6">
      <c r="C2226" s="17"/>
      <c r="D2226" s="17"/>
      <c r="E2226" s="17"/>
      <c r="F2226" s="8"/>
    </row>
    <row r="2227" spans="2:6" ht="15.75">
      <c r="B2227" s="21"/>
      <c r="D2227" s="17"/>
      <c r="E2227" s="17"/>
      <c r="F2227" s="8"/>
    </row>
    <row r="2228" spans="2:6" ht="15.75">
      <c r="B2228" s="21"/>
      <c r="D2228" s="17"/>
      <c r="E2228" s="17"/>
      <c r="F2228" s="8"/>
    </row>
    <row r="2229" spans="2:6" ht="15.75">
      <c r="B2229" s="21"/>
      <c r="D2229" s="17"/>
      <c r="E2229" s="17"/>
      <c r="F2229" s="8"/>
    </row>
    <row r="2230" spans="2:6">
      <c r="D2230" s="17"/>
      <c r="E2230" s="17"/>
      <c r="F2230" s="8"/>
    </row>
    <row r="2231" spans="2:6" ht="15.75">
      <c r="B2231" s="48"/>
      <c r="C2231" s="46"/>
      <c r="D2231" s="47"/>
      <c r="E2231" s="55"/>
      <c r="F2231" s="8"/>
    </row>
    <row r="2232" spans="2:6" ht="15.75">
      <c r="B2232" s="21"/>
      <c r="D2232" s="17"/>
      <c r="E2232" s="17"/>
      <c r="F2232" s="8"/>
    </row>
    <row r="2233" spans="2:6" ht="15.75">
      <c r="B2233" s="21"/>
      <c r="D2233" s="17"/>
      <c r="E2233" s="17"/>
      <c r="F2233" s="8"/>
    </row>
    <row r="2234" spans="2:6" ht="15.75">
      <c r="B2234" s="21"/>
      <c r="D2234" s="17"/>
      <c r="E2234" s="17"/>
      <c r="F2234" s="8"/>
    </row>
    <row r="2235" spans="2:6" ht="15.75">
      <c r="B2235" s="21"/>
      <c r="D2235" s="17"/>
      <c r="E2235" s="17"/>
      <c r="F2235" s="8"/>
    </row>
    <row r="2236" spans="2:6" ht="15.75">
      <c r="B2236" s="21"/>
      <c r="D2236" s="17"/>
      <c r="E2236" s="17"/>
      <c r="F2236" s="8"/>
    </row>
    <row r="2237" spans="2:6" ht="15.75">
      <c r="B2237" s="21"/>
      <c r="D2237" s="17"/>
      <c r="E2237" s="17"/>
      <c r="F2237" s="8"/>
    </row>
    <row r="2238" spans="2:6" ht="15.75">
      <c r="B2238" s="21"/>
      <c r="D2238" s="17"/>
      <c r="E2238" s="17"/>
      <c r="F2238" s="8"/>
    </row>
    <row r="2239" spans="2:6" ht="15.75">
      <c r="B2239" s="21"/>
      <c r="D2239" s="17"/>
      <c r="E2239" s="17"/>
      <c r="F2239" s="8"/>
    </row>
    <row r="2240" spans="2:6" ht="15.75">
      <c r="B2240" s="21"/>
      <c r="D2240" s="17"/>
      <c r="E2240" s="17"/>
      <c r="F2240" s="8"/>
    </row>
    <row r="2241" spans="2:6" ht="15.75">
      <c r="B2241" s="21"/>
      <c r="D2241" s="17"/>
      <c r="E2241" s="17"/>
      <c r="F2241" s="8"/>
    </row>
    <row r="2242" spans="2:6" ht="15.75">
      <c r="B2242" s="21"/>
      <c r="D2242" s="17"/>
      <c r="E2242" s="17"/>
      <c r="F2242" s="8"/>
    </row>
    <row r="2243" spans="2:6">
      <c r="B2243" s="59"/>
      <c r="C2243" s="46"/>
      <c r="D2243" s="47"/>
      <c r="E2243" s="55"/>
      <c r="F2243" s="8"/>
    </row>
    <row r="2244" spans="2:6" ht="15.75">
      <c r="B2244" s="21"/>
      <c r="D2244" s="17"/>
      <c r="E2244" s="17"/>
      <c r="F2244" s="8"/>
    </row>
    <row r="2245" spans="2:6">
      <c r="B2245" s="59"/>
      <c r="D2245" s="17"/>
      <c r="E2245" s="17"/>
      <c r="F2245" s="8"/>
    </row>
    <row r="2246" spans="2:6" ht="15.75">
      <c r="B2246" s="21"/>
      <c r="D2246" s="17"/>
      <c r="E2246" s="17"/>
      <c r="F2246" s="8"/>
    </row>
    <row r="2247" spans="2:6">
      <c r="B2247" s="59"/>
      <c r="D2247" s="17"/>
      <c r="E2247" s="17"/>
      <c r="F2247" s="8"/>
    </row>
    <row r="2248" spans="2:6" ht="15.75">
      <c r="B2248" s="21"/>
      <c r="D2248" s="17"/>
      <c r="E2248" s="17"/>
      <c r="F2248" s="8"/>
    </row>
    <row r="2249" spans="2:6" ht="15.75">
      <c r="B2249" s="48"/>
      <c r="D2249" s="17"/>
      <c r="E2249" s="17"/>
      <c r="F2249" s="8"/>
    </row>
    <row r="2250" spans="2:6" ht="15.75">
      <c r="B2250" s="21"/>
      <c r="E2250" s="17"/>
      <c r="F2250" s="8"/>
    </row>
    <row r="2251" spans="2:6" ht="15.75">
      <c r="B2251" s="21"/>
      <c r="E2251" s="17"/>
      <c r="F2251" s="8"/>
    </row>
    <row r="2252" spans="2:6" ht="15.75">
      <c r="B2252" s="21"/>
      <c r="E2252" s="17"/>
      <c r="F2252" s="8"/>
    </row>
    <row r="2253" spans="2:6" ht="15.75">
      <c r="B2253" s="21"/>
      <c r="E2253" s="17"/>
      <c r="F2253" s="8"/>
    </row>
    <row r="2254" spans="2:6" ht="15.75">
      <c r="B2254" s="21"/>
      <c r="E2254" s="17"/>
      <c r="F2254" s="8"/>
    </row>
    <row r="2255" spans="2:6" ht="15.75">
      <c r="B2255" s="21"/>
      <c r="E2255" s="17"/>
      <c r="F2255" s="8"/>
    </row>
    <row r="2256" spans="2:6" ht="15.75">
      <c r="B2256" s="21"/>
      <c r="E2256" s="17"/>
      <c r="F2256" s="8"/>
    </row>
    <row r="2257" spans="2:6" ht="15.75">
      <c r="B2257" s="21"/>
      <c r="E2257" s="17"/>
      <c r="F2257" s="8"/>
    </row>
    <row r="2258" spans="2:6" ht="15.75">
      <c r="B2258" s="21"/>
      <c r="E2258" s="17"/>
      <c r="F2258" s="8"/>
    </row>
    <row r="2259" spans="2:6" ht="15.75">
      <c r="B2259" s="21"/>
      <c r="E2259" s="17"/>
      <c r="F2259" s="8"/>
    </row>
    <row r="2260" spans="2:6" ht="15.75">
      <c r="B2260" s="48"/>
      <c r="D2260" s="2"/>
      <c r="F2260" s="8"/>
    </row>
    <row r="2261" spans="2:6" ht="15.75">
      <c r="B2261" s="21"/>
      <c r="E2261" s="17"/>
      <c r="F2261" s="8"/>
    </row>
    <row r="2262" spans="2:6" ht="15.75">
      <c r="B2262" s="21"/>
      <c r="E2262" s="17"/>
      <c r="F2262" s="8"/>
    </row>
    <row r="2263" spans="2:6" ht="15.75">
      <c r="B2263" s="21"/>
      <c r="E2263" s="17"/>
      <c r="F2263" s="8"/>
    </row>
    <row r="2264" spans="2:6" ht="15.75">
      <c r="B2264" s="21"/>
      <c r="E2264" s="17"/>
      <c r="F2264" s="8"/>
    </row>
    <row r="2265" spans="2:6" ht="15.75">
      <c r="B2265" s="21"/>
      <c r="E2265" s="17"/>
      <c r="F2265" s="8"/>
    </row>
    <row r="2266" spans="2:6" ht="15.75">
      <c r="B2266" s="21"/>
      <c r="E2266" s="17"/>
      <c r="F2266" s="8"/>
    </row>
    <row r="2267" spans="2:6" ht="15.75">
      <c r="B2267" s="21"/>
      <c r="E2267" s="17"/>
      <c r="F2267" s="8"/>
    </row>
    <row r="2268" spans="2:6" ht="15.75">
      <c r="B2268" s="48"/>
      <c r="D2268" s="2"/>
      <c r="F2268" s="8"/>
    </row>
    <row r="2269" spans="2:6" ht="15.75">
      <c r="B2269" s="48"/>
      <c r="D2269" s="17"/>
      <c r="E2269" s="17"/>
      <c r="F2269" s="8"/>
    </row>
    <row r="2270" spans="2:6" ht="15.75">
      <c r="B2270" s="48"/>
      <c r="D2270" s="17"/>
      <c r="E2270" s="17"/>
      <c r="F2270" s="8"/>
    </row>
    <row r="2271" spans="2:6" ht="15.75">
      <c r="B2271" s="48"/>
      <c r="D2271" s="17"/>
      <c r="E2271" s="17"/>
      <c r="F2271" s="8"/>
    </row>
    <row r="2272" spans="2:6" ht="15.75">
      <c r="B2272" s="48"/>
      <c r="D2272" s="17"/>
      <c r="E2272" s="17"/>
      <c r="F2272" s="8"/>
    </row>
    <row r="2273" spans="2:6" ht="15.75">
      <c r="B2273" s="48"/>
      <c r="D2273" s="17"/>
      <c r="E2273" s="17"/>
      <c r="F2273" s="8"/>
    </row>
    <row r="2274" spans="2:6" ht="15.75">
      <c r="B2274" s="48"/>
      <c r="D2274" s="17"/>
      <c r="E2274" s="17"/>
      <c r="F2274" s="8"/>
    </row>
    <row r="2275" spans="2:6" ht="15.75">
      <c r="B2275" s="48"/>
      <c r="D2275" s="17"/>
      <c r="E2275" s="17"/>
      <c r="F2275" s="8"/>
    </row>
    <row r="2276" spans="2:6" ht="15.75">
      <c r="B2276" s="48"/>
      <c r="D2276" s="17"/>
      <c r="E2276" s="17"/>
      <c r="F2276" s="8"/>
    </row>
    <row r="2277" spans="2:6" ht="15.75">
      <c r="B2277" s="48"/>
      <c r="D2277" s="17"/>
      <c r="E2277" s="17"/>
      <c r="F2277" s="8"/>
    </row>
    <row r="2278" spans="2:6" ht="15.75">
      <c r="B2278" s="48"/>
      <c r="D2278" s="17"/>
      <c r="E2278" s="17"/>
      <c r="F2278" s="8"/>
    </row>
    <row r="2279" spans="2:6" ht="15.75">
      <c r="B2279" s="48"/>
      <c r="D2279" s="17"/>
      <c r="E2279" s="17"/>
      <c r="F2279" s="8"/>
    </row>
    <row r="2280" spans="2:6" ht="15.75">
      <c r="B2280" s="48"/>
      <c r="D2280" s="17"/>
      <c r="E2280" s="17"/>
      <c r="F2280" s="8"/>
    </row>
    <row r="2281" spans="2:6" ht="15.75">
      <c r="B2281" s="48"/>
      <c r="C2281" s="46"/>
      <c r="D2281" s="47"/>
      <c r="E2281" s="47"/>
      <c r="F2281" s="8"/>
    </row>
    <row r="2282" spans="2:6" ht="15.75">
      <c r="B2282" s="48"/>
      <c r="D2282" s="17"/>
      <c r="E2282" s="17"/>
      <c r="F2282" s="8"/>
    </row>
    <row r="2283" spans="2:6" ht="15.75">
      <c r="B2283" s="48"/>
      <c r="D2283" s="17"/>
      <c r="E2283" s="17"/>
      <c r="F2283" s="8"/>
    </row>
    <row r="2284" spans="2:6" ht="15.75">
      <c r="B2284" s="21"/>
      <c r="E2284" s="17"/>
      <c r="F2284" s="8"/>
    </row>
    <row r="2285" spans="2:6">
      <c r="D2285" s="17"/>
      <c r="E2285" s="17"/>
      <c r="F2285" s="8"/>
    </row>
    <row r="2286" spans="2:6" ht="15.75">
      <c r="B2286" s="48"/>
      <c r="D2286" s="2"/>
      <c r="E2286" s="17"/>
      <c r="F2286" s="8"/>
    </row>
    <row r="2287" spans="2:6" ht="15.75">
      <c r="B2287" s="48"/>
      <c r="D2287" s="2"/>
      <c r="F2287" s="8"/>
    </row>
    <row r="2288" spans="2:6" ht="15.75">
      <c r="B2288" s="48"/>
      <c r="D2288" s="2"/>
      <c r="E2288" s="17"/>
      <c r="F2288" s="8"/>
    </row>
    <row r="2289" spans="2:6" ht="15.75">
      <c r="B2289" s="48"/>
      <c r="D2289" s="2"/>
      <c r="E2289" s="17"/>
      <c r="F2289" s="8"/>
    </row>
    <row r="2290" spans="2:6" ht="15.75">
      <c r="B2290" s="48"/>
      <c r="D2290" s="2"/>
      <c r="F2290" s="8"/>
    </row>
    <row r="2291" spans="2:6" ht="15.75">
      <c r="B2291" s="48"/>
      <c r="D2291" s="2"/>
      <c r="E2291" s="17"/>
      <c r="F2291" s="8"/>
    </row>
    <row r="2292" spans="2:6" ht="15.75">
      <c r="B2292" s="48"/>
      <c r="D2292" s="2"/>
      <c r="F2292" s="8"/>
    </row>
    <row r="2293" spans="2:6">
      <c r="D2293" s="17"/>
      <c r="E2293" s="17"/>
      <c r="F2293" s="8"/>
    </row>
    <row r="2294" spans="2:6" ht="15.75">
      <c r="B2294" s="21"/>
      <c r="D2294" s="17"/>
      <c r="E2294" s="17"/>
      <c r="F2294" s="8"/>
    </row>
    <row r="2295" spans="2:6" ht="15.75">
      <c r="B2295" s="21"/>
      <c r="D2295" s="17"/>
      <c r="E2295" s="17"/>
      <c r="F2295" s="8"/>
    </row>
    <row r="2296" spans="2:6" ht="15.75">
      <c r="B2296" s="21"/>
      <c r="D2296" s="17"/>
      <c r="E2296" s="17"/>
      <c r="F2296" s="8"/>
    </row>
    <row r="2297" spans="2:6" ht="15.75">
      <c r="B2297" s="21"/>
      <c r="D2297" s="17"/>
      <c r="E2297" s="17"/>
      <c r="F2297" s="8"/>
    </row>
    <row r="2298" spans="2:6" ht="15.75">
      <c r="B2298" s="21"/>
      <c r="D2298" s="17"/>
      <c r="E2298" s="17"/>
      <c r="F2298" s="8"/>
    </row>
    <row r="2299" spans="2:6" ht="15.75">
      <c r="B2299" s="21"/>
      <c r="D2299" s="17"/>
      <c r="E2299" s="17"/>
      <c r="F2299" s="8"/>
    </row>
    <row r="2300" spans="2:6">
      <c r="D2300" s="17"/>
      <c r="E2300" s="17"/>
      <c r="F2300" s="8"/>
    </row>
    <row r="2301" spans="2:6">
      <c r="D2301" s="17"/>
      <c r="E2301" s="17"/>
      <c r="F2301" s="8"/>
    </row>
    <row r="2302" spans="2:6">
      <c r="B2302" s="59"/>
      <c r="C2302" s="46"/>
      <c r="D2302" s="56"/>
      <c r="E2302" s="57"/>
      <c r="F2302" s="8"/>
    </row>
    <row r="2303" spans="2:6">
      <c r="D2303" s="17"/>
      <c r="E2303" s="17"/>
      <c r="F2303" s="8"/>
    </row>
    <row r="2304" spans="2:6" ht="15.75">
      <c r="B2304" s="21"/>
      <c r="D2304" s="17"/>
      <c r="E2304" s="17"/>
      <c r="F2304" s="8"/>
    </row>
    <row r="2305" spans="3:6">
      <c r="D2305" s="17"/>
      <c r="E2305" s="17"/>
      <c r="F2305" s="8"/>
    </row>
    <row r="2306" spans="3:6">
      <c r="D2306" s="17"/>
      <c r="E2306" s="17"/>
      <c r="F2306" s="8"/>
    </row>
    <row r="2307" spans="3:6">
      <c r="D2307" s="17"/>
      <c r="E2307" s="17"/>
      <c r="F2307" s="8"/>
    </row>
    <row r="2308" spans="3:6">
      <c r="D2308" s="17"/>
      <c r="E2308" s="17"/>
      <c r="F2308" s="8"/>
    </row>
    <row r="2309" spans="3:6">
      <c r="C2309" s="17"/>
      <c r="D2309" s="17"/>
      <c r="F2309" s="8"/>
    </row>
    <row r="2310" spans="3:6">
      <c r="E2310" s="17"/>
      <c r="F2310" s="8"/>
    </row>
    <row r="2311" spans="3:6">
      <c r="D2311" s="17"/>
      <c r="E2311" s="17"/>
      <c r="F2311" s="8"/>
    </row>
    <row r="2312" spans="3:6">
      <c r="D2312" s="17"/>
      <c r="E2312" s="17"/>
      <c r="F2312" s="8"/>
    </row>
    <row r="2313" spans="3:6">
      <c r="D2313" s="17"/>
      <c r="E2313" s="17"/>
      <c r="F2313" s="8"/>
    </row>
    <row r="2314" spans="3:6">
      <c r="D2314" s="17"/>
      <c r="E2314" s="17"/>
      <c r="F2314" s="8"/>
    </row>
    <row r="2315" spans="3:6">
      <c r="D2315" s="17"/>
      <c r="E2315" s="17"/>
      <c r="F2315" s="8"/>
    </row>
    <row r="2316" spans="3:6">
      <c r="D2316" s="17"/>
      <c r="E2316" s="17"/>
      <c r="F2316" s="8"/>
    </row>
    <row r="2317" spans="3:6">
      <c r="D2317" s="17"/>
      <c r="E2317" s="17"/>
      <c r="F2317" s="8"/>
    </row>
    <row r="2318" spans="3:6">
      <c r="D2318" s="17"/>
      <c r="E2318" s="17"/>
      <c r="F2318" s="8"/>
    </row>
    <row r="2319" spans="3:6">
      <c r="D2319" s="17"/>
      <c r="E2319" s="17"/>
      <c r="F2319" s="8"/>
    </row>
    <row r="2320" spans="3:6">
      <c r="D2320" s="17"/>
      <c r="E2320" s="17"/>
      <c r="F2320" s="8"/>
    </row>
    <row r="2321" spans="2:6">
      <c r="C2321" s="17"/>
      <c r="D2321" s="17"/>
      <c r="F2321" s="8"/>
    </row>
    <row r="2322" spans="2:6">
      <c r="D2322" s="17"/>
      <c r="E2322" s="17"/>
      <c r="F2322" s="8"/>
    </row>
    <row r="2323" spans="2:6">
      <c r="D2323" s="17"/>
      <c r="E2323" s="17"/>
      <c r="F2323" s="8"/>
    </row>
    <row r="2324" spans="2:6">
      <c r="D2324" s="17"/>
      <c r="E2324" s="17"/>
      <c r="F2324" s="8"/>
    </row>
    <row r="2325" spans="2:6">
      <c r="D2325" s="17"/>
      <c r="E2325" s="17"/>
      <c r="F2325" s="8"/>
    </row>
    <row r="2326" spans="2:6" ht="15.75">
      <c r="B2326" s="21"/>
      <c r="D2326" s="17"/>
      <c r="E2326" s="17"/>
      <c r="F2326" s="8"/>
    </row>
    <row r="2327" spans="2:6" ht="15.75">
      <c r="B2327" s="21"/>
      <c r="D2327" s="17"/>
      <c r="E2327" s="17"/>
      <c r="F2327" s="8"/>
    </row>
    <row r="2328" spans="2:6" ht="15.75">
      <c r="B2328" s="21"/>
      <c r="D2328" s="17"/>
      <c r="E2328" s="17"/>
      <c r="F2328" s="8"/>
    </row>
    <row r="2329" spans="2:6" ht="15.75">
      <c r="B2329" s="21"/>
      <c r="D2329" s="17"/>
      <c r="E2329" s="17"/>
      <c r="F2329" s="8"/>
    </row>
    <row r="2330" spans="2:6" ht="15.75">
      <c r="B2330" s="21"/>
      <c r="D2330" s="17"/>
      <c r="E2330" s="17"/>
      <c r="F2330" s="8"/>
    </row>
    <row r="2331" spans="2:6" ht="15.75">
      <c r="B2331" s="21"/>
      <c r="C2331" s="17"/>
      <c r="D2331" s="17"/>
      <c r="F2331" s="8"/>
    </row>
    <row r="2332" spans="2:6" ht="15.75">
      <c r="B2332" s="21"/>
      <c r="D2332" s="17"/>
      <c r="E2332" s="17"/>
      <c r="F2332" s="8"/>
    </row>
    <row r="2333" spans="2:6">
      <c r="E2333" s="17"/>
      <c r="F2333" s="8"/>
    </row>
    <row r="2334" spans="2:6">
      <c r="E2334" s="17"/>
      <c r="F2334" s="8"/>
    </row>
    <row r="2335" spans="2:6">
      <c r="D2335" s="17"/>
      <c r="E2335" s="17"/>
      <c r="F2335" s="8"/>
    </row>
    <row r="2336" spans="2:6">
      <c r="D2336" s="17"/>
      <c r="E2336" s="17"/>
      <c r="F2336" s="8"/>
    </row>
    <row r="2337" spans="1:6">
      <c r="C2337" s="8"/>
      <c r="D2337" s="17"/>
      <c r="E2337" s="17"/>
      <c r="F2337" s="8"/>
    </row>
    <row r="2338" spans="1:6">
      <c r="C2338" s="8"/>
      <c r="D2338" s="17"/>
      <c r="E2338" s="17"/>
      <c r="F2338" s="8"/>
    </row>
    <row r="2339" spans="1:6">
      <c r="D2339" s="17"/>
      <c r="E2339" s="17"/>
      <c r="F2339" s="8"/>
    </row>
    <row r="2340" spans="1:6">
      <c r="E2340" s="17"/>
    </row>
    <row r="2341" spans="1:6">
      <c r="E2341" s="17"/>
    </row>
    <row r="2342" spans="1:6">
      <c r="A2342" t="s">
        <v>99</v>
      </c>
      <c r="E2342" s="17"/>
    </row>
    <row r="2343" spans="1:6">
      <c r="E2343" s="17"/>
    </row>
    <row r="2344" spans="1:6">
      <c r="D2344" s="2"/>
      <c r="E2344" s="17"/>
    </row>
    <row r="2345" spans="1:6">
      <c r="D2345" s="2"/>
      <c r="E2345" s="17"/>
    </row>
    <row r="2346" spans="1:6">
      <c r="D2346" s="2"/>
      <c r="E2346" s="17"/>
    </row>
    <row r="2347" spans="1:6">
      <c r="D2347" s="2"/>
      <c r="E2347" s="17"/>
    </row>
    <row r="2348" spans="1:6">
      <c r="D2348" s="2"/>
      <c r="E2348" s="17"/>
    </row>
    <row r="2349" spans="1:6">
      <c r="D2349" s="2"/>
      <c r="E2349" s="17"/>
    </row>
    <row r="2350" spans="1:6">
      <c r="D2350" s="2"/>
      <c r="E2350" s="17"/>
    </row>
    <row r="2351" spans="1:6">
      <c r="D2351" s="2"/>
      <c r="E2351" s="17"/>
    </row>
    <row r="2352" spans="1:6">
      <c r="D2352" s="2"/>
      <c r="E2352" s="17"/>
    </row>
    <row r="2353" spans="2:6">
      <c r="D2353" s="2"/>
      <c r="E2353" s="17"/>
    </row>
    <row r="2354" spans="2:6">
      <c r="D2354" s="2"/>
      <c r="E2354" s="17"/>
    </row>
    <row r="2355" spans="2:6">
      <c r="D2355" s="2"/>
      <c r="E2355" s="17"/>
    </row>
    <row r="2356" spans="2:6">
      <c r="D2356" s="2"/>
      <c r="E2356" s="17"/>
    </row>
    <row r="2357" spans="2:6">
      <c r="D2357" s="2"/>
      <c r="E2357" s="17"/>
    </row>
    <row r="2358" spans="2:6">
      <c r="D2358" s="2"/>
      <c r="E2358" s="17"/>
    </row>
    <row r="2359" spans="2:6">
      <c r="D2359" s="2"/>
      <c r="E2359" s="17"/>
    </row>
    <row r="2360" spans="2:6">
      <c r="D2360" s="2"/>
      <c r="E2360" s="17"/>
    </row>
    <row r="2361" spans="2:6">
      <c r="D2361" s="2"/>
      <c r="E2361" s="17"/>
    </row>
    <row r="2362" spans="2:6">
      <c r="D2362" s="2"/>
      <c r="E2362" s="17"/>
    </row>
    <row r="2363" spans="2:6">
      <c r="D2363" s="2"/>
      <c r="E2363" s="17"/>
    </row>
    <row r="2364" spans="2:6">
      <c r="D2364" s="2"/>
      <c r="E2364" s="17"/>
    </row>
    <row r="2365" spans="2:6">
      <c r="D2365" s="2"/>
      <c r="E2365" s="17"/>
    </row>
    <row r="2366" spans="2:6">
      <c r="D2366" s="2"/>
      <c r="E2366" s="17"/>
    </row>
    <row r="2367" spans="2:6" ht="15.75">
      <c r="B2367" s="21"/>
      <c r="D2367" s="17"/>
      <c r="E2367" s="17"/>
      <c r="F2367" s="8"/>
    </row>
    <row r="2368" spans="2:6" ht="15.75">
      <c r="B2368" s="21"/>
      <c r="D2368" s="17"/>
      <c r="E2368" s="17"/>
      <c r="F2368" s="8"/>
    </row>
    <row r="2369" spans="2:6" ht="15.75">
      <c r="B2369" s="21"/>
      <c r="C2369" s="51"/>
      <c r="D2369" s="17"/>
      <c r="E2369" s="17"/>
      <c r="F2369" s="8"/>
    </row>
    <row r="2370" spans="2:6" ht="15.75">
      <c r="B2370" s="21"/>
      <c r="D2370" s="17"/>
      <c r="E2370" s="17"/>
      <c r="F2370" s="8"/>
    </row>
    <row r="2371" spans="2:6" ht="15.75">
      <c r="B2371" s="21"/>
      <c r="D2371" s="17"/>
      <c r="E2371" s="17"/>
      <c r="F2371" s="8"/>
    </row>
    <row r="2372" spans="2:6" ht="15.75">
      <c r="B2372" s="21"/>
      <c r="D2372" s="17"/>
      <c r="E2372" s="17"/>
      <c r="F2372" s="8"/>
    </row>
    <row r="2373" spans="2:6">
      <c r="D2373" s="2"/>
      <c r="E2373" s="17"/>
    </row>
    <row r="2374" spans="2:6">
      <c r="D2374" s="17"/>
      <c r="E2374" s="17"/>
    </row>
    <row r="2375" spans="2:6">
      <c r="D2375" s="17"/>
      <c r="E2375" s="17"/>
    </row>
    <row r="2376" spans="2:6">
      <c r="D2376" s="17"/>
      <c r="E2376" s="17"/>
    </row>
    <row r="2377" spans="2:6">
      <c r="D2377" s="17"/>
      <c r="E2377" s="17"/>
    </row>
    <row r="2378" spans="2:6">
      <c r="D2378" s="17"/>
      <c r="E2378" s="17"/>
    </row>
    <row r="2379" spans="2:6">
      <c r="D2379" s="17"/>
      <c r="E2379" s="17"/>
    </row>
    <row r="2380" spans="2:6">
      <c r="D2380" s="17"/>
      <c r="E2380" s="17"/>
    </row>
    <row r="2381" spans="2:6">
      <c r="D2381" s="17"/>
    </row>
    <row r="2382" spans="2:6">
      <c r="D2382" s="17"/>
      <c r="E2382" s="17"/>
    </row>
    <row r="2383" spans="2:6">
      <c r="D2383" s="17"/>
      <c r="E2383" s="17"/>
    </row>
    <row r="2384" spans="2:6">
      <c r="D2384" s="17"/>
      <c r="E2384" s="17"/>
    </row>
    <row r="2385" spans="3:5">
      <c r="D2385" s="17"/>
      <c r="E2385" s="17"/>
    </row>
    <row r="2386" spans="3:5">
      <c r="D2386" s="17"/>
      <c r="E2386" s="17"/>
    </row>
    <row r="2387" spans="3:5">
      <c r="D2387" s="17"/>
      <c r="E2387" s="17"/>
    </row>
    <row r="2388" spans="3:5">
      <c r="D2388" s="17"/>
      <c r="E2388" s="17"/>
    </row>
    <row r="2389" spans="3:5">
      <c r="D2389" s="17"/>
      <c r="E2389" s="17"/>
    </row>
    <row r="2390" spans="3:5">
      <c r="D2390" s="17"/>
      <c r="E2390" s="17"/>
    </row>
    <row r="2391" spans="3:5">
      <c r="D2391" s="17"/>
      <c r="E2391" s="17"/>
    </row>
    <row r="2392" spans="3:5">
      <c r="D2392" s="17"/>
      <c r="E2392" s="17"/>
    </row>
    <row r="2393" spans="3:5">
      <c r="D2393" s="17"/>
      <c r="E2393" s="17"/>
    </row>
    <row r="2394" spans="3:5">
      <c r="C2394" s="38"/>
      <c r="D2394" s="45"/>
      <c r="E2394" s="45"/>
    </row>
    <row r="2395" spans="3:5">
      <c r="D2395" s="17"/>
      <c r="E2395" s="17"/>
    </row>
    <row r="2396" spans="3:5">
      <c r="D2396" s="17"/>
      <c r="E2396" s="17"/>
    </row>
    <row r="2397" spans="3:5">
      <c r="D2397" s="17"/>
      <c r="E2397" s="17"/>
    </row>
    <row r="2398" spans="3:5">
      <c r="D2398" s="17"/>
      <c r="E2398" s="17"/>
    </row>
    <row r="2399" spans="3:5">
      <c r="D2399" s="17"/>
      <c r="E2399" s="17"/>
    </row>
    <row r="2400" spans="3:5">
      <c r="D2400" s="17"/>
      <c r="E2400" s="17"/>
    </row>
    <row r="2401" spans="4:5">
      <c r="D2401" s="17"/>
      <c r="E2401" s="17"/>
    </row>
    <row r="2402" spans="4:5">
      <c r="D2402" s="17"/>
      <c r="E2402" s="17"/>
    </row>
    <row r="2403" spans="4:5">
      <c r="D2403" s="17"/>
      <c r="E2403" s="17"/>
    </row>
    <row r="2404" spans="4:5">
      <c r="D2404" s="17"/>
      <c r="E2404" s="17"/>
    </row>
    <row r="2405" spans="4:5">
      <c r="D2405" s="17"/>
      <c r="E2405" s="17"/>
    </row>
    <row r="2406" spans="4:5">
      <c r="D2406" s="17"/>
      <c r="E2406" s="17"/>
    </row>
    <row r="2407" spans="4:5">
      <c r="D2407" s="17"/>
      <c r="E2407" s="17"/>
    </row>
    <row r="2408" spans="4:5">
      <c r="D2408" s="17"/>
      <c r="E2408" s="17"/>
    </row>
    <row r="2409" spans="4:5">
      <c r="D2409" s="17"/>
      <c r="E2409" s="17"/>
    </row>
    <row r="2410" spans="4:5">
      <c r="D2410" s="17"/>
      <c r="E2410" s="17"/>
    </row>
    <row r="2411" spans="4:5">
      <c r="D2411" s="17"/>
      <c r="E2411" s="17"/>
    </row>
    <row r="2412" spans="4:5">
      <c r="D2412" s="17"/>
      <c r="E2412" s="17"/>
    </row>
    <row r="2413" spans="4:5">
      <c r="D2413" s="17"/>
      <c r="E2413" s="17"/>
    </row>
    <row r="2414" spans="4:5">
      <c r="D2414" s="17"/>
      <c r="E2414" s="17"/>
    </row>
    <row r="2415" spans="4:5">
      <c r="D2415" s="17"/>
      <c r="E2415" s="17"/>
    </row>
    <row r="2416" spans="4:5">
      <c r="D2416" s="17"/>
      <c r="E2416" s="17"/>
    </row>
    <row r="2417" spans="2:6">
      <c r="D2417" s="17"/>
      <c r="E2417" s="17"/>
    </row>
    <row r="2418" spans="2:6">
      <c r="D2418" s="17"/>
      <c r="E2418" s="17"/>
    </row>
    <row r="2419" spans="2:6">
      <c r="D2419" s="17"/>
      <c r="E2419" s="17"/>
    </row>
    <row r="2420" spans="2:6">
      <c r="D2420" s="17"/>
      <c r="E2420" s="17"/>
    </row>
    <row r="2421" spans="2:6">
      <c r="D2421" s="17"/>
      <c r="E2421" s="17"/>
    </row>
    <row r="2422" spans="2:6">
      <c r="D2422" s="17"/>
    </row>
    <row r="2423" spans="2:6">
      <c r="D2423" s="17"/>
      <c r="E2423" s="17"/>
    </row>
    <row r="2424" spans="2:6" ht="15.75">
      <c r="B2424" s="21"/>
      <c r="D2424" s="17"/>
      <c r="E2424" s="17"/>
      <c r="F2424" s="8"/>
    </row>
    <row r="2425" spans="2:6" ht="15.75">
      <c r="B2425" s="21"/>
      <c r="D2425" s="17"/>
      <c r="E2425" s="17"/>
      <c r="F2425" s="8"/>
    </row>
    <row r="2426" spans="2:6" ht="15.75">
      <c r="B2426" s="21"/>
      <c r="D2426" s="17"/>
      <c r="E2426" s="17"/>
      <c r="F2426" s="8"/>
    </row>
    <row r="2427" spans="2:6" ht="15.75">
      <c r="B2427" s="21"/>
      <c r="D2427" s="17"/>
      <c r="E2427" s="17"/>
      <c r="F2427" s="8"/>
    </row>
    <row r="2428" spans="2:6" ht="15.75">
      <c r="B2428" s="21"/>
      <c r="D2428" s="17"/>
      <c r="E2428" s="17"/>
      <c r="F2428" s="8"/>
    </row>
    <row r="2429" spans="2:6" ht="15.75">
      <c r="B2429" s="21"/>
      <c r="D2429" s="17"/>
      <c r="E2429" s="17"/>
      <c r="F2429" s="8"/>
    </row>
    <row r="2430" spans="2:6" ht="15.75">
      <c r="B2430" s="21"/>
      <c r="D2430" s="17"/>
      <c r="E2430" s="17"/>
      <c r="F2430" s="8"/>
    </row>
    <row r="2431" spans="2:6" ht="15.75">
      <c r="B2431" s="21"/>
      <c r="D2431" s="17"/>
      <c r="E2431" s="17"/>
      <c r="F2431" s="8"/>
    </row>
    <row r="2432" spans="2:6" ht="15.75">
      <c r="B2432" s="21"/>
      <c r="D2432" s="17"/>
      <c r="E2432" s="17"/>
      <c r="F2432" s="8"/>
    </row>
    <row r="2433" spans="2:6">
      <c r="D2433" s="17"/>
      <c r="E2433" s="17"/>
      <c r="F2433" s="8"/>
    </row>
    <row r="2434" spans="2:6" ht="15.75">
      <c r="B2434" s="21"/>
      <c r="D2434" s="17"/>
      <c r="E2434" s="17"/>
    </row>
    <row r="2435" spans="2:6" ht="15.75">
      <c r="B2435" s="21"/>
      <c r="D2435" s="17"/>
      <c r="E2435" s="17"/>
    </row>
    <row r="2436" spans="2:6" ht="15.75">
      <c r="B2436" s="21"/>
      <c r="D2436" s="17"/>
      <c r="E2436" s="17"/>
    </row>
    <row r="2437" spans="2:6" ht="15.75">
      <c r="B2437" s="21"/>
      <c r="D2437" s="17"/>
      <c r="E2437" s="17"/>
    </row>
    <row r="2438" spans="2:6" ht="15.75">
      <c r="B2438" s="21"/>
      <c r="D2438" s="17"/>
      <c r="E2438" s="17"/>
    </row>
    <row r="2439" spans="2:6" ht="15.75">
      <c r="B2439" s="21"/>
      <c r="D2439" s="17"/>
      <c r="E2439" s="17"/>
    </row>
    <row r="2440" spans="2:6" ht="15.75">
      <c r="B2440" s="21"/>
      <c r="D2440" s="17"/>
      <c r="E2440" s="17"/>
    </row>
    <row r="2441" spans="2:6" ht="15.75">
      <c r="B2441" s="21"/>
      <c r="D2441" s="17"/>
      <c r="E2441" s="17"/>
    </row>
    <row r="2442" spans="2:6" ht="15.75">
      <c r="B2442" s="21"/>
      <c r="D2442" s="17"/>
      <c r="E2442" s="17"/>
    </row>
    <row r="2443" spans="2:6" ht="15.75">
      <c r="B2443" s="21"/>
      <c r="D2443" s="17"/>
      <c r="E2443" s="17"/>
    </row>
    <row r="2444" spans="2:6" ht="15.75">
      <c r="B2444" s="21"/>
      <c r="D2444" s="17"/>
      <c r="E2444" s="17"/>
    </row>
    <row r="2445" spans="2:6" ht="15.75">
      <c r="B2445" s="21"/>
      <c r="D2445" s="17"/>
      <c r="E2445" s="17"/>
    </row>
    <row r="2446" spans="2:6" ht="15.75">
      <c r="B2446" s="21"/>
      <c r="D2446" s="17"/>
      <c r="E2446" s="17"/>
    </row>
    <row r="2447" spans="2:6" ht="15.75">
      <c r="B2447" s="21"/>
      <c r="D2447" s="17"/>
      <c r="E2447" s="17"/>
    </row>
    <row r="2448" spans="2:6" ht="15.75">
      <c r="B2448" s="21"/>
      <c r="D2448" s="17"/>
      <c r="E2448" s="17"/>
    </row>
    <row r="2449" spans="2:5" ht="15.75">
      <c r="B2449" s="21"/>
      <c r="D2449" s="17"/>
      <c r="E2449" s="17"/>
    </row>
    <row r="2450" spans="2:5" ht="15.75">
      <c r="B2450" s="21"/>
      <c r="D2450" s="17"/>
      <c r="E2450" s="17"/>
    </row>
    <row r="2451" spans="2:5" ht="15.75">
      <c r="B2451" s="21"/>
      <c r="D2451" s="17"/>
      <c r="E2451" s="17"/>
    </row>
    <row r="2452" spans="2:5" ht="15.75">
      <c r="B2452" s="21"/>
      <c r="D2452" s="17"/>
      <c r="E2452" s="17"/>
    </row>
    <row r="2453" spans="2:5" ht="15.75">
      <c r="B2453" s="21"/>
      <c r="D2453" s="17"/>
      <c r="E2453" s="17"/>
    </row>
    <row r="2454" spans="2:5" ht="15.75">
      <c r="B2454" s="21"/>
      <c r="D2454" s="17"/>
      <c r="E2454" s="17"/>
    </row>
    <row r="2455" spans="2:5" ht="15.75">
      <c r="B2455" s="21"/>
      <c r="D2455" s="17"/>
      <c r="E2455" s="17"/>
    </row>
    <row r="2456" spans="2:5" ht="15.75">
      <c r="B2456" s="21"/>
      <c r="D2456" s="17"/>
      <c r="E2456" s="17"/>
    </row>
    <row r="2457" spans="2:5" ht="15.75">
      <c r="B2457" s="21"/>
      <c r="D2457" s="17"/>
      <c r="E2457" s="17"/>
    </row>
    <row r="2458" spans="2:5" ht="15.75">
      <c r="B2458" s="21"/>
      <c r="D2458" s="17"/>
      <c r="E2458" s="17"/>
    </row>
    <row r="2459" spans="2:5" ht="15.75">
      <c r="B2459" s="21"/>
      <c r="D2459" s="17"/>
      <c r="E2459" s="17"/>
    </row>
    <row r="2460" spans="2:5" ht="15.75">
      <c r="B2460" s="21"/>
      <c r="D2460" s="17"/>
      <c r="E2460" s="17"/>
    </row>
    <row r="2461" spans="2:5" ht="15.75">
      <c r="B2461" s="21"/>
      <c r="D2461" s="17"/>
      <c r="E2461" s="17"/>
    </row>
    <row r="2462" spans="2:5" ht="15.75">
      <c r="B2462" s="21"/>
      <c r="D2462" s="17"/>
      <c r="E2462" s="17"/>
    </row>
    <row r="2463" spans="2:5" ht="15.75">
      <c r="B2463" s="21"/>
      <c r="D2463" s="17"/>
      <c r="E2463" s="17"/>
    </row>
    <row r="2464" spans="2:5" ht="15.75">
      <c r="B2464" s="21"/>
      <c r="D2464" s="17"/>
      <c r="E2464" s="17"/>
    </row>
    <row r="2465" spans="2:5" ht="15.75">
      <c r="B2465" s="21"/>
      <c r="D2465" s="17"/>
      <c r="E2465" s="17"/>
    </row>
    <row r="2466" spans="2:5" ht="15.75">
      <c r="B2466" s="21"/>
      <c r="D2466" s="17"/>
      <c r="E2466" s="17"/>
    </row>
    <row r="2467" spans="2:5" ht="15.75">
      <c r="B2467" s="21"/>
      <c r="D2467" s="17"/>
      <c r="E2467" s="17"/>
    </row>
    <row r="2468" spans="2:5" ht="15.75">
      <c r="B2468" s="21"/>
      <c r="D2468" s="17"/>
      <c r="E2468" s="17"/>
    </row>
    <row r="2469" spans="2:5" ht="15.75">
      <c r="B2469" s="21"/>
      <c r="D2469" s="17"/>
      <c r="E2469" s="17"/>
    </row>
    <row r="2470" spans="2:5" ht="15.75">
      <c r="B2470" s="21"/>
      <c r="D2470" s="17"/>
      <c r="E2470" s="17"/>
    </row>
    <row r="2471" spans="2:5" ht="15.75">
      <c r="B2471" s="21"/>
      <c r="D2471" s="17"/>
      <c r="E2471" s="17"/>
    </row>
    <row r="2472" spans="2:5" ht="15.75">
      <c r="B2472" s="21"/>
      <c r="D2472" s="17"/>
      <c r="E2472" s="17"/>
    </row>
    <row r="2473" spans="2:5" ht="15.75">
      <c r="B2473" s="21"/>
      <c r="D2473" s="17"/>
      <c r="E2473" s="17"/>
    </row>
    <row r="2474" spans="2:5" ht="15.75">
      <c r="B2474" s="21"/>
      <c r="D2474" s="17"/>
      <c r="E2474" s="17"/>
    </row>
    <row r="2475" spans="2:5" ht="15.75">
      <c r="B2475" s="21"/>
      <c r="D2475" s="17"/>
      <c r="E2475" s="17"/>
    </row>
    <row r="2476" spans="2:5" ht="15.75">
      <c r="B2476" s="21"/>
      <c r="D2476" s="17"/>
      <c r="E2476" s="17"/>
    </row>
    <row r="2477" spans="2:5" ht="15.75">
      <c r="B2477" s="21"/>
      <c r="D2477" s="17"/>
      <c r="E2477" s="17"/>
    </row>
    <row r="2478" spans="2:5" ht="15.75">
      <c r="B2478" s="21"/>
      <c r="D2478" s="17"/>
      <c r="E2478" s="17"/>
    </row>
    <row r="2479" spans="2:5" ht="15.75">
      <c r="B2479" s="21"/>
      <c r="D2479" s="17"/>
      <c r="E2479" s="17"/>
    </row>
    <row r="2480" spans="2:5">
      <c r="D2480" s="17"/>
    </row>
    <row r="2481" spans="2:6" ht="15.75">
      <c r="B2481" s="21"/>
      <c r="D2481" s="17"/>
      <c r="E2481" s="17"/>
    </row>
    <row r="2482" spans="2:6" ht="15.75">
      <c r="B2482" s="21"/>
      <c r="D2482" s="17"/>
      <c r="E2482" s="17"/>
    </row>
    <row r="2483" spans="2:6" ht="15.75">
      <c r="B2483" s="21"/>
      <c r="D2483" s="17"/>
      <c r="E2483" s="17"/>
    </row>
    <row r="2484" spans="2:6" ht="15.75">
      <c r="B2484" s="21"/>
      <c r="D2484" s="17"/>
      <c r="E2484" s="17"/>
    </row>
    <row r="2485" spans="2:6" ht="15.75">
      <c r="B2485" s="21"/>
      <c r="D2485" s="17"/>
      <c r="E2485" s="17"/>
    </row>
    <row r="2486" spans="2:6" ht="15.75">
      <c r="B2486" s="21"/>
      <c r="D2486" s="17"/>
      <c r="E2486" s="17"/>
    </row>
    <row r="2487" spans="2:6" ht="15.75">
      <c r="B2487" s="21"/>
      <c r="D2487" s="17"/>
      <c r="E2487" s="17"/>
    </row>
    <row r="2488" spans="2:6" ht="15.75">
      <c r="B2488" s="21"/>
      <c r="D2488" s="17"/>
      <c r="E2488" s="17"/>
    </row>
    <row r="2489" spans="2:6" ht="15.75">
      <c r="B2489" s="21"/>
      <c r="D2489" s="17"/>
      <c r="E2489" s="17"/>
    </row>
    <row r="2490" spans="2:6" ht="15.75">
      <c r="B2490" s="21"/>
      <c r="D2490" s="17"/>
      <c r="E2490" s="17"/>
    </row>
    <row r="2491" spans="2:6" ht="15.75">
      <c r="B2491" s="21"/>
      <c r="D2491" s="17"/>
      <c r="E2491" s="17"/>
    </row>
    <row r="2492" spans="2:6" ht="15.75">
      <c r="B2492" s="21"/>
      <c r="D2492" s="17"/>
      <c r="E2492" s="17"/>
    </row>
    <row r="2493" spans="2:6" ht="15.75">
      <c r="B2493" s="21"/>
      <c r="C2493" s="8"/>
      <c r="D2493" s="17"/>
      <c r="E2493" s="54"/>
    </row>
    <row r="2494" spans="2:6" ht="15.75">
      <c r="B2494" s="21"/>
      <c r="D2494" s="17"/>
      <c r="E2494" s="17"/>
    </row>
    <row r="2495" spans="2:6" ht="15.75">
      <c r="B2495" s="21"/>
      <c r="D2495" s="17"/>
      <c r="E2495" s="17"/>
      <c r="F2495" s="8"/>
    </row>
    <row r="2496" spans="2:6">
      <c r="C2496" s="17"/>
      <c r="D2496" s="17"/>
      <c r="F2496" s="8"/>
    </row>
    <row r="2497" spans="2:6" ht="15.75">
      <c r="B2497" s="21"/>
      <c r="D2497" s="17"/>
      <c r="E2497" s="17"/>
      <c r="F2497" s="8"/>
    </row>
    <row r="2498" spans="2:6" ht="15.75">
      <c r="B2498" s="21"/>
      <c r="D2498" s="17"/>
      <c r="E2498" s="17"/>
      <c r="F2498" s="8"/>
    </row>
    <row r="2499" spans="2:6" ht="15.75">
      <c r="B2499" s="21"/>
      <c r="D2499" s="17"/>
      <c r="E2499" s="17"/>
      <c r="F2499" s="8"/>
    </row>
    <row r="2500" spans="2:6" ht="15.75">
      <c r="B2500" s="21"/>
      <c r="D2500" s="17"/>
      <c r="E2500" s="17"/>
      <c r="F2500" s="8"/>
    </row>
    <row r="2501" spans="2:6" ht="15.75">
      <c r="B2501" s="21"/>
      <c r="D2501" s="17"/>
      <c r="E2501" s="17"/>
      <c r="F2501" s="8"/>
    </row>
    <row r="2502" spans="2:6" ht="15.75">
      <c r="B2502" s="21"/>
      <c r="D2502" s="17"/>
      <c r="E2502" s="17"/>
      <c r="F2502" s="8"/>
    </row>
    <row r="2503" spans="2:6" ht="15.75">
      <c r="B2503" s="21"/>
      <c r="D2503" s="17"/>
      <c r="E2503" s="17"/>
    </row>
    <row r="2504" spans="2:6" ht="15.75">
      <c r="B2504" s="21"/>
      <c r="D2504" s="17"/>
      <c r="E2504" s="17"/>
      <c r="F2504" s="8"/>
    </row>
    <row r="2505" spans="2:6" ht="15.75">
      <c r="B2505" s="21"/>
      <c r="D2505" s="17"/>
      <c r="E2505" s="17"/>
      <c r="F2505" s="8"/>
    </row>
    <row r="2506" spans="2:6" ht="15.75">
      <c r="B2506" s="21"/>
      <c r="D2506" s="17"/>
      <c r="E2506" s="17"/>
      <c r="F2506" s="8"/>
    </row>
    <row r="2507" spans="2:6" ht="15.75">
      <c r="B2507" s="21"/>
      <c r="D2507" s="17"/>
      <c r="E2507" s="17"/>
      <c r="F2507" s="8"/>
    </row>
    <row r="2508" spans="2:6" ht="15.75">
      <c r="B2508" s="21"/>
      <c r="D2508" s="17"/>
      <c r="E2508" s="17"/>
      <c r="F2508" s="8"/>
    </row>
    <row r="2509" spans="2:6" ht="15.75">
      <c r="B2509" s="21"/>
      <c r="D2509" s="17"/>
      <c r="E2509" s="17"/>
      <c r="F2509" s="8"/>
    </row>
    <row r="2510" spans="2:6" ht="15.75">
      <c r="B2510" s="21"/>
      <c r="D2510" s="17"/>
      <c r="E2510" s="17"/>
      <c r="F2510" s="8"/>
    </row>
    <row r="2511" spans="2:6" ht="15.75">
      <c r="B2511" s="21"/>
      <c r="D2511" s="17"/>
      <c r="E2511" s="17"/>
      <c r="F2511" s="8"/>
    </row>
    <row r="2512" spans="2:6" ht="15.75">
      <c r="B2512" s="21"/>
      <c r="D2512" s="17"/>
      <c r="E2512" s="17"/>
      <c r="F2512" s="8"/>
    </row>
    <row r="2513" spans="2:6" ht="15.75">
      <c r="B2513" s="21"/>
      <c r="D2513" s="17"/>
      <c r="E2513" s="17"/>
      <c r="F2513" s="8"/>
    </row>
    <row r="2514" spans="2:6" ht="15.75">
      <c r="B2514" s="21"/>
      <c r="D2514" s="17"/>
      <c r="E2514" s="17"/>
      <c r="F2514" s="8"/>
    </row>
    <row r="2515" spans="2:6" ht="15.75">
      <c r="B2515" s="21"/>
      <c r="D2515" s="17"/>
      <c r="E2515" s="17"/>
      <c r="F2515" s="8"/>
    </row>
    <row r="2516" spans="2:6" ht="15.75">
      <c r="B2516" s="21"/>
      <c r="D2516" s="17"/>
      <c r="E2516" s="17"/>
      <c r="F2516" s="8"/>
    </row>
    <row r="2517" spans="2:6" ht="15.75">
      <c r="B2517" s="21"/>
      <c r="D2517" s="17"/>
      <c r="E2517" s="17"/>
      <c r="F2517" s="8"/>
    </row>
    <row r="2518" spans="2:6" ht="15.75">
      <c r="B2518" s="21"/>
      <c r="D2518" s="17"/>
      <c r="E2518" s="17"/>
      <c r="F2518" s="8"/>
    </row>
    <row r="2519" spans="2:6" ht="15.75">
      <c r="B2519" s="21"/>
      <c r="D2519" s="17"/>
      <c r="F2519" s="8"/>
    </row>
    <row r="2520" spans="2:6" ht="15.75">
      <c r="B2520" s="21"/>
      <c r="D2520" s="17"/>
      <c r="E2520" s="17"/>
      <c r="F2520" s="8"/>
    </row>
    <row r="2521" spans="2:6" ht="15.75">
      <c r="B2521" s="21"/>
      <c r="D2521" s="17"/>
      <c r="E2521" s="17"/>
      <c r="F2521" s="8"/>
    </row>
    <row r="2522" spans="2:6" ht="15.75">
      <c r="B2522" s="21"/>
      <c r="D2522" s="17"/>
      <c r="E2522" s="17"/>
      <c r="F2522" s="8"/>
    </row>
    <row r="2523" spans="2:6" ht="15.75">
      <c r="B2523" s="21"/>
      <c r="D2523" s="17"/>
      <c r="E2523" s="17"/>
      <c r="F2523" s="8"/>
    </row>
    <row r="2524" spans="2:6" ht="15.75">
      <c r="B2524" s="21"/>
      <c r="D2524" s="17"/>
      <c r="E2524" s="17"/>
      <c r="F2524" s="8"/>
    </row>
    <row r="2525" spans="2:6" ht="15.75">
      <c r="B2525" s="21"/>
      <c r="D2525" s="17"/>
      <c r="E2525" s="17"/>
      <c r="F2525" s="8"/>
    </row>
    <row r="2526" spans="2:6" ht="15.75">
      <c r="B2526" s="21"/>
      <c r="D2526" s="17"/>
      <c r="E2526" s="17"/>
      <c r="F2526" s="8"/>
    </row>
    <row r="2527" spans="2:6" ht="15.75">
      <c r="B2527" s="21"/>
      <c r="D2527" s="17"/>
      <c r="E2527" s="17"/>
      <c r="F2527" s="8"/>
    </row>
    <row r="2528" spans="2:6" ht="15.75">
      <c r="B2528" s="21"/>
      <c r="D2528" s="17"/>
      <c r="E2528" s="17"/>
      <c r="F2528" s="8"/>
    </row>
    <row r="2529" spans="2:6" ht="15.75">
      <c r="B2529" s="21"/>
      <c r="D2529" s="17"/>
      <c r="E2529" s="17"/>
      <c r="F2529" s="8"/>
    </row>
    <row r="2530" spans="2:6" ht="15.75">
      <c r="B2530" s="21"/>
      <c r="D2530" s="17"/>
      <c r="E2530" s="17"/>
      <c r="F2530" s="8"/>
    </row>
    <row r="2531" spans="2:6" ht="15.75">
      <c r="B2531" s="21"/>
      <c r="D2531" s="17"/>
      <c r="E2531" s="17"/>
      <c r="F2531" s="8"/>
    </row>
    <row r="2532" spans="2:6" ht="15.75">
      <c r="B2532" s="21"/>
      <c r="D2532" s="17"/>
      <c r="E2532" s="17"/>
    </row>
    <row r="2533" spans="2:6" ht="15.75">
      <c r="B2533" s="21"/>
      <c r="D2533" s="17"/>
      <c r="E2533" s="17"/>
      <c r="F2533" s="8"/>
    </row>
    <row r="2534" spans="2:6" ht="15.75">
      <c r="B2534" s="21"/>
      <c r="D2534" s="17"/>
      <c r="E2534" s="17"/>
      <c r="F2534" s="8"/>
    </row>
    <row r="2535" spans="2:6" ht="15.75">
      <c r="B2535" s="21"/>
      <c r="D2535" s="17"/>
      <c r="E2535" s="17"/>
      <c r="F2535" s="8"/>
    </row>
    <row r="2536" spans="2:6" ht="15.75">
      <c r="B2536" s="21"/>
      <c r="D2536" s="17"/>
      <c r="E2536" s="17"/>
      <c r="F2536" s="8"/>
    </row>
    <row r="2537" spans="2:6" ht="15.75">
      <c r="B2537" s="21"/>
      <c r="D2537" s="17"/>
      <c r="E2537" s="17"/>
      <c r="F2537" s="8"/>
    </row>
    <row r="2538" spans="2:6" ht="15.75">
      <c r="B2538" s="21"/>
      <c r="D2538" s="17"/>
      <c r="E2538" s="17"/>
      <c r="F2538" s="8"/>
    </row>
    <row r="2539" spans="2:6" ht="15.75">
      <c r="B2539" s="21"/>
      <c r="D2539" s="17"/>
      <c r="E2539" s="17"/>
    </row>
    <row r="2540" spans="2:6" ht="15.75">
      <c r="B2540" s="21"/>
      <c r="D2540" s="17"/>
      <c r="E2540" s="17"/>
      <c r="F2540" s="8"/>
    </row>
    <row r="2541" spans="2:6" ht="15.75">
      <c r="B2541" s="21"/>
      <c r="D2541" s="17"/>
      <c r="E2541" s="17"/>
      <c r="F2541" s="8"/>
    </row>
    <row r="2542" spans="2:6" ht="15.75">
      <c r="B2542" s="21"/>
      <c r="D2542" s="17"/>
      <c r="E2542" s="17"/>
      <c r="F2542" s="8"/>
    </row>
    <row r="2543" spans="2:6" ht="15.75">
      <c r="B2543" s="21"/>
      <c r="D2543" s="17"/>
      <c r="E2543" s="17"/>
      <c r="F2543" s="8"/>
    </row>
    <row r="2544" spans="2:6" ht="15.75">
      <c r="B2544" s="21"/>
      <c r="D2544" s="17"/>
      <c r="E2544" s="17"/>
      <c r="F2544" s="8"/>
    </row>
    <row r="2545" spans="2:6">
      <c r="C2545" s="17"/>
      <c r="D2545" s="17"/>
      <c r="E2545" s="17"/>
      <c r="F2545" s="8"/>
    </row>
    <row r="2546" spans="2:6" ht="15.75">
      <c r="B2546" s="21"/>
      <c r="D2546" s="17"/>
      <c r="E2546" s="17"/>
      <c r="F2546" s="8"/>
    </row>
    <row r="2547" spans="2:6" ht="15.75">
      <c r="B2547" s="21"/>
      <c r="C2547" s="46"/>
      <c r="D2547" s="17"/>
      <c r="E2547" s="47"/>
      <c r="F2547" s="8"/>
    </row>
    <row r="2548" spans="2:6" ht="15.75">
      <c r="B2548" s="21"/>
      <c r="D2548" s="17"/>
      <c r="E2548" s="17"/>
      <c r="F2548" s="8"/>
    </row>
    <row r="2549" spans="2:6" ht="15.75">
      <c r="B2549" s="21"/>
      <c r="D2549" s="17"/>
      <c r="E2549" s="17"/>
      <c r="F2549" s="8"/>
    </row>
    <row r="2550" spans="2:6" ht="15.75">
      <c r="B2550" s="21"/>
      <c r="D2550" s="17"/>
      <c r="E2550" s="17"/>
      <c r="F2550" s="8"/>
    </row>
    <row r="2551" spans="2:6" ht="15.75">
      <c r="B2551" s="21"/>
      <c r="D2551" s="17"/>
      <c r="E2551" s="17"/>
      <c r="F2551" s="8"/>
    </row>
    <row r="2552" spans="2:6" ht="15.75">
      <c r="B2552" s="21"/>
      <c r="D2552" s="17"/>
      <c r="E2552" s="17"/>
      <c r="F2552" s="8"/>
    </row>
    <row r="2553" spans="2:6" ht="15.75">
      <c r="B2553" s="21"/>
      <c r="D2553" s="17"/>
      <c r="E2553" s="17"/>
    </row>
    <row r="2554" spans="2:6" ht="15.75">
      <c r="B2554" s="21"/>
      <c r="D2554" s="17"/>
      <c r="E2554" s="17"/>
      <c r="F2554" s="8"/>
    </row>
    <row r="2555" spans="2:6">
      <c r="B2555" s="59"/>
      <c r="C2555" s="46"/>
      <c r="D2555" s="47"/>
      <c r="E2555" s="55"/>
      <c r="F2555" s="8"/>
    </row>
    <row r="2556" spans="2:6" ht="15.75">
      <c r="B2556" s="21"/>
      <c r="D2556" s="17"/>
      <c r="E2556" s="17"/>
      <c r="F2556" s="8"/>
    </row>
    <row r="2557" spans="2:6" ht="15.75">
      <c r="B2557" s="21"/>
      <c r="D2557" s="17"/>
      <c r="E2557" s="17"/>
      <c r="F2557" s="8"/>
    </row>
    <row r="2558" spans="2:6" ht="15.75">
      <c r="B2558" s="21"/>
      <c r="D2558" s="17"/>
      <c r="E2558" s="17"/>
      <c r="F2558" s="8"/>
    </row>
    <row r="2559" spans="2:6" ht="15.75">
      <c r="B2559" s="21"/>
      <c r="D2559" s="17"/>
      <c r="E2559" s="17"/>
      <c r="F2559" s="8"/>
    </row>
    <row r="2560" spans="2:6" ht="15.75">
      <c r="B2560" s="21"/>
      <c r="D2560" s="17"/>
      <c r="E2560" s="17"/>
      <c r="F2560" s="8"/>
    </row>
    <row r="2561" spans="2:6">
      <c r="B2561" s="59"/>
      <c r="C2561" s="46"/>
      <c r="D2561" s="47"/>
      <c r="E2561" s="55"/>
      <c r="F2561" s="8"/>
    </row>
    <row r="2562" spans="2:6" ht="15.75">
      <c r="B2562" s="21"/>
      <c r="D2562" s="17"/>
      <c r="E2562" s="17"/>
      <c r="F2562" s="8"/>
    </row>
    <row r="2563" spans="2:6" ht="15.75">
      <c r="B2563" s="21"/>
      <c r="D2563" s="17"/>
      <c r="E2563" s="17"/>
      <c r="F2563" s="8"/>
    </row>
    <row r="2564" spans="2:6" ht="15.75">
      <c r="B2564" s="21"/>
      <c r="D2564" s="17"/>
      <c r="E2564" s="17"/>
      <c r="F2564" s="8"/>
    </row>
    <row r="2565" spans="2:6" ht="15.75">
      <c r="B2565" s="21"/>
      <c r="D2565" s="17"/>
      <c r="E2565" s="17"/>
      <c r="F2565" s="8"/>
    </row>
    <row r="2566" spans="2:6" ht="15.75">
      <c r="B2566" s="21"/>
      <c r="D2566" s="17"/>
      <c r="E2566" s="17"/>
      <c r="F2566" s="8"/>
    </row>
    <row r="2567" spans="2:6" ht="15.75">
      <c r="B2567" s="21"/>
      <c r="D2567" s="17"/>
      <c r="E2567" s="17"/>
      <c r="F2567" s="8"/>
    </row>
    <row r="2568" spans="2:6">
      <c r="D2568" s="17"/>
      <c r="E2568" s="17"/>
      <c r="F2568" s="8"/>
    </row>
    <row r="2569" spans="2:6" ht="15.75">
      <c r="B2569" s="21"/>
      <c r="D2569" s="17"/>
      <c r="E2569" s="17"/>
      <c r="F2569" s="8"/>
    </row>
    <row r="2570" spans="2:6">
      <c r="D2570" s="17"/>
      <c r="E2570" s="17"/>
      <c r="F2570" s="8"/>
    </row>
    <row r="2571" spans="2:6" ht="15.75">
      <c r="B2571" s="21"/>
      <c r="D2571" s="17"/>
      <c r="E2571" s="17"/>
      <c r="F2571" s="8"/>
    </row>
    <row r="2572" spans="2:6">
      <c r="D2572" s="17"/>
      <c r="E2572" s="17"/>
      <c r="F2572" s="8"/>
    </row>
    <row r="2573" spans="2:6">
      <c r="D2573" s="17"/>
      <c r="E2573" s="17"/>
      <c r="F2573" s="8"/>
    </row>
    <row r="2574" spans="2:6" ht="15.75">
      <c r="B2574" s="21"/>
      <c r="D2574" s="17"/>
      <c r="E2574" s="17"/>
      <c r="F2574" s="8"/>
    </row>
    <row r="2575" spans="2:6" ht="15.75">
      <c r="B2575" s="21"/>
      <c r="E2575" s="17"/>
      <c r="F2575" s="8"/>
    </row>
    <row r="2576" spans="2:6" ht="15.75">
      <c r="B2576" s="21"/>
      <c r="E2576" s="17"/>
      <c r="F2576" s="8"/>
    </row>
    <row r="2577" spans="2:6" ht="15.75">
      <c r="B2577" s="21"/>
      <c r="E2577" s="17"/>
      <c r="F2577" s="8"/>
    </row>
    <row r="2578" spans="2:6" ht="15.75">
      <c r="B2578" s="21"/>
      <c r="E2578" s="17"/>
      <c r="F2578" s="8"/>
    </row>
    <row r="2579" spans="2:6" ht="15.75">
      <c r="B2579" s="21"/>
      <c r="E2579" s="17"/>
      <c r="F2579" s="8"/>
    </row>
    <row r="2580" spans="2:6" ht="15.75">
      <c r="B2580" s="21"/>
      <c r="E2580" s="17"/>
      <c r="F2580" s="8"/>
    </row>
    <row r="2581" spans="2:6" ht="15.75">
      <c r="B2581" s="21"/>
      <c r="E2581" s="17"/>
      <c r="F2581" s="8"/>
    </row>
    <row r="2582" spans="2:6" ht="15.75">
      <c r="B2582" s="21"/>
      <c r="E2582" s="17"/>
      <c r="F2582" s="8"/>
    </row>
    <row r="2583" spans="2:6" ht="15.75">
      <c r="B2583" s="21"/>
      <c r="E2583" s="17"/>
      <c r="F2583" s="8"/>
    </row>
    <row r="2584" spans="2:6" ht="15.75">
      <c r="B2584" s="21"/>
      <c r="E2584" s="17"/>
      <c r="F2584" s="8"/>
    </row>
    <row r="2585" spans="2:6" ht="15.75">
      <c r="B2585" s="21"/>
      <c r="E2585" s="17"/>
      <c r="F2585" s="8"/>
    </row>
    <row r="2586" spans="2:6" ht="15.75">
      <c r="B2586" s="21"/>
      <c r="E2586" s="17"/>
      <c r="F2586" s="8"/>
    </row>
    <row r="2587" spans="2:6" ht="15.75">
      <c r="B2587" s="21"/>
      <c r="E2587" s="17"/>
      <c r="F2587" s="8"/>
    </row>
    <row r="2588" spans="2:6" ht="15.75">
      <c r="B2588" s="21"/>
      <c r="D2588" s="17"/>
      <c r="E2588" s="17"/>
      <c r="F2588" s="8"/>
    </row>
    <row r="2589" spans="2:6" ht="15.75">
      <c r="B2589" s="48"/>
      <c r="C2589" s="46"/>
      <c r="D2589" s="47"/>
      <c r="E2589" s="47"/>
      <c r="F2589" s="8"/>
    </row>
    <row r="2590" spans="2:6" ht="15.75">
      <c r="B2590" s="48"/>
      <c r="D2590" s="17"/>
      <c r="E2590" s="17"/>
      <c r="F2590" s="8"/>
    </row>
    <row r="2591" spans="2:6" ht="15.75">
      <c r="B2591" s="48"/>
      <c r="D2591" s="17"/>
      <c r="E2591" s="17"/>
      <c r="F2591" s="8"/>
    </row>
    <row r="2592" spans="2:6" ht="15.75">
      <c r="B2592" s="48"/>
      <c r="D2592" s="17"/>
      <c r="E2592" s="17"/>
      <c r="F2592" s="8"/>
    </row>
    <row r="2593" spans="2:6" ht="15.75">
      <c r="B2593" s="48"/>
      <c r="D2593" s="17"/>
      <c r="E2593" s="17"/>
      <c r="F2593" s="8"/>
    </row>
    <row r="2594" spans="2:6" ht="15.75">
      <c r="B2594" s="48"/>
      <c r="D2594" s="17"/>
      <c r="E2594" s="17"/>
      <c r="F2594" s="8"/>
    </row>
    <row r="2595" spans="2:6" ht="15.75">
      <c r="B2595" s="48"/>
      <c r="D2595" s="17"/>
      <c r="E2595" s="17"/>
      <c r="F2595" s="8"/>
    </row>
    <row r="2596" spans="2:6" ht="15.75">
      <c r="B2596" s="48"/>
      <c r="D2596" s="17"/>
      <c r="E2596" s="17"/>
      <c r="F2596" s="8"/>
    </row>
    <row r="2597" spans="2:6" ht="15.75">
      <c r="B2597" s="48"/>
      <c r="D2597" s="17"/>
      <c r="E2597" s="17"/>
      <c r="F2597" s="8"/>
    </row>
    <row r="2598" spans="2:6" ht="15.75">
      <c r="B2598" s="48"/>
      <c r="D2598" s="17"/>
      <c r="E2598" s="17"/>
      <c r="F2598" s="8"/>
    </row>
    <row r="2599" spans="2:6" ht="15.75">
      <c r="B2599" s="48"/>
      <c r="D2599" s="17"/>
      <c r="E2599" s="17"/>
      <c r="F2599" s="8"/>
    </row>
    <row r="2600" spans="2:6" ht="15.75">
      <c r="B2600" s="48"/>
      <c r="D2600" s="17"/>
      <c r="E2600" s="17"/>
      <c r="F2600" s="8"/>
    </row>
    <row r="2601" spans="2:6" ht="15.75">
      <c r="B2601" s="48"/>
      <c r="D2601" s="17"/>
      <c r="E2601" s="17"/>
      <c r="F2601" s="8"/>
    </row>
    <row r="2602" spans="2:6" ht="15.75">
      <c r="B2602" s="48"/>
      <c r="D2602" s="17"/>
      <c r="E2602" s="17"/>
      <c r="F2602" s="8"/>
    </row>
    <row r="2603" spans="2:6" ht="15.75">
      <c r="B2603" s="48"/>
      <c r="D2603" s="17"/>
      <c r="E2603" s="17"/>
      <c r="F2603" s="8"/>
    </row>
    <row r="2604" spans="2:6" ht="15.75">
      <c r="B2604" s="48"/>
      <c r="D2604" s="17"/>
      <c r="E2604" s="17"/>
      <c r="F2604" s="8"/>
    </row>
    <row r="2605" spans="2:6" ht="15.75">
      <c r="B2605" s="21"/>
      <c r="D2605" s="17"/>
      <c r="E2605" s="17"/>
      <c r="F2605" s="8"/>
    </row>
    <row r="2606" spans="2:6" ht="15.75">
      <c r="B2606" s="21"/>
      <c r="D2606" s="17"/>
      <c r="E2606" s="17"/>
      <c r="F2606" s="8"/>
    </row>
    <row r="2607" spans="2:6" ht="15.75">
      <c r="B2607" s="48"/>
      <c r="D2607" s="2"/>
      <c r="E2607" s="17"/>
      <c r="F2607" s="8"/>
    </row>
    <row r="2608" spans="2:6" ht="15.75">
      <c r="B2608" s="48"/>
      <c r="D2608" s="2"/>
      <c r="E2608" s="17"/>
      <c r="F2608" s="8"/>
    </row>
    <row r="2609" spans="2:6" ht="15.75">
      <c r="B2609" s="48"/>
      <c r="D2609" s="2"/>
      <c r="E2609" s="17"/>
      <c r="F2609" s="8"/>
    </row>
    <row r="2610" spans="2:6" ht="15.75">
      <c r="B2610" s="48"/>
      <c r="D2610" s="2"/>
      <c r="E2610" s="17"/>
      <c r="F2610" s="8"/>
    </row>
    <row r="2611" spans="2:6" ht="15.75">
      <c r="B2611" s="48"/>
      <c r="D2611" s="2"/>
      <c r="F2611" s="8"/>
    </row>
    <row r="2612" spans="2:6" ht="15.75">
      <c r="B2612" s="21"/>
      <c r="D2612" s="17"/>
      <c r="E2612" s="17"/>
      <c r="F2612" s="8"/>
    </row>
    <row r="2613" spans="2:6" ht="15.75">
      <c r="B2613" s="21"/>
      <c r="D2613" s="17"/>
      <c r="E2613" s="17"/>
      <c r="F2613" s="8"/>
    </row>
    <row r="2614" spans="2:6" ht="15.75">
      <c r="B2614" s="21"/>
      <c r="D2614" s="17"/>
      <c r="E2614" s="17"/>
      <c r="F2614" s="8"/>
    </row>
    <row r="2615" spans="2:6" ht="15.75">
      <c r="B2615" s="21"/>
      <c r="D2615" s="17"/>
      <c r="E2615" s="17"/>
      <c r="F2615" s="8"/>
    </row>
    <row r="2616" spans="2:6" ht="15.75">
      <c r="B2616" s="21"/>
      <c r="D2616" s="17"/>
      <c r="E2616" s="17"/>
      <c r="F2616" s="8"/>
    </row>
    <row r="2617" spans="2:6" ht="15.75">
      <c r="B2617" s="21"/>
      <c r="D2617" s="17"/>
      <c r="E2617" s="17"/>
      <c r="F2617" s="8"/>
    </row>
    <row r="2618" spans="2:6" ht="15.75">
      <c r="B2618" s="21"/>
      <c r="D2618" s="17"/>
      <c r="E2618" s="17"/>
      <c r="F2618" s="8"/>
    </row>
    <row r="2619" spans="2:6">
      <c r="D2619" s="17"/>
      <c r="E2619" s="17"/>
      <c r="F2619" s="8"/>
    </row>
    <row r="2620" spans="2:6">
      <c r="D2620" s="17"/>
      <c r="E2620" s="17"/>
      <c r="F2620" s="8"/>
    </row>
    <row r="2621" spans="2:6">
      <c r="D2621" s="17"/>
      <c r="E2621" s="17"/>
      <c r="F2621" s="8"/>
    </row>
    <row r="2622" spans="2:6">
      <c r="D2622" s="17"/>
      <c r="E2622" s="17"/>
      <c r="F2622" s="8"/>
    </row>
    <row r="2623" spans="2:6">
      <c r="D2623" s="17"/>
      <c r="E2623" s="17"/>
      <c r="F2623" s="8"/>
    </row>
    <row r="2624" spans="2:6">
      <c r="C2624" s="17"/>
      <c r="D2624" s="17"/>
      <c r="F2624" s="8"/>
    </row>
    <row r="2625" spans="2:6">
      <c r="C2625" s="17"/>
      <c r="D2625" s="17"/>
      <c r="F2625" s="8"/>
    </row>
    <row r="2626" spans="2:6">
      <c r="D2626" s="17"/>
      <c r="E2626" s="17"/>
      <c r="F2626" s="8"/>
    </row>
    <row r="2627" spans="2:6">
      <c r="D2627" s="17"/>
      <c r="E2627" s="17"/>
      <c r="F2627" s="8"/>
    </row>
    <row r="2628" spans="2:6">
      <c r="D2628" s="17"/>
      <c r="E2628" s="17"/>
      <c r="F2628" s="8"/>
    </row>
    <row r="2629" spans="2:6">
      <c r="D2629" s="17"/>
      <c r="E2629" s="17"/>
      <c r="F2629" s="8"/>
    </row>
    <row r="2630" spans="2:6">
      <c r="D2630" s="17"/>
      <c r="E2630" s="17"/>
      <c r="F2630" s="8"/>
    </row>
    <row r="2631" spans="2:6">
      <c r="D2631" s="17"/>
      <c r="E2631" s="17"/>
      <c r="F2631" s="8"/>
    </row>
    <row r="2632" spans="2:6">
      <c r="D2632" s="17"/>
      <c r="E2632" s="17"/>
      <c r="F2632" s="8"/>
    </row>
    <row r="2633" spans="2:6">
      <c r="D2633" s="17"/>
      <c r="E2633" s="17"/>
      <c r="F2633" s="8"/>
    </row>
    <row r="2634" spans="2:6">
      <c r="B2634" s="59"/>
      <c r="C2634" s="46"/>
      <c r="D2634" s="56"/>
      <c r="E2634" s="57"/>
      <c r="F2634" s="8"/>
    </row>
    <row r="2635" spans="2:6">
      <c r="D2635" s="17"/>
      <c r="E2635" s="17"/>
      <c r="F2635" s="8"/>
    </row>
    <row r="2636" spans="2:6">
      <c r="D2636" s="17"/>
      <c r="E2636" s="17"/>
      <c r="F2636" s="8"/>
    </row>
    <row r="2637" spans="2:6">
      <c r="D2637" s="17"/>
      <c r="E2637" s="17"/>
      <c r="F2637" s="8"/>
    </row>
    <row r="2638" spans="2:6">
      <c r="D2638" s="17"/>
      <c r="E2638" s="17"/>
      <c r="F2638" s="8"/>
    </row>
    <row r="2639" spans="2:6">
      <c r="D2639" s="17"/>
      <c r="E2639" s="17"/>
      <c r="F2639" s="8"/>
    </row>
    <row r="2640" spans="2:6">
      <c r="D2640" s="17"/>
      <c r="E2640" s="17"/>
      <c r="F2640" s="8"/>
    </row>
    <row r="2641" spans="3:6">
      <c r="C2641" s="17"/>
      <c r="D2641" s="17"/>
      <c r="F2641" s="8"/>
    </row>
    <row r="2642" spans="3:6">
      <c r="D2642" s="17"/>
      <c r="E2642" s="17"/>
      <c r="F2642" s="8"/>
    </row>
    <row r="2643" spans="3:6">
      <c r="D2643" s="17"/>
      <c r="E2643" s="17"/>
      <c r="F2643" s="8"/>
    </row>
    <row r="2644" spans="3:6">
      <c r="D2644" s="17"/>
      <c r="E2644" s="17"/>
      <c r="F2644" s="8"/>
    </row>
    <row r="2645" spans="3:6">
      <c r="D2645" s="17"/>
      <c r="E2645" s="17"/>
      <c r="F2645" s="8"/>
    </row>
    <row r="2646" spans="3:6">
      <c r="E2646" s="17"/>
      <c r="F2646" s="8"/>
    </row>
    <row r="2647" spans="3:6">
      <c r="D2647" s="17"/>
      <c r="E2647" s="17"/>
      <c r="F2647" s="8"/>
    </row>
    <row r="2648" spans="3:6">
      <c r="D2648" s="17"/>
      <c r="E2648" s="17"/>
      <c r="F2648" s="8"/>
    </row>
    <row r="2649" spans="3:6">
      <c r="D2649" s="17"/>
      <c r="E2649" s="17"/>
      <c r="F2649" s="8"/>
    </row>
    <row r="2650" spans="3:6">
      <c r="D2650" s="17"/>
      <c r="E2650" s="17"/>
      <c r="F2650" s="8"/>
    </row>
    <row r="2651" spans="3:6">
      <c r="D2651" s="17"/>
      <c r="E2651" s="17"/>
      <c r="F2651" s="8"/>
    </row>
    <row r="2652" spans="3:6">
      <c r="D2652" s="17"/>
      <c r="E2652" s="17"/>
      <c r="F2652" s="8"/>
    </row>
    <row r="2653" spans="3:6">
      <c r="D2653" s="17"/>
      <c r="E2653" s="17"/>
      <c r="F2653" s="8"/>
    </row>
    <row r="2654" spans="3:6">
      <c r="D2654" s="17"/>
      <c r="E2654" s="17"/>
      <c r="F2654" s="8"/>
    </row>
    <row r="2655" spans="3:6">
      <c r="D2655" s="17"/>
      <c r="E2655" s="17"/>
      <c r="F2655" s="8"/>
    </row>
    <row r="2656" spans="3:6">
      <c r="D2656" s="17"/>
      <c r="E2656" s="17"/>
      <c r="F2656" s="8"/>
    </row>
    <row r="2657" spans="1:6">
      <c r="D2657" s="17"/>
      <c r="E2657" s="17"/>
      <c r="F2657" s="8"/>
    </row>
    <row r="2658" spans="1:6">
      <c r="D2658" s="17"/>
      <c r="E2658" s="17"/>
      <c r="F2658" s="8"/>
    </row>
    <row r="2659" spans="1:6">
      <c r="D2659" s="17"/>
      <c r="E2659" s="17"/>
      <c r="F2659" s="8"/>
    </row>
    <row r="2660" spans="1:6">
      <c r="D2660" s="17"/>
      <c r="E2660" s="17"/>
      <c r="F2660" s="8"/>
    </row>
    <row r="2661" spans="1:6">
      <c r="D2661" s="17"/>
      <c r="E2661" s="17"/>
      <c r="F2661" s="8"/>
    </row>
    <row r="2662" spans="1:6">
      <c r="D2662" s="17"/>
      <c r="E2662" s="17"/>
      <c r="F2662" s="8"/>
    </row>
    <row r="2663" spans="1:6">
      <c r="D2663" s="17"/>
      <c r="E2663" s="17"/>
      <c r="F2663" s="8"/>
    </row>
    <row r="2664" spans="1:6" ht="15.75">
      <c r="B2664" s="48"/>
      <c r="D2664" s="17"/>
      <c r="E2664" s="17"/>
      <c r="F2664" s="8"/>
    </row>
    <row r="2665" spans="1:6">
      <c r="E2665" s="17"/>
      <c r="F2665" s="8"/>
    </row>
    <row r="2666" spans="1:6">
      <c r="E2666" s="17"/>
      <c r="F2666" s="8"/>
    </row>
    <row r="2667" spans="1:6">
      <c r="E2667" s="17"/>
      <c r="F2667" s="8"/>
    </row>
    <row r="2668" spans="1:6">
      <c r="E2668" s="17"/>
    </row>
    <row r="2669" spans="1:6">
      <c r="E2669" s="17"/>
    </row>
    <row r="2670" spans="1:6">
      <c r="E2670" s="17"/>
    </row>
    <row r="2671" spans="1:6">
      <c r="A2671" t="s">
        <v>97</v>
      </c>
      <c r="E2671" s="17"/>
    </row>
    <row r="2672" spans="1:6">
      <c r="E2672" s="17"/>
    </row>
    <row r="2673" spans="5:5">
      <c r="E2673" s="17"/>
    </row>
    <row r="2674" spans="5:5">
      <c r="E2674" s="17"/>
    </row>
    <row r="2675" spans="5:5">
      <c r="E2675" s="17"/>
    </row>
    <row r="2676" spans="5:5">
      <c r="E2676" s="17"/>
    </row>
    <row r="2677" spans="5:5">
      <c r="E2677" s="17"/>
    </row>
    <row r="2678" spans="5:5">
      <c r="E2678" s="17"/>
    </row>
    <row r="2679" spans="5:5">
      <c r="E2679" s="17"/>
    </row>
    <row r="2680" spans="5:5">
      <c r="E2680" s="17"/>
    </row>
    <row r="2681" spans="5:5">
      <c r="E2681" s="17"/>
    </row>
    <row r="2682" spans="5:5">
      <c r="E2682" s="17"/>
    </row>
    <row r="2683" spans="5:5">
      <c r="E2683" s="17"/>
    </row>
    <row r="2684" spans="5:5">
      <c r="E2684" s="17"/>
    </row>
    <row r="2685" spans="5:5">
      <c r="E2685" s="17"/>
    </row>
    <row r="2686" spans="5:5">
      <c r="E2686" s="17"/>
    </row>
    <row r="2687" spans="5:5">
      <c r="E2687" s="17"/>
    </row>
    <row r="2688" spans="5:5">
      <c r="E2688" s="17"/>
    </row>
    <row r="2689" spans="5:5">
      <c r="E2689" s="17"/>
    </row>
    <row r="2690" spans="5:5">
      <c r="E2690" s="17"/>
    </row>
    <row r="2691" spans="5:5">
      <c r="E2691" s="17"/>
    </row>
    <row r="2692" spans="5:5">
      <c r="E2692" s="17"/>
    </row>
    <row r="2693" spans="5:5">
      <c r="E2693" s="17"/>
    </row>
    <row r="2694" spans="5:5">
      <c r="E2694" s="17"/>
    </row>
    <row r="2695" spans="5:5">
      <c r="E2695" s="17"/>
    </row>
    <row r="2696" spans="5:5">
      <c r="E2696" s="17"/>
    </row>
    <row r="2697" spans="5:5">
      <c r="E2697" s="17"/>
    </row>
    <row r="2698" spans="5:5">
      <c r="E2698" s="17"/>
    </row>
    <row r="2699" spans="5:5">
      <c r="E2699" s="17"/>
    </row>
    <row r="2700" spans="5:5">
      <c r="E2700" s="17"/>
    </row>
    <row r="2701" spans="5:5">
      <c r="E2701" s="17"/>
    </row>
    <row r="2702" spans="5:5">
      <c r="E2702" s="17"/>
    </row>
    <row r="2703" spans="5:5">
      <c r="E2703" s="17"/>
    </row>
    <row r="2704" spans="5:5">
      <c r="E2704" s="17"/>
    </row>
    <row r="2705" spans="5:5">
      <c r="E2705" s="17"/>
    </row>
    <row r="2706" spans="5:5">
      <c r="E2706" s="17"/>
    </row>
    <row r="2707" spans="5:5">
      <c r="E2707" s="17"/>
    </row>
    <row r="2708" spans="5:5">
      <c r="E2708" s="17"/>
    </row>
    <row r="2709" spans="5:5">
      <c r="E2709" s="17"/>
    </row>
    <row r="2710" spans="5:5">
      <c r="E2710" s="17"/>
    </row>
    <row r="2711" spans="5:5">
      <c r="E2711" s="17"/>
    </row>
    <row r="2712" spans="5:5">
      <c r="E2712" s="17"/>
    </row>
    <row r="2713" spans="5:5">
      <c r="E2713" s="17"/>
    </row>
    <row r="2714" spans="5:5">
      <c r="E2714" s="17"/>
    </row>
    <row r="2715" spans="5:5">
      <c r="E2715" s="17"/>
    </row>
    <row r="2716" spans="5:5">
      <c r="E2716" s="17"/>
    </row>
    <row r="2717" spans="5:5">
      <c r="E2717" s="17"/>
    </row>
    <row r="2718" spans="5:5">
      <c r="E2718" s="17"/>
    </row>
    <row r="2719" spans="5:5">
      <c r="E2719" s="17"/>
    </row>
    <row r="2720" spans="5:5">
      <c r="E2720" s="17"/>
    </row>
    <row r="2721" spans="5:5">
      <c r="E2721" s="17"/>
    </row>
    <row r="2722" spans="5:5">
      <c r="E2722" s="17"/>
    </row>
    <row r="2723" spans="5:5">
      <c r="E2723" s="17"/>
    </row>
    <row r="2724" spans="5:5">
      <c r="E2724" s="17"/>
    </row>
    <row r="2725" spans="5:5">
      <c r="E2725" s="17"/>
    </row>
    <row r="2726" spans="5:5">
      <c r="E2726" s="17"/>
    </row>
    <row r="2727" spans="5:5">
      <c r="E2727" s="17"/>
    </row>
    <row r="2728" spans="5:5">
      <c r="E2728" s="17"/>
    </row>
    <row r="2729" spans="5:5">
      <c r="E2729" s="17"/>
    </row>
    <row r="2730" spans="5:5">
      <c r="E2730" s="17"/>
    </row>
    <row r="2731" spans="5:5">
      <c r="E2731" s="17"/>
    </row>
    <row r="2732" spans="5:5">
      <c r="E2732" s="17"/>
    </row>
    <row r="2733" spans="5:5">
      <c r="E2733" s="17"/>
    </row>
    <row r="2734" spans="5:5">
      <c r="E2734" s="17"/>
    </row>
    <row r="2735" spans="5:5">
      <c r="E2735" s="17"/>
    </row>
    <row r="2736" spans="5:5">
      <c r="E2736" s="17"/>
    </row>
    <row r="2737" spans="5:5">
      <c r="E2737" s="17"/>
    </row>
    <row r="2738" spans="5:5">
      <c r="E2738" s="17"/>
    </row>
    <row r="2739" spans="5:5">
      <c r="E2739" s="17"/>
    </row>
    <row r="2740" spans="5:5">
      <c r="E2740" s="17"/>
    </row>
    <row r="2741" spans="5:5">
      <c r="E2741" s="17"/>
    </row>
    <row r="2742" spans="5:5">
      <c r="E2742" s="17"/>
    </row>
    <row r="2743" spans="5:5">
      <c r="E2743" s="17"/>
    </row>
    <row r="2744" spans="5:5">
      <c r="E2744" s="17"/>
    </row>
    <row r="2745" spans="5:5">
      <c r="E2745" s="17"/>
    </row>
    <row r="2746" spans="5:5">
      <c r="E2746" s="17"/>
    </row>
    <row r="2747" spans="5:5">
      <c r="E2747" s="17"/>
    </row>
    <row r="2748" spans="5:5">
      <c r="E2748" s="17"/>
    </row>
    <row r="2749" spans="5:5">
      <c r="E2749" s="17"/>
    </row>
    <row r="2750" spans="5:5">
      <c r="E2750" s="17"/>
    </row>
    <row r="2751" spans="5:5">
      <c r="E2751" s="17"/>
    </row>
    <row r="2752" spans="5:5">
      <c r="E2752" s="17"/>
    </row>
    <row r="2753" spans="5:5">
      <c r="E2753" s="17"/>
    </row>
    <row r="2754" spans="5:5">
      <c r="E2754" s="17"/>
    </row>
    <row r="2755" spans="5:5">
      <c r="E2755" s="17"/>
    </row>
    <row r="2756" spans="5:5">
      <c r="E2756" s="17"/>
    </row>
    <row r="2757" spans="5:5">
      <c r="E2757" s="17"/>
    </row>
    <row r="2758" spans="5:5">
      <c r="E2758" s="17"/>
    </row>
    <row r="2759" spans="5:5">
      <c r="E2759" s="17"/>
    </row>
    <row r="2760" spans="5:5">
      <c r="E2760" s="17"/>
    </row>
    <row r="2761" spans="5:5">
      <c r="E2761" s="17"/>
    </row>
    <row r="2762" spans="5:5">
      <c r="E2762" s="17"/>
    </row>
    <row r="2763" spans="5:5">
      <c r="E2763" s="17"/>
    </row>
    <row r="2764" spans="5:5">
      <c r="E2764" s="17"/>
    </row>
    <row r="2765" spans="5:5">
      <c r="E2765" s="17"/>
    </row>
    <row r="2766" spans="5:5">
      <c r="E2766" s="17"/>
    </row>
    <row r="2767" spans="5:5">
      <c r="E2767" s="17"/>
    </row>
    <row r="2768" spans="5:5">
      <c r="E2768" s="17"/>
    </row>
    <row r="2769" spans="5:5">
      <c r="E2769" s="17"/>
    </row>
    <row r="2770" spans="5:5">
      <c r="E2770" s="17"/>
    </row>
    <row r="2771" spans="5:5">
      <c r="E2771" s="17"/>
    </row>
    <row r="2772" spans="5:5">
      <c r="E2772" s="17"/>
    </row>
    <row r="2773" spans="5:5">
      <c r="E2773" s="17"/>
    </row>
    <row r="2774" spans="5:5">
      <c r="E2774" s="17"/>
    </row>
    <row r="2775" spans="5:5">
      <c r="E2775" s="17"/>
    </row>
    <row r="2776" spans="5:5">
      <c r="E2776" s="17"/>
    </row>
    <row r="2777" spans="5:5">
      <c r="E2777" s="17"/>
    </row>
    <row r="2778" spans="5:5">
      <c r="E2778" s="17"/>
    </row>
    <row r="2779" spans="5:5">
      <c r="E2779" s="17"/>
    </row>
    <row r="2780" spans="5:5">
      <c r="E2780" s="17"/>
    </row>
    <row r="2781" spans="5:5">
      <c r="E2781" s="17"/>
    </row>
    <row r="2782" spans="5:5">
      <c r="E2782" s="17"/>
    </row>
    <row r="2783" spans="5:5">
      <c r="E2783" s="17"/>
    </row>
    <row r="2784" spans="5:5">
      <c r="E2784" s="17"/>
    </row>
    <row r="2785" spans="5:5">
      <c r="E2785" s="17"/>
    </row>
    <row r="2786" spans="5:5">
      <c r="E2786" s="17"/>
    </row>
    <row r="2787" spans="5:5">
      <c r="E2787" s="17"/>
    </row>
    <row r="2788" spans="5:5">
      <c r="E2788" s="17"/>
    </row>
    <row r="2789" spans="5:5">
      <c r="E2789" s="17"/>
    </row>
    <row r="2790" spans="5:5">
      <c r="E2790" s="17"/>
    </row>
    <row r="2791" spans="5:5">
      <c r="E2791" s="17"/>
    </row>
    <row r="2792" spans="5:5">
      <c r="E2792" s="17"/>
    </row>
    <row r="2793" spans="5:5">
      <c r="E2793" s="17"/>
    </row>
    <row r="2794" spans="5:5">
      <c r="E2794" s="17"/>
    </row>
    <row r="2795" spans="5:5">
      <c r="E2795" s="17"/>
    </row>
    <row r="2796" spans="5:5">
      <c r="E2796" s="17"/>
    </row>
    <row r="2797" spans="5:5">
      <c r="E2797" s="17"/>
    </row>
    <row r="2798" spans="5:5">
      <c r="E2798" s="17"/>
    </row>
    <row r="2799" spans="5:5">
      <c r="E2799" s="17"/>
    </row>
    <row r="2800" spans="5:5">
      <c r="E2800" s="17"/>
    </row>
    <row r="2801" spans="5:5">
      <c r="E2801" s="17"/>
    </row>
    <row r="2802" spans="5:5">
      <c r="E2802" s="17"/>
    </row>
    <row r="2803" spans="5:5">
      <c r="E2803" s="17"/>
    </row>
    <row r="2804" spans="5:5">
      <c r="E2804" s="17"/>
    </row>
    <row r="2805" spans="5:5">
      <c r="E2805" s="17"/>
    </row>
    <row r="2806" spans="5:5">
      <c r="E2806" s="17"/>
    </row>
    <row r="2807" spans="5:5">
      <c r="E2807" s="17"/>
    </row>
    <row r="2808" spans="5:5">
      <c r="E2808" s="17"/>
    </row>
    <row r="2809" spans="5:5">
      <c r="E2809" s="17"/>
    </row>
    <row r="2810" spans="5:5">
      <c r="E2810" s="17"/>
    </row>
    <row r="2811" spans="5:5">
      <c r="E2811" s="17"/>
    </row>
    <row r="2812" spans="5:5">
      <c r="E2812" s="17"/>
    </row>
    <row r="2813" spans="5:5">
      <c r="E2813" s="17"/>
    </row>
    <row r="2814" spans="5:5">
      <c r="E2814" s="17"/>
    </row>
    <row r="2815" spans="5:5">
      <c r="E2815" s="17"/>
    </row>
    <row r="2816" spans="5:5">
      <c r="E2816" s="17"/>
    </row>
    <row r="2817" spans="5:5">
      <c r="E2817" s="17"/>
    </row>
    <row r="2818" spans="5:5">
      <c r="E2818" s="17"/>
    </row>
    <row r="2819" spans="5:5">
      <c r="E2819" s="17"/>
    </row>
    <row r="2820" spans="5:5">
      <c r="E2820" s="17"/>
    </row>
    <row r="2821" spans="5:5">
      <c r="E2821" s="17"/>
    </row>
    <row r="2822" spans="5:5">
      <c r="E2822" s="17"/>
    </row>
    <row r="2823" spans="5:5">
      <c r="E2823" s="17"/>
    </row>
    <row r="2824" spans="5:5">
      <c r="E2824" s="17"/>
    </row>
    <row r="2825" spans="5:5">
      <c r="E2825" s="17"/>
    </row>
    <row r="2826" spans="5:5">
      <c r="E2826" s="17"/>
    </row>
    <row r="2827" spans="5:5">
      <c r="E2827" s="17"/>
    </row>
    <row r="2828" spans="5:5">
      <c r="E2828" s="17"/>
    </row>
    <row r="2829" spans="5:5">
      <c r="E2829" s="17"/>
    </row>
    <row r="2830" spans="5:5">
      <c r="E2830" s="17"/>
    </row>
    <row r="2831" spans="5:5">
      <c r="E2831" s="17"/>
    </row>
    <row r="2832" spans="5:5">
      <c r="E2832" s="17"/>
    </row>
    <row r="2833" spans="5:5">
      <c r="E2833" s="17"/>
    </row>
    <row r="2834" spans="5:5">
      <c r="E2834" s="17"/>
    </row>
    <row r="2835" spans="5:5">
      <c r="E2835" s="17"/>
    </row>
    <row r="2836" spans="5:5">
      <c r="E2836" s="17"/>
    </row>
    <row r="2837" spans="5:5">
      <c r="E2837" s="17"/>
    </row>
    <row r="2838" spans="5:5">
      <c r="E2838" s="17"/>
    </row>
    <row r="2839" spans="5:5">
      <c r="E2839" s="17"/>
    </row>
    <row r="2840" spans="5:5">
      <c r="E2840" s="17"/>
    </row>
    <row r="2841" spans="5:5">
      <c r="E2841" s="17"/>
    </row>
    <row r="2842" spans="5:5">
      <c r="E2842" s="17"/>
    </row>
    <row r="2843" spans="5:5">
      <c r="E2843" s="17"/>
    </row>
    <row r="2844" spans="5:5">
      <c r="E2844" s="17"/>
    </row>
    <row r="2845" spans="5:5">
      <c r="E2845" s="17"/>
    </row>
    <row r="2846" spans="5:5">
      <c r="E2846" s="17"/>
    </row>
    <row r="2847" spans="5:5">
      <c r="E2847" s="17"/>
    </row>
    <row r="2848" spans="5:5">
      <c r="E2848" s="17"/>
    </row>
    <row r="2849" spans="5:5">
      <c r="E2849" s="17"/>
    </row>
    <row r="2850" spans="5:5">
      <c r="E2850" s="17"/>
    </row>
    <row r="2851" spans="5:5">
      <c r="E2851" s="17"/>
    </row>
    <row r="2852" spans="5:5">
      <c r="E2852" s="17"/>
    </row>
    <row r="2853" spans="5:5">
      <c r="E2853" s="17"/>
    </row>
    <row r="2854" spans="5:5">
      <c r="E2854" s="17"/>
    </row>
    <row r="2855" spans="5:5">
      <c r="E2855" s="17"/>
    </row>
    <row r="2856" spans="5:5">
      <c r="E2856" s="17"/>
    </row>
    <row r="2857" spans="5:5">
      <c r="E2857" s="17"/>
    </row>
    <row r="2858" spans="5:5">
      <c r="E2858" s="17"/>
    </row>
    <row r="2859" spans="5:5">
      <c r="E2859" s="17"/>
    </row>
    <row r="2860" spans="5:5">
      <c r="E2860" s="17"/>
    </row>
    <row r="2861" spans="5:5">
      <c r="E2861" s="17"/>
    </row>
    <row r="2862" spans="5:5">
      <c r="E2862" s="17"/>
    </row>
    <row r="2863" spans="5:5">
      <c r="E2863" s="17"/>
    </row>
    <row r="2864" spans="5:5">
      <c r="E2864" s="17"/>
    </row>
    <row r="2865" spans="5:5">
      <c r="E2865" s="17"/>
    </row>
    <row r="2866" spans="5:5">
      <c r="E2866" s="17"/>
    </row>
    <row r="2867" spans="5:5">
      <c r="E2867" s="17"/>
    </row>
    <row r="2868" spans="5:5">
      <c r="E2868" s="17"/>
    </row>
    <row r="2869" spans="5:5">
      <c r="E2869" s="17"/>
    </row>
    <row r="2870" spans="5:5">
      <c r="E2870" s="17"/>
    </row>
    <row r="2871" spans="5:5">
      <c r="E2871" s="17"/>
    </row>
    <row r="2872" spans="5:5">
      <c r="E2872" s="17"/>
    </row>
    <row r="2873" spans="5:5">
      <c r="E2873" s="17"/>
    </row>
    <row r="2874" spans="5:5">
      <c r="E2874" s="17"/>
    </row>
    <row r="2875" spans="5:5">
      <c r="E2875" s="17"/>
    </row>
    <row r="2876" spans="5:5">
      <c r="E2876" s="17"/>
    </row>
    <row r="2877" spans="5:5">
      <c r="E2877" s="17"/>
    </row>
    <row r="2878" spans="5:5">
      <c r="E2878" s="17"/>
    </row>
    <row r="2879" spans="5:5">
      <c r="E2879" s="17"/>
    </row>
    <row r="2880" spans="5:5">
      <c r="E2880" s="17"/>
    </row>
    <row r="2881" spans="5:5">
      <c r="E2881" s="17"/>
    </row>
    <row r="2882" spans="5:5">
      <c r="E2882" s="17"/>
    </row>
    <row r="2883" spans="5:5">
      <c r="E2883" s="17"/>
    </row>
    <row r="2884" spans="5:5">
      <c r="E2884" s="17"/>
    </row>
    <row r="2885" spans="5:5">
      <c r="E2885" s="17"/>
    </row>
    <row r="2886" spans="5:5">
      <c r="E2886" s="17"/>
    </row>
    <row r="2887" spans="5:5">
      <c r="E2887" s="17"/>
    </row>
    <row r="2888" spans="5:5">
      <c r="E2888" s="17"/>
    </row>
    <row r="2889" spans="5:5">
      <c r="E2889" s="17"/>
    </row>
    <row r="2890" spans="5:5">
      <c r="E2890" s="17"/>
    </row>
    <row r="2891" spans="5:5">
      <c r="E2891" s="17"/>
    </row>
    <row r="2892" spans="5:5">
      <c r="E2892" s="17"/>
    </row>
    <row r="2893" spans="5:5">
      <c r="E2893" s="17"/>
    </row>
    <row r="2894" spans="5:5">
      <c r="E2894" s="17"/>
    </row>
    <row r="2895" spans="5:5">
      <c r="E2895" s="17"/>
    </row>
    <row r="2896" spans="5:5">
      <c r="E2896" s="17"/>
    </row>
    <row r="2897" spans="5:5">
      <c r="E2897" s="17"/>
    </row>
    <row r="2898" spans="5:5">
      <c r="E2898" s="17"/>
    </row>
    <row r="2899" spans="5:5">
      <c r="E2899" s="17"/>
    </row>
    <row r="2900" spans="5:5">
      <c r="E2900" s="17"/>
    </row>
    <row r="2901" spans="5:5">
      <c r="E2901" s="17"/>
    </row>
    <row r="2902" spans="5:5">
      <c r="E2902" s="17"/>
    </row>
    <row r="2903" spans="5:5">
      <c r="E2903" s="17"/>
    </row>
    <row r="2904" spans="5:5">
      <c r="E2904" s="17"/>
    </row>
    <row r="2905" spans="5:5">
      <c r="E2905" s="17"/>
    </row>
    <row r="2906" spans="5:5">
      <c r="E2906" s="17"/>
    </row>
    <row r="2907" spans="5:5">
      <c r="E2907" s="17"/>
    </row>
    <row r="2908" spans="5:5">
      <c r="E2908" s="17"/>
    </row>
    <row r="2909" spans="5:5">
      <c r="E2909" s="17"/>
    </row>
    <row r="2910" spans="5:5">
      <c r="E2910" s="17"/>
    </row>
    <row r="2911" spans="5:5">
      <c r="E2911" s="17"/>
    </row>
    <row r="2912" spans="5:5">
      <c r="E2912" s="17"/>
    </row>
    <row r="2913" spans="5:5">
      <c r="E2913" s="17"/>
    </row>
    <row r="2914" spans="5:5">
      <c r="E2914" s="17"/>
    </row>
    <row r="2915" spans="5:5">
      <c r="E2915" s="17"/>
    </row>
    <row r="2916" spans="5:5">
      <c r="E2916" s="17"/>
    </row>
    <row r="2917" spans="5:5">
      <c r="E2917" s="17"/>
    </row>
    <row r="2918" spans="5:5">
      <c r="E2918" s="17"/>
    </row>
    <row r="2919" spans="5:5">
      <c r="E2919" s="17"/>
    </row>
    <row r="2920" spans="5:5">
      <c r="E2920" s="17"/>
    </row>
    <row r="2921" spans="5:5">
      <c r="E2921" s="17"/>
    </row>
    <row r="2922" spans="5:5">
      <c r="E2922" s="17"/>
    </row>
    <row r="2923" spans="5:5">
      <c r="E2923" s="17"/>
    </row>
    <row r="2924" spans="5:5">
      <c r="E2924" s="17"/>
    </row>
    <row r="2925" spans="5:5">
      <c r="E2925" s="17"/>
    </row>
    <row r="2926" spans="5:5">
      <c r="E2926" s="17"/>
    </row>
    <row r="2927" spans="5:5">
      <c r="E2927" s="17"/>
    </row>
    <row r="2928" spans="5:5">
      <c r="E2928" s="17"/>
    </row>
    <row r="2929" spans="5:5">
      <c r="E2929" s="17"/>
    </row>
    <row r="2930" spans="5:5">
      <c r="E2930" s="17"/>
    </row>
    <row r="2931" spans="5:5">
      <c r="E2931" s="17"/>
    </row>
    <row r="2932" spans="5:5">
      <c r="E2932" s="17"/>
    </row>
    <row r="2933" spans="5:5">
      <c r="E2933" s="17"/>
    </row>
    <row r="2934" spans="5:5">
      <c r="E2934" s="17"/>
    </row>
    <row r="2935" spans="5:5">
      <c r="E2935" s="17"/>
    </row>
    <row r="2936" spans="5:5">
      <c r="E2936" s="17"/>
    </row>
    <row r="2937" spans="5:5">
      <c r="E2937" s="17"/>
    </row>
    <row r="2938" spans="5:5">
      <c r="E2938" s="17"/>
    </row>
    <row r="2939" spans="5:5">
      <c r="E2939" s="17"/>
    </row>
    <row r="2940" spans="5:5">
      <c r="E2940" s="17"/>
    </row>
    <row r="2941" spans="5:5">
      <c r="E2941" s="17"/>
    </row>
    <row r="2942" spans="5:5">
      <c r="E2942" s="17"/>
    </row>
    <row r="2943" spans="5:5">
      <c r="E2943" s="17"/>
    </row>
    <row r="2944" spans="5:5">
      <c r="E2944" s="17"/>
    </row>
    <row r="2945" spans="5:5">
      <c r="E2945" s="17"/>
    </row>
    <row r="2946" spans="5:5">
      <c r="E2946" s="17"/>
    </row>
    <row r="2947" spans="5:5">
      <c r="E2947" s="17"/>
    </row>
    <row r="2948" spans="5:5">
      <c r="E2948" s="17"/>
    </row>
    <row r="2949" spans="5:5">
      <c r="E2949" s="17"/>
    </row>
    <row r="2950" spans="5:5">
      <c r="E2950" s="17"/>
    </row>
    <row r="2951" spans="5:5">
      <c r="E2951" s="17"/>
    </row>
    <row r="2952" spans="5:5">
      <c r="E2952" s="17"/>
    </row>
    <row r="2953" spans="5:5">
      <c r="E2953" s="17"/>
    </row>
    <row r="2954" spans="5:5">
      <c r="E2954" s="17"/>
    </row>
    <row r="2955" spans="5:5">
      <c r="E2955" s="17"/>
    </row>
    <row r="2956" spans="5:5">
      <c r="E2956" s="17"/>
    </row>
    <row r="2957" spans="5:5">
      <c r="E2957" s="17"/>
    </row>
    <row r="2958" spans="5:5">
      <c r="E2958" s="17"/>
    </row>
    <row r="2959" spans="5:5">
      <c r="E2959" s="17"/>
    </row>
    <row r="2960" spans="5:5">
      <c r="E2960" s="17"/>
    </row>
    <row r="2961" spans="5:5">
      <c r="E2961" s="17"/>
    </row>
    <row r="2962" spans="5:5">
      <c r="E2962" s="17"/>
    </row>
    <row r="2963" spans="5:5">
      <c r="E2963" s="17"/>
    </row>
    <row r="2964" spans="5:5">
      <c r="E2964" s="17"/>
    </row>
    <row r="2965" spans="5:5">
      <c r="E2965" s="17"/>
    </row>
    <row r="2966" spans="5:5">
      <c r="E2966" s="17"/>
    </row>
    <row r="2967" spans="5:5">
      <c r="E2967" s="17"/>
    </row>
    <row r="2968" spans="5:5">
      <c r="E2968" s="17"/>
    </row>
    <row r="2969" spans="5:5">
      <c r="E2969" s="17"/>
    </row>
    <row r="2970" spans="5:5">
      <c r="E2970" s="17"/>
    </row>
    <row r="2971" spans="5:5">
      <c r="E2971" s="17"/>
    </row>
    <row r="2972" spans="5:5">
      <c r="E2972" s="17"/>
    </row>
    <row r="2973" spans="5:5">
      <c r="E2973" s="17"/>
    </row>
    <row r="2974" spans="5:5">
      <c r="E2974" s="17"/>
    </row>
    <row r="2975" spans="5:5">
      <c r="E2975" s="17"/>
    </row>
    <row r="2976" spans="5:5">
      <c r="E2976" s="17"/>
    </row>
    <row r="2977" spans="5:5">
      <c r="E2977" s="17"/>
    </row>
    <row r="2978" spans="5:5">
      <c r="E2978" s="17"/>
    </row>
    <row r="2979" spans="5:5">
      <c r="E2979" s="17"/>
    </row>
    <row r="2980" spans="5:5">
      <c r="E2980" s="17"/>
    </row>
    <row r="2981" spans="5:5">
      <c r="E2981" s="17"/>
    </row>
    <row r="2982" spans="5:5">
      <c r="E2982" s="17"/>
    </row>
    <row r="2983" spans="5:5">
      <c r="E2983" s="17"/>
    </row>
    <row r="2984" spans="5:5">
      <c r="E2984" s="17"/>
    </row>
    <row r="2985" spans="5:5">
      <c r="E2985" s="17"/>
    </row>
    <row r="2986" spans="5:5">
      <c r="E2986" s="17"/>
    </row>
    <row r="2987" spans="5:5">
      <c r="E2987" s="17"/>
    </row>
    <row r="2988" spans="5:5">
      <c r="E2988" s="17"/>
    </row>
    <row r="2989" spans="5:5">
      <c r="E2989" s="17"/>
    </row>
    <row r="2990" spans="5:5">
      <c r="E2990" s="17"/>
    </row>
    <row r="2991" spans="5:5">
      <c r="E2991" s="17"/>
    </row>
    <row r="2992" spans="5:5">
      <c r="E2992" s="17"/>
    </row>
    <row r="2993" spans="5:5">
      <c r="E2993" s="17"/>
    </row>
    <row r="2994" spans="5:5">
      <c r="E2994" s="17"/>
    </row>
    <row r="2995" spans="5:5">
      <c r="E2995" s="17"/>
    </row>
    <row r="2996" spans="5:5">
      <c r="E2996" s="17"/>
    </row>
    <row r="2997" spans="5:5">
      <c r="E2997" s="17"/>
    </row>
    <row r="2998" spans="5:5">
      <c r="E2998" s="17"/>
    </row>
    <row r="2999" spans="5:5">
      <c r="E2999" s="17"/>
    </row>
    <row r="3000" spans="5:5">
      <c r="E3000" s="17"/>
    </row>
    <row r="3001" spans="5:5">
      <c r="E3001" s="17"/>
    </row>
    <row r="3002" spans="5:5">
      <c r="E3002" s="17"/>
    </row>
    <row r="3003" spans="5:5">
      <c r="E3003" s="17"/>
    </row>
    <row r="3004" spans="5:5">
      <c r="E3004" s="17"/>
    </row>
    <row r="3005" spans="5:5">
      <c r="E3005" s="17"/>
    </row>
    <row r="3006" spans="5:5">
      <c r="E3006" s="17"/>
    </row>
    <row r="3007" spans="5:5">
      <c r="E3007" s="17"/>
    </row>
    <row r="3008" spans="5:5">
      <c r="E3008" s="17"/>
    </row>
    <row r="3009" spans="5:5">
      <c r="E3009" s="17"/>
    </row>
    <row r="3010" spans="5:5">
      <c r="E3010" s="17"/>
    </row>
    <row r="3011" spans="5:5">
      <c r="E3011" s="17"/>
    </row>
    <row r="3012" spans="5:5">
      <c r="E3012" s="17"/>
    </row>
    <row r="3013" spans="5:5">
      <c r="E3013" s="17"/>
    </row>
    <row r="3014" spans="5:5">
      <c r="E3014" s="17"/>
    </row>
    <row r="3015" spans="5:5">
      <c r="E3015" s="17"/>
    </row>
    <row r="3016" spans="5:5">
      <c r="E3016" s="17"/>
    </row>
    <row r="3017" spans="5:5">
      <c r="E3017" s="17"/>
    </row>
    <row r="3018" spans="5:5">
      <c r="E3018" s="17"/>
    </row>
    <row r="3019" spans="5:5">
      <c r="E3019" s="17"/>
    </row>
    <row r="3020" spans="5:5">
      <c r="E3020" s="17"/>
    </row>
    <row r="3021" spans="5:5">
      <c r="E3021" s="17"/>
    </row>
    <row r="3022" spans="5:5">
      <c r="E3022" s="17"/>
    </row>
    <row r="3023" spans="5:5">
      <c r="E3023" s="17"/>
    </row>
    <row r="3024" spans="5:5">
      <c r="E3024" s="17"/>
    </row>
    <row r="3025" spans="5:5">
      <c r="E3025" s="17"/>
    </row>
    <row r="3026" spans="5:5">
      <c r="E3026" s="17"/>
    </row>
    <row r="3027" spans="5:5">
      <c r="E3027" s="17"/>
    </row>
    <row r="3028" spans="5:5">
      <c r="E3028" s="17"/>
    </row>
    <row r="3029" spans="5:5">
      <c r="E3029" s="17"/>
    </row>
    <row r="3030" spans="5:5">
      <c r="E3030" s="17"/>
    </row>
    <row r="3031" spans="5:5">
      <c r="E3031" s="17"/>
    </row>
    <row r="3032" spans="5:5">
      <c r="E3032" s="17"/>
    </row>
    <row r="3033" spans="5:5">
      <c r="E3033" s="17"/>
    </row>
    <row r="3034" spans="5:5">
      <c r="E3034" s="17"/>
    </row>
    <row r="3035" spans="5:5">
      <c r="E3035" s="17"/>
    </row>
    <row r="3036" spans="5:5">
      <c r="E3036" s="17"/>
    </row>
    <row r="3037" spans="5:5">
      <c r="E3037" s="17"/>
    </row>
    <row r="3038" spans="5:5">
      <c r="E3038" s="17"/>
    </row>
    <row r="3039" spans="5:5">
      <c r="E3039" s="17"/>
    </row>
    <row r="3040" spans="5:5">
      <c r="E3040" s="17"/>
    </row>
    <row r="3041" spans="1:5">
      <c r="E3041" s="17"/>
    </row>
    <row r="3042" spans="1:5">
      <c r="E3042" s="17"/>
    </row>
    <row r="3043" spans="1:5">
      <c r="E3043" s="17"/>
    </row>
    <row r="3044" spans="1:5">
      <c r="E3044" s="17"/>
    </row>
    <row r="3045" spans="1:5">
      <c r="E3045" s="17"/>
    </row>
    <row r="3046" spans="1:5">
      <c r="E3046" s="17"/>
    </row>
    <row r="3047" spans="1:5">
      <c r="E3047" s="17"/>
    </row>
    <row r="3048" spans="1:5">
      <c r="E3048" s="17"/>
    </row>
    <row r="3049" spans="1:5">
      <c r="A3049" t="s">
        <v>96</v>
      </c>
      <c r="E3049" s="17"/>
    </row>
    <row r="3050" spans="1:5">
      <c r="E3050" s="17"/>
    </row>
    <row r="3051" spans="1:5">
      <c r="E3051" s="17"/>
    </row>
    <row r="3052" spans="1:5">
      <c r="E3052" s="17"/>
    </row>
    <row r="3053" spans="1:5">
      <c r="D3053" s="17"/>
      <c r="E3053" s="17"/>
    </row>
    <row r="3054" spans="1:5">
      <c r="E3054" s="17"/>
    </row>
    <row r="3055" spans="1:5">
      <c r="E3055" s="17"/>
    </row>
    <row r="3056" spans="1:5">
      <c r="E3056" s="17"/>
    </row>
    <row r="3057" spans="4:5">
      <c r="E3057" s="17"/>
    </row>
    <row r="3058" spans="4:5">
      <c r="E3058" s="17"/>
    </row>
    <row r="3059" spans="4:5">
      <c r="E3059" s="17"/>
    </row>
    <row r="3060" spans="4:5">
      <c r="E3060" s="17"/>
    </row>
    <row r="3061" spans="4:5">
      <c r="E3061" s="17"/>
    </row>
    <row r="3062" spans="4:5">
      <c r="E3062" s="17"/>
    </row>
    <row r="3063" spans="4:5">
      <c r="D3063" s="17"/>
      <c r="E3063" s="17"/>
    </row>
    <row r="3064" spans="4:5">
      <c r="E3064" s="17"/>
    </row>
    <row r="3065" spans="4:5">
      <c r="E3065" s="17"/>
    </row>
    <row r="3066" spans="4:5">
      <c r="E3066" s="17"/>
    </row>
    <row r="3067" spans="4:5">
      <c r="E3067" s="17"/>
    </row>
    <row r="3068" spans="4:5">
      <c r="E3068" s="17"/>
    </row>
    <row r="3069" spans="4:5">
      <c r="E3069" s="17"/>
    </row>
    <row r="3070" spans="4:5">
      <c r="E3070" s="17"/>
    </row>
    <row r="3071" spans="4:5">
      <c r="E3071" s="17"/>
    </row>
    <row r="3072" spans="4:5">
      <c r="E3072" s="17"/>
    </row>
    <row r="3073" spans="2:7">
      <c r="D3073" s="17"/>
      <c r="E3073" s="17"/>
    </row>
    <row r="3074" spans="2:7">
      <c r="E3074" s="17"/>
    </row>
    <row r="3075" spans="2:7">
      <c r="E3075" s="17"/>
    </row>
    <row r="3076" spans="2:7">
      <c r="E3076" s="17"/>
    </row>
    <row r="3077" spans="2:7">
      <c r="E3077" s="17"/>
    </row>
    <row r="3078" spans="2:7">
      <c r="E3078" s="17"/>
    </row>
    <row r="3079" spans="2:7">
      <c r="E3079" s="17"/>
    </row>
    <row r="3080" spans="2:7">
      <c r="E3080" s="17"/>
      <c r="G3080" s="37"/>
    </row>
    <row r="3081" spans="2:7">
      <c r="E3081" s="17"/>
      <c r="G3081" s="37"/>
    </row>
    <row r="3082" spans="2:7">
      <c r="E3082" s="17"/>
      <c r="G3082" s="37"/>
    </row>
    <row r="3083" spans="2:7">
      <c r="E3083" s="17"/>
      <c r="G3083" s="37"/>
    </row>
    <row r="3084" spans="2:7">
      <c r="E3084" s="17"/>
      <c r="G3084" s="37"/>
    </row>
    <row r="3085" spans="2:7">
      <c r="E3085" s="17"/>
      <c r="G3085" s="37"/>
    </row>
    <row r="3086" spans="2:7">
      <c r="E3086" s="17"/>
      <c r="F3086" s="8"/>
    </row>
    <row r="3087" spans="2:7" ht="15.75">
      <c r="B3087" s="21"/>
      <c r="C3087" s="51"/>
      <c r="E3087" s="17"/>
      <c r="F3087" s="8"/>
    </row>
    <row r="3088" spans="2:7">
      <c r="E3088" s="17"/>
      <c r="F3088" s="8"/>
    </row>
    <row r="3089" spans="2:6" ht="15.75">
      <c r="B3089" s="21"/>
      <c r="E3089" s="17"/>
      <c r="F3089" s="8"/>
    </row>
    <row r="3090" spans="2:6">
      <c r="E3090" s="17"/>
      <c r="F3090" s="8"/>
    </row>
    <row r="3091" spans="2:6" ht="15.75">
      <c r="B3091" s="21"/>
      <c r="E3091" s="17"/>
      <c r="F3091" s="8"/>
    </row>
    <row r="3092" spans="2:6">
      <c r="E3092" s="17"/>
      <c r="F3092" s="8"/>
    </row>
    <row r="3093" spans="2:6" ht="15.75">
      <c r="B3093" s="21"/>
      <c r="E3093" s="17"/>
      <c r="F3093" s="8"/>
    </row>
    <row r="3094" spans="2:6">
      <c r="D3094" s="17"/>
      <c r="E3094" s="17"/>
    </row>
    <row r="3095" spans="2:6">
      <c r="D3095" s="17"/>
      <c r="E3095" s="17"/>
    </row>
    <row r="3096" spans="2:6">
      <c r="D3096" s="17"/>
      <c r="E3096" s="17"/>
    </row>
    <row r="3097" spans="2:6">
      <c r="C3097" s="38"/>
      <c r="D3097" s="45"/>
      <c r="E3097" s="45"/>
    </row>
    <row r="3098" spans="2:6">
      <c r="D3098" s="17"/>
      <c r="E3098" s="17"/>
    </row>
    <row r="3099" spans="2:6">
      <c r="D3099" s="17"/>
      <c r="E3099" s="17"/>
    </row>
    <row r="3100" spans="2:6">
      <c r="D3100" s="17"/>
      <c r="E3100" s="17"/>
    </row>
    <row r="3101" spans="2:6">
      <c r="D3101" s="17"/>
      <c r="E3101" s="17"/>
    </row>
    <row r="3102" spans="2:6">
      <c r="D3102" s="17"/>
      <c r="E3102" s="17"/>
    </row>
    <row r="3103" spans="2:6">
      <c r="D3103" s="17"/>
      <c r="E3103" s="17"/>
    </row>
    <row r="3104" spans="2:6">
      <c r="D3104" s="17"/>
      <c r="E3104" s="17"/>
    </row>
    <row r="3105" spans="4:5">
      <c r="D3105" s="17"/>
      <c r="E3105" s="17"/>
    </row>
    <row r="3106" spans="4:5">
      <c r="D3106" s="17"/>
      <c r="E3106" s="17"/>
    </row>
    <row r="3107" spans="4:5">
      <c r="D3107" s="17"/>
      <c r="E3107" s="17"/>
    </row>
    <row r="3108" spans="4:5">
      <c r="D3108" s="17"/>
      <c r="E3108" s="17"/>
    </row>
    <row r="3109" spans="4:5">
      <c r="D3109" s="17"/>
      <c r="E3109" s="17"/>
    </row>
    <row r="3110" spans="4:5">
      <c r="D3110" s="17"/>
      <c r="E3110" s="17"/>
    </row>
    <row r="3111" spans="4:5">
      <c r="D3111" s="17"/>
      <c r="E3111" s="17"/>
    </row>
    <row r="3112" spans="4:5">
      <c r="D3112" s="17"/>
      <c r="E3112" s="17"/>
    </row>
    <row r="3113" spans="4:5">
      <c r="D3113" s="17"/>
      <c r="E3113" s="17"/>
    </row>
    <row r="3114" spans="4:5">
      <c r="D3114" s="17"/>
      <c r="E3114" s="17"/>
    </row>
    <row r="3115" spans="4:5">
      <c r="D3115" s="17"/>
      <c r="E3115" s="17"/>
    </row>
    <row r="3116" spans="4:5">
      <c r="D3116" s="17"/>
      <c r="E3116" s="17"/>
    </row>
    <row r="3117" spans="4:5">
      <c r="D3117" s="17"/>
      <c r="E3117" s="17"/>
    </row>
    <row r="3118" spans="4:5">
      <c r="D3118" s="17"/>
      <c r="E3118" s="17"/>
    </row>
    <row r="3119" spans="4:5">
      <c r="D3119" s="17"/>
      <c r="E3119" s="17"/>
    </row>
    <row r="3120" spans="4:5">
      <c r="D3120" s="17"/>
      <c r="E3120" s="17"/>
    </row>
    <row r="3121" spans="4:5">
      <c r="D3121" s="17"/>
      <c r="E3121" s="17"/>
    </row>
    <row r="3122" spans="4:5">
      <c r="D3122" s="17"/>
      <c r="E3122" s="17"/>
    </row>
    <row r="3123" spans="4:5">
      <c r="D3123" s="17"/>
      <c r="E3123" s="17"/>
    </row>
    <row r="3124" spans="4:5">
      <c r="D3124" s="17"/>
      <c r="E3124" s="17"/>
    </row>
    <row r="3125" spans="4:5">
      <c r="D3125" s="17"/>
      <c r="E3125" s="17"/>
    </row>
    <row r="3126" spans="4:5">
      <c r="D3126" s="17"/>
      <c r="E3126" s="17"/>
    </row>
    <row r="3127" spans="4:5">
      <c r="D3127" s="17"/>
      <c r="E3127" s="17"/>
    </row>
    <row r="3128" spans="4:5">
      <c r="D3128" s="17"/>
      <c r="E3128" s="17"/>
    </row>
    <row r="3129" spans="4:5">
      <c r="D3129" s="17"/>
      <c r="E3129" s="17"/>
    </row>
    <row r="3130" spans="4:5">
      <c r="D3130" s="17"/>
      <c r="E3130" s="17"/>
    </row>
    <row r="3131" spans="4:5">
      <c r="D3131" s="17"/>
      <c r="E3131" s="17"/>
    </row>
    <row r="3132" spans="4:5">
      <c r="D3132" s="17"/>
      <c r="E3132" s="17"/>
    </row>
    <row r="3133" spans="4:5">
      <c r="D3133" s="17"/>
      <c r="E3133" s="17"/>
    </row>
    <row r="3134" spans="4:5">
      <c r="D3134" s="17"/>
      <c r="E3134" s="17"/>
    </row>
    <row r="3135" spans="4:5">
      <c r="D3135" s="17"/>
      <c r="E3135" s="17"/>
    </row>
    <row r="3136" spans="4:5">
      <c r="D3136" s="17"/>
      <c r="E3136" s="17"/>
    </row>
    <row r="3137" spans="4:5">
      <c r="D3137" s="17"/>
      <c r="E3137" s="17"/>
    </row>
    <row r="3138" spans="4:5">
      <c r="D3138" s="17"/>
      <c r="E3138" s="17"/>
    </row>
    <row r="3139" spans="4:5">
      <c r="D3139" s="17"/>
      <c r="E3139" s="17"/>
    </row>
    <row r="3140" spans="4:5">
      <c r="D3140" s="17"/>
      <c r="E3140" s="17"/>
    </row>
    <row r="3141" spans="4:5">
      <c r="D3141" s="17"/>
      <c r="E3141" s="17"/>
    </row>
    <row r="3142" spans="4:5">
      <c r="D3142" s="17"/>
      <c r="E3142" s="17"/>
    </row>
    <row r="3143" spans="4:5">
      <c r="D3143" s="17"/>
      <c r="E3143" s="17"/>
    </row>
    <row r="3144" spans="4:5">
      <c r="D3144" s="17"/>
      <c r="E3144" s="17"/>
    </row>
    <row r="3145" spans="4:5">
      <c r="D3145" s="17"/>
      <c r="E3145" s="17"/>
    </row>
    <row r="3146" spans="4:5">
      <c r="D3146" s="17"/>
      <c r="E3146" s="17"/>
    </row>
    <row r="3147" spans="4:5">
      <c r="D3147" s="17"/>
      <c r="E3147" s="17"/>
    </row>
    <row r="3148" spans="4:5">
      <c r="D3148" s="17"/>
      <c r="E3148" s="17"/>
    </row>
    <row r="3149" spans="4:5">
      <c r="D3149" s="17"/>
      <c r="E3149" s="17"/>
    </row>
    <row r="3150" spans="4:5">
      <c r="D3150" s="17"/>
      <c r="E3150" s="17"/>
    </row>
    <row r="3151" spans="4:5">
      <c r="D3151" s="17"/>
      <c r="E3151" s="17"/>
    </row>
    <row r="3152" spans="4:5">
      <c r="D3152" s="17"/>
      <c r="E3152" s="17"/>
    </row>
    <row r="3153" spans="2:6">
      <c r="D3153" s="17"/>
      <c r="E3153" s="17"/>
    </row>
    <row r="3154" spans="2:6">
      <c r="D3154" s="17"/>
      <c r="E3154" s="17"/>
    </row>
    <row r="3155" spans="2:6">
      <c r="D3155" s="17"/>
      <c r="E3155" s="17"/>
    </row>
    <row r="3156" spans="2:6" ht="15.75">
      <c r="B3156" s="21"/>
      <c r="D3156" s="17"/>
      <c r="E3156" s="17"/>
      <c r="F3156" s="8"/>
    </row>
    <row r="3157" spans="2:6" ht="15.75">
      <c r="B3157" s="21"/>
      <c r="D3157" s="17"/>
      <c r="E3157" s="17"/>
      <c r="F3157" s="8"/>
    </row>
    <row r="3158" spans="2:6" ht="15.75">
      <c r="B3158" s="21"/>
      <c r="D3158" s="17"/>
      <c r="E3158" s="17"/>
      <c r="F3158" s="8"/>
    </row>
    <row r="3159" spans="2:6" ht="15.75">
      <c r="B3159" s="21"/>
      <c r="D3159" s="17"/>
      <c r="E3159" s="17"/>
      <c r="F3159" s="8"/>
    </row>
    <row r="3160" spans="2:6" ht="15.75">
      <c r="B3160" s="21"/>
      <c r="D3160" s="17"/>
      <c r="E3160" s="17"/>
      <c r="F3160" s="8"/>
    </row>
    <row r="3161" spans="2:6" ht="15.75">
      <c r="B3161" s="21"/>
      <c r="D3161" s="17"/>
      <c r="E3161" s="17"/>
      <c r="F3161" s="8"/>
    </row>
    <row r="3162" spans="2:6" ht="15.75">
      <c r="B3162" s="21"/>
      <c r="D3162" s="17"/>
      <c r="E3162" s="17"/>
      <c r="F3162" s="8"/>
    </row>
    <row r="3163" spans="2:6" ht="15.75">
      <c r="B3163" s="21"/>
      <c r="D3163" s="17"/>
      <c r="E3163" s="17"/>
      <c r="F3163" s="8"/>
    </row>
    <row r="3164" spans="2:6" ht="15.75">
      <c r="B3164" s="21"/>
      <c r="D3164" s="17"/>
      <c r="E3164" s="17"/>
      <c r="F3164" s="8"/>
    </row>
    <row r="3165" spans="2:6" ht="15.75">
      <c r="B3165" s="21"/>
      <c r="D3165" s="17"/>
      <c r="E3165" s="17"/>
      <c r="F3165" s="8"/>
    </row>
    <row r="3166" spans="2:6" ht="15.75">
      <c r="B3166" s="21"/>
      <c r="D3166" s="17"/>
      <c r="E3166" s="17"/>
      <c r="F3166" s="8"/>
    </row>
    <row r="3167" spans="2:6" ht="15.75">
      <c r="B3167" s="21"/>
      <c r="D3167" s="17"/>
      <c r="E3167" s="17"/>
      <c r="F3167" s="8"/>
    </row>
    <row r="3168" spans="2:6" ht="15.75">
      <c r="B3168" s="21"/>
      <c r="D3168" s="17"/>
      <c r="E3168" s="17"/>
    </row>
    <row r="3169" spans="2:5" ht="15.75">
      <c r="B3169" s="21"/>
      <c r="D3169" s="17"/>
      <c r="E3169" s="17"/>
    </row>
    <row r="3170" spans="2:5" ht="15.75">
      <c r="B3170" s="21"/>
      <c r="D3170" s="17"/>
      <c r="E3170" s="17"/>
    </row>
    <row r="3171" spans="2:5" ht="15.75">
      <c r="B3171" s="21"/>
      <c r="D3171" s="17"/>
      <c r="E3171" s="17"/>
    </row>
    <row r="3172" spans="2:5" ht="15.75">
      <c r="B3172" s="21"/>
      <c r="D3172" s="17"/>
      <c r="E3172" s="17"/>
    </row>
    <row r="3173" spans="2:5" ht="15.75">
      <c r="B3173" s="21"/>
      <c r="D3173" s="17"/>
      <c r="E3173" s="17"/>
    </row>
    <row r="3174" spans="2:5" ht="15.75">
      <c r="B3174" s="21"/>
      <c r="D3174" s="17"/>
      <c r="E3174" s="17"/>
    </row>
    <row r="3175" spans="2:5" ht="15.75">
      <c r="B3175" s="21"/>
      <c r="D3175" s="17"/>
      <c r="E3175" s="17"/>
    </row>
    <row r="3176" spans="2:5" ht="15.75">
      <c r="B3176" s="21"/>
      <c r="D3176" s="17"/>
      <c r="E3176" s="17"/>
    </row>
    <row r="3177" spans="2:5" ht="15.75">
      <c r="B3177" s="21"/>
      <c r="D3177" s="17"/>
      <c r="E3177" s="17"/>
    </row>
    <row r="3178" spans="2:5" ht="15.75">
      <c r="B3178" s="21"/>
      <c r="D3178" s="17"/>
      <c r="E3178" s="17"/>
    </row>
    <row r="3179" spans="2:5" ht="15.75">
      <c r="B3179" s="21"/>
      <c r="D3179" s="17"/>
      <c r="E3179" s="17"/>
    </row>
    <row r="3180" spans="2:5" ht="15.75">
      <c r="B3180" s="21"/>
      <c r="D3180" s="17"/>
      <c r="E3180" s="17"/>
    </row>
    <row r="3181" spans="2:5" ht="15.75">
      <c r="B3181" s="21"/>
      <c r="D3181" s="17"/>
      <c r="E3181" s="17"/>
    </row>
    <row r="3182" spans="2:5" ht="15.75">
      <c r="B3182" s="21"/>
      <c r="D3182" s="17"/>
      <c r="E3182" s="17"/>
    </row>
    <row r="3183" spans="2:5" ht="15.75">
      <c r="B3183" s="21"/>
      <c r="D3183" s="17"/>
      <c r="E3183" s="17"/>
    </row>
    <row r="3184" spans="2:5" ht="15.75">
      <c r="B3184" s="21"/>
      <c r="D3184" s="17"/>
      <c r="E3184" s="17"/>
    </row>
    <row r="3185" spans="2:5" ht="15.75">
      <c r="B3185" s="21"/>
      <c r="D3185" s="17"/>
      <c r="E3185" s="17"/>
    </row>
    <row r="3186" spans="2:5" ht="15.75">
      <c r="B3186" s="21"/>
      <c r="D3186" s="17"/>
      <c r="E3186" s="17"/>
    </row>
    <row r="3187" spans="2:5" ht="15.75">
      <c r="B3187" s="21"/>
      <c r="D3187" s="17"/>
      <c r="E3187" s="17"/>
    </row>
    <row r="3188" spans="2:5" ht="15.75">
      <c r="B3188" s="21"/>
      <c r="D3188" s="17"/>
      <c r="E3188" s="17"/>
    </row>
    <row r="3189" spans="2:5" ht="15.75">
      <c r="B3189" s="21"/>
      <c r="D3189" s="17"/>
      <c r="E3189" s="17"/>
    </row>
    <row r="3190" spans="2:5" ht="15.75">
      <c r="B3190" s="21"/>
      <c r="D3190" s="17"/>
      <c r="E3190" s="17"/>
    </row>
    <row r="3191" spans="2:5" ht="15.75">
      <c r="B3191" s="21"/>
      <c r="D3191" s="17"/>
      <c r="E3191" s="17"/>
    </row>
    <row r="3192" spans="2:5" ht="15.75">
      <c r="B3192" s="21"/>
      <c r="D3192" s="17"/>
      <c r="E3192" s="17"/>
    </row>
    <row r="3193" spans="2:5" ht="15.75">
      <c r="B3193" s="21"/>
      <c r="D3193" s="17"/>
      <c r="E3193" s="17"/>
    </row>
    <row r="3194" spans="2:5" ht="15.75">
      <c r="B3194" s="21"/>
      <c r="D3194" s="17"/>
      <c r="E3194" s="17"/>
    </row>
    <row r="3195" spans="2:5" ht="15.75">
      <c r="B3195" s="21"/>
      <c r="D3195" s="17"/>
      <c r="E3195" s="17"/>
    </row>
    <row r="3196" spans="2:5" ht="15.75">
      <c r="B3196" s="21"/>
      <c r="D3196" s="17"/>
      <c r="E3196" s="17"/>
    </row>
    <row r="3197" spans="2:5" ht="15.75">
      <c r="B3197" s="21"/>
      <c r="D3197" s="17"/>
      <c r="E3197" s="17"/>
    </row>
    <row r="3198" spans="2:5" ht="15.75">
      <c r="B3198" s="21"/>
      <c r="D3198" s="17"/>
      <c r="E3198" s="17"/>
    </row>
    <row r="3199" spans="2:5" ht="15.75">
      <c r="B3199" s="21"/>
      <c r="D3199" s="17"/>
      <c r="E3199" s="17"/>
    </row>
    <row r="3200" spans="2:5" ht="15.75">
      <c r="B3200" s="21"/>
      <c r="D3200" s="17"/>
      <c r="E3200" s="17"/>
    </row>
    <row r="3201" spans="2:5" ht="15.75">
      <c r="B3201" s="21"/>
      <c r="D3201" s="17"/>
      <c r="E3201" s="17"/>
    </row>
    <row r="3202" spans="2:5" ht="15.75">
      <c r="B3202" s="21"/>
      <c r="D3202" s="17"/>
      <c r="E3202" s="17"/>
    </row>
    <row r="3203" spans="2:5" ht="15.75">
      <c r="B3203" s="21"/>
      <c r="D3203" s="17"/>
      <c r="E3203" s="17"/>
    </row>
    <row r="3204" spans="2:5" ht="15.75">
      <c r="B3204" s="21"/>
      <c r="D3204" s="17"/>
      <c r="E3204" s="17"/>
    </row>
    <row r="3205" spans="2:5" ht="15.75">
      <c r="B3205" s="21"/>
      <c r="D3205" s="17"/>
      <c r="E3205" s="17"/>
    </row>
    <row r="3206" spans="2:5" ht="15.75">
      <c r="B3206" s="21"/>
      <c r="D3206" s="17"/>
      <c r="E3206" s="17"/>
    </row>
    <row r="3207" spans="2:5" ht="15.75">
      <c r="B3207" s="21"/>
      <c r="D3207" s="17"/>
      <c r="E3207" s="17"/>
    </row>
    <row r="3208" spans="2:5" ht="15.75">
      <c r="B3208" s="21"/>
      <c r="D3208" s="17"/>
      <c r="E3208" s="17"/>
    </row>
    <row r="3209" spans="2:5" ht="15.75">
      <c r="B3209" s="21"/>
      <c r="D3209" s="17"/>
      <c r="E3209" s="17"/>
    </row>
    <row r="3210" spans="2:5" ht="15.75">
      <c r="B3210" s="21"/>
      <c r="D3210" s="17"/>
      <c r="E3210" s="17"/>
    </row>
    <row r="3211" spans="2:5" ht="15.75">
      <c r="B3211" s="21"/>
      <c r="D3211" s="17"/>
      <c r="E3211" s="17"/>
    </row>
    <row r="3212" spans="2:5" ht="15.75">
      <c r="B3212" s="21"/>
      <c r="D3212" s="17"/>
      <c r="E3212" s="17"/>
    </row>
    <row r="3213" spans="2:5" ht="15.75">
      <c r="B3213" s="21"/>
      <c r="D3213" s="17"/>
      <c r="E3213" s="17"/>
    </row>
    <row r="3214" spans="2:5" ht="15.75">
      <c r="B3214" s="21"/>
      <c r="D3214" s="17"/>
      <c r="E3214" s="17"/>
    </row>
    <row r="3215" spans="2:5" ht="15.75">
      <c r="B3215" s="21"/>
      <c r="D3215" s="17"/>
      <c r="E3215" s="17"/>
    </row>
    <row r="3216" spans="2:5" ht="15.75">
      <c r="B3216" s="21"/>
      <c r="D3216" s="17"/>
      <c r="E3216" s="17"/>
    </row>
    <row r="3217" spans="2:6" ht="15.75">
      <c r="B3217" s="21"/>
      <c r="D3217" s="17"/>
      <c r="E3217" s="17"/>
    </row>
    <row r="3218" spans="2:6" ht="15.75">
      <c r="B3218" s="21"/>
      <c r="D3218" s="17"/>
      <c r="E3218" s="17"/>
    </row>
    <row r="3219" spans="2:6" ht="15.75">
      <c r="B3219" s="21"/>
      <c r="D3219" s="17"/>
      <c r="E3219" s="17"/>
    </row>
    <row r="3220" spans="2:6" ht="15.75">
      <c r="B3220" s="21"/>
      <c r="D3220" s="17"/>
      <c r="E3220" s="17"/>
    </row>
    <row r="3221" spans="2:6" ht="15.75">
      <c r="B3221" s="21"/>
      <c r="D3221" s="17"/>
      <c r="E3221" s="17"/>
    </row>
    <row r="3222" spans="2:6" ht="15.75">
      <c r="B3222" s="21"/>
      <c r="D3222" s="17"/>
      <c r="E3222" s="17"/>
    </row>
    <row r="3223" spans="2:6" ht="15.75">
      <c r="B3223" s="21"/>
      <c r="D3223" s="17"/>
      <c r="E3223" s="17"/>
    </row>
    <row r="3224" spans="2:6" ht="15.75">
      <c r="B3224" s="21"/>
      <c r="D3224" s="17"/>
      <c r="E3224" s="17"/>
    </row>
    <row r="3225" spans="2:6" ht="15.75">
      <c r="B3225" s="21"/>
      <c r="D3225" s="17"/>
      <c r="E3225" s="17"/>
    </row>
    <row r="3226" spans="2:6" ht="15.75">
      <c r="B3226" s="21"/>
      <c r="D3226" s="17"/>
      <c r="E3226" s="17"/>
    </row>
    <row r="3227" spans="2:6" ht="15.75">
      <c r="B3227" s="21"/>
      <c r="D3227" s="17"/>
      <c r="E3227" s="17"/>
    </row>
    <row r="3228" spans="2:6" ht="15.75">
      <c r="B3228" s="21"/>
      <c r="D3228" s="17"/>
      <c r="E3228" s="17"/>
    </row>
    <row r="3229" spans="2:6" ht="15.75">
      <c r="B3229" s="21"/>
      <c r="D3229" s="17"/>
      <c r="E3229" s="17"/>
    </row>
    <row r="3230" spans="2:6" ht="15.75">
      <c r="B3230" s="21"/>
      <c r="D3230" s="17"/>
      <c r="E3230" s="17"/>
    </row>
    <row r="3231" spans="2:6" ht="15.75">
      <c r="B3231" s="21"/>
      <c r="D3231" s="17"/>
      <c r="E3231" s="17"/>
    </row>
    <row r="3232" spans="2:6" ht="15.75">
      <c r="B3232" s="21"/>
      <c r="D3232" s="17"/>
      <c r="E3232" s="17"/>
      <c r="F3232" s="8"/>
    </row>
    <row r="3233" spans="2:6" ht="15.75">
      <c r="B3233" s="21"/>
      <c r="D3233" s="17"/>
      <c r="E3233" s="17"/>
      <c r="F3233" s="8"/>
    </row>
    <row r="3234" spans="2:6" ht="15.75">
      <c r="B3234" s="21"/>
      <c r="D3234" s="17"/>
      <c r="E3234" s="17"/>
      <c r="F3234" s="8"/>
    </row>
    <row r="3235" spans="2:6" ht="15.75">
      <c r="B3235" s="21"/>
      <c r="D3235" s="17"/>
      <c r="E3235" s="17"/>
      <c r="F3235" s="8"/>
    </row>
    <row r="3236" spans="2:6" ht="15.75">
      <c r="B3236" s="21"/>
      <c r="D3236" s="17"/>
      <c r="E3236" s="17"/>
      <c r="F3236" s="8"/>
    </row>
    <row r="3237" spans="2:6" ht="15.75">
      <c r="B3237" s="21"/>
      <c r="D3237" s="17"/>
      <c r="E3237" s="17"/>
      <c r="F3237" s="8"/>
    </row>
    <row r="3238" spans="2:6" ht="15.75">
      <c r="B3238" s="21"/>
      <c r="D3238" s="17"/>
      <c r="E3238" s="17"/>
      <c r="F3238" s="8"/>
    </row>
    <row r="3239" spans="2:6" ht="15.75">
      <c r="B3239" s="21"/>
      <c r="D3239" s="17"/>
      <c r="E3239" s="17"/>
      <c r="F3239" s="8"/>
    </row>
    <row r="3240" spans="2:6" ht="15.75">
      <c r="B3240" s="21"/>
      <c r="D3240" s="17"/>
      <c r="E3240" s="17"/>
      <c r="F3240" s="8"/>
    </row>
    <row r="3241" spans="2:6" ht="15.75">
      <c r="B3241" s="21"/>
      <c r="D3241" s="17"/>
      <c r="E3241" s="17"/>
      <c r="F3241" s="8"/>
    </row>
    <row r="3242" spans="2:6" ht="15.75">
      <c r="B3242" s="21"/>
      <c r="D3242" s="17"/>
      <c r="E3242" s="17"/>
      <c r="F3242" s="8"/>
    </row>
    <row r="3243" spans="2:6" ht="15.75">
      <c r="B3243" s="21"/>
      <c r="D3243" s="17"/>
      <c r="E3243" s="17"/>
      <c r="F3243" s="8"/>
    </row>
    <row r="3244" spans="2:6" ht="15.75">
      <c r="B3244" s="21"/>
      <c r="D3244" s="17"/>
      <c r="E3244" s="17"/>
      <c r="F3244" s="8"/>
    </row>
    <row r="3245" spans="2:6" ht="15.75">
      <c r="B3245" s="21"/>
      <c r="D3245" s="17"/>
      <c r="E3245" s="17"/>
      <c r="F3245" s="8"/>
    </row>
    <row r="3246" spans="2:6" ht="15.75">
      <c r="B3246" s="21"/>
      <c r="D3246" s="17"/>
      <c r="E3246" s="17"/>
      <c r="F3246" s="8"/>
    </row>
    <row r="3247" spans="2:6" ht="15.75">
      <c r="B3247" s="21"/>
      <c r="D3247" s="17"/>
      <c r="E3247" s="17"/>
      <c r="F3247" s="8"/>
    </row>
    <row r="3248" spans="2:6" ht="15.75">
      <c r="B3248" s="21"/>
      <c r="D3248" s="17"/>
      <c r="E3248" s="17"/>
      <c r="F3248" s="8"/>
    </row>
    <row r="3249" spans="2:6" ht="15.75">
      <c r="B3249" s="21"/>
      <c r="D3249" s="17"/>
      <c r="E3249" s="17"/>
      <c r="F3249" s="8"/>
    </row>
    <row r="3250" spans="2:6" ht="15.75">
      <c r="B3250" s="21"/>
      <c r="D3250" s="17"/>
      <c r="E3250" s="17"/>
      <c r="F3250" s="8"/>
    </row>
    <row r="3251" spans="2:6" ht="15.75">
      <c r="B3251" s="21"/>
      <c r="D3251" s="17"/>
      <c r="E3251" s="17"/>
      <c r="F3251" s="8"/>
    </row>
    <row r="3252" spans="2:6" ht="15.75">
      <c r="B3252" s="21"/>
      <c r="D3252" s="17"/>
      <c r="E3252" s="17"/>
      <c r="F3252" s="8"/>
    </row>
    <row r="3253" spans="2:6" ht="15.75">
      <c r="B3253" s="21"/>
      <c r="D3253" s="17"/>
      <c r="E3253" s="17"/>
      <c r="F3253" s="8"/>
    </row>
    <row r="3254" spans="2:6" ht="15.75">
      <c r="B3254" s="21"/>
      <c r="D3254" s="17"/>
      <c r="E3254" s="17"/>
      <c r="F3254" s="8"/>
    </row>
    <row r="3255" spans="2:6" ht="15.75">
      <c r="B3255" s="21"/>
      <c r="D3255" s="17"/>
      <c r="E3255" s="17"/>
      <c r="F3255" s="8"/>
    </row>
    <row r="3256" spans="2:6" ht="15.75">
      <c r="B3256" s="21"/>
      <c r="D3256" s="17"/>
      <c r="E3256" s="17"/>
      <c r="F3256" s="8"/>
    </row>
    <row r="3257" spans="2:6" ht="15.75">
      <c r="B3257" s="21"/>
      <c r="D3257" s="17"/>
      <c r="E3257" s="17"/>
      <c r="F3257" s="8"/>
    </row>
    <row r="3258" spans="2:6" ht="15.75">
      <c r="B3258" s="21"/>
      <c r="D3258" s="17"/>
      <c r="E3258" s="17"/>
      <c r="F3258" s="8"/>
    </row>
    <row r="3259" spans="2:6" ht="15.75">
      <c r="B3259" s="21"/>
      <c r="D3259" s="17"/>
      <c r="E3259" s="17"/>
      <c r="F3259" s="8"/>
    </row>
    <row r="3260" spans="2:6" ht="15.75">
      <c r="B3260" s="21"/>
      <c r="D3260" s="17"/>
      <c r="E3260" s="17"/>
      <c r="F3260" s="8"/>
    </row>
    <row r="3261" spans="2:6" ht="15.75">
      <c r="B3261" s="21"/>
      <c r="D3261" s="17"/>
      <c r="E3261" s="17"/>
      <c r="F3261" s="8"/>
    </row>
    <row r="3262" spans="2:6" ht="15.75">
      <c r="B3262" s="21"/>
      <c r="D3262" s="17"/>
      <c r="E3262" s="17"/>
      <c r="F3262" s="8"/>
    </row>
    <row r="3263" spans="2:6" ht="15.75">
      <c r="B3263" s="21"/>
      <c r="D3263" s="17"/>
      <c r="E3263" s="17"/>
      <c r="F3263" s="8"/>
    </row>
    <row r="3264" spans="2:6" ht="15.75">
      <c r="B3264" s="21"/>
      <c r="D3264" s="17"/>
      <c r="E3264" s="17"/>
      <c r="F3264" s="8"/>
    </row>
    <row r="3265" spans="2:6" ht="15.75">
      <c r="B3265" s="21"/>
      <c r="D3265" s="17"/>
      <c r="E3265" s="17"/>
      <c r="F3265" s="8"/>
    </row>
    <row r="3266" spans="2:6" ht="15.75">
      <c r="B3266" s="21"/>
      <c r="D3266" s="17"/>
      <c r="E3266" s="17"/>
      <c r="F3266" s="8"/>
    </row>
    <row r="3267" spans="2:6" ht="15.75">
      <c r="B3267" s="21"/>
      <c r="D3267" s="17"/>
      <c r="E3267" s="17"/>
      <c r="F3267" s="8"/>
    </row>
    <row r="3268" spans="2:6" ht="15.75">
      <c r="B3268" s="21"/>
      <c r="E3268" s="17"/>
      <c r="F3268" s="8"/>
    </row>
    <row r="3269" spans="2:6" ht="15.75">
      <c r="B3269" s="21"/>
      <c r="E3269" s="17"/>
      <c r="F3269" s="8"/>
    </row>
    <row r="3270" spans="2:6" ht="15.75">
      <c r="B3270" s="21"/>
      <c r="C3270" s="46"/>
      <c r="D3270" s="17"/>
      <c r="E3270" s="47"/>
      <c r="F3270" s="8"/>
    </row>
    <row r="3271" spans="2:6" ht="15.75">
      <c r="B3271" s="21"/>
      <c r="E3271" s="17"/>
      <c r="F3271" s="8"/>
    </row>
    <row r="3272" spans="2:6" ht="15.75">
      <c r="B3272" s="21"/>
      <c r="E3272" s="17"/>
      <c r="F3272" s="8"/>
    </row>
    <row r="3273" spans="2:6" ht="15.75">
      <c r="B3273" s="21"/>
      <c r="E3273" s="17"/>
      <c r="F3273" s="8"/>
    </row>
    <row r="3274" spans="2:6" ht="15.75">
      <c r="B3274" s="21"/>
      <c r="E3274" s="17"/>
      <c r="F3274" s="8"/>
    </row>
    <row r="3275" spans="2:6" ht="15.75">
      <c r="B3275" s="21"/>
      <c r="E3275" s="17"/>
      <c r="F3275" s="8"/>
    </row>
    <row r="3276" spans="2:6" ht="15.75">
      <c r="B3276" s="21"/>
      <c r="E3276" s="17"/>
      <c r="F3276" s="8"/>
    </row>
    <row r="3277" spans="2:6" ht="15.75">
      <c r="B3277" s="21"/>
      <c r="E3277" s="17"/>
      <c r="F3277" s="8"/>
    </row>
    <row r="3278" spans="2:6" ht="15.75">
      <c r="B3278" s="21"/>
      <c r="E3278" s="17"/>
      <c r="F3278" s="8"/>
    </row>
    <row r="3279" spans="2:6" ht="15.75">
      <c r="B3279" s="21"/>
      <c r="E3279" s="17"/>
      <c r="F3279" s="8"/>
    </row>
    <row r="3280" spans="2:6" ht="15.75">
      <c r="B3280" s="21"/>
      <c r="E3280" s="17"/>
      <c r="F3280" s="8"/>
    </row>
    <row r="3281" spans="2:6" ht="15.75">
      <c r="B3281" s="21"/>
      <c r="E3281" s="17"/>
      <c r="F3281" s="8"/>
    </row>
    <row r="3282" spans="2:6" ht="15.75">
      <c r="B3282" s="21"/>
      <c r="D3282" s="17"/>
      <c r="E3282" s="17"/>
      <c r="F3282" s="8"/>
    </row>
    <row r="3283" spans="2:6" ht="15.75">
      <c r="B3283" s="21"/>
      <c r="D3283" s="17"/>
      <c r="E3283" s="17"/>
      <c r="F3283" s="8"/>
    </row>
    <row r="3284" spans="2:6" ht="15.75">
      <c r="B3284" s="21"/>
      <c r="D3284" s="17"/>
      <c r="E3284" s="17"/>
      <c r="F3284" s="8"/>
    </row>
    <row r="3285" spans="2:6" ht="15.75">
      <c r="B3285" s="21"/>
      <c r="D3285" s="17"/>
      <c r="E3285" s="17"/>
      <c r="F3285" s="8"/>
    </row>
    <row r="3286" spans="2:6" ht="15.75">
      <c r="B3286" s="21"/>
      <c r="D3286" s="17"/>
      <c r="E3286" s="17"/>
      <c r="F3286" s="8"/>
    </row>
    <row r="3287" spans="2:6" ht="15.75">
      <c r="B3287" s="21"/>
      <c r="D3287" s="17"/>
      <c r="E3287" s="17"/>
      <c r="F3287" s="8"/>
    </row>
    <row r="3288" spans="2:6" ht="15.75">
      <c r="B3288" s="21"/>
      <c r="D3288" s="17"/>
      <c r="E3288" s="17"/>
      <c r="F3288" s="8"/>
    </row>
    <row r="3289" spans="2:6" ht="15.75">
      <c r="B3289" s="21"/>
      <c r="D3289" s="17"/>
      <c r="E3289" s="17"/>
      <c r="F3289" s="8"/>
    </row>
    <row r="3290" spans="2:6" ht="15.75">
      <c r="B3290" s="21"/>
      <c r="D3290" s="17"/>
      <c r="E3290" s="17"/>
      <c r="F3290" s="8"/>
    </row>
    <row r="3291" spans="2:6" ht="15.75">
      <c r="B3291" s="21"/>
      <c r="D3291" s="17"/>
      <c r="E3291" s="17"/>
      <c r="F3291" s="8"/>
    </row>
    <row r="3292" spans="2:6" ht="15.75">
      <c r="B3292" s="21"/>
      <c r="D3292" s="17"/>
      <c r="E3292" s="17"/>
      <c r="F3292" s="8"/>
    </row>
    <row r="3293" spans="2:6" ht="15.75">
      <c r="B3293" s="21"/>
      <c r="D3293" s="17"/>
      <c r="E3293" s="17"/>
      <c r="F3293" s="8"/>
    </row>
    <row r="3294" spans="2:6" ht="15.75">
      <c r="B3294" s="21"/>
      <c r="D3294" s="17"/>
      <c r="E3294" s="17"/>
      <c r="F3294" s="8"/>
    </row>
    <row r="3295" spans="2:6" ht="15.75">
      <c r="B3295" s="21"/>
      <c r="D3295" s="17"/>
      <c r="E3295" s="17"/>
      <c r="F3295" s="8"/>
    </row>
    <row r="3296" spans="2:6" ht="15.75">
      <c r="B3296" s="21"/>
      <c r="D3296" s="17"/>
      <c r="E3296" s="17"/>
      <c r="F3296" s="8"/>
    </row>
    <row r="3297" spans="2:6" ht="15.75">
      <c r="B3297" s="21"/>
      <c r="D3297" s="17"/>
      <c r="E3297" s="17"/>
      <c r="F3297" s="8"/>
    </row>
    <row r="3298" spans="2:6" ht="15.75">
      <c r="B3298" s="21"/>
      <c r="D3298" s="17"/>
      <c r="E3298" s="17"/>
      <c r="F3298" s="8"/>
    </row>
    <row r="3299" spans="2:6" ht="15.75">
      <c r="B3299" s="21"/>
      <c r="D3299" s="17"/>
      <c r="E3299" s="17"/>
      <c r="F3299" s="8"/>
    </row>
    <row r="3300" spans="2:6" ht="15.75">
      <c r="B3300" s="21"/>
      <c r="E3300" s="17"/>
      <c r="F3300" s="8"/>
    </row>
    <row r="3301" spans="2:6" ht="15.75">
      <c r="B3301" s="21"/>
      <c r="E3301" s="17"/>
      <c r="F3301" s="8"/>
    </row>
    <row r="3302" spans="2:6" ht="15.75">
      <c r="B3302" s="21"/>
      <c r="E3302" s="17"/>
      <c r="F3302" s="8"/>
    </row>
    <row r="3303" spans="2:6" ht="15.75">
      <c r="B3303" s="21"/>
      <c r="E3303" s="17"/>
      <c r="F3303" s="8"/>
    </row>
    <row r="3304" spans="2:6" ht="15.75">
      <c r="B3304" s="21"/>
      <c r="E3304" s="17"/>
      <c r="F3304" s="8"/>
    </row>
    <row r="3305" spans="2:6" ht="15.75">
      <c r="B3305" s="21"/>
      <c r="E3305" s="17"/>
      <c r="F3305" s="8"/>
    </row>
    <row r="3306" spans="2:6" ht="15.75">
      <c r="B3306" s="21"/>
      <c r="E3306" s="17"/>
      <c r="F3306" s="8"/>
    </row>
    <row r="3307" spans="2:6" ht="15.75">
      <c r="B3307" s="21"/>
      <c r="E3307" s="17"/>
      <c r="F3307" s="8"/>
    </row>
    <row r="3308" spans="2:6" ht="15.75">
      <c r="B3308" s="21"/>
      <c r="E3308" s="17"/>
      <c r="F3308" s="8"/>
    </row>
    <row r="3309" spans="2:6" ht="15.75">
      <c r="B3309" s="21"/>
      <c r="E3309" s="17"/>
      <c r="F3309" s="8"/>
    </row>
    <row r="3310" spans="2:6" ht="15.75">
      <c r="B3310" s="21"/>
      <c r="E3310" s="17"/>
      <c r="F3310" s="8"/>
    </row>
    <row r="3311" spans="2:6" ht="15.75">
      <c r="B3311" s="21"/>
      <c r="E3311" s="17"/>
      <c r="F3311" s="8"/>
    </row>
    <row r="3312" spans="2:6" ht="15.75">
      <c r="B3312" s="21"/>
      <c r="E3312" s="17"/>
      <c r="F3312" s="8"/>
    </row>
    <row r="3313" spans="2:6" ht="15.75">
      <c r="B3313" s="21"/>
      <c r="E3313" s="17"/>
      <c r="F3313" s="8"/>
    </row>
    <row r="3314" spans="2:6" ht="15.75">
      <c r="B3314" s="21"/>
      <c r="E3314" s="17"/>
      <c r="F3314" s="8"/>
    </row>
    <row r="3315" spans="2:6" ht="15.75">
      <c r="B3315" s="21"/>
      <c r="E3315" s="17"/>
      <c r="F3315" s="8"/>
    </row>
    <row r="3316" spans="2:6" ht="15.75">
      <c r="B3316" s="21"/>
      <c r="E3316" s="17"/>
      <c r="F3316" s="8"/>
    </row>
    <row r="3317" spans="2:6" ht="15.75">
      <c r="B3317" s="21"/>
      <c r="E3317" s="17"/>
      <c r="F3317" s="8"/>
    </row>
    <row r="3318" spans="2:6" ht="15.75">
      <c r="B3318" s="21"/>
      <c r="E3318" s="17"/>
      <c r="F3318" s="8"/>
    </row>
    <row r="3319" spans="2:6" ht="15.75">
      <c r="B3319" s="21"/>
      <c r="E3319" s="17"/>
      <c r="F3319" s="8"/>
    </row>
    <row r="3320" spans="2:6" ht="15.75">
      <c r="B3320" s="48"/>
      <c r="D3320" s="17"/>
      <c r="E3320" s="17"/>
      <c r="F3320" s="8"/>
    </row>
    <row r="3321" spans="2:6" ht="15.75">
      <c r="B3321" s="48"/>
      <c r="D3321" s="17"/>
      <c r="E3321" s="17"/>
      <c r="F3321" s="8"/>
    </row>
    <row r="3322" spans="2:6" ht="15.75">
      <c r="B3322" s="48"/>
      <c r="D3322" s="17"/>
      <c r="E3322" s="17"/>
      <c r="F3322" s="8"/>
    </row>
    <row r="3323" spans="2:6" ht="15.75">
      <c r="B3323" s="48"/>
      <c r="D3323" s="17"/>
      <c r="E3323" s="17"/>
      <c r="F3323" s="8"/>
    </row>
    <row r="3324" spans="2:6" ht="15.75">
      <c r="B3324" s="48"/>
      <c r="D3324" s="17"/>
      <c r="E3324" s="17"/>
      <c r="F3324" s="8"/>
    </row>
    <row r="3325" spans="2:6" ht="15.75">
      <c r="B3325" s="48"/>
      <c r="D3325" s="17"/>
      <c r="E3325" s="17"/>
      <c r="F3325" s="8"/>
    </row>
    <row r="3326" spans="2:6" ht="15.75">
      <c r="B3326" s="48"/>
      <c r="C3326" s="46"/>
      <c r="D3326" s="47"/>
      <c r="E3326" s="47"/>
      <c r="F3326" s="8"/>
    </row>
    <row r="3327" spans="2:6" ht="15.75">
      <c r="B3327" s="48"/>
      <c r="D3327" s="17"/>
      <c r="E3327" s="17"/>
      <c r="F3327" s="8"/>
    </row>
    <row r="3328" spans="2:6" ht="15.75">
      <c r="B3328" s="48"/>
      <c r="C3328" s="46"/>
      <c r="D3328" s="47"/>
      <c r="E3328" s="47"/>
      <c r="F3328" s="8"/>
    </row>
    <row r="3329" spans="2:6" ht="15.75">
      <c r="B3329" s="48"/>
      <c r="D3329" s="17"/>
      <c r="E3329" s="17"/>
      <c r="F3329" s="8"/>
    </row>
    <row r="3330" spans="2:6" ht="15.75">
      <c r="B3330" s="48"/>
      <c r="D3330" s="17"/>
      <c r="E3330" s="17"/>
      <c r="F3330" s="8"/>
    </row>
    <row r="3331" spans="2:6" ht="15.75">
      <c r="B3331" s="48"/>
      <c r="D3331" s="17"/>
      <c r="E3331" s="17"/>
      <c r="F3331" s="8"/>
    </row>
    <row r="3332" spans="2:6" ht="15.75">
      <c r="B3332" s="48"/>
      <c r="D3332" s="17"/>
      <c r="E3332" s="17"/>
      <c r="F3332" s="8"/>
    </row>
    <row r="3333" spans="2:6" ht="15.75">
      <c r="B3333" s="48"/>
      <c r="D3333" s="17"/>
      <c r="E3333" s="17"/>
      <c r="F3333" s="8"/>
    </row>
    <row r="3334" spans="2:6" ht="15.75">
      <c r="B3334" s="48"/>
      <c r="D3334" s="2"/>
      <c r="F3334" s="8"/>
    </row>
    <row r="3335" spans="2:6" ht="15.75">
      <c r="B3335" s="48"/>
      <c r="D3335" s="2"/>
      <c r="E3335" s="17"/>
      <c r="F3335" s="8"/>
    </row>
    <row r="3336" spans="2:6" ht="15.75">
      <c r="B3336" s="48"/>
      <c r="D3336" s="2"/>
      <c r="E3336" s="17"/>
      <c r="F3336" s="8"/>
    </row>
    <row r="3337" spans="2:6" ht="15.75">
      <c r="B3337" s="48"/>
      <c r="D3337" s="2"/>
      <c r="E3337" s="17"/>
      <c r="F3337" s="8"/>
    </row>
    <row r="3338" spans="2:6" ht="15.75">
      <c r="B3338" s="48"/>
      <c r="D3338" s="2"/>
      <c r="E3338" s="17"/>
      <c r="F3338" s="8"/>
    </row>
    <row r="3339" spans="2:6" ht="15.75">
      <c r="B3339" s="48"/>
      <c r="D3339" s="2"/>
      <c r="E3339" s="17"/>
      <c r="F3339" s="8"/>
    </row>
    <row r="3340" spans="2:6" ht="15.75">
      <c r="B3340" s="48"/>
      <c r="D3340" s="2"/>
      <c r="E3340" s="17"/>
      <c r="F3340" s="8"/>
    </row>
    <row r="3341" spans="2:6" ht="15.75">
      <c r="B3341" s="48"/>
      <c r="D3341" s="2"/>
      <c r="E3341" s="17"/>
      <c r="F3341" s="8"/>
    </row>
    <row r="3342" spans="2:6" ht="15.75">
      <c r="B3342" s="21"/>
      <c r="D3342" s="17"/>
      <c r="E3342" s="17"/>
      <c r="F3342" s="8"/>
    </row>
    <row r="3343" spans="2:6" ht="15.75">
      <c r="B3343" s="21"/>
      <c r="D3343" s="17"/>
      <c r="E3343" s="17"/>
      <c r="F3343" s="8"/>
    </row>
    <row r="3344" spans="2:6" ht="15.75">
      <c r="B3344" s="21"/>
      <c r="D3344" s="17"/>
      <c r="E3344" s="17"/>
      <c r="F3344" s="8"/>
    </row>
    <row r="3345" spans="2:6" ht="15.75">
      <c r="B3345" s="21"/>
      <c r="D3345" s="17"/>
      <c r="E3345" s="17"/>
      <c r="F3345" s="8"/>
    </row>
    <row r="3346" spans="2:6" ht="15.75">
      <c r="B3346" s="21"/>
      <c r="D3346" s="17"/>
      <c r="E3346" s="17"/>
      <c r="F3346" s="8"/>
    </row>
    <row r="3347" spans="2:6" ht="15.75">
      <c r="B3347" s="21"/>
      <c r="D3347" s="17"/>
      <c r="E3347" s="17"/>
      <c r="F3347" s="8"/>
    </row>
    <row r="3348" spans="2:6" ht="15.75">
      <c r="B3348" s="21"/>
      <c r="D3348" s="17"/>
      <c r="E3348" s="17"/>
      <c r="F3348" s="8"/>
    </row>
    <row r="3349" spans="2:6">
      <c r="D3349" s="17"/>
      <c r="E3349" s="17"/>
      <c r="F3349" s="8"/>
    </row>
    <row r="3350" spans="2:6">
      <c r="D3350" s="17"/>
      <c r="E3350" s="17"/>
      <c r="F3350" s="8"/>
    </row>
    <row r="3351" spans="2:6">
      <c r="D3351" s="17"/>
      <c r="E3351" s="17"/>
      <c r="F3351" s="8"/>
    </row>
    <row r="3352" spans="2:6">
      <c r="D3352" s="17"/>
      <c r="E3352" s="17"/>
      <c r="F3352" s="8"/>
    </row>
    <row r="3353" spans="2:6">
      <c r="D3353" s="17"/>
      <c r="E3353" s="17"/>
      <c r="F3353" s="8"/>
    </row>
    <row r="3354" spans="2:6">
      <c r="D3354" s="17"/>
      <c r="E3354" s="17"/>
      <c r="F3354" s="8"/>
    </row>
    <row r="3355" spans="2:6">
      <c r="D3355" s="17"/>
      <c r="E3355" s="17"/>
      <c r="F3355" s="8"/>
    </row>
    <row r="3356" spans="2:6">
      <c r="D3356" s="17"/>
      <c r="E3356" s="17"/>
      <c r="F3356" s="8"/>
    </row>
    <row r="3357" spans="2:6">
      <c r="D3357" s="17"/>
      <c r="E3357" s="17"/>
      <c r="F3357" s="8"/>
    </row>
    <row r="3358" spans="2:6">
      <c r="D3358" s="17"/>
      <c r="E3358" s="17"/>
      <c r="F3358" s="8"/>
    </row>
    <row r="3359" spans="2:6">
      <c r="D3359" s="17"/>
      <c r="E3359" s="17"/>
      <c r="F3359" s="8"/>
    </row>
    <row r="3360" spans="2:6">
      <c r="D3360" s="17"/>
      <c r="E3360" s="17"/>
      <c r="F3360" s="8"/>
    </row>
    <row r="3361" spans="3:6">
      <c r="D3361" s="17"/>
      <c r="E3361" s="17"/>
      <c r="F3361" s="8"/>
    </row>
    <row r="3362" spans="3:6">
      <c r="E3362" s="17"/>
      <c r="F3362" s="8"/>
    </row>
    <row r="3363" spans="3:6">
      <c r="E3363" s="17"/>
      <c r="F3363" s="8"/>
    </row>
    <row r="3364" spans="3:6">
      <c r="D3364" s="17"/>
      <c r="E3364" s="17"/>
      <c r="F3364" s="8"/>
    </row>
    <row r="3365" spans="3:6">
      <c r="D3365" s="17"/>
      <c r="E3365" s="17"/>
      <c r="F3365" s="8"/>
    </row>
    <row r="3366" spans="3:6">
      <c r="D3366" s="17"/>
      <c r="E3366" s="17"/>
      <c r="F3366" s="8"/>
    </row>
    <row r="3367" spans="3:6">
      <c r="D3367" s="17"/>
      <c r="E3367" s="17"/>
      <c r="F3367" s="8"/>
    </row>
    <row r="3368" spans="3:6">
      <c r="D3368" s="17"/>
      <c r="E3368" s="17"/>
      <c r="F3368" s="8"/>
    </row>
    <row r="3369" spans="3:6">
      <c r="D3369" s="17"/>
      <c r="E3369" s="17"/>
      <c r="F3369" s="8"/>
    </row>
    <row r="3370" spans="3:6">
      <c r="D3370" s="17"/>
      <c r="E3370" s="17"/>
      <c r="F3370" s="8"/>
    </row>
    <row r="3371" spans="3:6">
      <c r="D3371" s="17"/>
      <c r="E3371" s="17"/>
      <c r="F3371" s="8"/>
    </row>
    <row r="3372" spans="3:6">
      <c r="C3372" s="17"/>
      <c r="D3372" s="17"/>
      <c r="F3372" s="8"/>
    </row>
    <row r="3373" spans="3:6">
      <c r="D3373" s="17"/>
      <c r="E3373" s="17"/>
      <c r="F3373" s="8"/>
    </row>
    <row r="3374" spans="3:6">
      <c r="D3374" s="17"/>
      <c r="E3374" s="17"/>
      <c r="F3374" s="8"/>
    </row>
    <row r="3375" spans="3:6">
      <c r="D3375" s="17"/>
      <c r="E3375" s="17"/>
      <c r="F3375" s="8"/>
    </row>
    <row r="3376" spans="3:6">
      <c r="D3376" s="17"/>
      <c r="E3376" s="17"/>
      <c r="F3376" s="8"/>
    </row>
    <row r="3377" spans="2:6">
      <c r="D3377" s="17"/>
      <c r="E3377" s="17"/>
      <c r="F3377" s="8"/>
    </row>
    <row r="3378" spans="2:6">
      <c r="D3378" s="17"/>
      <c r="E3378" s="17"/>
      <c r="F3378" s="8"/>
    </row>
    <row r="3379" spans="2:6">
      <c r="D3379" s="17"/>
      <c r="E3379" s="17"/>
      <c r="F3379" s="8"/>
    </row>
    <row r="3380" spans="2:6">
      <c r="D3380" s="17"/>
      <c r="E3380" s="17"/>
      <c r="F3380" s="8"/>
    </row>
    <row r="3381" spans="2:6">
      <c r="D3381" s="17"/>
      <c r="E3381" s="17"/>
      <c r="F3381" s="8"/>
    </row>
    <row r="3382" spans="2:6">
      <c r="D3382" s="17"/>
      <c r="E3382" s="17"/>
      <c r="F3382" s="8"/>
    </row>
    <row r="3383" spans="2:6">
      <c r="E3383" s="17"/>
      <c r="F3383" s="8"/>
    </row>
    <row r="3384" spans="2:6">
      <c r="E3384" s="17"/>
      <c r="F3384" s="8"/>
    </row>
    <row r="3385" spans="2:6">
      <c r="E3385" s="17"/>
      <c r="F3385" s="8"/>
    </row>
    <row r="3386" spans="2:6">
      <c r="E3386" s="17"/>
      <c r="F3386" s="8"/>
    </row>
    <row r="3387" spans="2:6">
      <c r="E3387" s="17"/>
      <c r="F3387" s="44"/>
    </row>
    <row r="3388" spans="2:6">
      <c r="D3388" s="43"/>
      <c r="E3388" s="17"/>
      <c r="F3388" s="44"/>
    </row>
    <row r="3389" spans="2:6">
      <c r="E3389" s="17"/>
      <c r="F3389" s="44"/>
    </row>
    <row r="3390" spans="2:6">
      <c r="E3390" s="17"/>
      <c r="F3390" s="44"/>
    </row>
    <row r="3391" spans="2:6">
      <c r="B3391" s="59"/>
      <c r="D3391" s="17"/>
    </row>
    <row r="3392" spans="2:6">
      <c r="B3392" s="59"/>
      <c r="D3392" s="17"/>
    </row>
    <row r="3393" spans="2:4">
      <c r="B3393" s="59"/>
      <c r="D3393" s="17"/>
    </row>
    <row r="3394" spans="2:4">
      <c r="B3394" s="59"/>
      <c r="D3394" s="17"/>
    </row>
    <row r="3395" spans="2:4">
      <c r="B3395" s="59"/>
      <c r="D3395" s="17"/>
    </row>
    <row r="3396" spans="2:4">
      <c r="B3396" s="59"/>
      <c r="D3396" s="17"/>
    </row>
    <row r="3397" spans="2:4">
      <c r="B3397" s="59"/>
      <c r="D3397" s="17"/>
    </row>
    <row r="3398" spans="2:4">
      <c r="B3398" s="59"/>
      <c r="D3398" s="17"/>
    </row>
    <row r="3399" spans="2:4">
      <c r="B3399" s="59"/>
      <c r="D3399" s="17"/>
    </row>
    <row r="3400" spans="2:4">
      <c r="B3400" s="59"/>
      <c r="D3400" s="17"/>
    </row>
    <row r="3401" spans="2:4">
      <c r="B3401" s="59"/>
      <c r="D3401" s="17"/>
    </row>
    <row r="3402" spans="2:4">
      <c r="B3402" s="59"/>
      <c r="D3402" s="17"/>
    </row>
    <row r="3403" spans="2:4">
      <c r="B3403" s="59"/>
      <c r="D3403" s="17"/>
    </row>
    <row r="3404" spans="2:4">
      <c r="B3404" s="59"/>
      <c r="D3404" s="17"/>
    </row>
    <row r="3405" spans="2:4">
      <c r="B3405" s="59"/>
      <c r="D3405" s="17"/>
    </row>
    <row r="3406" spans="2:4">
      <c r="B3406" s="59"/>
      <c r="D3406" s="17"/>
    </row>
    <row r="3407" spans="2:4">
      <c r="B3407" s="59"/>
      <c r="D3407" s="17"/>
    </row>
    <row r="3408" spans="2:4">
      <c r="B3408" s="59"/>
      <c r="D3408" s="17"/>
    </row>
    <row r="3411" spans="2:5">
      <c r="D3411" s="17"/>
      <c r="E3411" s="17"/>
    </row>
    <row r="3412" spans="2:5">
      <c r="D3412" s="17"/>
      <c r="E3412" s="17"/>
    </row>
    <row r="3413" spans="2:5">
      <c r="D3413" s="17"/>
      <c r="E3413" s="17"/>
    </row>
    <row r="3414" spans="2:5">
      <c r="B3414" s="59"/>
      <c r="D3414" s="17"/>
      <c r="E3414" s="17"/>
    </row>
    <row r="3415" spans="2:5">
      <c r="B3415" s="59"/>
      <c r="D3415" s="17"/>
      <c r="E3415" s="17"/>
    </row>
    <row r="3416" spans="2:5">
      <c r="B3416" s="59"/>
      <c r="D3416" s="17"/>
      <c r="E3416" s="17"/>
    </row>
    <row r="3417" spans="2:5">
      <c r="B3417" s="59"/>
      <c r="D3417" s="17"/>
      <c r="E3417" s="17"/>
    </row>
    <row r="3418" spans="2:5">
      <c r="B3418" s="59"/>
      <c r="D3418" s="17"/>
      <c r="E3418" s="17"/>
    </row>
    <row r="3419" spans="2:5">
      <c r="B3419" s="59"/>
      <c r="D3419" s="17"/>
      <c r="E3419" s="17"/>
    </row>
    <row r="3420" spans="2:5">
      <c r="B3420" s="59"/>
      <c r="D3420" s="17"/>
      <c r="E3420" s="17"/>
    </row>
    <row r="3421" spans="2:5">
      <c r="B3421" s="59"/>
      <c r="D3421" s="17"/>
    </row>
    <row r="3422" spans="2:5">
      <c r="B3422" s="59"/>
      <c r="D3422" s="17"/>
    </row>
    <row r="3423" spans="2:5">
      <c r="B3423" s="59"/>
      <c r="D3423" s="17"/>
    </row>
    <row r="3424" spans="2:5">
      <c r="B3424" s="59"/>
      <c r="D3424" s="17"/>
    </row>
    <row r="3425" spans="2:4">
      <c r="B3425" s="59"/>
      <c r="D3425" s="17"/>
    </row>
    <row r="3426" spans="2:4">
      <c r="B3426" s="59"/>
      <c r="D3426" s="17"/>
    </row>
    <row r="3427" spans="2:4">
      <c r="B3427" s="59"/>
      <c r="D3427" s="17"/>
    </row>
    <row r="3428" spans="2:4">
      <c r="B3428" s="59"/>
      <c r="D3428" s="17"/>
    </row>
    <row r="3429" spans="2:4">
      <c r="B3429" s="59"/>
      <c r="D3429" s="17"/>
    </row>
    <row r="3430" spans="2:4">
      <c r="B3430" s="59"/>
      <c r="D3430" s="17"/>
    </row>
    <row r="3431" spans="2:4">
      <c r="B3431" s="59"/>
      <c r="D3431" s="17"/>
    </row>
    <row r="3432" spans="2:4">
      <c r="B3432" s="59"/>
      <c r="D3432" s="17"/>
    </row>
    <row r="3433" spans="2:4">
      <c r="B3433" s="59"/>
      <c r="D3433" s="17"/>
    </row>
    <row r="3434" spans="2:4">
      <c r="B3434" s="59"/>
      <c r="D3434" s="17"/>
    </row>
    <row r="3435" spans="2:4">
      <c r="B3435" s="59"/>
      <c r="D3435" s="17"/>
    </row>
    <row r="3436" spans="2:4">
      <c r="B3436" s="59"/>
      <c r="D3436" s="17"/>
    </row>
    <row r="3437" spans="2:4">
      <c r="B3437" s="59"/>
      <c r="D3437" s="17"/>
    </row>
    <row r="3438" spans="2:4">
      <c r="B3438" s="59"/>
      <c r="D3438" s="17"/>
    </row>
    <row r="3439" spans="2:4">
      <c r="B3439" s="59"/>
      <c r="D3439" s="17"/>
    </row>
    <row r="3440" spans="2:4">
      <c r="B3440" s="59"/>
      <c r="D3440" s="17"/>
    </row>
    <row r="3441" spans="2:4">
      <c r="B3441" s="59"/>
      <c r="D3441" s="17"/>
    </row>
    <row r="3442" spans="2:4">
      <c r="B3442" s="59"/>
      <c r="D3442" s="17"/>
    </row>
    <row r="3443" spans="2:4">
      <c r="B3443" s="59"/>
      <c r="D3443" s="17"/>
    </row>
    <row r="3444" spans="2:4">
      <c r="B3444" s="59"/>
      <c r="D3444" s="17"/>
    </row>
    <row r="3445" spans="2:4">
      <c r="B3445" s="59"/>
      <c r="D3445" s="17"/>
    </row>
    <row r="3446" spans="2:4">
      <c r="B3446" s="59"/>
      <c r="D3446" s="17"/>
    </row>
    <row r="3447" spans="2:4">
      <c r="B3447" s="59"/>
      <c r="D3447" s="17"/>
    </row>
    <row r="3448" spans="2:4">
      <c r="B3448" s="59"/>
      <c r="D3448" s="17"/>
    </row>
    <row r="3449" spans="2:4">
      <c r="B3449" s="59"/>
      <c r="D3449" s="17"/>
    </row>
    <row r="3450" spans="2:4">
      <c r="B3450" s="59"/>
      <c r="D3450" s="17"/>
    </row>
    <row r="3451" spans="2:4">
      <c r="B3451" s="59"/>
      <c r="D3451" s="17"/>
    </row>
    <row r="3452" spans="2:4">
      <c r="B3452" s="59"/>
      <c r="D3452" s="17"/>
    </row>
    <row r="3453" spans="2:4">
      <c r="B3453" s="59"/>
      <c r="D3453" s="17"/>
    </row>
    <row r="3454" spans="2:4">
      <c r="B3454" s="59"/>
      <c r="D3454" s="17"/>
    </row>
    <row r="3455" spans="2:4">
      <c r="B3455" s="59"/>
      <c r="D3455" s="17"/>
    </row>
    <row r="3456" spans="2:4">
      <c r="B3456" s="59"/>
      <c r="D3456" s="17"/>
    </row>
    <row r="3457" spans="2:4">
      <c r="B3457" s="59"/>
      <c r="D3457" s="17"/>
    </row>
    <row r="3458" spans="2:4">
      <c r="B3458" s="59"/>
      <c r="D3458" s="17"/>
    </row>
    <row r="3459" spans="2:4">
      <c r="B3459" s="59"/>
      <c r="D3459" s="17"/>
    </row>
    <row r="3460" spans="2:4">
      <c r="B3460" s="59"/>
      <c r="D3460" s="17"/>
    </row>
    <row r="3461" spans="2:4">
      <c r="B3461" s="59"/>
      <c r="D3461" s="17"/>
    </row>
    <row r="3462" spans="2:4">
      <c r="B3462" s="59"/>
      <c r="D3462" s="17"/>
    </row>
    <row r="3463" spans="2:4">
      <c r="B3463" s="59"/>
      <c r="D3463" s="17"/>
    </row>
    <row r="3464" spans="2:4">
      <c r="B3464" s="59"/>
      <c r="D3464" s="17"/>
    </row>
    <row r="3465" spans="2:4">
      <c r="B3465" s="59"/>
      <c r="D3465" s="17"/>
    </row>
    <row r="3466" spans="2:4">
      <c r="B3466" s="59"/>
      <c r="D3466" s="17"/>
    </row>
    <row r="3467" spans="2:4">
      <c r="B3467" s="59"/>
      <c r="D3467" s="17"/>
    </row>
    <row r="3468" spans="2:4">
      <c r="B3468" s="59"/>
      <c r="D3468" s="17"/>
    </row>
    <row r="3469" spans="2:4">
      <c r="B3469" s="59"/>
      <c r="D3469" s="17"/>
    </row>
    <row r="3470" spans="2:4">
      <c r="B3470" s="59"/>
      <c r="D3470" s="17"/>
    </row>
    <row r="3471" spans="2:4">
      <c r="B3471" s="59"/>
      <c r="D3471" s="17"/>
    </row>
    <row r="3472" spans="2:4">
      <c r="B3472" s="59"/>
      <c r="D3472" s="17"/>
    </row>
    <row r="3473" spans="2:5">
      <c r="B3473" s="59"/>
      <c r="D3473" s="17"/>
    </row>
    <row r="3474" spans="2:5">
      <c r="B3474" s="59"/>
      <c r="D3474" s="17"/>
    </row>
    <row r="3475" spans="2:5">
      <c r="B3475" s="59"/>
      <c r="D3475" s="17"/>
    </row>
    <row r="3476" spans="2:5">
      <c r="B3476" s="59"/>
      <c r="D3476" s="17"/>
    </row>
    <row r="3477" spans="2:5">
      <c r="B3477" s="59"/>
      <c r="D3477" s="17"/>
    </row>
    <row r="3478" spans="2:5">
      <c r="B3478" s="59"/>
      <c r="D3478" s="17"/>
    </row>
    <row r="3479" spans="2:5">
      <c r="B3479" s="59"/>
      <c r="D3479" s="17"/>
    </row>
    <row r="3483" spans="2:5">
      <c r="D3483" s="17"/>
      <c r="E3483" s="17"/>
    </row>
    <row r="3484" spans="2:5">
      <c r="D3484" s="17"/>
      <c r="E3484" s="17"/>
    </row>
    <row r="3485" spans="2:5">
      <c r="D3485" s="17"/>
      <c r="E3485" s="17"/>
    </row>
    <row r="3486" spans="2:5">
      <c r="D3486" s="17"/>
      <c r="E3486" s="17"/>
    </row>
    <row r="3487" spans="2:5">
      <c r="D3487" s="17"/>
      <c r="E3487" s="17"/>
    </row>
    <row r="3488" spans="2:5">
      <c r="B3488" s="59"/>
      <c r="D3488" s="17"/>
    </row>
    <row r="3489" spans="2:5">
      <c r="B3489" s="59"/>
      <c r="D3489" s="17"/>
      <c r="E3489" s="17"/>
    </row>
    <row r="3490" spans="2:5">
      <c r="B3490" s="59"/>
      <c r="D3490" s="17"/>
      <c r="E3490" s="17"/>
    </row>
    <row r="3491" spans="2:5">
      <c r="B3491" s="59"/>
      <c r="D3491" s="17"/>
      <c r="E3491" s="17"/>
    </row>
    <row r="3492" spans="2:5">
      <c r="B3492" s="59"/>
      <c r="D3492" s="17"/>
      <c r="E3492" s="17"/>
    </row>
    <row r="3493" spans="2:5">
      <c r="B3493" s="59"/>
      <c r="D3493" s="17"/>
      <c r="E3493" s="17"/>
    </row>
    <row r="3494" spans="2:5">
      <c r="B3494" s="59"/>
      <c r="D3494" s="17"/>
      <c r="E3494" s="17"/>
    </row>
    <row r="3495" spans="2:5">
      <c r="B3495" s="59"/>
      <c r="D3495" s="17"/>
      <c r="E3495" s="17"/>
    </row>
    <row r="3496" spans="2:5">
      <c r="B3496" s="59"/>
      <c r="D3496" s="17"/>
    </row>
    <row r="3497" spans="2:5">
      <c r="B3497" s="59"/>
      <c r="D3497" s="17"/>
    </row>
    <row r="3498" spans="2:5">
      <c r="B3498" s="59"/>
      <c r="D3498" s="17"/>
    </row>
    <row r="3499" spans="2:5">
      <c r="B3499" s="59"/>
      <c r="D3499" s="17"/>
    </row>
    <row r="3500" spans="2:5">
      <c r="B3500" s="59"/>
      <c r="D3500" s="17"/>
    </row>
    <row r="3501" spans="2:5">
      <c r="B3501" s="59"/>
      <c r="D3501" s="17"/>
    </row>
    <row r="3502" spans="2:5">
      <c r="B3502" s="59"/>
      <c r="D3502" s="17"/>
    </row>
    <row r="3503" spans="2:5">
      <c r="B3503" s="59"/>
      <c r="D3503" s="17"/>
    </row>
    <row r="3504" spans="2:5">
      <c r="B3504" s="59"/>
      <c r="D3504" s="17"/>
    </row>
    <row r="3505" spans="2:5">
      <c r="B3505" s="59"/>
      <c r="D3505" s="17"/>
    </row>
    <row r="3506" spans="2:5">
      <c r="B3506" s="59"/>
      <c r="D3506" s="17"/>
    </row>
    <row r="3507" spans="2:5">
      <c r="B3507" s="59"/>
      <c r="D3507" s="17"/>
    </row>
    <row r="3508" spans="2:5">
      <c r="B3508" s="59"/>
      <c r="D3508" s="17"/>
    </row>
    <row r="3509" spans="2:5">
      <c r="B3509" s="59"/>
      <c r="D3509" s="17"/>
    </row>
    <row r="3510" spans="2:5">
      <c r="B3510" s="59"/>
      <c r="D3510" s="17"/>
    </row>
    <row r="3511" spans="2:5">
      <c r="D3511" s="17"/>
      <c r="E3511" s="17"/>
    </row>
    <row r="3512" spans="2:5">
      <c r="D3512" s="17"/>
      <c r="E3512" s="17"/>
    </row>
    <row r="3513" spans="2:5">
      <c r="D3513" s="17"/>
      <c r="E3513" s="17"/>
    </row>
    <row r="3514" spans="2:5">
      <c r="D3514" s="17"/>
      <c r="E3514" s="17"/>
    </row>
    <row r="3515" spans="2:5">
      <c r="D3515" s="17"/>
      <c r="E3515" s="17"/>
    </row>
    <row r="3516" spans="2:5">
      <c r="D3516" s="17"/>
      <c r="E3516" s="17"/>
    </row>
    <row r="3517" spans="2:5">
      <c r="D3517" s="17"/>
      <c r="E3517" s="17"/>
    </row>
    <row r="3518" spans="2:5">
      <c r="D3518" s="17"/>
      <c r="E3518" s="17"/>
    </row>
    <row r="3519" spans="2:5">
      <c r="D3519" s="17"/>
      <c r="E3519" s="17"/>
    </row>
    <row r="3520" spans="2:5">
      <c r="B3520" s="59"/>
      <c r="D3520" s="17"/>
    </row>
    <row r="3521" spans="2:5">
      <c r="D3521" s="17"/>
    </row>
    <row r="3522" spans="2:5">
      <c r="D3522" s="17"/>
    </row>
    <row r="3523" spans="2:5">
      <c r="D3523" s="17"/>
    </row>
    <row r="3524" spans="2:5">
      <c r="D3524" s="17"/>
    </row>
    <row r="3525" spans="2:5" ht="15.75">
      <c r="B3525" s="20"/>
      <c r="D3525" s="17"/>
    </row>
    <row r="3526" spans="2:5" ht="15.75">
      <c r="B3526" s="20"/>
      <c r="D3526" s="17"/>
    </row>
    <row r="3527" spans="2:5">
      <c r="D3527" s="17"/>
      <c r="E3527" s="17"/>
    </row>
    <row r="3528" spans="2:5">
      <c r="D3528" s="17"/>
      <c r="E3528" s="17"/>
    </row>
    <row r="3529" spans="2:5">
      <c r="B3529" s="59"/>
      <c r="D3529" s="17"/>
    </row>
    <row r="3530" spans="2:5">
      <c r="B3530" s="59"/>
      <c r="D3530" s="17"/>
    </row>
    <row r="3531" spans="2:5">
      <c r="B3531" s="59"/>
      <c r="D3531" s="17"/>
    </row>
    <row r="3532" spans="2:5">
      <c r="B3532" s="59"/>
      <c r="D3532" s="17"/>
    </row>
    <row r="3533" spans="2:5">
      <c r="B3533" s="59"/>
      <c r="D3533" s="17"/>
    </row>
    <row r="3534" spans="2:5">
      <c r="B3534" s="59"/>
      <c r="D3534" s="17"/>
    </row>
    <row r="3535" spans="2:5">
      <c r="B3535" s="59"/>
      <c r="D3535" s="17"/>
    </row>
    <row r="3536" spans="2:5">
      <c r="D3536" s="17"/>
      <c r="E3536" s="17"/>
    </row>
    <row r="3537" spans="2:5">
      <c r="D3537" s="17"/>
      <c r="E3537" s="17"/>
    </row>
    <row r="3538" spans="2:5">
      <c r="B3538" s="59"/>
      <c r="D3538" s="17"/>
    </row>
    <row r="3539" spans="2:5">
      <c r="B3539" s="59"/>
      <c r="D3539" s="17"/>
    </row>
    <row r="3540" spans="2:5">
      <c r="B3540" s="59"/>
      <c r="D3540" s="17"/>
    </row>
    <row r="3541" spans="2:5">
      <c r="B3541" s="59"/>
      <c r="D3541" s="17"/>
    </row>
    <row r="3542" spans="2:5">
      <c r="B3542" s="59"/>
      <c r="D3542" s="17"/>
    </row>
    <row r="3543" spans="2:5">
      <c r="B3543" s="59"/>
      <c r="D3543" s="17"/>
    </row>
    <row r="3544" spans="2:5">
      <c r="B3544" s="59"/>
      <c r="D3544" s="17"/>
    </row>
    <row r="3545" spans="2:5">
      <c r="B3545" s="59"/>
      <c r="D3545" s="17"/>
    </row>
    <row r="3546" spans="2:5">
      <c r="B3546" s="59"/>
      <c r="D3546" s="17"/>
    </row>
    <row r="3547" spans="2:5">
      <c r="B3547" s="59"/>
      <c r="D3547" s="17"/>
    </row>
    <row r="3548" spans="2:5">
      <c r="D3548" s="17"/>
      <c r="E3548" s="17"/>
    </row>
    <row r="3549" spans="2:5">
      <c r="B3549" s="59"/>
      <c r="D3549" s="17"/>
    </row>
    <row r="3550" spans="2:5">
      <c r="B3550" s="59"/>
      <c r="D3550" s="17"/>
    </row>
    <row r="3551" spans="2:5">
      <c r="B3551" s="59"/>
      <c r="D3551" s="17"/>
    </row>
    <row r="3552" spans="2:5">
      <c r="B3552" s="59"/>
      <c r="D3552" s="17"/>
    </row>
    <row r="3553" spans="2:4">
      <c r="B3553" s="59"/>
      <c r="D3553" s="17"/>
    </row>
    <row r="3554" spans="2:4">
      <c r="B3554" s="59"/>
      <c r="D3554" s="17"/>
    </row>
    <row r="3555" spans="2:4">
      <c r="B3555" s="59"/>
      <c r="D3555" s="17"/>
    </row>
    <row r="3556" spans="2:4">
      <c r="B3556" s="59"/>
      <c r="D3556" s="17"/>
    </row>
    <row r="3557" spans="2:4">
      <c r="B3557" s="59"/>
      <c r="D3557" s="17"/>
    </row>
    <row r="3558" spans="2:4">
      <c r="B3558" s="59"/>
      <c r="D3558" s="17"/>
    </row>
    <row r="3559" spans="2:4">
      <c r="B3559" s="59"/>
      <c r="D3559" s="17"/>
    </row>
    <row r="3560" spans="2:4">
      <c r="B3560" s="59"/>
      <c r="D3560" s="17"/>
    </row>
    <row r="3561" spans="2:4">
      <c r="B3561" s="59"/>
      <c r="D3561" s="17"/>
    </row>
    <row r="3562" spans="2:4">
      <c r="B3562" s="59"/>
      <c r="D3562" s="17"/>
    </row>
    <row r="3563" spans="2:4">
      <c r="B3563" s="59"/>
      <c r="D3563" s="17"/>
    </row>
    <row r="3564" spans="2:4">
      <c r="B3564" s="59"/>
      <c r="D3564" s="17"/>
    </row>
    <row r="3565" spans="2:4">
      <c r="D3565" s="17"/>
    </row>
    <row r="3566" spans="2:4">
      <c r="B3566" s="59"/>
      <c r="D3566" s="17"/>
    </row>
    <row r="3567" spans="2:4">
      <c r="B3567" s="59"/>
      <c r="D3567" s="17"/>
    </row>
    <row r="3569" spans="2:5">
      <c r="D3569" s="17"/>
      <c r="E3569" s="17"/>
    </row>
    <row r="3570" spans="2:5">
      <c r="D3570" s="17"/>
      <c r="E3570" s="17"/>
    </row>
    <row r="3571" spans="2:5">
      <c r="D3571" s="17"/>
      <c r="E3571" s="17"/>
    </row>
    <row r="3572" spans="2:5">
      <c r="D3572" s="17"/>
      <c r="E3572" s="17"/>
    </row>
    <row r="3573" spans="2:5">
      <c r="B3573" s="59"/>
      <c r="D3573" s="17"/>
    </row>
    <row r="3574" spans="2:5">
      <c r="B3574" s="59"/>
      <c r="D3574" s="17"/>
    </row>
    <row r="3575" spans="2:5">
      <c r="B3575" s="59"/>
      <c r="D3575" s="17"/>
    </row>
    <row r="3576" spans="2:5">
      <c r="B3576" s="59"/>
      <c r="D3576" s="17"/>
    </row>
    <row r="3577" spans="2:5">
      <c r="B3577" s="59"/>
      <c r="D3577" s="17"/>
    </row>
    <row r="3578" spans="2:5">
      <c r="B3578" s="59"/>
      <c r="D3578" s="17"/>
    </row>
    <row r="3579" spans="2:5">
      <c r="B3579" s="59"/>
      <c r="D3579" s="17"/>
    </row>
    <row r="3580" spans="2:5">
      <c r="B3580" s="59"/>
      <c r="D3580" s="17"/>
    </row>
    <row r="3581" spans="2:5">
      <c r="B3581" s="10"/>
      <c r="D3581" s="17"/>
    </row>
    <row r="3582" spans="2:5">
      <c r="B3582" s="59"/>
      <c r="D3582" s="17"/>
    </row>
    <row r="3583" spans="2:5">
      <c r="B3583" s="59"/>
      <c r="D3583" s="17"/>
    </row>
    <row r="3584" spans="2:5">
      <c r="B3584" s="59"/>
      <c r="D3584" s="17"/>
    </row>
    <row r="3585" spans="2:5">
      <c r="B3585" s="59"/>
      <c r="D3585" s="17"/>
    </row>
    <row r="3586" spans="2:5">
      <c r="B3586" s="59"/>
      <c r="D3586" s="17"/>
    </row>
    <row r="3587" spans="2:5">
      <c r="B3587" s="59"/>
      <c r="D3587" s="17"/>
    </row>
    <row r="3588" spans="2:5">
      <c r="B3588" s="59"/>
      <c r="D3588" s="17"/>
    </row>
    <row r="3590" spans="2:5">
      <c r="D3590" s="17"/>
      <c r="E3590" s="17"/>
    </row>
    <row r="3591" spans="2:5">
      <c r="D3591" s="17"/>
      <c r="E3591" s="17"/>
    </row>
    <row r="3592" spans="2:5">
      <c r="D3592" s="17"/>
      <c r="E3592" s="17"/>
    </row>
    <row r="3593" spans="2:5">
      <c r="D3593" s="17"/>
      <c r="E3593" s="17"/>
    </row>
    <row r="3594" spans="2:5">
      <c r="D3594" s="17"/>
      <c r="E3594" s="17"/>
    </row>
    <row r="3595" spans="2:5" ht="15.75">
      <c r="B3595" s="21"/>
      <c r="D3595" s="17"/>
    </row>
    <row r="3596" spans="2:5" ht="15.75">
      <c r="B3596" s="21"/>
      <c r="D3596" s="17"/>
    </row>
    <row r="3597" spans="2:5" ht="15.75">
      <c r="B3597" s="21"/>
      <c r="D3597" s="17"/>
    </row>
    <row r="3598" spans="2:5" ht="15.75">
      <c r="B3598" s="21"/>
      <c r="D3598" s="17"/>
    </row>
    <row r="3599" spans="2:5" ht="15.75">
      <c r="B3599" s="21"/>
      <c r="D3599" s="17"/>
    </row>
    <row r="3600" spans="2:5" ht="15.75">
      <c r="B3600" s="21"/>
      <c r="D3600" s="17"/>
    </row>
    <row r="3601" spans="2:4" ht="15.75">
      <c r="B3601" s="21"/>
      <c r="D3601" s="17"/>
    </row>
    <row r="3602" spans="2:4" ht="15.75">
      <c r="B3602" s="21"/>
      <c r="D3602" s="17"/>
    </row>
    <row r="3603" spans="2:4">
      <c r="B3603" s="7"/>
      <c r="D3603" s="17"/>
    </row>
    <row r="3604" spans="2:4">
      <c r="B3604" s="7"/>
      <c r="D3604" s="17"/>
    </row>
    <row r="3605" spans="2:4">
      <c r="B3605" s="7"/>
      <c r="D3605" s="17"/>
    </row>
    <row r="3606" spans="2:4">
      <c r="B3606" s="7"/>
      <c r="D3606" s="17"/>
    </row>
    <row r="3607" spans="2:4">
      <c r="B3607" s="7"/>
      <c r="D3607" s="17"/>
    </row>
    <row r="3608" spans="2:4">
      <c r="B3608" s="7"/>
      <c r="D3608" s="17"/>
    </row>
    <row r="3609" spans="2:4">
      <c r="B3609" s="7"/>
      <c r="D3609" s="17"/>
    </row>
    <row r="3610" spans="2:4">
      <c r="B3610" s="7"/>
      <c r="D3610" s="17"/>
    </row>
    <row r="3611" spans="2:4">
      <c r="B3611" s="7"/>
      <c r="D3611" s="17"/>
    </row>
    <row r="3612" spans="2:4">
      <c r="B3612" s="7"/>
      <c r="D3612" s="17"/>
    </row>
    <row r="3613" spans="2:4">
      <c r="B3613" s="7"/>
      <c r="D3613" s="17"/>
    </row>
    <row r="3614" spans="2:4">
      <c r="B3614" s="7"/>
      <c r="D3614" s="17"/>
    </row>
    <row r="3615" spans="2:4">
      <c r="B3615" s="59"/>
      <c r="D3615" s="17"/>
    </row>
  </sheetData>
  <conditionalFormatting sqref="B3394:B3408 B3414:B3420">
    <cfRule type="duplicateValues" dxfId="313" priority="357"/>
  </conditionalFormatting>
  <conditionalFormatting sqref="B3421:B3479 B3488:B3495">
    <cfRule type="duplicateValues" dxfId="312" priority="356"/>
  </conditionalFormatting>
  <conditionalFormatting sqref="B3496:B3509">
    <cfRule type="duplicateValues" dxfId="311" priority="355"/>
  </conditionalFormatting>
  <conditionalFormatting sqref="B3525:B3526">
    <cfRule type="duplicateValues" dxfId="310" priority="354"/>
  </conditionalFormatting>
  <conditionalFormatting sqref="B3521:B3524">
    <cfRule type="duplicateValues" dxfId="309" priority="353"/>
  </conditionalFormatting>
  <conditionalFormatting sqref="B3529:B3535 B3538:B3540">
    <cfRule type="duplicateValues" dxfId="308" priority="352"/>
  </conditionalFormatting>
  <conditionalFormatting sqref="B3541:B3547 B3549:B3550">
    <cfRule type="duplicateValues" dxfId="307" priority="351"/>
  </conditionalFormatting>
  <conditionalFormatting sqref="B3551:B3567 B3573:B3574">
    <cfRule type="duplicateValues" dxfId="306" priority="350"/>
  </conditionalFormatting>
  <conditionalFormatting sqref="B3615">
    <cfRule type="duplicateValues" dxfId="305" priority="349"/>
  </conditionalFormatting>
  <conditionalFormatting sqref="B3602:B3603">
    <cfRule type="duplicateValues" dxfId="304" priority="348"/>
  </conditionalFormatting>
  <conditionalFormatting sqref="B3575:B3587">
    <cfRule type="duplicateValues" dxfId="303" priority="347"/>
  </conditionalFormatting>
  <conditionalFormatting sqref="B3588">
    <cfRule type="duplicateValues" dxfId="302" priority="346"/>
  </conditionalFormatting>
  <conditionalFormatting sqref="B3409:B3413">
    <cfRule type="duplicateValues" dxfId="301" priority="345"/>
  </conditionalFormatting>
  <conditionalFormatting sqref="B3511:B3519">
    <cfRule type="duplicateValues" dxfId="300" priority="344"/>
  </conditionalFormatting>
  <conditionalFormatting sqref="B3527">
    <cfRule type="duplicateValues" dxfId="299" priority="343"/>
  </conditionalFormatting>
  <conditionalFormatting sqref="B3391:B3393">
    <cfRule type="duplicateValues" dxfId="298" priority="7076"/>
  </conditionalFormatting>
  <conditionalFormatting sqref="B3391:B3393">
    <cfRule type="duplicateValues" dxfId="297" priority="7079"/>
  </conditionalFormatting>
  <conditionalFormatting sqref="B3480:B3482">
    <cfRule type="duplicateValues" dxfId="296" priority="338"/>
  </conditionalFormatting>
  <conditionalFormatting sqref="B3483:B3487">
    <cfRule type="duplicateValues" dxfId="295" priority="337"/>
  </conditionalFormatting>
  <conditionalFormatting sqref="B3483:B3487">
    <cfRule type="duplicateValues" dxfId="294" priority="336"/>
  </conditionalFormatting>
  <conditionalFormatting sqref="B3483:B3487">
    <cfRule type="duplicateValues" dxfId="293" priority="335"/>
  </conditionalFormatting>
  <conditionalFormatting sqref="B3483:B3487">
    <cfRule type="duplicateValues" dxfId="292" priority="334"/>
  </conditionalFormatting>
  <conditionalFormatting sqref="B3536:B3537">
    <cfRule type="duplicateValues" dxfId="291" priority="333"/>
  </conditionalFormatting>
  <conditionalFormatting sqref="B3548">
    <cfRule type="duplicateValues" dxfId="290" priority="332"/>
  </conditionalFormatting>
  <conditionalFormatting sqref="B3568:B3572">
    <cfRule type="duplicateValues" dxfId="289" priority="331"/>
  </conditionalFormatting>
  <conditionalFormatting sqref="B3589:B3594">
    <cfRule type="duplicateValues" dxfId="288" priority="330"/>
  </conditionalFormatting>
  <conditionalFormatting sqref="B3063">
    <cfRule type="duplicateValues" dxfId="287" priority="320"/>
  </conditionalFormatting>
  <conditionalFormatting sqref="B3087:B3093">
    <cfRule type="duplicateValues" dxfId="286" priority="319"/>
  </conditionalFormatting>
  <conditionalFormatting sqref="B3069">
    <cfRule type="duplicateValues" dxfId="285" priority="318"/>
  </conditionalFormatting>
  <conditionalFormatting sqref="B3094:B3155">
    <cfRule type="duplicateValues" dxfId="284" priority="317"/>
  </conditionalFormatting>
  <conditionalFormatting sqref="B3156:B3167">
    <cfRule type="duplicateValues" dxfId="283" priority="316"/>
  </conditionalFormatting>
  <conditionalFormatting sqref="B3168:B3231">
    <cfRule type="duplicateValues" dxfId="282" priority="315"/>
  </conditionalFormatting>
  <conditionalFormatting sqref="B3241">
    <cfRule type="duplicateValues" dxfId="281" priority="313"/>
  </conditionalFormatting>
  <conditionalFormatting sqref="B3232:B3254">
    <cfRule type="duplicateValues" dxfId="280" priority="314"/>
  </conditionalFormatting>
  <conditionalFormatting sqref="B3320:B3333">
    <cfRule type="duplicateValues" dxfId="279" priority="312"/>
  </conditionalFormatting>
  <conditionalFormatting sqref="B3334:B3341">
    <cfRule type="duplicateValues" dxfId="278" priority="311"/>
  </conditionalFormatting>
  <conditionalFormatting sqref="B2357">
    <cfRule type="duplicateValues" dxfId="277" priority="310"/>
  </conditionalFormatting>
  <conditionalFormatting sqref="B2363">
    <cfRule type="duplicateValues" dxfId="276" priority="309"/>
  </conditionalFormatting>
  <conditionalFormatting sqref="B2423 B2433">
    <cfRule type="duplicateValues" dxfId="275" priority="308"/>
  </conditionalFormatting>
  <conditionalFormatting sqref="B2494 B2539 B2503 B2532">
    <cfRule type="duplicateValues" dxfId="274" priority="307"/>
  </conditionalFormatting>
  <conditionalFormatting sqref="B2553">
    <cfRule type="duplicateValues" dxfId="273" priority="306"/>
  </conditionalFormatting>
  <conditionalFormatting sqref="B2574">
    <cfRule type="duplicateValues" dxfId="272" priority="305"/>
  </conditionalFormatting>
  <conditionalFormatting sqref="B2664">
    <cfRule type="duplicateValues" dxfId="271" priority="304"/>
  </conditionalFormatting>
  <conditionalFormatting sqref="B2374:B2420">
    <cfRule type="duplicateValues" dxfId="270" priority="303"/>
  </conditionalFormatting>
  <conditionalFormatting sqref="B2421">
    <cfRule type="duplicateValues" dxfId="269" priority="302"/>
  </conditionalFormatting>
  <conditionalFormatting sqref="B2424:B2431">
    <cfRule type="duplicateValues" dxfId="268" priority="301"/>
  </conditionalFormatting>
  <conditionalFormatting sqref="B2434:B2491">
    <cfRule type="duplicateValues" dxfId="267" priority="300"/>
  </conditionalFormatting>
  <conditionalFormatting sqref="B2502">
    <cfRule type="duplicateValues" dxfId="266" priority="299"/>
  </conditionalFormatting>
  <conditionalFormatting sqref="B2513">
    <cfRule type="duplicateValues" dxfId="265" priority="297"/>
  </conditionalFormatting>
  <conditionalFormatting sqref="B2504:B2529">
    <cfRule type="duplicateValues" dxfId="264" priority="298"/>
  </conditionalFormatting>
  <conditionalFormatting sqref="B2572:B2573">
    <cfRule type="duplicateValues" dxfId="263" priority="296"/>
  </conditionalFormatting>
  <conditionalFormatting sqref="B2604">
    <cfRule type="duplicateValues" dxfId="262" priority="294"/>
  </conditionalFormatting>
  <conditionalFormatting sqref="B2589:B2602">
    <cfRule type="duplicateValues" dxfId="261" priority="295"/>
  </conditionalFormatting>
  <conditionalFormatting sqref="B2605">
    <cfRule type="duplicateValues" dxfId="260" priority="293"/>
  </conditionalFormatting>
  <conditionalFormatting sqref="B2607:B2611">
    <cfRule type="duplicateValues" dxfId="259" priority="292"/>
  </conditionalFormatting>
  <conditionalFormatting sqref="B2659:B2663">
    <cfRule type="duplicateValues" dxfId="258" priority="291"/>
  </conditionalFormatting>
  <conditionalFormatting sqref="B2623">
    <cfRule type="duplicateValues" dxfId="257" priority="290"/>
  </conditionalFormatting>
  <conditionalFormatting sqref="B2339">
    <cfRule type="duplicateValues" dxfId="256" priority="289"/>
  </conditionalFormatting>
  <conditionalFormatting sqref="B2088">
    <cfRule type="duplicateValues" dxfId="255" priority="285"/>
  </conditionalFormatting>
  <conditionalFormatting sqref="B2101">
    <cfRule type="duplicateValues" dxfId="254" priority="284"/>
  </conditionalFormatting>
  <conditionalFormatting sqref="B2167 B2179">
    <cfRule type="duplicateValues" dxfId="253" priority="283"/>
  </conditionalFormatting>
  <conditionalFormatting sqref="B2230">
    <cfRule type="duplicateValues" dxfId="252" priority="282"/>
  </conditionalFormatting>
  <conditionalFormatting sqref="B2249">
    <cfRule type="duplicateValues" dxfId="251" priority="281"/>
  </conditionalFormatting>
  <conditionalFormatting sqref="B2268">
    <cfRule type="duplicateValues" dxfId="250" priority="280"/>
  </conditionalFormatting>
  <conditionalFormatting sqref="B2070:B2087">
    <cfRule type="duplicateValues" dxfId="249" priority="279"/>
  </conditionalFormatting>
  <conditionalFormatting sqref="B2089:B2096">
    <cfRule type="duplicateValues" dxfId="248" priority="278"/>
  </conditionalFormatting>
  <conditionalFormatting sqref="B2166">
    <cfRule type="duplicateValues" dxfId="247" priority="276"/>
  </conditionalFormatting>
  <conditionalFormatting sqref="B2102:B2145 B2147:B2165">
    <cfRule type="duplicateValues" dxfId="246" priority="277"/>
  </conditionalFormatting>
  <conditionalFormatting sqref="B2146">
    <cfRule type="duplicateValues" dxfId="245" priority="275"/>
  </conditionalFormatting>
  <conditionalFormatting sqref="B2175:B2178">
    <cfRule type="duplicateValues" dxfId="244" priority="274"/>
  </conditionalFormatting>
  <conditionalFormatting sqref="B2189">
    <cfRule type="duplicateValues" dxfId="243" priority="272"/>
  </conditionalFormatting>
  <conditionalFormatting sqref="B2206 B2208 B2210 B2180:B2204">
    <cfRule type="duplicateValues" dxfId="242" priority="273"/>
  </conditionalFormatting>
  <conditionalFormatting sqref="B2260">
    <cfRule type="duplicateValues" dxfId="241" priority="271"/>
  </conditionalFormatting>
  <conditionalFormatting sqref="B2284">
    <cfRule type="duplicateValues" dxfId="240" priority="269"/>
  </conditionalFormatting>
  <conditionalFormatting sqref="B2269:B2282">
    <cfRule type="duplicateValues" dxfId="239" priority="270"/>
  </conditionalFormatting>
  <conditionalFormatting sqref="B2286:B2292">
    <cfRule type="duplicateValues" dxfId="238" priority="268"/>
  </conditionalFormatting>
  <conditionalFormatting sqref="B2306">
    <cfRule type="duplicateValues" dxfId="237" priority="267"/>
  </conditionalFormatting>
  <conditionalFormatting sqref="B2065:B2069">
    <cfRule type="duplicateValues" dxfId="236" priority="241"/>
  </conditionalFormatting>
  <conditionalFormatting sqref="B1912">
    <cfRule type="duplicateValues" dxfId="235" priority="197"/>
  </conditionalFormatting>
  <conditionalFormatting sqref="B1753">
    <cfRule type="duplicateValues" dxfId="234" priority="203"/>
  </conditionalFormatting>
  <conditionalFormatting sqref="B1762">
    <cfRule type="duplicateValues" dxfId="233" priority="202"/>
  </conditionalFormatting>
  <conditionalFormatting sqref="B1775">
    <cfRule type="duplicateValues" dxfId="232" priority="201"/>
  </conditionalFormatting>
  <conditionalFormatting sqref="B1820">
    <cfRule type="duplicateValues" dxfId="231" priority="200"/>
  </conditionalFormatting>
  <conditionalFormatting sqref="B1825">
    <cfRule type="duplicateValues" dxfId="230" priority="199"/>
  </conditionalFormatting>
  <conditionalFormatting sqref="B1969">
    <cfRule type="duplicateValues" dxfId="229" priority="193"/>
  </conditionalFormatting>
  <conditionalFormatting sqref="B1989">
    <cfRule type="duplicateValues" dxfId="228" priority="192"/>
  </conditionalFormatting>
  <conditionalFormatting sqref="B1764 B1766 B1768 B1770 B1772 B1774">
    <cfRule type="duplicateValues" dxfId="227" priority="191"/>
  </conditionalFormatting>
  <conditionalFormatting sqref="B1776:B1819">
    <cfRule type="duplicateValues" dxfId="226" priority="190"/>
  </conditionalFormatting>
  <conditionalFormatting sqref="B1821:B1824">
    <cfRule type="duplicateValues" dxfId="225" priority="189"/>
  </conditionalFormatting>
  <conditionalFormatting sqref="B1826:B1865">
    <cfRule type="duplicateValues" dxfId="224" priority="188"/>
  </conditionalFormatting>
  <conditionalFormatting sqref="B1877:B1900">
    <cfRule type="duplicateValues" dxfId="223" priority="187"/>
  </conditionalFormatting>
  <conditionalFormatting sqref="B1913:B1918">
    <cfRule type="duplicateValues" dxfId="222" priority="186"/>
  </conditionalFormatting>
  <conditionalFormatting sqref="B1938 B1940 B1942 B1944 B1946 B1948 B1950">
    <cfRule type="duplicateValues" dxfId="221" priority="185"/>
  </conditionalFormatting>
  <conditionalFormatting sqref="B1968 B1954 B1956 B1958 B1960 B1962 B1964 B1966">
    <cfRule type="duplicateValues" dxfId="220" priority="184"/>
  </conditionalFormatting>
  <conditionalFormatting sqref="B1970 B1972 B1974 B1976 B1978 B1980 B1982 B1984 B1986 B1988">
    <cfRule type="duplicateValues" dxfId="219" priority="182"/>
  </conditionalFormatting>
  <conditionalFormatting sqref="B1971 B1973 B1975 B1977 B1979 B1981 B1983 B1985 B1987">
    <cfRule type="duplicateValues" dxfId="218" priority="183"/>
  </conditionalFormatting>
  <conditionalFormatting sqref="B1990:B2004">
    <cfRule type="duplicateValues" dxfId="217" priority="181"/>
  </conditionalFormatting>
  <conditionalFormatting sqref="B2006">
    <cfRule type="duplicateValues" dxfId="216" priority="180"/>
  </conditionalFormatting>
  <conditionalFormatting sqref="B1761 B1763">
    <cfRule type="duplicateValues" dxfId="215" priority="7360"/>
  </conditionalFormatting>
  <conditionalFormatting sqref="B1876">
    <cfRule type="duplicateValues" dxfId="214" priority="7376"/>
  </conditionalFormatting>
  <conditionalFormatting sqref="B2046 B2043">
    <cfRule type="duplicateValues" dxfId="213" priority="7421"/>
  </conditionalFormatting>
  <conditionalFormatting sqref="B1562">
    <cfRule type="duplicateValues" dxfId="212" priority="173"/>
  </conditionalFormatting>
  <conditionalFormatting sqref="B1383 B1389:B1392">
    <cfRule type="duplicateValues" dxfId="211" priority="178"/>
  </conditionalFormatting>
  <conditionalFormatting sqref="B1375">
    <cfRule type="duplicateValues" dxfId="210" priority="177"/>
  </conditionalFormatting>
  <conditionalFormatting sqref="B1384">
    <cfRule type="duplicateValues" dxfId="209" priority="176"/>
  </conditionalFormatting>
  <conditionalFormatting sqref="B1404">
    <cfRule type="duplicateValues" dxfId="208" priority="175"/>
  </conditionalFormatting>
  <conditionalFormatting sqref="B1459">
    <cfRule type="duplicateValues" dxfId="207" priority="174"/>
  </conditionalFormatting>
  <conditionalFormatting sqref="B1708:B1719 B1724:B1729">
    <cfRule type="duplicateValues" dxfId="206" priority="179"/>
  </conditionalFormatting>
  <conditionalFormatting sqref="B1573">
    <cfRule type="duplicateValues" dxfId="205" priority="172"/>
  </conditionalFormatting>
  <conditionalFormatting sqref="B1629">
    <cfRule type="duplicateValues" dxfId="204" priority="171"/>
  </conditionalFormatting>
  <conditionalFormatting sqref="B1649">
    <cfRule type="duplicateValues" dxfId="203" priority="170"/>
  </conditionalFormatting>
  <conditionalFormatting sqref="B1401 B1403">
    <cfRule type="duplicateValues" dxfId="202" priority="169"/>
  </conditionalFormatting>
  <conditionalFormatting sqref="B1598 B1600 B1602 B1604 B1606 B1608 B1610">
    <cfRule type="duplicateValues" dxfId="201" priority="168"/>
  </conditionalFormatting>
  <conditionalFormatting sqref="B1628">
    <cfRule type="duplicateValues" dxfId="200" priority="167"/>
  </conditionalFormatting>
  <conditionalFormatting sqref="B1644 B1646 B1648">
    <cfRule type="duplicateValues" dxfId="199" priority="165"/>
  </conditionalFormatting>
  <conditionalFormatting sqref="B1643 B1645 B1647">
    <cfRule type="duplicateValues" dxfId="198" priority="166"/>
  </conditionalFormatting>
  <conditionalFormatting sqref="B1663:B1664">
    <cfRule type="duplicateValues" dxfId="197" priority="164"/>
  </conditionalFormatting>
  <conditionalFormatting sqref="B1393:B1400">
    <cfRule type="duplicateValues" dxfId="196" priority="163"/>
  </conditionalFormatting>
  <conditionalFormatting sqref="B1405:B1454">
    <cfRule type="duplicateValues" dxfId="195" priority="162"/>
  </conditionalFormatting>
  <conditionalFormatting sqref="B1455:B1458">
    <cfRule type="duplicateValues" dxfId="194" priority="161"/>
  </conditionalFormatting>
  <conditionalFormatting sqref="B1460:B1502">
    <cfRule type="duplicateValues" dxfId="193" priority="160"/>
  </conditionalFormatting>
  <conditionalFormatting sqref="B1513:B1545">
    <cfRule type="duplicateValues" dxfId="192" priority="159"/>
  </conditionalFormatting>
  <conditionalFormatting sqref="B1546:B1560">
    <cfRule type="duplicateValues" dxfId="191" priority="158"/>
  </conditionalFormatting>
  <conditionalFormatting sqref="B1563:B1572">
    <cfRule type="duplicateValues" dxfId="190" priority="157"/>
  </conditionalFormatting>
  <conditionalFormatting sqref="B1614 B1616 B1618 B1621:B1626">
    <cfRule type="duplicateValues" dxfId="189" priority="156"/>
  </conditionalFormatting>
  <conditionalFormatting sqref="B1630 B1632 B1634 B1636 B1638 B1640 B1642">
    <cfRule type="duplicateValues" dxfId="188" priority="154"/>
  </conditionalFormatting>
  <conditionalFormatting sqref="B1631 B1633 B1635 B1637 B1639 B1641">
    <cfRule type="duplicateValues" dxfId="187" priority="155"/>
  </conditionalFormatting>
  <conditionalFormatting sqref="B1650:B1662">
    <cfRule type="duplicateValues" dxfId="186" priority="153"/>
  </conditionalFormatting>
  <conditionalFormatting sqref="B1669">
    <cfRule type="duplicateValues" dxfId="185" priority="152"/>
  </conditionalFormatting>
  <conditionalFormatting sqref="B1247">
    <cfRule type="duplicateValues" dxfId="184" priority="148"/>
  </conditionalFormatting>
  <conditionalFormatting sqref="B1111 B1117:B1120">
    <cfRule type="duplicateValues" dxfId="183" priority="151"/>
  </conditionalFormatting>
  <conditionalFormatting sqref="B1103">
    <cfRule type="duplicateValues" dxfId="182" priority="150"/>
  </conditionalFormatting>
  <conditionalFormatting sqref="B1112">
    <cfRule type="duplicateValues" dxfId="181" priority="149"/>
  </conditionalFormatting>
  <conditionalFormatting sqref="B1258">
    <cfRule type="duplicateValues" dxfId="180" priority="147"/>
  </conditionalFormatting>
  <conditionalFormatting sqref="B1309">
    <cfRule type="duplicateValues" dxfId="179" priority="146"/>
  </conditionalFormatting>
  <conditionalFormatting sqref="B1324">
    <cfRule type="duplicateValues" dxfId="178" priority="145"/>
  </conditionalFormatting>
  <conditionalFormatting sqref="B1290">
    <cfRule type="duplicateValues" dxfId="177" priority="144"/>
  </conditionalFormatting>
  <conditionalFormatting sqref="B1121:B1125">
    <cfRule type="duplicateValues" dxfId="176" priority="140"/>
  </conditionalFormatting>
  <conditionalFormatting sqref="B1256:B1257">
    <cfRule type="duplicateValues" dxfId="175" priority="135"/>
  </conditionalFormatting>
  <conditionalFormatting sqref="B1126 B1129 B1131 B1133">
    <cfRule type="duplicateValues" dxfId="174" priority="133"/>
  </conditionalFormatting>
  <conditionalFormatting sqref="B1141:B1167">
    <cfRule type="duplicateValues" dxfId="173" priority="132"/>
  </conditionalFormatting>
  <conditionalFormatting sqref="B1170:B1174">
    <cfRule type="duplicateValues" dxfId="172" priority="131"/>
  </conditionalFormatting>
  <conditionalFormatting sqref="B1176:B1203">
    <cfRule type="duplicateValues" dxfId="171" priority="130"/>
  </conditionalFormatting>
  <conditionalFormatting sqref="B1216:B1238">
    <cfRule type="duplicateValues" dxfId="170" priority="129"/>
  </conditionalFormatting>
  <conditionalFormatting sqref="B1248:B1255">
    <cfRule type="duplicateValues" dxfId="169" priority="128"/>
  </conditionalFormatting>
  <conditionalFormatting sqref="B1279 B1281 B1283 B1285 B1288">
    <cfRule type="duplicateValues" dxfId="168" priority="127"/>
  </conditionalFormatting>
  <conditionalFormatting sqref="B1294:B1295 B1297 B1299 B1302 B1306">
    <cfRule type="duplicateValues" dxfId="167" priority="126"/>
  </conditionalFormatting>
  <conditionalFormatting sqref="B1311 B1313 B1315 B1317 B1319 B1321">
    <cfRule type="duplicateValues" dxfId="166" priority="124"/>
  </conditionalFormatting>
  <conditionalFormatting sqref="B1310 B1312 B1314 B1316 B1318 B1320:B1322">
    <cfRule type="duplicateValues" dxfId="165" priority="125"/>
  </conditionalFormatting>
  <conditionalFormatting sqref="B1325:B1334">
    <cfRule type="duplicateValues" dxfId="164" priority="123"/>
  </conditionalFormatting>
  <conditionalFormatting sqref="B1338">
    <cfRule type="duplicateValues" dxfId="163" priority="122"/>
  </conditionalFormatting>
  <conditionalFormatting sqref="B1128">
    <cfRule type="duplicateValues" dxfId="162" priority="121"/>
  </conditionalFormatting>
  <conditionalFormatting sqref="B1335">
    <cfRule type="duplicateValues" dxfId="161" priority="7537"/>
  </conditionalFormatting>
  <conditionalFormatting sqref="B1323">
    <cfRule type="duplicateValues" dxfId="160" priority="7616"/>
  </conditionalFormatting>
  <conditionalFormatting sqref="B1239">
    <cfRule type="duplicateValues" dxfId="159" priority="7695"/>
  </conditionalFormatting>
  <conditionalFormatting sqref="B1245">
    <cfRule type="duplicateValues" dxfId="158" priority="7774"/>
  </conditionalFormatting>
  <conditionalFormatting sqref="B1175 B1204:B1205">
    <cfRule type="duplicateValues" dxfId="157" priority="7853"/>
  </conditionalFormatting>
  <conditionalFormatting sqref="B1135:B1140 B1168:B1169">
    <cfRule type="duplicateValues" dxfId="156" priority="7932"/>
  </conditionalFormatting>
  <conditionalFormatting sqref="B927">
    <cfRule type="duplicateValues" dxfId="155" priority="114"/>
  </conditionalFormatting>
  <conditionalFormatting sqref="B748 B754:B757">
    <cfRule type="duplicateValues" dxfId="154" priority="119"/>
  </conditionalFormatting>
  <conditionalFormatting sqref="B740">
    <cfRule type="duplicateValues" dxfId="153" priority="118"/>
  </conditionalFormatting>
  <conditionalFormatting sqref="B749">
    <cfRule type="duplicateValues" dxfId="152" priority="117"/>
  </conditionalFormatting>
  <conditionalFormatting sqref="B769">
    <cfRule type="duplicateValues" dxfId="151" priority="116"/>
  </conditionalFormatting>
  <conditionalFormatting sqref="B824">
    <cfRule type="duplicateValues" dxfId="150" priority="115"/>
  </conditionalFormatting>
  <conditionalFormatting sqref="B1073:B1084">
    <cfRule type="duplicateValues" dxfId="149" priority="120"/>
  </conditionalFormatting>
  <conditionalFormatting sqref="B938">
    <cfRule type="duplicateValues" dxfId="148" priority="113"/>
  </conditionalFormatting>
  <conditionalFormatting sqref="B994">
    <cfRule type="duplicateValues" dxfId="147" priority="112"/>
  </conditionalFormatting>
  <conditionalFormatting sqref="B1014">
    <cfRule type="duplicateValues" dxfId="146" priority="111"/>
  </conditionalFormatting>
  <conditionalFormatting sqref="B766 B768">
    <cfRule type="duplicateValues" dxfId="145" priority="110"/>
  </conditionalFormatting>
  <conditionalFormatting sqref="B971 B973 B975">
    <cfRule type="duplicateValues" dxfId="144" priority="109"/>
  </conditionalFormatting>
  <conditionalFormatting sqref="B993">
    <cfRule type="duplicateValues" dxfId="143" priority="108"/>
  </conditionalFormatting>
  <conditionalFormatting sqref="B1009 B1011 B1013">
    <cfRule type="duplicateValues" dxfId="142" priority="106"/>
  </conditionalFormatting>
  <conditionalFormatting sqref="B1008 B1010 B1012">
    <cfRule type="duplicateValues" dxfId="141" priority="107"/>
  </conditionalFormatting>
  <conditionalFormatting sqref="B1028:B1029">
    <cfRule type="duplicateValues" dxfId="140" priority="105"/>
  </conditionalFormatting>
  <conditionalFormatting sqref="B765">
    <cfRule type="duplicateValues" dxfId="139" priority="104"/>
  </conditionalFormatting>
  <conditionalFormatting sqref="B802:B819">
    <cfRule type="duplicateValues" dxfId="138" priority="103"/>
  </conditionalFormatting>
  <conditionalFormatting sqref="B823">
    <cfRule type="duplicateValues" dxfId="137" priority="102"/>
  </conditionalFormatting>
  <conditionalFormatting sqref="B859:B867">
    <cfRule type="duplicateValues" dxfId="136" priority="101"/>
  </conditionalFormatting>
  <conditionalFormatting sqref="B900:B910">
    <cfRule type="duplicateValues" dxfId="135" priority="100"/>
  </conditionalFormatting>
  <conditionalFormatting sqref="B922:B925">
    <cfRule type="duplicateValues" dxfId="134" priority="99"/>
  </conditionalFormatting>
  <conditionalFormatting sqref="B937">
    <cfRule type="duplicateValues" dxfId="133" priority="98"/>
  </conditionalFormatting>
  <conditionalFormatting sqref="B988:B991">
    <cfRule type="duplicateValues" dxfId="132" priority="97"/>
  </conditionalFormatting>
  <conditionalFormatting sqref="B1005 B1007">
    <cfRule type="duplicateValues" dxfId="131" priority="95"/>
  </conditionalFormatting>
  <conditionalFormatting sqref="B1004 B1006">
    <cfRule type="duplicateValues" dxfId="130" priority="96"/>
  </conditionalFormatting>
  <conditionalFormatting sqref="B1022:B1027">
    <cfRule type="duplicateValues" dxfId="129" priority="94"/>
  </conditionalFormatting>
  <conditionalFormatting sqref="B758 B760 B762 B764">
    <cfRule type="duplicateValues" dxfId="128" priority="93"/>
  </conditionalFormatting>
  <conditionalFormatting sqref="B770:B801">
    <cfRule type="duplicateValues" dxfId="127" priority="92"/>
  </conditionalFormatting>
  <conditionalFormatting sqref="B820:B822">
    <cfRule type="duplicateValues" dxfId="126" priority="91"/>
  </conditionalFormatting>
  <conditionalFormatting sqref="B825:B858">
    <cfRule type="duplicateValues" dxfId="125" priority="90"/>
  </conditionalFormatting>
  <conditionalFormatting sqref="B878:B899">
    <cfRule type="duplicateValues" dxfId="124" priority="89"/>
  </conditionalFormatting>
  <conditionalFormatting sqref="B928:B936">
    <cfRule type="duplicateValues" dxfId="123" priority="88"/>
  </conditionalFormatting>
  <conditionalFormatting sqref="B963 B965 B967 B969">
    <cfRule type="duplicateValues" dxfId="122" priority="87"/>
  </conditionalFormatting>
  <conditionalFormatting sqref="B979 B981 B983 B985 B987">
    <cfRule type="duplicateValues" dxfId="121" priority="86"/>
  </conditionalFormatting>
  <conditionalFormatting sqref="B996 B998:B999 B1001 B1003">
    <cfRule type="duplicateValues" dxfId="120" priority="84"/>
  </conditionalFormatting>
  <conditionalFormatting sqref="B995 B997 B1000 B1002">
    <cfRule type="duplicateValues" dxfId="119" priority="85"/>
  </conditionalFormatting>
  <conditionalFormatting sqref="B1015:B1017 B1019:B1021">
    <cfRule type="duplicateValues" dxfId="118" priority="83"/>
  </conditionalFormatting>
  <conditionalFormatting sqref="B1018">
    <cfRule type="duplicateValues" dxfId="117" priority="82"/>
  </conditionalFormatting>
  <conditionalFormatting sqref="B1034">
    <cfRule type="duplicateValues" dxfId="116" priority="81"/>
  </conditionalFormatting>
  <conditionalFormatting sqref="B564">
    <cfRule type="duplicateValues" dxfId="115" priority="75"/>
  </conditionalFormatting>
  <conditionalFormatting sqref="B385 B391:B394">
    <cfRule type="duplicateValues" dxfId="114" priority="79"/>
  </conditionalFormatting>
  <conditionalFormatting sqref="B377">
    <cfRule type="duplicateValues" dxfId="113" priority="78"/>
  </conditionalFormatting>
  <conditionalFormatting sqref="B386">
    <cfRule type="duplicateValues" dxfId="112" priority="77"/>
  </conditionalFormatting>
  <conditionalFormatting sqref="B406">
    <cfRule type="duplicateValues" dxfId="111" priority="76"/>
  </conditionalFormatting>
  <conditionalFormatting sqref="B710:B721">
    <cfRule type="duplicateValues" dxfId="110" priority="80"/>
  </conditionalFormatting>
  <conditionalFormatting sqref="B631">
    <cfRule type="duplicateValues" dxfId="109" priority="74"/>
  </conditionalFormatting>
  <conditionalFormatting sqref="B651">
    <cfRule type="duplicateValues" dxfId="108" priority="73"/>
  </conditionalFormatting>
  <conditionalFormatting sqref="B403 B405">
    <cfRule type="duplicateValues" dxfId="107" priority="72"/>
  </conditionalFormatting>
  <conditionalFormatting sqref="B630">
    <cfRule type="duplicateValues" dxfId="106" priority="71"/>
  </conditionalFormatting>
  <conditionalFormatting sqref="B648 B650">
    <cfRule type="duplicateValues" dxfId="105" priority="69"/>
  </conditionalFormatting>
  <conditionalFormatting sqref="B649">
    <cfRule type="duplicateValues" dxfId="104" priority="70"/>
  </conditionalFormatting>
  <conditionalFormatting sqref="B665:B666">
    <cfRule type="duplicateValues" dxfId="103" priority="68"/>
  </conditionalFormatting>
  <conditionalFormatting sqref="B402">
    <cfRule type="duplicateValues" dxfId="102" priority="67"/>
  </conditionalFormatting>
  <conditionalFormatting sqref="B441:B456">
    <cfRule type="duplicateValues" dxfId="101" priority="66"/>
  </conditionalFormatting>
  <conditionalFormatting sqref="B501:B504">
    <cfRule type="duplicateValues" dxfId="100" priority="65"/>
  </conditionalFormatting>
  <conditionalFormatting sqref="B541:B547">
    <cfRule type="duplicateValues" dxfId="99" priority="64"/>
  </conditionalFormatting>
  <conditionalFormatting sqref="B561:B562">
    <cfRule type="duplicateValues" dxfId="98" priority="63"/>
  </conditionalFormatting>
  <conditionalFormatting sqref="B628">
    <cfRule type="duplicateValues" dxfId="97" priority="62"/>
  </conditionalFormatting>
  <conditionalFormatting sqref="B462">
    <cfRule type="duplicateValues" dxfId="96" priority="61"/>
  </conditionalFormatting>
  <conditionalFormatting sqref="B395 B397 B399 B401">
    <cfRule type="duplicateValues" dxfId="95" priority="60"/>
  </conditionalFormatting>
  <conditionalFormatting sqref="B407:B440">
    <cfRule type="duplicateValues" dxfId="94" priority="59"/>
  </conditionalFormatting>
  <conditionalFormatting sqref="B457:B461">
    <cfRule type="duplicateValues" dxfId="93" priority="58"/>
  </conditionalFormatting>
  <conditionalFormatting sqref="B463:B500">
    <cfRule type="duplicateValues" dxfId="92" priority="57"/>
  </conditionalFormatting>
  <conditionalFormatting sqref="B515:B540">
    <cfRule type="duplicateValues" dxfId="91" priority="56"/>
  </conditionalFormatting>
  <conditionalFormatting sqref="B565:B580">
    <cfRule type="duplicateValues" dxfId="90" priority="55"/>
  </conditionalFormatting>
  <conditionalFormatting sqref="B601 B603 B605 B607:B609 B611:B612">
    <cfRule type="duplicateValues" dxfId="89" priority="54"/>
  </conditionalFormatting>
  <conditionalFormatting sqref="B616 B618 B620 B622:B624">
    <cfRule type="duplicateValues" dxfId="88" priority="53"/>
  </conditionalFormatting>
  <conditionalFormatting sqref="B633 B635:B636 B638:B639 B641:B647">
    <cfRule type="duplicateValues" dxfId="87" priority="51"/>
  </conditionalFormatting>
  <conditionalFormatting sqref="B632 B634 B637 B640">
    <cfRule type="duplicateValues" dxfId="86" priority="52"/>
  </conditionalFormatting>
  <conditionalFormatting sqref="B652:B655 B657:B663">
    <cfRule type="duplicateValues" dxfId="85" priority="49"/>
  </conditionalFormatting>
  <conditionalFormatting sqref="B656">
    <cfRule type="duplicateValues" dxfId="84" priority="48"/>
  </conditionalFormatting>
  <conditionalFormatting sqref="B664">
    <cfRule type="duplicateValues" dxfId="83" priority="50"/>
  </conditionalFormatting>
  <conditionalFormatting sqref="B671">
    <cfRule type="duplicateValues" dxfId="82" priority="47"/>
  </conditionalFormatting>
  <conditionalFormatting sqref="B201">
    <cfRule type="duplicateValues" dxfId="81" priority="41"/>
  </conditionalFormatting>
  <conditionalFormatting sqref="B22 B28:B31">
    <cfRule type="duplicateValues" dxfId="80" priority="45"/>
  </conditionalFormatting>
  <conditionalFormatting sqref="B14">
    <cfRule type="duplicateValues" dxfId="79" priority="44"/>
  </conditionalFormatting>
  <conditionalFormatting sqref="B23">
    <cfRule type="duplicateValues" dxfId="78" priority="43"/>
  </conditionalFormatting>
  <conditionalFormatting sqref="B43">
    <cfRule type="duplicateValues" dxfId="77" priority="42"/>
  </conditionalFormatting>
  <conditionalFormatting sqref="B348:B358">
    <cfRule type="duplicateValues" dxfId="76" priority="46"/>
  </conditionalFormatting>
  <conditionalFormatting sqref="B268">
    <cfRule type="duplicateValues" dxfId="75" priority="40"/>
  </conditionalFormatting>
  <conditionalFormatting sqref="B288">
    <cfRule type="duplicateValues" dxfId="74" priority="39"/>
  </conditionalFormatting>
  <conditionalFormatting sqref="B40 B42">
    <cfRule type="duplicateValues" dxfId="73" priority="38"/>
  </conditionalFormatting>
  <conditionalFormatting sqref="B267">
    <cfRule type="duplicateValues" dxfId="72" priority="37"/>
  </conditionalFormatting>
  <conditionalFormatting sqref="B285 B287">
    <cfRule type="duplicateValues" dxfId="71" priority="35"/>
  </conditionalFormatting>
  <conditionalFormatting sqref="B286">
    <cfRule type="duplicateValues" dxfId="70" priority="36"/>
  </conditionalFormatting>
  <conditionalFormatting sqref="B302:B303">
    <cfRule type="duplicateValues" dxfId="69" priority="34"/>
  </conditionalFormatting>
  <conditionalFormatting sqref="B39">
    <cfRule type="duplicateValues" dxfId="68" priority="33"/>
  </conditionalFormatting>
  <conditionalFormatting sqref="B78:B93">
    <cfRule type="duplicateValues" dxfId="67" priority="32"/>
  </conditionalFormatting>
  <conditionalFormatting sqref="B139:B141">
    <cfRule type="duplicateValues" dxfId="66" priority="31"/>
  </conditionalFormatting>
  <conditionalFormatting sqref="B182:B184">
    <cfRule type="duplicateValues" dxfId="65" priority="30"/>
  </conditionalFormatting>
  <conditionalFormatting sqref="B198:B199">
    <cfRule type="duplicateValues" dxfId="64" priority="29"/>
  </conditionalFormatting>
  <conditionalFormatting sqref="B265">
    <cfRule type="duplicateValues" dxfId="63" priority="28"/>
  </conditionalFormatting>
  <conditionalFormatting sqref="B99">
    <cfRule type="duplicateValues" dxfId="62" priority="27"/>
  </conditionalFormatting>
  <conditionalFormatting sqref="B38">
    <cfRule type="duplicateValues" dxfId="61" priority="26"/>
  </conditionalFormatting>
  <conditionalFormatting sqref="B72:B77">
    <cfRule type="duplicateValues" dxfId="60" priority="25"/>
  </conditionalFormatting>
  <conditionalFormatting sqref="B97:B98">
    <cfRule type="duplicateValues" dxfId="59" priority="24"/>
  </conditionalFormatting>
  <conditionalFormatting sqref="B216:B217">
    <cfRule type="duplicateValues" dxfId="58" priority="23"/>
  </conditionalFormatting>
  <conditionalFormatting sqref="B242 B244:B246 B248:B249">
    <cfRule type="duplicateValues" dxfId="57" priority="22"/>
  </conditionalFormatting>
  <conditionalFormatting sqref="B279:B284">
    <cfRule type="duplicateValues" dxfId="56" priority="21"/>
  </conditionalFormatting>
  <conditionalFormatting sqref="B298:B300">
    <cfRule type="duplicateValues" dxfId="55" priority="19"/>
  </conditionalFormatting>
  <conditionalFormatting sqref="B301">
    <cfRule type="duplicateValues" dxfId="54" priority="20"/>
  </conditionalFormatting>
  <conditionalFormatting sqref="B308">
    <cfRule type="duplicateValues" dxfId="53" priority="18"/>
  </conditionalFormatting>
  <conditionalFormatting sqref="B32 B34">
    <cfRule type="duplicateValues" dxfId="52" priority="17"/>
  </conditionalFormatting>
  <conditionalFormatting sqref="B44 B46:B71">
    <cfRule type="duplicateValues" dxfId="51" priority="16"/>
  </conditionalFormatting>
  <conditionalFormatting sqref="B45">
    <cfRule type="duplicateValues" dxfId="50" priority="15"/>
  </conditionalFormatting>
  <conditionalFormatting sqref="B94:B96">
    <cfRule type="duplicateValues" dxfId="49" priority="14"/>
  </conditionalFormatting>
  <conditionalFormatting sqref="B100:B109 B111:B137">
    <cfRule type="duplicateValues" dxfId="48" priority="13"/>
  </conditionalFormatting>
  <conditionalFormatting sqref="B110">
    <cfRule type="duplicateValues" dxfId="47" priority="12"/>
  </conditionalFormatting>
  <conditionalFormatting sqref="B148">
    <cfRule type="duplicateValues" dxfId="46" priority="11"/>
  </conditionalFormatting>
  <conditionalFormatting sqref="B152:B181">
    <cfRule type="duplicateValues" dxfId="45" priority="10"/>
  </conditionalFormatting>
  <conditionalFormatting sqref="B202:B215">
    <cfRule type="duplicateValues" dxfId="44" priority="9"/>
  </conditionalFormatting>
  <conditionalFormatting sqref="B239 B241">
    <cfRule type="duplicateValues" dxfId="43" priority="8"/>
  </conditionalFormatting>
  <conditionalFormatting sqref="B253 B255 B257:B261">
    <cfRule type="duplicateValues" dxfId="42" priority="7"/>
  </conditionalFormatting>
  <conditionalFormatting sqref="B270 B272:B273 B275:B277">
    <cfRule type="duplicateValues" dxfId="41" priority="5"/>
  </conditionalFormatting>
  <conditionalFormatting sqref="B269 B271 B274">
    <cfRule type="duplicateValues" dxfId="40" priority="6"/>
  </conditionalFormatting>
  <conditionalFormatting sqref="B293">
    <cfRule type="duplicateValues" dxfId="39" priority="2"/>
  </conditionalFormatting>
  <conditionalFormatting sqref="B297">
    <cfRule type="duplicateValues" dxfId="38" priority="3"/>
  </conditionalFormatting>
  <conditionalFormatting sqref="B289:B292 B294:B296">
    <cfRule type="duplicateValues" dxfId="37" priority="4"/>
  </conditionalFormatting>
  <conditionalFormatting sqref="B278">
    <cfRule type="duplicateValues" dxfId="36" priority="1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J407"/>
  <sheetViews>
    <sheetView topLeftCell="A202" workbookViewId="0">
      <selection activeCell="C225" sqref="C225"/>
    </sheetView>
  </sheetViews>
  <sheetFormatPr baseColWidth="10" defaultRowHeight="15"/>
  <cols>
    <col min="1" max="1" width="11.42578125" style="58"/>
    <col min="2" max="2" width="11.42578125" style="2"/>
    <col min="3" max="3" width="24.85546875" customWidth="1"/>
    <col min="4" max="4" width="11.85546875" bestFit="1" customWidth="1"/>
    <col min="5" max="5" width="11.85546875" customWidth="1"/>
    <col min="6" max="6" width="33.140625" bestFit="1" customWidth="1"/>
    <col min="9" max="9" width="17.5703125" customWidth="1"/>
  </cols>
  <sheetData>
    <row r="1" spans="1:10">
      <c r="A1" s="61" t="s">
        <v>74</v>
      </c>
      <c r="B1" s="49" t="s">
        <v>75</v>
      </c>
      <c r="C1" s="50" t="s">
        <v>76</v>
      </c>
      <c r="D1" s="50" t="s">
        <v>48</v>
      </c>
      <c r="E1" s="50" t="s">
        <v>95</v>
      </c>
      <c r="F1" s="50" t="s">
        <v>77</v>
      </c>
      <c r="G1" s="49" t="s">
        <v>78</v>
      </c>
      <c r="H1" s="49" t="s">
        <v>79</v>
      </c>
      <c r="I1" s="49" t="s">
        <v>80</v>
      </c>
      <c r="J1" s="49"/>
    </row>
    <row r="2" spans="1:10">
      <c r="A2" s="58">
        <v>1</v>
      </c>
      <c r="B2" s="58">
        <v>961</v>
      </c>
      <c r="C2" s="109" t="s">
        <v>1647</v>
      </c>
      <c r="D2" s="109">
        <v>10129943002</v>
      </c>
      <c r="E2" s="109" t="s">
        <v>1648</v>
      </c>
      <c r="F2" s="109">
        <v>2.7766203703703703E-2</v>
      </c>
      <c r="G2" s="109"/>
      <c r="H2" s="109">
        <v>0</v>
      </c>
      <c r="I2" s="109"/>
      <c r="J2">
        <f t="shared" ref="J2:J65" si="0">A2</f>
        <v>1</v>
      </c>
    </row>
    <row r="3" spans="1:10">
      <c r="A3" s="58">
        <v>2</v>
      </c>
      <c r="B3" s="58">
        <v>967</v>
      </c>
      <c r="C3" s="109" t="s">
        <v>1649</v>
      </c>
      <c r="D3" s="109">
        <v>10159628133</v>
      </c>
      <c r="E3" s="109" t="s">
        <v>1650</v>
      </c>
      <c r="F3" s="109">
        <v>2.8634259259259259E-2</v>
      </c>
      <c r="G3" s="109"/>
      <c r="H3" s="109">
        <v>8.6805555555555594E-4</v>
      </c>
      <c r="I3" s="109"/>
      <c r="J3">
        <f t="shared" si="0"/>
        <v>2</v>
      </c>
    </row>
    <row r="4" spans="1:10">
      <c r="A4" s="58">
        <v>3</v>
      </c>
      <c r="B4" s="58">
        <v>962</v>
      </c>
      <c r="C4" s="109" t="s">
        <v>1233</v>
      </c>
      <c r="D4" s="109">
        <v>10136994700</v>
      </c>
      <c r="E4" s="109" t="s">
        <v>1648</v>
      </c>
      <c r="F4" s="109">
        <v>2.8761574074074075E-2</v>
      </c>
      <c r="G4" s="109"/>
      <c r="H4" s="109">
        <v>9.9537037037037215E-4</v>
      </c>
      <c r="I4" s="109"/>
      <c r="J4">
        <f t="shared" si="0"/>
        <v>3</v>
      </c>
    </row>
    <row r="5" spans="1:10">
      <c r="A5" s="58">
        <v>4</v>
      </c>
      <c r="B5" s="58">
        <v>964</v>
      </c>
      <c r="C5" s="109" t="s">
        <v>1651</v>
      </c>
      <c r="D5" s="109">
        <v>10061982172</v>
      </c>
      <c r="E5" s="109" t="s">
        <v>150</v>
      </c>
      <c r="F5" s="109">
        <v>2.9814814814814815E-2</v>
      </c>
      <c r="G5" s="109"/>
      <c r="H5" s="109">
        <v>2.0486111111111122E-3</v>
      </c>
      <c r="I5" s="109"/>
      <c r="J5">
        <f t="shared" si="0"/>
        <v>4</v>
      </c>
    </row>
    <row r="6" spans="1:10">
      <c r="B6" s="58"/>
      <c r="C6" s="109"/>
      <c r="D6" s="109"/>
      <c r="E6" s="109"/>
      <c r="F6" s="109"/>
      <c r="G6" s="109"/>
      <c r="H6" s="109"/>
      <c r="I6" s="109"/>
      <c r="J6">
        <f t="shared" si="0"/>
        <v>0</v>
      </c>
    </row>
    <row r="7" spans="1:10">
      <c r="A7" s="58">
        <v>1</v>
      </c>
      <c r="B7" s="58">
        <v>981</v>
      </c>
      <c r="C7" s="109" t="s">
        <v>1234</v>
      </c>
      <c r="D7" s="109" t="s">
        <v>66</v>
      </c>
      <c r="E7" s="109" t="s">
        <v>1448</v>
      </c>
      <c r="F7" s="109" t="s">
        <v>1652</v>
      </c>
      <c r="G7" s="109">
        <v>2.6053240740740741E-2</v>
      </c>
      <c r="H7" s="109">
        <v>181</v>
      </c>
      <c r="I7" s="109"/>
      <c r="J7">
        <f t="shared" si="0"/>
        <v>1</v>
      </c>
    </row>
    <row r="8" spans="1:10">
      <c r="A8" s="58">
        <v>2</v>
      </c>
      <c r="B8" s="58">
        <v>978</v>
      </c>
      <c r="C8" s="109" t="s">
        <v>1653</v>
      </c>
      <c r="D8" s="109" t="s">
        <v>66</v>
      </c>
      <c r="E8" s="109" t="s">
        <v>1448</v>
      </c>
      <c r="F8" s="109" t="s">
        <v>1654</v>
      </c>
      <c r="G8" s="109">
        <v>3.7511574074074072E-2</v>
      </c>
      <c r="H8" s="109">
        <v>186</v>
      </c>
      <c r="I8" s="109">
        <v>1.1458333333333331E-2</v>
      </c>
      <c r="J8">
        <f t="shared" si="0"/>
        <v>2</v>
      </c>
    </row>
    <row r="9" spans="1:10">
      <c r="A9" s="58">
        <v>3</v>
      </c>
      <c r="B9" s="58">
        <v>982</v>
      </c>
      <c r="C9" s="109" t="s">
        <v>849</v>
      </c>
      <c r="D9" s="109">
        <v>10050347327</v>
      </c>
      <c r="E9" s="109" t="s">
        <v>1448</v>
      </c>
      <c r="F9" s="109" t="s">
        <v>1655</v>
      </c>
      <c r="G9" s="109">
        <v>4.1053240740740737E-2</v>
      </c>
      <c r="H9" s="109">
        <v>187</v>
      </c>
      <c r="I9" s="109">
        <v>1.4999999999999996E-2</v>
      </c>
      <c r="J9">
        <f t="shared" si="0"/>
        <v>3</v>
      </c>
    </row>
    <row r="10" spans="1:10">
      <c r="A10" s="58">
        <v>4</v>
      </c>
      <c r="B10" s="58">
        <v>984</v>
      </c>
      <c r="C10" s="109" t="s">
        <v>1656</v>
      </c>
      <c r="D10" s="109" t="s">
        <v>66</v>
      </c>
      <c r="E10" s="109" t="s">
        <v>1448</v>
      </c>
      <c r="F10" s="109" t="s">
        <v>1657</v>
      </c>
      <c r="G10" s="109">
        <v>4.1886574074074076E-2</v>
      </c>
      <c r="H10" s="109">
        <v>188</v>
      </c>
      <c r="I10" s="109">
        <v>1.5833333333333335E-2</v>
      </c>
      <c r="J10">
        <f t="shared" si="0"/>
        <v>4</v>
      </c>
    </row>
    <row r="11" spans="1:10">
      <c r="A11" s="58">
        <v>5</v>
      </c>
      <c r="B11" s="58">
        <v>985</v>
      </c>
      <c r="C11" s="109" t="s">
        <v>1658</v>
      </c>
      <c r="D11" s="109">
        <v>10170981880</v>
      </c>
      <c r="E11" s="109" t="s">
        <v>1448</v>
      </c>
      <c r="F11" s="109" t="s">
        <v>1659</v>
      </c>
      <c r="G11" s="109" t="s">
        <v>1459</v>
      </c>
      <c r="H11" s="109">
        <v>189</v>
      </c>
      <c r="I11" s="109" t="s">
        <v>6</v>
      </c>
      <c r="J11">
        <f t="shared" si="0"/>
        <v>5</v>
      </c>
    </row>
    <row r="12" spans="1:10" ht="15.75">
      <c r="A12" s="2"/>
      <c r="B12" s="21"/>
      <c r="D12" s="17"/>
      <c r="E12" s="17"/>
      <c r="G12" s="5"/>
      <c r="H12" s="2"/>
      <c r="I12" s="5"/>
      <c r="J12">
        <f t="shared" si="0"/>
        <v>0</v>
      </c>
    </row>
    <row r="13" spans="1:10">
      <c r="A13" s="2">
        <v>1</v>
      </c>
      <c r="B13" s="2">
        <v>713</v>
      </c>
      <c r="C13" t="s">
        <v>1447</v>
      </c>
      <c r="D13" s="17">
        <v>10006255268</v>
      </c>
      <c r="E13" s="17" t="s">
        <v>1448</v>
      </c>
      <c r="F13" t="s">
        <v>1449</v>
      </c>
      <c r="G13" s="5">
        <v>2.8437500000000001E-2</v>
      </c>
      <c r="H13" s="2">
        <v>1</v>
      </c>
      <c r="I13" s="5"/>
      <c r="J13">
        <f t="shared" si="0"/>
        <v>1</v>
      </c>
    </row>
    <row r="14" spans="1:10">
      <c r="A14" s="2">
        <v>2</v>
      </c>
      <c r="B14" s="2">
        <v>701</v>
      </c>
      <c r="C14" t="s">
        <v>760</v>
      </c>
      <c r="D14" s="17">
        <v>10079383568</v>
      </c>
      <c r="E14" s="17" t="s">
        <v>1448</v>
      </c>
      <c r="F14" t="s">
        <v>1450</v>
      </c>
      <c r="G14" s="5">
        <v>2.8900462962962965E-2</v>
      </c>
      <c r="H14" s="2">
        <v>3</v>
      </c>
      <c r="I14" s="5">
        <v>4.6296296296296363E-4</v>
      </c>
      <c r="J14">
        <f t="shared" si="0"/>
        <v>2</v>
      </c>
    </row>
    <row r="15" spans="1:10" ht="15.75">
      <c r="A15" s="2">
        <v>3</v>
      </c>
      <c r="B15" s="21">
        <v>708</v>
      </c>
      <c r="C15" t="s">
        <v>1660</v>
      </c>
      <c r="D15" s="17">
        <v>10056033143</v>
      </c>
      <c r="E15" s="17" t="s">
        <v>1448</v>
      </c>
      <c r="F15" t="s">
        <v>1661</v>
      </c>
      <c r="G15" s="5">
        <v>2.9791666666666668E-2</v>
      </c>
      <c r="H15" s="2">
        <v>5</v>
      </c>
      <c r="I15" s="5">
        <v>1.3541666666666667E-3</v>
      </c>
      <c r="J15">
        <f t="shared" si="0"/>
        <v>3</v>
      </c>
    </row>
    <row r="16" spans="1:10" ht="15.75">
      <c r="A16" s="2">
        <v>4</v>
      </c>
      <c r="B16" s="21">
        <v>714</v>
      </c>
      <c r="C16" t="s">
        <v>1662</v>
      </c>
      <c r="D16" s="17">
        <v>10155585455</v>
      </c>
      <c r="E16" s="17" t="s">
        <v>1448</v>
      </c>
      <c r="F16" t="s">
        <v>1239</v>
      </c>
      <c r="G16" s="5" t="s">
        <v>1482</v>
      </c>
      <c r="H16" s="2">
        <v>13</v>
      </c>
      <c r="I16" s="5" t="s">
        <v>6</v>
      </c>
      <c r="J16">
        <f t="shared" si="0"/>
        <v>4</v>
      </c>
    </row>
    <row r="17" spans="1:10" ht="15.75">
      <c r="A17" s="2"/>
      <c r="B17" s="21"/>
      <c r="D17" s="17"/>
      <c r="E17" s="17"/>
      <c r="G17" s="5"/>
      <c r="H17" s="2"/>
      <c r="I17" s="5"/>
      <c r="J17">
        <f t="shared" si="0"/>
        <v>0</v>
      </c>
    </row>
    <row r="18" spans="1:10">
      <c r="A18" s="7">
        <v>1</v>
      </c>
      <c r="B18" s="7">
        <v>752</v>
      </c>
      <c r="C18" t="s">
        <v>1663</v>
      </c>
      <c r="D18" s="17">
        <v>10001352223</v>
      </c>
      <c r="E18" s="17" t="s">
        <v>1448</v>
      </c>
      <c r="F18" t="s">
        <v>1664</v>
      </c>
      <c r="G18" s="5">
        <v>2.8391203703703703E-2</v>
      </c>
      <c r="H18" s="2">
        <v>2</v>
      </c>
      <c r="I18" s="5"/>
      <c r="J18">
        <f t="shared" si="0"/>
        <v>1</v>
      </c>
    </row>
    <row r="19" spans="1:10" ht="15.75">
      <c r="A19" s="2">
        <v>2</v>
      </c>
      <c r="B19" s="21">
        <v>758</v>
      </c>
      <c r="C19" t="s">
        <v>1190</v>
      </c>
      <c r="D19" s="17">
        <v>10140636745</v>
      </c>
      <c r="E19" s="17" t="s">
        <v>1448</v>
      </c>
      <c r="F19" t="s">
        <v>957</v>
      </c>
      <c r="G19" s="5">
        <v>2.9351851851851855E-2</v>
      </c>
      <c r="H19" s="2">
        <v>4</v>
      </c>
      <c r="I19" s="5">
        <v>9.6064814814815144E-4</v>
      </c>
      <c r="J19">
        <f t="shared" si="0"/>
        <v>2</v>
      </c>
    </row>
    <row r="20" spans="1:10" ht="15.75">
      <c r="A20" s="2">
        <v>3</v>
      </c>
      <c r="B20" s="21">
        <v>751</v>
      </c>
      <c r="C20" t="s">
        <v>1665</v>
      </c>
      <c r="D20" s="17">
        <v>10127988349</v>
      </c>
      <c r="E20" s="17" t="s">
        <v>1448</v>
      </c>
      <c r="F20" t="s">
        <v>100</v>
      </c>
      <c r="G20" s="5">
        <v>2.9976851851851852E-2</v>
      </c>
      <c r="H20" s="2">
        <v>6</v>
      </c>
      <c r="I20" s="5">
        <v>1.5856481481481485E-3</v>
      </c>
      <c r="J20">
        <f t="shared" si="0"/>
        <v>3</v>
      </c>
    </row>
    <row r="21" spans="1:10" ht="15.75">
      <c r="A21" s="2">
        <v>4</v>
      </c>
      <c r="B21" s="21">
        <v>763</v>
      </c>
      <c r="C21" t="s">
        <v>1451</v>
      </c>
      <c r="D21" s="17">
        <v>10103825447</v>
      </c>
      <c r="E21" s="17" t="s">
        <v>1448</v>
      </c>
      <c r="F21" t="s">
        <v>1452</v>
      </c>
      <c r="G21" s="5">
        <v>3.1759259259259258E-2</v>
      </c>
      <c r="H21" s="2">
        <v>8</v>
      </c>
      <c r="I21" s="5">
        <v>3.3680555555555547E-3</v>
      </c>
      <c r="J21">
        <f t="shared" si="0"/>
        <v>4</v>
      </c>
    </row>
    <row r="22" spans="1:10" ht="15.75">
      <c r="A22" s="2">
        <v>5</v>
      </c>
      <c r="B22" s="21">
        <v>756</v>
      </c>
      <c r="C22" t="s">
        <v>412</v>
      </c>
      <c r="D22" s="17">
        <v>10137070781</v>
      </c>
      <c r="E22" s="17" t="s">
        <v>1448</v>
      </c>
      <c r="F22" t="s">
        <v>503</v>
      </c>
      <c r="G22" s="5">
        <v>3.3321759259259259E-2</v>
      </c>
      <c r="H22" s="2">
        <v>10</v>
      </c>
      <c r="I22" s="5">
        <v>4.9305555555555561E-3</v>
      </c>
      <c r="J22">
        <f t="shared" si="0"/>
        <v>5</v>
      </c>
    </row>
    <row r="23" spans="1:10" ht="15.75">
      <c r="A23" s="2">
        <v>6</v>
      </c>
      <c r="B23" s="21">
        <v>768</v>
      </c>
      <c r="C23" t="s">
        <v>1666</v>
      </c>
      <c r="D23" s="17">
        <v>10061819595</v>
      </c>
      <c r="E23" s="17" t="s">
        <v>1448</v>
      </c>
      <c r="F23" t="s">
        <v>1667</v>
      </c>
      <c r="G23" s="5">
        <v>3.3622685185185186E-2</v>
      </c>
      <c r="H23" s="2">
        <v>12</v>
      </c>
      <c r="I23" s="5">
        <v>5.2314814814814828E-3</v>
      </c>
      <c r="J23">
        <f t="shared" si="0"/>
        <v>6</v>
      </c>
    </row>
    <row r="24" spans="1:10" ht="15.75">
      <c r="A24" s="2"/>
      <c r="B24" s="21"/>
      <c r="D24" s="17"/>
      <c r="E24" s="17"/>
      <c r="G24" s="5"/>
      <c r="H24" s="2"/>
      <c r="I24" s="5"/>
      <c r="J24">
        <f t="shared" si="0"/>
        <v>0</v>
      </c>
    </row>
    <row r="25" spans="1:10" ht="15.75">
      <c r="A25" s="2">
        <v>1</v>
      </c>
      <c r="B25" s="21">
        <v>614</v>
      </c>
      <c r="C25" t="s">
        <v>1453</v>
      </c>
      <c r="D25" s="17">
        <v>10153041631</v>
      </c>
      <c r="E25" s="17" t="s">
        <v>1448</v>
      </c>
      <c r="F25" t="s">
        <v>1423</v>
      </c>
      <c r="G25" s="5">
        <v>3.0937499999999996E-2</v>
      </c>
      <c r="H25" s="2">
        <v>7</v>
      </c>
      <c r="I25" s="5"/>
      <c r="J25">
        <f t="shared" si="0"/>
        <v>1</v>
      </c>
    </row>
    <row r="26" spans="1:10" ht="15.75">
      <c r="A26" s="2">
        <v>2</v>
      </c>
      <c r="B26" s="21">
        <v>630</v>
      </c>
      <c r="C26" t="s">
        <v>1668</v>
      </c>
      <c r="D26" s="17" t="s">
        <v>66</v>
      </c>
      <c r="E26" s="17" t="s">
        <v>6</v>
      </c>
      <c r="F26" t="s">
        <v>1669</v>
      </c>
      <c r="G26" s="5">
        <v>3.2141203703703707E-2</v>
      </c>
      <c r="H26" s="2">
        <v>9</v>
      </c>
      <c r="I26" s="5">
        <v>1.2037037037037103E-3</v>
      </c>
      <c r="J26">
        <f t="shared" si="0"/>
        <v>2</v>
      </c>
    </row>
    <row r="27" spans="1:10" ht="15.75">
      <c r="A27" s="2">
        <v>3</v>
      </c>
      <c r="B27" s="21">
        <v>629</v>
      </c>
      <c r="C27" t="s">
        <v>1670</v>
      </c>
      <c r="D27" s="17">
        <v>10136945287</v>
      </c>
      <c r="E27" s="17" t="s">
        <v>1448</v>
      </c>
      <c r="F27" t="s">
        <v>1671</v>
      </c>
      <c r="G27" s="5">
        <v>3.3009259259259259E-2</v>
      </c>
      <c r="H27" s="2">
        <v>11</v>
      </c>
      <c r="I27" s="5">
        <v>2.0717592592592628E-3</v>
      </c>
      <c r="J27">
        <f t="shared" si="0"/>
        <v>3</v>
      </c>
    </row>
    <row r="28" spans="1:10" ht="15.75">
      <c r="A28" s="2">
        <v>4</v>
      </c>
      <c r="B28" s="21">
        <v>631</v>
      </c>
      <c r="C28" t="s">
        <v>1456</v>
      </c>
      <c r="D28" s="17" t="s">
        <v>66</v>
      </c>
      <c r="E28" s="17" t="s">
        <v>1448</v>
      </c>
      <c r="F28" t="s">
        <v>1457</v>
      </c>
      <c r="G28" s="5">
        <v>3.5081018518518518E-2</v>
      </c>
      <c r="H28" s="2">
        <v>15</v>
      </c>
      <c r="I28" s="5">
        <v>4.1435185185185221E-3</v>
      </c>
      <c r="J28">
        <f t="shared" si="0"/>
        <v>4</v>
      </c>
    </row>
    <row r="29" spans="1:10" ht="15.75">
      <c r="A29" s="2">
        <v>5</v>
      </c>
      <c r="B29" s="21">
        <v>622</v>
      </c>
      <c r="C29" t="s">
        <v>1454</v>
      </c>
      <c r="D29" s="17" t="s">
        <v>66</v>
      </c>
      <c r="E29" s="17" t="s">
        <v>1448</v>
      </c>
      <c r="F29" t="s">
        <v>1455</v>
      </c>
      <c r="G29" s="5">
        <v>3.7060185185185189E-2</v>
      </c>
      <c r="H29" s="2">
        <v>16</v>
      </c>
      <c r="I29" s="5">
        <v>6.1226851851851928E-3</v>
      </c>
      <c r="J29">
        <f t="shared" si="0"/>
        <v>5</v>
      </c>
    </row>
    <row r="30" spans="1:10" ht="15.75">
      <c r="A30" s="2">
        <v>6</v>
      </c>
      <c r="B30" s="21">
        <v>632</v>
      </c>
      <c r="C30" t="s">
        <v>1458</v>
      </c>
      <c r="D30" s="17" t="s">
        <v>6</v>
      </c>
      <c r="E30" s="17" t="s">
        <v>1448</v>
      </c>
      <c r="F30" t="s">
        <v>1311</v>
      </c>
      <c r="G30" s="5" t="s">
        <v>1482</v>
      </c>
      <c r="H30" s="2">
        <v>14</v>
      </c>
      <c r="I30" s="5" t="s">
        <v>6</v>
      </c>
      <c r="J30">
        <f t="shared" si="0"/>
        <v>6</v>
      </c>
    </row>
    <row r="31" spans="1:10" ht="15.75">
      <c r="A31" s="2"/>
      <c r="B31" s="21"/>
      <c r="D31" s="17"/>
      <c r="E31" s="17"/>
      <c r="G31" s="5"/>
      <c r="H31" s="2"/>
      <c r="I31" s="5"/>
      <c r="J31">
        <f t="shared" si="0"/>
        <v>0</v>
      </c>
    </row>
    <row r="32" spans="1:10" ht="15.75">
      <c r="A32" s="2">
        <v>1</v>
      </c>
      <c r="B32" s="21">
        <v>810</v>
      </c>
      <c r="C32" t="s">
        <v>1672</v>
      </c>
      <c r="D32" s="17">
        <v>10061985206</v>
      </c>
      <c r="E32" s="17" t="s">
        <v>1448</v>
      </c>
      <c r="F32" t="s">
        <v>100</v>
      </c>
      <c r="G32" s="5">
        <v>3.0868055555555555E-2</v>
      </c>
      <c r="H32" s="2">
        <v>19</v>
      </c>
      <c r="I32" s="5"/>
      <c r="J32">
        <f t="shared" si="0"/>
        <v>1</v>
      </c>
    </row>
    <row r="33" spans="1:10" ht="15.75">
      <c r="A33" s="2">
        <v>2</v>
      </c>
      <c r="B33" s="21">
        <v>820</v>
      </c>
      <c r="C33" t="s">
        <v>1673</v>
      </c>
      <c r="D33" s="17">
        <v>10094103118</v>
      </c>
      <c r="E33" s="17" t="s">
        <v>1448</v>
      </c>
      <c r="F33" t="s">
        <v>792</v>
      </c>
      <c r="G33" s="5">
        <v>3.5856481481481482E-2</v>
      </c>
      <c r="H33" s="2">
        <v>28</v>
      </c>
      <c r="I33" s="5">
        <v>4.9884259259259274E-3</v>
      </c>
      <c r="J33">
        <f t="shared" si="0"/>
        <v>2</v>
      </c>
    </row>
    <row r="34" spans="1:10" ht="15.75">
      <c r="A34" s="2">
        <v>3</v>
      </c>
      <c r="B34" s="21">
        <v>814</v>
      </c>
      <c r="C34" t="s">
        <v>88</v>
      </c>
      <c r="D34" s="17">
        <v>10114540513</v>
      </c>
      <c r="E34" s="17" t="s">
        <v>1448</v>
      </c>
      <c r="F34" t="s">
        <v>89</v>
      </c>
      <c r="G34" s="5">
        <v>3.6087962962962961E-2</v>
      </c>
      <c r="H34" s="2">
        <v>30</v>
      </c>
      <c r="I34" s="5">
        <v>5.2199074074074057E-3</v>
      </c>
      <c r="J34">
        <f t="shared" si="0"/>
        <v>3</v>
      </c>
    </row>
    <row r="35" spans="1:10" ht="15.75">
      <c r="A35" s="2">
        <v>4</v>
      </c>
      <c r="B35" s="21">
        <v>809</v>
      </c>
      <c r="C35" t="s">
        <v>435</v>
      </c>
      <c r="D35" s="17">
        <v>10114420473</v>
      </c>
      <c r="E35" s="17" t="s">
        <v>1448</v>
      </c>
      <c r="F35" t="s">
        <v>1195</v>
      </c>
      <c r="G35" s="5">
        <v>3.8194444444444448E-2</v>
      </c>
      <c r="H35" s="2">
        <v>36</v>
      </c>
      <c r="I35" s="5">
        <v>7.3263888888888927E-3</v>
      </c>
      <c r="J35">
        <f t="shared" si="0"/>
        <v>4</v>
      </c>
    </row>
    <row r="36" spans="1:10" ht="15.75">
      <c r="A36" s="2">
        <v>5</v>
      </c>
      <c r="B36" s="21">
        <v>825</v>
      </c>
      <c r="C36" t="s">
        <v>1462</v>
      </c>
      <c r="D36" s="17">
        <v>10111579585</v>
      </c>
      <c r="E36" s="17" t="s">
        <v>1448</v>
      </c>
      <c r="F36" t="s">
        <v>1463</v>
      </c>
      <c r="G36" s="5">
        <v>3.8425925925925926E-2</v>
      </c>
      <c r="H36" s="2">
        <v>37</v>
      </c>
      <c r="I36" s="5">
        <v>7.557870370370371E-3</v>
      </c>
      <c r="J36">
        <f t="shared" si="0"/>
        <v>5</v>
      </c>
    </row>
    <row r="37" spans="1:10" ht="15.75">
      <c r="A37" s="2">
        <v>6</v>
      </c>
      <c r="B37" s="21">
        <v>805</v>
      </c>
      <c r="C37" t="s">
        <v>785</v>
      </c>
      <c r="D37" s="17">
        <v>10122661938</v>
      </c>
      <c r="E37" s="17" t="s">
        <v>1448</v>
      </c>
      <c r="F37" t="s">
        <v>1466</v>
      </c>
      <c r="G37" s="5">
        <v>3.8634259259259257E-2</v>
      </c>
      <c r="H37" s="2">
        <v>38</v>
      </c>
      <c r="I37" s="5">
        <v>7.7662037037037022E-3</v>
      </c>
      <c r="J37">
        <f t="shared" si="0"/>
        <v>6</v>
      </c>
    </row>
    <row r="38" spans="1:10" ht="15.75">
      <c r="A38" s="2">
        <v>7</v>
      </c>
      <c r="B38" s="21">
        <v>829</v>
      </c>
      <c r="C38" t="s">
        <v>1464</v>
      </c>
      <c r="D38" s="17">
        <v>10130587545</v>
      </c>
      <c r="E38" s="17" t="s">
        <v>1448</v>
      </c>
      <c r="F38" t="s">
        <v>1465</v>
      </c>
      <c r="G38" s="5">
        <v>4.2407407407407408E-2</v>
      </c>
      <c r="H38" s="2">
        <v>39</v>
      </c>
      <c r="I38" s="5">
        <v>1.1539351851851853E-2</v>
      </c>
      <c r="J38">
        <f t="shared" si="0"/>
        <v>7</v>
      </c>
    </row>
    <row r="39" spans="1:10">
      <c r="A39" s="7">
        <v>8</v>
      </c>
      <c r="B39" s="7">
        <v>801</v>
      </c>
      <c r="C39" t="s">
        <v>1460</v>
      </c>
      <c r="D39" s="17">
        <v>10102979628</v>
      </c>
      <c r="E39" s="17" t="s">
        <v>1448</v>
      </c>
      <c r="F39" t="s">
        <v>427</v>
      </c>
      <c r="G39" s="5" t="s">
        <v>1535</v>
      </c>
      <c r="H39" s="2">
        <v>45</v>
      </c>
      <c r="I39" s="5" t="s">
        <v>6</v>
      </c>
      <c r="J39">
        <f t="shared" si="0"/>
        <v>8</v>
      </c>
    </row>
    <row r="40" spans="1:10" ht="15.75">
      <c r="A40" s="2"/>
      <c r="B40" s="21">
        <v>813</v>
      </c>
      <c r="C40" t="s">
        <v>784</v>
      </c>
      <c r="D40" s="17">
        <v>10051209819</v>
      </c>
      <c r="E40" s="17" t="s">
        <v>1448</v>
      </c>
      <c r="F40" t="s">
        <v>1461</v>
      </c>
      <c r="G40" s="5" t="s">
        <v>1459</v>
      </c>
      <c r="H40" s="2">
        <v>17</v>
      </c>
      <c r="I40" s="5"/>
      <c r="J40">
        <f t="shared" si="0"/>
        <v>0</v>
      </c>
    </row>
    <row r="41" spans="1:10" ht="15.75">
      <c r="A41" s="2"/>
      <c r="B41" s="21"/>
      <c r="D41" s="17"/>
      <c r="E41" s="17"/>
      <c r="G41" s="5"/>
      <c r="H41" s="2"/>
      <c r="I41" s="5"/>
      <c r="J41">
        <f t="shared" si="0"/>
        <v>0</v>
      </c>
    </row>
    <row r="42" spans="1:10" ht="15.75">
      <c r="A42" s="2">
        <v>1</v>
      </c>
      <c r="B42" s="21">
        <v>851</v>
      </c>
      <c r="C42" t="s">
        <v>1243</v>
      </c>
      <c r="D42" s="17">
        <v>10060932451</v>
      </c>
      <c r="E42" s="17" t="s">
        <v>1448</v>
      </c>
      <c r="F42" t="s">
        <v>1468</v>
      </c>
      <c r="G42" s="5">
        <v>3.0891203703703705E-2</v>
      </c>
      <c r="H42" s="2">
        <v>20</v>
      </c>
      <c r="I42" s="5"/>
      <c r="J42">
        <f t="shared" si="0"/>
        <v>1</v>
      </c>
    </row>
    <row r="43" spans="1:10" ht="15.75">
      <c r="A43" s="2">
        <v>2</v>
      </c>
      <c r="B43" s="21">
        <v>868</v>
      </c>
      <c r="C43" t="s">
        <v>1674</v>
      </c>
      <c r="D43" s="17">
        <v>10074930662</v>
      </c>
      <c r="E43" s="17" t="s">
        <v>1448</v>
      </c>
      <c r="F43" t="s">
        <v>1675</v>
      </c>
      <c r="G43" s="5">
        <v>3.1643518518518522E-2</v>
      </c>
      <c r="H43" s="2">
        <v>21</v>
      </c>
      <c r="I43" s="5">
        <v>7.5231481481481677E-4</v>
      </c>
      <c r="J43">
        <f t="shared" si="0"/>
        <v>2</v>
      </c>
    </row>
    <row r="44" spans="1:10" ht="15.75">
      <c r="A44" s="2">
        <v>3</v>
      </c>
      <c r="B44" s="21">
        <v>852</v>
      </c>
      <c r="C44" t="s">
        <v>118</v>
      </c>
      <c r="D44" s="17">
        <v>10007726234</v>
      </c>
      <c r="E44" s="17" t="s">
        <v>1448</v>
      </c>
      <c r="F44" t="s">
        <v>1467</v>
      </c>
      <c r="G44" s="5">
        <v>3.2372685185185185E-2</v>
      </c>
      <c r="H44" s="2">
        <v>22</v>
      </c>
      <c r="I44" s="5">
        <v>1.4814814814814795E-3</v>
      </c>
      <c r="J44">
        <f t="shared" si="0"/>
        <v>3</v>
      </c>
    </row>
    <row r="45" spans="1:10" ht="15.75">
      <c r="A45" s="2">
        <v>4</v>
      </c>
      <c r="B45" s="21">
        <v>853</v>
      </c>
      <c r="C45" t="s">
        <v>1469</v>
      </c>
      <c r="D45" s="17">
        <v>10122227054</v>
      </c>
      <c r="E45" s="17" t="s">
        <v>1448</v>
      </c>
      <c r="F45" t="s">
        <v>100</v>
      </c>
      <c r="G45" s="5">
        <v>3.304398148148148E-2</v>
      </c>
      <c r="H45" s="2">
        <v>23</v>
      </c>
      <c r="I45" s="5">
        <v>2.1527777777777743E-3</v>
      </c>
      <c r="J45">
        <f t="shared" si="0"/>
        <v>4</v>
      </c>
    </row>
    <row r="46" spans="1:10" ht="15.75">
      <c r="A46" s="2">
        <v>5</v>
      </c>
      <c r="B46" s="21">
        <v>859</v>
      </c>
      <c r="C46" t="s">
        <v>1470</v>
      </c>
      <c r="D46" s="17">
        <v>10051462726</v>
      </c>
      <c r="E46" s="17" t="s">
        <v>1448</v>
      </c>
      <c r="F46" t="s">
        <v>459</v>
      </c>
      <c r="G46" s="5">
        <v>3.3425925925925928E-2</v>
      </c>
      <c r="H46" s="2">
        <v>24</v>
      </c>
      <c r="I46" s="5">
        <v>2.5347222222222229E-3</v>
      </c>
      <c r="J46">
        <f t="shared" si="0"/>
        <v>5</v>
      </c>
    </row>
    <row r="47" spans="1:10" ht="15.75">
      <c r="A47" s="2">
        <v>6</v>
      </c>
      <c r="B47" s="21">
        <v>876</v>
      </c>
      <c r="C47" t="s">
        <v>1676</v>
      </c>
      <c r="D47" s="17">
        <v>10131669501</v>
      </c>
      <c r="E47" s="17" t="s">
        <v>1448</v>
      </c>
      <c r="F47" t="s">
        <v>1677</v>
      </c>
      <c r="G47" s="5">
        <v>3.4467592592592591E-2</v>
      </c>
      <c r="H47" s="2">
        <v>27</v>
      </c>
      <c r="I47" s="5">
        <v>3.5763888888888859E-3</v>
      </c>
      <c r="J47">
        <f t="shared" si="0"/>
        <v>6</v>
      </c>
    </row>
    <row r="48" spans="1:10" ht="15.75">
      <c r="A48" s="2">
        <v>7</v>
      </c>
      <c r="B48" s="21">
        <v>865</v>
      </c>
      <c r="C48" t="s">
        <v>465</v>
      </c>
      <c r="D48" s="17">
        <v>10138850531</v>
      </c>
      <c r="E48" s="17" t="s">
        <v>1448</v>
      </c>
      <c r="F48" t="s">
        <v>1473</v>
      </c>
      <c r="G48" s="5">
        <v>3.5983796296296298E-2</v>
      </c>
      <c r="H48" s="2">
        <v>31</v>
      </c>
      <c r="I48" s="5">
        <v>5.092592592592593E-3</v>
      </c>
      <c r="J48">
        <f t="shared" si="0"/>
        <v>7</v>
      </c>
    </row>
    <row r="49" spans="1:10" ht="15.75">
      <c r="A49" s="2">
        <v>8</v>
      </c>
      <c r="B49" s="21">
        <v>860</v>
      </c>
      <c r="C49" t="s">
        <v>1471</v>
      </c>
      <c r="D49" s="17">
        <v>10061984903</v>
      </c>
      <c r="E49" s="17" t="s">
        <v>1448</v>
      </c>
      <c r="F49" t="s">
        <v>1472</v>
      </c>
      <c r="G49" s="5">
        <v>3.650462962962963E-2</v>
      </c>
      <c r="H49" s="2">
        <v>32</v>
      </c>
      <c r="I49" s="5">
        <v>5.6134259259259245E-3</v>
      </c>
      <c r="J49">
        <f t="shared" si="0"/>
        <v>8</v>
      </c>
    </row>
    <row r="50" spans="1:10" ht="15.75">
      <c r="A50" s="2">
        <v>9</v>
      </c>
      <c r="B50" s="21">
        <v>863</v>
      </c>
      <c r="C50" t="s">
        <v>1474</v>
      </c>
      <c r="D50" s="17">
        <v>10104387239</v>
      </c>
      <c r="E50" s="17" t="s">
        <v>1448</v>
      </c>
      <c r="F50" t="s">
        <v>1475</v>
      </c>
      <c r="G50" s="5" t="s">
        <v>1482</v>
      </c>
      <c r="H50" s="2">
        <v>40</v>
      </c>
      <c r="I50" s="5" t="s">
        <v>6</v>
      </c>
      <c r="J50">
        <f t="shared" si="0"/>
        <v>9</v>
      </c>
    </row>
    <row r="51" spans="1:10" ht="15.75">
      <c r="A51" s="2"/>
      <c r="B51" s="21">
        <v>864</v>
      </c>
      <c r="C51" t="s">
        <v>464</v>
      </c>
      <c r="D51" s="17">
        <v>10126882448</v>
      </c>
      <c r="E51" s="17" t="s">
        <v>1448</v>
      </c>
      <c r="F51" t="s">
        <v>1678</v>
      </c>
      <c r="G51" s="5" t="s">
        <v>1459</v>
      </c>
      <c r="H51" s="2">
        <v>18</v>
      </c>
      <c r="I51" s="5" t="s">
        <v>6</v>
      </c>
      <c r="J51">
        <f t="shared" si="0"/>
        <v>0</v>
      </c>
    </row>
    <row r="52" spans="1:10">
      <c r="G52" s="5"/>
      <c r="J52">
        <f t="shared" si="0"/>
        <v>0</v>
      </c>
    </row>
    <row r="53" spans="1:10">
      <c r="A53" s="2">
        <v>1</v>
      </c>
      <c r="B53" s="77">
        <v>906</v>
      </c>
      <c r="C53" t="s">
        <v>1679</v>
      </c>
      <c r="D53" s="17">
        <v>10054780328</v>
      </c>
      <c r="E53" s="17" t="s">
        <v>1448</v>
      </c>
      <c r="F53" t="s">
        <v>100</v>
      </c>
      <c r="G53" s="5">
        <v>3.425925925925926E-2</v>
      </c>
      <c r="H53" s="2">
        <v>26</v>
      </c>
      <c r="I53" s="5"/>
      <c r="J53">
        <f t="shared" si="0"/>
        <v>1</v>
      </c>
    </row>
    <row r="54" spans="1:10">
      <c r="A54" s="2">
        <v>2</v>
      </c>
      <c r="B54" s="77">
        <v>903</v>
      </c>
      <c r="C54" t="s">
        <v>73</v>
      </c>
      <c r="D54" s="17">
        <v>10061997734</v>
      </c>
      <c r="E54" s="17" t="s">
        <v>1448</v>
      </c>
      <c r="F54" t="s">
        <v>1477</v>
      </c>
      <c r="G54" s="5">
        <v>3.5717592592592592E-2</v>
      </c>
      <c r="H54" s="2">
        <v>29</v>
      </c>
      <c r="I54" s="5">
        <v>1.4583333333333323E-3</v>
      </c>
      <c r="J54">
        <f t="shared" si="0"/>
        <v>2</v>
      </c>
    </row>
    <row r="55" spans="1:10">
      <c r="A55" s="2">
        <v>3</v>
      </c>
      <c r="B55" s="77">
        <v>911</v>
      </c>
      <c r="C55" t="s">
        <v>806</v>
      </c>
      <c r="D55" s="17">
        <v>10052413629</v>
      </c>
      <c r="E55" s="17" t="s">
        <v>1448</v>
      </c>
      <c r="F55" t="s">
        <v>1478</v>
      </c>
      <c r="G55" s="5">
        <v>3.6388888888888887E-2</v>
      </c>
      <c r="H55" s="2">
        <v>33</v>
      </c>
      <c r="I55" s="5">
        <v>2.1296296296296272E-3</v>
      </c>
      <c r="J55">
        <f t="shared" si="0"/>
        <v>3</v>
      </c>
    </row>
    <row r="56" spans="1:10">
      <c r="A56" s="2">
        <v>4</v>
      </c>
      <c r="B56" s="77">
        <v>907</v>
      </c>
      <c r="C56" t="s">
        <v>1483</v>
      </c>
      <c r="D56" s="17">
        <v>10075039079</v>
      </c>
      <c r="E56" s="17" t="s">
        <v>1448</v>
      </c>
      <c r="F56" t="s">
        <v>1484</v>
      </c>
      <c r="G56" s="5">
        <v>3.7303240740740741E-2</v>
      </c>
      <c r="H56" s="2">
        <v>34</v>
      </c>
      <c r="I56" s="5">
        <v>3.0439814814814808E-3</v>
      </c>
      <c r="J56">
        <f t="shared" si="0"/>
        <v>4</v>
      </c>
    </row>
    <row r="57" spans="1:10">
      <c r="A57" s="2">
        <v>5</v>
      </c>
      <c r="B57" s="77">
        <v>908</v>
      </c>
      <c r="C57" t="s">
        <v>121</v>
      </c>
      <c r="D57" s="17">
        <v>10101986891</v>
      </c>
      <c r="E57" s="17" t="s">
        <v>1448</v>
      </c>
      <c r="F57" t="s">
        <v>1476</v>
      </c>
      <c r="G57" s="5">
        <v>3.7384259259259263E-2</v>
      </c>
      <c r="H57" s="2">
        <v>35</v>
      </c>
      <c r="I57" s="5">
        <v>3.1250000000000028E-3</v>
      </c>
      <c r="J57">
        <f t="shared" si="0"/>
        <v>5</v>
      </c>
    </row>
    <row r="58" spans="1:10">
      <c r="A58" s="2">
        <v>6</v>
      </c>
      <c r="B58" s="77">
        <v>919</v>
      </c>
      <c r="C58" t="s">
        <v>1479</v>
      </c>
      <c r="D58" s="17">
        <v>10124529590</v>
      </c>
      <c r="E58" s="17" t="s">
        <v>1448</v>
      </c>
      <c r="F58" t="s">
        <v>1480</v>
      </c>
      <c r="G58" s="5" t="s">
        <v>1482</v>
      </c>
      <c r="H58" s="2">
        <v>41</v>
      </c>
      <c r="I58" s="5" t="s">
        <v>6</v>
      </c>
      <c r="J58">
        <f t="shared" si="0"/>
        <v>6</v>
      </c>
    </row>
    <row r="59" spans="1:10">
      <c r="A59" s="2">
        <v>7</v>
      </c>
      <c r="B59" s="77">
        <v>913</v>
      </c>
      <c r="C59" t="s">
        <v>486</v>
      </c>
      <c r="D59" s="17">
        <v>10172012306</v>
      </c>
      <c r="E59" s="17" t="s">
        <v>1448</v>
      </c>
      <c r="F59" t="s">
        <v>1455</v>
      </c>
      <c r="G59" s="5" t="s">
        <v>1482</v>
      </c>
      <c r="H59" s="2">
        <v>42</v>
      </c>
      <c r="I59" s="5" t="s">
        <v>6</v>
      </c>
      <c r="J59">
        <f t="shared" si="0"/>
        <v>7</v>
      </c>
    </row>
    <row r="60" spans="1:10">
      <c r="A60" s="3">
        <v>8</v>
      </c>
      <c r="B60" s="107">
        <v>922</v>
      </c>
      <c r="C60" s="4" t="s">
        <v>923</v>
      </c>
      <c r="D60" s="100">
        <v>10126639241</v>
      </c>
      <c r="E60" s="100" t="s">
        <v>1448</v>
      </c>
      <c r="F60" s="4" t="s">
        <v>1467</v>
      </c>
      <c r="G60" s="101" t="s">
        <v>1482</v>
      </c>
      <c r="H60" s="3">
        <v>43</v>
      </c>
      <c r="I60" s="101" t="s">
        <v>6</v>
      </c>
      <c r="J60">
        <f t="shared" si="0"/>
        <v>8</v>
      </c>
    </row>
    <row r="61" spans="1:10">
      <c r="A61" s="3">
        <v>9</v>
      </c>
      <c r="B61" s="22">
        <v>905</v>
      </c>
      <c r="C61" s="4" t="s">
        <v>474</v>
      </c>
      <c r="D61" s="100">
        <v>10061855668</v>
      </c>
      <c r="E61" s="100" t="s">
        <v>1448</v>
      </c>
      <c r="F61" s="4" t="s">
        <v>1481</v>
      </c>
      <c r="G61" s="101" t="s">
        <v>1482</v>
      </c>
      <c r="H61" s="3">
        <v>44</v>
      </c>
      <c r="I61" s="101" t="s">
        <v>6</v>
      </c>
      <c r="J61">
        <f t="shared" si="0"/>
        <v>9</v>
      </c>
    </row>
    <row r="62" spans="1:10">
      <c r="A62" s="3"/>
      <c r="B62" s="22"/>
      <c r="C62" s="4"/>
      <c r="D62" s="100"/>
      <c r="E62" s="100"/>
      <c r="F62" s="4"/>
      <c r="G62" s="101"/>
      <c r="H62" s="3"/>
      <c r="I62" s="101"/>
      <c r="J62">
        <f t="shared" si="0"/>
        <v>0</v>
      </c>
    </row>
    <row r="63" spans="1:10">
      <c r="A63" s="3">
        <v>1</v>
      </c>
      <c r="B63" s="22">
        <v>951</v>
      </c>
      <c r="C63" s="4" t="s">
        <v>156</v>
      </c>
      <c r="D63" s="100">
        <v>10101986689</v>
      </c>
      <c r="E63" s="100" t="s">
        <v>1448</v>
      </c>
      <c r="F63" s="4" t="s">
        <v>1395</v>
      </c>
      <c r="G63" s="101">
        <v>3.4074074074074076E-2</v>
      </c>
      <c r="H63" s="3"/>
      <c r="I63" s="101" t="s">
        <v>6</v>
      </c>
      <c r="J63">
        <f t="shared" si="0"/>
        <v>1</v>
      </c>
    </row>
    <row r="64" spans="1:10">
      <c r="A64" s="3"/>
      <c r="B64" s="22"/>
      <c r="C64" s="4"/>
      <c r="D64" s="100"/>
      <c r="E64" s="100"/>
      <c r="F64" s="4"/>
      <c r="G64" s="101"/>
      <c r="H64" s="3"/>
      <c r="I64" s="101"/>
      <c r="J64">
        <f t="shared" si="0"/>
        <v>0</v>
      </c>
    </row>
    <row r="65" spans="1:10">
      <c r="A65" s="3">
        <v>1</v>
      </c>
      <c r="B65" s="22">
        <v>510</v>
      </c>
      <c r="C65" s="4" t="s">
        <v>1514</v>
      </c>
      <c r="D65" s="100">
        <v>10126142218</v>
      </c>
      <c r="E65" s="100" t="s">
        <v>1448</v>
      </c>
      <c r="F65" s="4" t="s">
        <v>125</v>
      </c>
      <c r="G65" s="101">
        <v>2.1909722222222223E-2</v>
      </c>
      <c r="H65" s="3">
        <v>109</v>
      </c>
      <c r="I65" s="101"/>
      <c r="J65">
        <f t="shared" si="0"/>
        <v>1</v>
      </c>
    </row>
    <row r="66" spans="1:10">
      <c r="A66" s="3">
        <v>2</v>
      </c>
      <c r="B66" s="22">
        <v>505</v>
      </c>
      <c r="C66" s="4" t="s">
        <v>690</v>
      </c>
      <c r="D66" s="100">
        <v>10156807554</v>
      </c>
      <c r="E66" s="100" t="s">
        <v>1448</v>
      </c>
      <c r="F66" s="4" t="s">
        <v>340</v>
      </c>
      <c r="G66" s="101">
        <v>2.3425925925925926E-2</v>
      </c>
      <c r="H66" s="3">
        <v>110</v>
      </c>
      <c r="I66" s="101">
        <v>1.5162037037037036E-3</v>
      </c>
      <c r="J66">
        <f t="shared" ref="J66:J129" si="1">A66</f>
        <v>2</v>
      </c>
    </row>
    <row r="67" spans="1:10">
      <c r="A67" s="3">
        <v>3</v>
      </c>
      <c r="B67" s="22">
        <v>518</v>
      </c>
      <c r="C67" s="4" t="s">
        <v>930</v>
      </c>
      <c r="D67" s="100">
        <v>10141584517</v>
      </c>
      <c r="E67" s="100" t="s">
        <v>1448</v>
      </c>
      <c r="F67" s="4" t="s">
        <v>1513</v>
      </c>
      <c r="G67" s="101">
        <v>2.361111111111111E-2</v>
      </c>
      <c r="H67" s="3">
        <v>111</v>
      </c>
      <c r="I67" s="101">
        <v>1.7013888888888877E-3</v>
      </c>
      <c r="J67">
        <f t="shared" si="1"/>
        <v>3</v>
      </c>
    </row>
    <row r="68" spans="1:10">
      <c r="A68" s="3">
        <v>4</v>
      </c>
      <c r="B68" s="22">
        <v>521</v>
      </c>
      <c r="C68" s="4" t="s">
        <v>362</v>
      </c>
      <c r="D68" s="100">
        <v>10153425183</v>
      </c>
      <c r="E68" s="100" t="s">
        <v>1448</v>
      </c>
      <c r="F68" s="4" t="s">
        <v>1500</v>
      </c>
      <c r="G68" s="101">
        <v>2.4328703703703703E-2</v>
      </c>
      <c r="H68" s="3">
        <v>112</v>
      </c>
      <c r="I68" s="101">
        <v>2.4189814814814803E-3</v>
      </c>
      <c r="J68">
        <f t="shared" si="1"/>
        <v>4</v>
      </c>
    </row>
    <row r="69" spans="1:10">
      <c r="A69" s="3">
        <v>5</v>
      </c>
      <c r="B69" s="22">
        <v>502</v>
      </c>
      <c r="C69" s="4" t="s">
        <v>336</v>
      </c>
      <c r="D69" s="100">
        <v>10139359880</v>
      </c>
      <c r="E69" s="100" t="s">
        <v>1448</v>
      </c>
      <c r="F69" s="4" t="s">
        <v>84</v>
      </c>
      <c r="G69" s="101">
        <v>2.4467592592592593E-2</v>
      </c>
      <c r="H69" s="3">
        <v>64</v>
      </c>
      <c r="I69" s="101">
        <v>2.5578703703703701E-3</v>
      </c>
      <c r="J69">
        <f t="shared" si="1"/>
        <v>5</v>
      </c>
    </row>
    <row r="70" spans="1:10">
      <c r="A70" s="3">
        <v>6</v>
      </c>
      <c r="B70" s="107">
        <v>507</v>
      </c>
      <c r="C70" s="4" t="s">
        <v>1515</v>
      </c>
      <c r="D70" s="100">
        <v>10129054440</v>
      </c>
      <c r="E70" s="100" t="s">
        <v>1448</v>
      </c>
      <c r="F70" s="4" t="s">
        <v>150</v>
      </c>
      <c r="G70" s="101">
        <v>2.4664351851851851E-2</v>
      </c>
      <c r="H70" s="3">
        <v>65</v>
      </c>
      <c r="I70" s="101">
        <v>2.7546296296296277E-3</v>
      </c>
      <c r="J70">
        <f t="shared" si="1"/>
        <v>6</v>
      </c>
    </row>
    <row r="71" spans="1:10">
      <c r="A71" s="3">
        <v>7</v>
      </c>
      <c r="B71" s="22">
        <v>512</v>
      </c>
      <c r="C71" s="4" t="s">
        <v>689</v>
      </c>
      <c r="D71" s="100">
        <v>10131905735</v>
      </c>
      <c r="E71" s="100" t="s">
        <v>1448</v>
      </c>
      <c r="F71" s="4" t="s">
        <v>128</v>
      </c>
      <c r="G71" s="101">
        <v>2.508101851851852E-2</v>
      </c>
      <c r="H71" s="3">
        <v>66</v>
      </c>
      <c r="I71" s="101">
        <v>3.1712962962962971E-3</v>
      </c>
      <c r="J71">
        <f t="shared" si="1"/>
        <v>7</v>
      </c>
    </row>
    <row r="72" spans="1:10">
      <c r="A72" s="3">
        <v>8</v>
      </c>
      <c r="B72" s="22">
        <v>539</v>
      </c>
      <c r="C72" s="4" t="s">
        <v>1516</v>
      </c>
      <c r="D72" s="100" t="s">
        <v>66</v>
      </c>
      <c r="E72" s="100" t="s">
        <v>1448</v>
      </c>
      <c r="F72" s="4" t="s">
        <v>1513</v>
      </c>
      <c r="G72" s="101">
        <v>2.5648148148148149E-2</v>
      </c>
      <c r="H72" s="3">
        <v>67</v>
      </c>
      <c r="I72" s="101">
        <v>3.7384259259259263E-3</v>
      </c>
      <c r="J72">
        <f t="shared" si="1"/>
        <v>8</v>
      </c>
    </row>
    <row r="73" spans="1:10">
      <c r="A73" s="3">
        <v>9</v>
      </c>
      <c r="B73" s="22">
        <v>509</v>
      </c>
      <c r="C73" s="4" t="s">
        <v>1538</v>
      </c>
      <c r="D73" s="100">
        <v>10164774688</v>
      </c>
      <c r="E73" s="100" t="s">
        <v>1448</v>
      </c>
      <c r="F73" s="4" t="s">
        <v>1539</v>
      </c>
      <c r="G73" s="101">
        <v>2.6516203703703705E-2</v>
      </c>
      <c r="H73" s="3">
        <v>68</v>
      </c>
      <c r="I73" s="101">
        <v>4.6064814814814822E-3</v>
      </c>
      <c r="J73">
        <f t="shared" si="1"/>
        <v>9</v>
      </c>
    </row>
    <row r="74" spans="1:10">
      <c r="A74" s="3">
        <v>10</v>
      </c>
      <c r="B74" s="22">
        <v>514</v>
      </c>
      <c r="C74" s="4" t="s">
        <v>351</v>
      </c>
      <c r="D74" s="100">
        <v>10157013578</v>
      </c>
      <c r="E74" s="100" t="s">
        <v>1448</v>
      </c>
      <c r="F74" s="4" t="s">
        <v>1524</v>
      </c>
      <c r="G74" s="101">
        <v>2.7569444444444445E-2</v>
      </c>
      <c r="H74" s="3">
        <v>69</v>
      </c>
      <c r="I74" s="101">
        <v>5.6597222222222222E-3</v>
      </c>
      <c r="J74">
        <f t="shared" si="1"/>
        <v>10</v>
      </c>
    </row>
    <row r="75" spans="1:10">
      <c r="A75" s="3">
        <v>11</v>
      </c>
      <c r="B75" s="107">
        <v>503</v>
      </c>
      <c r="C75" s="4" t="s">
        <v>337</v>
      </c>
      <c r="D75" s="100">
        <v>10142567550</v>
      </c>
      <c r="E75" s="100" t="s">
        <v>1448</v>
      </c>
      <c r="F75" s="4" t="s">
        <v>154</v>
      </c>
      <c r="G75" s="101">
        <v>2.8032407407407409E-2</v>
      </c>
      <c r="H75" s="3">
        <v>70</v>
      </c>
      <c r="I75" s="101">
        <v>6.1226851851851859E-3</v>
      </c>
      <c r="J75">
        <f t="shared" si="1"/>
        <v>11</v>
      </c>
    </row>
    <row r="76" spans="1:10">
      <c r="A76" s="3">
        <v>12</v>
      </c>
      <c r="B76" s="22">
        <v>519</v>
      </c>
      <c r="C76" s="4" t="s">
        <v>1526</v>
      </c>
      <c r="D76" s="100">
        <v>10132818884</v>
      </c>
      <c r="E76" s="100" t="s">
        <v>1448</v>
      </c>
      <c r="F76" s="4" t="s">
        <v>1527</v>
      </c>
      <c r="G76" s="101">
        <v>2.8136574074074074E-2</v>
      </c>
      <c r="H76" s="3">
        <v>71</v>
      </c>
      <c r="I76" s="101">
        <v>6.2268518518518515E-3</v>
      </c>
      <c r="J76">
        <f t="shared" si="1"/>
        <v>12</v>
      </c>
    </row>
    <row r="77" spans="1:10">
      <c r="A77" s="3">
        <v>13</v>
      </c>
      <c r="B77" s="22">
        <v>504</v>
      </c>
      <c r="C77" s="4" t="s">
        <v>947</v>
      </c>
      <c r="D77" s="100">
        <v>10154828350</v>
      </c>
      <c r="E77" s="100" t="s">
        <v>1448</v>
      </c>
      <c r="F77" s="4" t="s">
        <v>124</v>
      </c>
      <c r="G77" s="101">
        <v>3.0324074074074073E-2</v>
      </c>
      <c r="H77" s="3">
        <v>72</v>
      </c>
      <c r="I77" s="101">
        <v>8.4143518518518499E-3</v>
      </c>
      <c r="J77">
        <f t="shared" si="1"/>
        <v>13</v>
      </c>
    </row>
    <row r="78" spans="1:10">
      <c r="A78" s="3">
        <v>14</v>
      </c>
      <c r="B78" s="22">
        <v>531</v>
      </c>
      <c r="C78" s="4" t="s">
        <v>1522</v>
      </c>
      <c r="D78" s="100">
        <v>10102760669</v>
      </c>
      <c r="E78" s="100" t="s">
        <v>1448</v>
      </c>
      <c r="F78" s="4" t="s">
        <v>1523</v>
      </c>
      <c r="G78" s="101">
        <v>3.1307870370370368E-2</v>
      </c>
      <c r="H78" s="3">
        <v>73</v>
      </c>
      <c r="I78" s="101">
        <v>9.3981481481481451E-3</v>
      </c>
      <c r="J78">
        <f t="shared" si="1"/>
        <v>14</v>
      </c>
    </row>
    <row r="79" spans="1:10">
      <c r="A79" s="3">
        <v>15</v>
      </c>
      <c r="B79" s="22">
        <v>538</v>
      </c>
      <c r="C79" s="4" t="s">
        <v>1326</v>
      </c>
      <c r="D79" s="100" t="s">
        <v>66</v>
      </c>
      <c r="E79" s="100" t="s">
        <v>1448</v>
      </c>
      <c r="F79" s="4" t="s">
        <v>1533</v>
      </c>
      <c r="G79" s="101">
        <v>3.1493055555555559E-2</v>
      </c>
      <c r="H79" s="3">
        <v>74</v>
      </c>
      <c r="I79" s="101">
        <v>9.5833333333333361E-3</v>
      </c>
      <c r="J79">
        <f t="shared" si="1"/>
        <v>15</v>
      </c>
    </row>
    <row r="80" spans="1:10">
      <c r="A80" s="3">
        <v>16</v>
      </c>
      <c r="B80" s="22">
        <v>516</v>
      </c>
      <c r="C80" s="4" t="s">
        <v>1528</v>
      </c>
      <c r="D80" s="100">
        <v>10172014730</v>
      </c>
      <c r="E80" s="100" t="s">
        <v>1448</v>
      </c>
      <c r="F80" s="4" t="s">
        <v>84</v>
      </c>
      <c r="G80" s="101">
        <v>3.1921296296296295E-2</v>
      </c>
      <c r="H80" s="3">
        <v>76</v>
      </c>
      <c r="I80" s="101">
        <v>1.0011574074074072E-2</v>
      </c>
      <c r="J80">
        <f t="shared" si="1"/>
        <v>16</v>
      </c>
    </row>
    <row r="81" spans="1:10">
      <c r="A81" s="3">
        <v>17</v>
      </c>
      <c r="B81" s="22">
        <v>540</v>
      </c>
      <c r="C81" s="4" t="s">
        <v>1521</v>
      </c>
      <c r="D81" s="100">
        <v>10175690525</v>
      </c>
      <c r="E81" s="100" t="s">
        <v>1448</v>
      </c>
      <c r="F81" s="4" t="s">
        <v>112</v>
      </c>
      <c r="G81" s="101">
        <v>3.1967592592592596E-2</v>
      </c>
      <c r="H81" s="3">
        <v>77</v>
      </c>
      <c r="I81" s="101">
        <v>1.0057870370370373E-2</v>
      </c>
      <c r="J81">
        <f t="shared" si="1"/>
        <v>17</v>
      </c>
    </row>
    <row r="82" spans="1:10">
      <c r="A82" s="3">
        <v>18</v>
      </c>
      <c r="B82" s="22">
        <v>506</v>
      </c>
      <c r="C82" s="4" t="s">
        <v>1529</v>
      </c>
      <c r="D82" s="100">
        <v>10171702512</v>
      </c>
      <c r="E82" s="100" t="s">
        <v>1448</v>
      </c>
      <c r="F82" s="4" t="s">
        <v>1530</v>
      </c>
      <c r="G82" s="101">
        <v>3.2256944444444442E-2</v>
      </c>
      <c r="H82" s="3">
        <v>78</v>
      </c>
      <c r="I82" s="101">
        <v>1.0347222222222219E-2</v>
      </c>
      <c r="J82">
        <f t="shared" si="1"/>
        <v>18</v>
      </c>
    </row>
    <row r="83" spans="1:10">
      <c r="A83" s="3">
        <v>19</v>
      </c>
      <c r="B83" s="22">
        <v>523</v>
      </c>
      <c r="C83" s="4" t="s">
        <v>1525</v>
      </c>
      <c r="D83" s="100">
        <v>10155993259</v>
      </c>
      <c r="E83" s="100" t="s">
        <v>1448</v>
      </c>
      <c r="F83" s="4" t="s">
        <v>1500</v>
      </c>
      <c r="G83" s="101">
        <v>3.3101851851851855E-2</v>
      </c>
      <c r="H83" s="3">
        <v>79</v>
      </c>
      <c r="I83" s="101">
        <v>1.1192129629629632E-2</v>
      </c>
      <c r="J83">
        <f t="shared" si="1"/>
        <v>19</v>
      </c>
    </row>
    <row r="84" spans="1:10">
      <c r="A84" s="3">
        <v>20</v>
      </c>
      <c r="B84" s="22">
        <v>529</v>
      </c>
      <c r="C84" s="4" t="s">
        <v>1517</v>
      </c>
      <c r="D84" s="100">
        <v>10162504282</v>
      </c>
      <c r="E84" s="100" t="s">
        <v>1448</v>
      </c>
      <c r="F84" s="4" t="s">
        <v>125</v>
      </c>
      <c r="G84" s="101">
        <v>3.5972222222222225E-2</v>
      </c>
      <c r="H84" s="3">
        <v>104</v>
      </c>
      <c r="I84" s="101">
        <v>1.4062500000000002E-2</v>
      </c>
      <c r="J84">
        <f t="shared" si="1"/>
        <v>20</v>
      </c>
    </row>
    <row r="85" spans="1:10">
      <c r="A85" s="3">
        <v>21</v>
      </c>
      <c r="B85" s="22">
        <v>508</v>
      </c>
      <c r="C85" s="4" t="s">
        <v>1531</v>
      </c>
      <c r="D85" s="100">
        <v>10171656133</v>
      </c>
      <c r="E85" s="100" t="s">
        <v>1448</v>
      </c>
      <c r="F85" s="4" t="s">
        <v>1532</v>
      </c>
      <c r="G85" s="101">
        <v>3.7395833333333336E-2</v>
      </c>
      <c r="H85" s="3">
        <v>105</v>
      </c>
      <c r="I85" s="101">
        <v>1.5486111111111114E-2</v>
      </c>
      <c r="J85">
        <f t="shared" si="1"/>
        <v>21</v>
      </c>
    </row>
    <row r="86" spans="1:10">
      <c r="A86" s="3">
        <v>22</v>
      </c>
      <c r="B86" s="22">
        <v>544</v>
      </c>
      <c r="C86" s="4" t="s">
        <v>1534</v>
      </c>
      <c r="D86" s="100" t="s">
        <v>66</v>
      </c>
      <c r="E86" s="100" t="s">
        <v>1448</v>
      </c>
      <c r="F86" s="4" t="s">
        <v>1487</v>
      </c>
      <c r="G86" s="101" t="s">
        <v>1482</v>
      </c>
      <c r="H86" s="3">
        <v>106</v>
      </c>
      <c r="I86" s="101" t="s">
        <v>6</v>
      </c>
      <c r="J86">
        <f t="shared" si="1"/>
        <v>22</v>
      </c>
    </row>
    <row r="87" spans="1:10">
      <c r="A87" s="3">
        <v>23</v>
      </c>
      <c r="B87" s="22">
        <v>501</v>
      </c>
      <c r="C87" s="4" t="s">
        <v>1511</v>
      </c>
      <c r="D87" s="100">
        <v>10171463345</v>
      </c>
      <c r="E87" s="100" t="s">
        <v>1448</v>
      </c>
      <c r="F87" s="4" t="s">
        <v>1512</v>
      </c>
      <c r="G87" s="101" t="s">
        <v>1482</v>
      </c>
      <c r="H87" s="3">
        <v>107</v>
      </c>
      <c r="I87" s="101" t="s">
        <v>6</v>
      </c>
      <c r="J87">
        <f t="shared" si="1"/>
        <v>23</v>
      </c>
    </row>
    <row r="88" spans="1:10" ht="15.75">
      <c r="A88" s="2">
        <v>24</v>
      </c>
      <c r="B88" s="48">
        <v>545</v>
      </c>
      <c r="C88" s="17" t="s">
        <v>1541</v>
      </c>
      <c r="D88" s="17" t="s">
        <v>6</v>
      </c>
      <c r="E88" s="17" t="s">
        <v>1448</v>
      </c>
      <c r="F88" t="s">
        <v>1542</v>
      </c>
      <c r="G88" s="5" t="s">
        <v>1482</v>
      </c>
      <c r="H88" s="2">
        <v>108</v>
      </c>
      <c r="I88" s="5" t="s">
        <v>6</v>
      </c>
      <c r="J88">
        <f t="shared" si="1"/>
        <v>24</v>
      </c>
    </row>
    <row r="89" spans="1:10" ht="15.75">
      <c r="A89" s="2"/>
      <c r="B89" s="48">
        <v>530</v>
      </c>
      <c r="C89" s="17" t="s">
        <v>941</v>
      </c>
      <c r="D89" s="17">
        <v>10173144172</v>
      </c>
      <c r="E89" s="17" t="s">
        <v>1448</v>
      </c>
      <c r="F89" t="s">
        <v>1518</v>
      </c>
      <c r="G89" s="5" t="s">
        <v>1459</v>
      </c>
      <c r="H89" s="2">
        <v>46</v>
      </c>
      <c r="I89" s="5" t="s">
        <v>6</v>
      </c>
      <c r="J89">
        <f t="shared" si="1"/>
        <v>0</v>
      </c>
    </row>
    <row r="90" spans="1:10" ht="15.75">
      <c r="A90" s="2"/>
      <c r="B90" s="48">
        <v>526</v>
      </c>
      <c r="C90" s="17" t="s">
        <v>1519</v>
      </c>
      <c r="D90" s="17">
        <v>10173358380</v>
      </c>
      <c r="E90" s="17" t="s">
        <v>1448</v>
      </c>
      <c r="F90" t="s">
        <v>1520</v>
      </c>
      <c r="G90" s="5" t="s">
        <v>1459</v>
      </c>
      <c r="H90" s="2">
        <v>47</v>
      </c>
      <c r="I90" s="5" t="s">
        <v>6</v>
      </c>
      <c r="J90">
        <f t="shared" si="1"/>
        <v>0</v>
      </c>
    </row>
    <row r="91" spans="1:10" ht="15.75">
      <c r="A91" s="2"/>
      <c r="B91" s="48">
        <v>543</v>
      </c>
      <c r="C91" s="17" t="s">
        <v>1536</v>
      </c>
      <c r="D91" s="17" t="s">
        <v>66</v>
      </c>
      <c r="E91" s="17" t="s">
        <v>1448</v>
      </c>
      <c r="F91" t="s">
        <v>1537</v>
      </c>
      <c r="G91" s="5" t="s">
        <v>1459</v>
      </c>
      <c r="H91" s="2">
        <v>48</v>
      </c>
      <c r="I91" s="5" t="s">
        <v>6</v>
      </c>
      <c r="J91">
        <f t="shared" si="1"/>
        <v>0</v>
      </c>
    </row>
    <row r="92" spans="1:10" ht="15.75">
      <c r="A92" s="2"/>
      <c r="B92" s="48">
        <v>513</v>
      </c>
      <c r="C92" s="17" t="s">
        <v>1543</v>
      </c>
      <c r="D92" s="17">
        <v>121480958</v>
      </c>
      <c r="E92" s="17" t="s">
        <v>1448</v>
      </c>
      <c r="F92" t="s">
        <v>130</v>
      </c>
      <c r="G92" s="5" t="s">
        <v>1459</v>
      </c>
      <c r="H92" s="2">
        <v>49</v>
      </c>
      <c r="I92" s="5" t="s">
        <v>6</v>
      </c>
      <c r="J92">
        <f t="shared" si="1"/>
        <v>0</v>
      </c>
    </row>
    <row r="93" spans="1:10" ht="15.75">
      <c r="A93" s="2"/>
      <c r="B93" s="48">
        <v>537</v>
      </c>
      <c r="C93" s="17" t="s">
        <v>1544</v>
      </c>
      <c r="D93" s="17">
        <v>10175124992</v>
      </c>
      <c r="E93" s="17" t="s">
        <v>1448</v>
      </c>
      <c r="F93" t="s">
        <v>1545</v>
      </c>
      <c r="G93" s="5" t="s">
        <v>1459</v>
      </c>
      <c r="H93" s="2">
        <v>50</v>
      </c>
      <c r="I93" s="5" t="s">
        <v>6</v>
      </c>
      <c r="J93">
        <f t="shared" si="1"/>
        <v>0</v>
      </c>
    </row>
    <row r="94" spans="1:10" ht="15.75">
      <c r="A94" s="2"/>
      <c r="B94" s="48">
        <v>536</v>
      </c>
      <c r="C94" s="17" t="s">
        <v>1327</v>
      </c>
      <c r="D94" s="17">
        <v>10175690727</v>
      </c>
      <c r="E94" s="17" t="s">
        <v>1448</v>
      </c>
      <c r="F94" t="s">
        <v>65</v>
      </c>
      <c r="G94" s="5" t="s">
        <v>1459</v>
      </c>
      <c r="H94" s="2">
        <v>51</v>
      </c>
      <c r="I94" s="5" t="s">
        <v>6</v>
      </c>
      <c r="J94">
        <f t="shared" si="1"/>
        <v>0</v>
      </c>
    </row>
    <row r="95" spans="1:10" ht="15.75">
      <c r="A95" s="2"/>
      <c r="B95" s="48">
        <v>515</v>
      </c>
      <c r="C95" s="17" t="s">
        <v>948</v>
      </c>
      <c r="D95" s="17">
        <v>10171999875</v>
      </c>
      <c r="E95" s="17" t="s">
        <v>1448</v>
      </c>
      <c r="F95" t="s">
        <v>130</v>
      </c>
      <c r="G95" s="5" t="s">
        <v>1680</v>
      </c>
      <c r="H95" s="2">
        <v>75</v>
      </c>
      <c r="I95" s="5" t="s">
        <v>6</v>
      </c>
      <c r="J95">
        <f t="shared" si="1"/>
        <v>0</v>
      </c>
    </row>
    <row r="96" spans="1:10" ht="15.75">
      <c r="A96" s="2"/>
      <c r="B96" s="48"/>
      <c r="C96" s="17"/>
      <c r="D96" s="17"/>
      <c r="E96" s="17"/>
      <c r="G96" s="5"/>
      <c r="H96" s="2"/>
      <c r="I96" s="5"/>
      <c r="J96">
        <f t="shared" si="1"/>
        <v>0</v>
      </c>
    </row>
    <row r="97" spans="1:10">
      <c r="A97" s="58">
        <v>1</v>
      </c>
      <c r="B97" s="2">
        <v>401</v>
      </c>
      <c r="C97" t="s">
        <v>377</v>
      </c>
      <c r="D97">
        <v>10162383236</v>
      </c>
      <c r="E97" t="s">
        <v>1448</v>
      </c>
      <c r="F97" t="s">
        <v>1485</v>
      </c>
      <c r="G97">
        <v>1.3831018518518519E-2</v>
      </c>
      <c r="H97">
        <v>80</v>
      </c>
      <c r="J97">
        <f t="shared" si="1"/>
        <v>1</v>
      </c>
    </row>
    <row r="98" spans="1:10">
      <c r="A98" s="2">
        <v>2</v>
      </c>
      <c r="B98" s="2">
        <v>424</v>
      </c>
      <c r="C98" t="s">
        <v>1492</v>
      </c>
      <c r="D98" s="17" t="s">
        <v>66</v>
      </c>
      <c r="E98" s="17" t="s">
        <v>1448</v>
      </c>
      <c r="F98" t="s">
        <v>1493</v>
      </c>
      <c r="G98" s="5">
        <v>1.4618055555555554E-2</v>
      </c>
      <c r="H98" s="2">
        <v>81</v>
      </c>
      <c r="I98" s="5">
        <v>7.8703703703703574E-4</v>
      </c>
      <c r="J98">
        <f t="shared" si="1"/>
        <v>2</v>
      </c>
    </row>
    <row r="99" spans="1:10">
      <c r="A99" s="2">
        <v>3</v>
      </c>
      <c r="B99" s="2">
        <v>406</v>
      </c>
      <c r="C99" t="s">
        <v>1489</v>
      </c>
      <c r="D99" s="17">
        <v>10172211659</v>
      </c>
      <c r="E99" s="17" t="s">
        <v>1448</v>
      </c>
      <c r="F99" t="s">
        <v>1490</v>
      </c>
      <c r="G99" s="5">
        <v>1.4618055555555554E-2</v>
      </c>
      <c r="H99" s="2">
        <v>82</v>
      </c>
      <c r="I99" s="78">
        <v>7.8703703703703574E-4</v>
      </c>
      <c r="J99">
        <f t="shared" si="1"/>
        <v>3</v>
      </c>
    </row>
    <row r="100" spans="1:10">
      <c r="A100" s="58">
        <v>4</v>
      </c>
      <c r="B100" s="2">
        <v>421</v>
      </c>
      <c r="C100" t="s">
        <v>1486</v>
      </c>
      <c r="D100" t="s">
        <v>66</v>
      </c>
      <c r="E100" t="s">
        <v>1448</v>
      </c>
      <c r="F100" t="s">
        <v>1487</v>
      </c>
      <c r="G100">
        <v>1.5231481481481481E-2</v>
      </c>
      <c r="H100">
        <v>83</v>
      </c>
      <c r="I100">
        <v>1.4004629629629627E-3</v>
      </c>
      <c r="J100">
        <f t="shared" si="1"/>
        <v>4</v>
      </c>
    </row>
    <row r="101" spans="1:10" ht="15.75">
      <c r="A101" s="2">
        <v>5</v>
      </c>
      <c r="B101" s="21">
        <v>407</v>
      </c>
      <c r="C101" t="s">
        <v>1488</v>
      </c>
      <c r="D101" s="17" t="s">
        <v>66</v>
      </c>
      <c r="E101" s="17" t="s">
        <v>1448</v>
      </c>
      <c r="F101" t="s">
        <v>84</v>
      </c>
      <c r="G101" s="5">
        <v>1.7685185185185186E-2</v>
      </c>
      <c r="H101" s="2">
        <v>85</v>
      </c>
      <c r="I101" s="5">
        <v>3.8541666666666672E-3</v>
      </c>
      <c r="J101">
        <f t="shared" si="1"/>
        <v>5</v>
      </c>
    </row>
    <row r="102" spans="1:10" ht="15.75">
      <c r="A102" s="7">
        <v>6</v>
      </c>
      <c r="B102" s="21">
        <v>402</v>
      </c>
      <c r="C102" t="s">
        <v>745</v>
      </c>
      <c r="D102" s="17" t="s">
        <v>66</v>
      </c>
      <c r="E102" s="17" t="s">
        <v>1448</v>
      </c>
      <c r="F102" t="s">
        <v>1681</v>
      </c>
      <c r="G102" s="5">
        <v>1.7824074074074076E-2</v>
      </c>
      <c r="H102" s="2">
        <v>86</v>
      </c>
      <c r="I102" s="5">
        <v>3.993055555555557E-3</v>
      </c>
      <c r="J102">
        <f t="shared" si="1"/>
        <v>6</v>
      </c>
    </row>
    <row r="103" spans="1:10">
      <c r="A103" s="58">
        <v>7</v>
      </c>
      <c r="B103" s="2">
        <v>411</v>
      </c>
      <c r="C103" t="s">
        <v>1682</v>
      </c>
      <c r="D103">
        <v>10151394247</v>
      </c>
      <c r="E103" t="s">
        <v>1448</v>
      </c>
      <c r="F103" t="s">
        <v>1683</v>
      </c>
      <c r="G103">
        <v>1.8645833333333334E-2</v>
      </c>
      <c r="H103">
        <v>89</v>
      </c>
      <c r="I103">
        <v>4.8148148148148152E-3</v>
      </c>
      <c r="J103">
        <f t="shared" si="1"/>
        <v>7</v>
      </c>
    </row>
    <row r="104" spans="1:10">
      <c r="A104" s="2">
        <v>8</v>
      </c>
      <c r="B104" s="2">
        <v>404</v>
      </c>
      <c r="C104" s="17" t="s">
        <v>380</v>
      </c>
      <c r="D104" s="17">
        <v>10130330796</v>
      </c>
      <c r="E104" s="17" t="s">
        <v>1448</v>
      </c>
      <c r="F104" t="s">
        <v>65</v>
      </c>
      <c r="G104" s="5">
        <v>1.9016203703703705E-2</v>
      </c>
      <c r="H104" s="2">
        <v>90</v>
      </c>
      <c r="I104" s="5">
        <v>5.1851851851851868E-3</v>
      </c>
      <c r="J104">
        <f t="shared" si="1"/>
        <v>8</v>
      </c>
    </row>
    <row r="105" spans="1:10">
      <c r="A105" s="2">
        <v>9</v>
      </c>
      <c r="B105" s="2">
        <v>409</v>
      </c>
      <c r="C105" s="17" t="s">
        <v>1144</v>
      </c>
      <c r="D105" s="17">
        <v>10173513378</v>
      </c>
      <c r="E105" s="17" t="s">
        <v>1448</v>
      </c>
      <c r="F105" t="s">
        <v>1494</v>
      </c>
      <c r="G105" s="5">
        <v>2.0844907407407409E-2</v>
      </c>
      <c r="H105" s="2">
        <v>91</v>
      </c>
      <c r="I105" s="5">
        <v>7.0138888888888907E-3</v>
      </c>
      <c r="J105">
        <f t="shared" si="1"/>
        <v>9</v>
      </c>
    </row>
    <row r="106" spans="1:10">
      <c r="A106" s="58">
        <v>10</v>
      </c>
      <c r="B106" s="2">
        <v>425</v>
      </c>
      <c r="C106" t="s">
        <v>1497</v>
      </c>
      <c r="D106" t="s">
        <v>6</v>
      </c>
      <c r="E106" t="s">
        <v>1448</v>
      </c>
      <c r="F106" t="s">
        <v>1494</v>
      </c>
      <c r="G106">
        <v>2.1250000000000002E-2</v>
      </c>
      <c r="H106">
        <v>92</v>
      </c>
      <c r="I106">
        <v>7.418981481481483E-3</v>
      </c>
      <c r="J106">
        <f t="shared" si="1"/>
        <v>10</v>
      </c>
    </row>
    <row r="107" spans="1:10">
      <c r="A107" s="79">
        <v>11</v>
      </c>
      <c r="B107" s="2">
        <v>422</v>
      </c>
      <c r="C107" t="s">
        <v>1496</v>
      </c>
      <c r="D107" s="17" t="s">
        <v>66</v>
      </c>
      <c r="E107" s="17" t="s">
        <v>1448</v>
      </c>
      <c r="F107" s="17" t="s">
        <v>1487</v>
      </c>
      <c r="G107" s="5">
        <v>2.1273148148148149E-2</v>
      </c>
      <c r="H107" s="2">
        <v>93</v>
      </c>
      <c r="I107" s="5">
        <v>7.4421296296296301E-3</v>
      </c>
      <c r="J107">
        <f t="shared" si="1"/>
        <v>11</v>
      </c>
    </row>
    <row r="108" spans="1:10">
      <c r="A108" s="80">
        <v>12</v>
      </c>
      <c r="B108" s="2">
        <v>423</v>
      </c>
      <c r="C108" t="s">
        <v>1498</v>
      </c>
      <c r="D108" s="17">
        <v>10175538254</v>
      </c>
      <c r="E108" s="17" t="s">
        <v>1448</v>
      </c>
      <c r="F108" s="17" t="s">
        <v>1487</v>
      </c>
      <c r="G108" s="5">
        <v>2.2592592592592595E-2</v>
      </c>
      <c r="H108" s="2">
        <v>94</v>
      </c>
      <c r="I108" s="5">
        <v>8.7615740740740761E-3</v>
      </c>
      <c r="J108">
        <f t="shared" si="1"/>
        <v>12</v>
      </c>
    </row>
    <row r="109" spans="1:10">
      <c r="A109" s="79">
        <v>13</v>
      </c>
      <c r="B109" s="2">
        <v>420</v>
      </c>
      <c r="C109" t="s">
        <v>1491</v>
      </c>
      <c r="D109" s="17">
        <v>10177779257</v>
      </c>
      <c r="E109" s="17" t="s">
        <v>1448</v>
      </c>
      <c r="F109" s="17" t="s">
        <v>65</v>
      </c>
      <c r="G109" s="5">
        <v>2.2812500000000003E-2</v>
      </c>
      <c r="H109" s="2">
        <v>95</v>
      </c>
      <c r="I109" s="5">
        <v>8.9814814814814844E-3</v>
      </c>
      <c r="J109">
        <f t="shared" si="1"/>
        <v>13</v>
      </c>
    </row>
    <row r="110" spans="1:10">
      <c r="A110" s="80">
        <v>14</v>
      </c>
      <c r="B110" s="2">
        <v>413</v>
      </c>
      <c r="C110" t="s">
        <v>1684</v>
      </c>
      <c r="D110" s="17">
        <v>10113255059</v>
      </c>
      <c r="E110" s="17" t="s">
        <v>1448</v>
      </c>
      <c r="F110" s="17" t="s">
        <v>1685</v>
      </c>
      <c r="G110" s="5">
        <v>2.3761574074074074E-2</v>
      </c>
      <c r="H110" s="2">
        <v>96</v>
      </c>
      <c r="I110" s="5">
        <v>9.9305555555555553E-3</v>
      </c>
      <c r="J110">
        <f t="shared" si="1"/>
        <v>14</v>
      </c>
    </row>
    <row r="111" spans="1:10">
      <c r="A111" s="79">
        <v>15</v>
      </c>
      <c r="B111" s="2" t="s">
        <v>1686</v>
      </c>
      <c r="C111" t="s">
        <v>1687</v>
      </c>
      <c r="D111" s="17" t="s">
        <v>6</v>
      </c>
      <c r="E111" s="17" t="s">
        <v>1448</v>
      </c>
      <c r="F111" s="17" t="s">
        <v>66</v>
      </c>
      <c r="G111" s="5">
        <v>2.4050925925925927E-2</v>
      </c>
      <c r="H111" s="2">
        <v>97</v>
      </c>
      <c r="I111" s="5">
        <v>1.0219907407407408E-2</v>
      </c>
      <c r="J111">
        <f t="shared" si="1"/>
        <v>15</v>
      </c>
    </row>
    <row r="112" spans="1:10">
      <c r="A112" s="80">
        <v>16</v>
      </c>
      <c r="B112" s="2">
        <v>417</v>
      </c>
      <c r="C112" t="s">
        <v>1309</v>
      </c>
      <c r="D112" s="17">
        <v>10175618177</v>
      </c>
      <c r="E112" s="17" t="s">
        <v>1448</v>
      </c>
      <c r="F112" s="17" t="s">
        <v>1495</v>
      </c>
      <c r="G112" s="5">
        <v>2.5902777777777778E-2</v>
      </c>
      <c r="H112" s="2">
        <v>98</v>
      </c>
      <c r="I112" s="5">
        <v>1.207175925925926E-2</v>
      </c>
      <c r="J112">
        <f t="shared" si="1"/>
        <v>16</v>
      </c>
    </row>
    <row r="113" spans="1:10">
      <c r="J113">
        <f t="shared" si="1"/>
        <v>0</v>
      </c>
    </row>
    <row r="114" spans="1:10" ht="15.75">
      <c r="A114" s="79">
        <v>1</v>
      </c>
      <c r="B114" s="21">
        <v>581</v>
      </c>
      <c r="C114" t="s">
        <v>1554</v>
      </c>
      <c r="D114" s="17">
        <v>121480116</v>
      </c>
      <c r="E114" s="17" t="s">
        <v>1448</v>
      </c>
      <c r="F114" s="17" t="s">
        <v>1555</v>
      </c>
      <c r="G114" s="5">
        <v>1.3391203703703704E-2</v>
      </c>
      <c r="H114" s="2">
        <v>53</v>
      </c>
      <c r="I114" s="5"/>
      <c r="J114">
        <f t="shared" si="1"/>
        <v>1</v>
      </c>
    </row>
    <row r="115" spans="1:10" ht="15.75">
      <c r="A115" s="80">
        <v>2</v>
      </c>
      <c r="B115" s="21">
        <v>586</v>
      </c>
      <c r="C115" t="s">
        <v>1556</v>
      </c>
      <c r="D115" s="17" t="s">
        <v>66</v>
      </c>
      <c r="E115" s="17" t="s">
        <v>1448</v>
      </c>
      <c r="F115" s="17" t="s">
        <v>150</v>
      </c>
      <c r="G115" s="5">
        <v>1.5046296296296295E-2</v>
      </c>
      <c r="H115" s="2">
        <v>54</v>
      </c>
      <c r="I115" s="5">
        <v>1.6550925925925917E-3</v>
      </c>
      <c r="J115">
        <f t="shared" si="1"/>
        <v>2</v>
      </c>
    </row>
    <row r="116" spans="1:10" ht="15.75">
      <c r="A116" s="79">
        <v>3</v>
      </c>
      <c r="B116" s="21">
        <v>589</v>
      </c>
      <c r="C116" t="s">
        <v>374</v>
      </c>
      <c r="D116" s="17">
        <v>10164743366</v>
      </c>
      <c r="E116" s="17" t="s">
        <v>1448</v>
      </c>
      <c r="F116" s="17" t="s">
        <v>449</v>
      </c>
      <c r="G116" s="5">
        <v>1.5706018518518518E-2</v>
      </c>
      <c r="H116" s="2">
        <v>55</v>
      </c>
      <c r="I116" s="5">
        <v>2.3148148148148147E-3</v>
      </c>
      <c r="J116">
        <f t="shared" si="1"/>
        <v>3</v>
      </c>
    </row>
    <row r="117" spans="1:10">
      <c r="A117" s="102">
        <v>4</v>
      </c>
      <c r="B117" s="22">
        <v>583</v>
      </c>
      <c r="C117" s="4" t="s">
        <v>1558</v>
      </c>
      <c r="D117" s="100">
        <v>10154228768</v>
      </c>
      <c r="E117" s="100" t="s">
        <v>1448</v>
      </c>
      <c r="F117" s="100" t="s">
        <v>124</v>
      </c>
      <c r="G117" s="101">
        <v>1.6041666666666666E-2</v>
      </c>
      <c r="H117" s="3">
        <v>56</v>
      </c>
      <c r="I117" s="101">
        <v>2.6504629629629621E-3</v>
      </c>
      <c r="J117">
        <f t="shared" si="1"/>
        <v>4</v>
      </c>
    </row>
    <row r="118" spans="1:10">
      <c r="A118" s="103">
        <v>5</v>
      </c>
      <c r="B118" s="22">
        <v>582</v>
      </c>
      <c r="C118" s="4" t="s">
        <v>1167</v>
      </c>
      <c r="D118" s="100">
        <v>10131906139</v>
      </c>
      <c r="E118" s="100" t="s">
        <v>1448</v>
      </c>
      <c r="F118" s="100" t="s">
        <v>130</v>
      </c>
      <c r="G118" s="101">
        <v>1.6388888888888887E-2</v>
      </c>
      <c r="H118" s="3">
        <v>57</v>
      </c>
      <c r="I118" s="101">
        <v>2.9976851851851831E-3</v>
      </c>
      <c r="J118">
        <f t="shared" si="1"/>
        <v>5</v>
      </c>
    </row>
    <row r="119" spans="1:10">
      <c r="A119" s="102">
        <v>6</v>
      </c>
      <c r="B119" s="22">
        <v>584</v>
      </c>
      <c r="C119" s="4" t="s">
        <v>369</v>
      </c>
      <c r="D119" s="100">
        <v>10154309503</v>
      </c>
      <c r="E119" s="100" t="s">
        <v>1448</v>
      </c>
      <c r="F119" s="100" t="s">
        <v>1563</v>
      </c>
      <c r="G119" s="101">
        <v>1.6770833333333332E-2</v>
      </c>
      <c r="H119" s="3">
        <v>58</v>
      </c>
      <c r="I119" s="101">
        <v>3.3796296296296283E-3</v>
      </c>
      <c r="J119">
        <f t="shared" si="1"/>
        <v>6</v>
      </c>
    </row>
    <row r="120" spans="1:10">
      <c r="A120" s="102">
        <v>7</v>
      </c>
      <c r="B120" s="22">
        <v>596</v>
      </c>
      <c r="C120" s="4" t="s">
        <v>1557</v>
      </c>
      <c r="D120" s="100">
        <v>10153426601</v>
      </c>
      <c r="E120" s="100" t="s">
        <v>1448</v>
      </c>
      <c r="F120" s="100" t="s">
        <v>1506</v>
      </c>
      <c r="G120" s="101">
        <v>1.7430555555555553E-2</v>
      </c>
      <c r="H120" s="3">
        <v>59</v>
      </c>
      <c r="I120" s="101">
        <v>4.0393518518518495E-3</v>
      </c>
      <c r="J120">
        <f t="shared" si="1"/>
        <v>7</v>
      </c>
    </row>
    <row r="121" spans="1:10">
      <c r="A121" s="103">
        <v>8</v>
      </c>
      <c r="B121" s="107">
        <v>590</v>
      </c>
      <c r="C121" s="4" t="s">
        <v>1559</v>
      </c>
      <c r="D121" s="100">
        <v>10172211558</v>
      </c>
      <c r="E121" s="100" t="s">
        <v>1448</v>
      </c>
      <c r="F121" s="100" t="s">
        <v>111</v>
      </c>
      <c r="G121" s="101">
        <v>1.7488425925925925E-2</v>
      </c>
      <c r="H121" s="3">
        <v>60</v>
      </c>
      <c r="I121" s="101">
        <v>4.0972222222222208E-3</v>
      </c>
      <c r="J121">
        <f t="shared" si="1"/>
        <v>8</v>
      </c>
    </row>
    <row r="122" spans="1:10">
      <c r="A122" s="102">
        <v>9</v>
      </c>
      <c r="B122" s="107">
        <v>587</v>
      </c>
      <c r="C122" s="4" t="s">
        <v>1562</v>
      </c>
      <c r="D122" s="100">
        <v>10176563323</v>
      </c>
      <c r="E122" s="100" t="s">
        <v>1448</v>
      </c>
      <c r="F122" s="100" t="s">
        <v>150</v>
      </c>
      <c r="G122" s="101">
        <v>1.8414351851851852E-2</v>
      </c>
      <c r="H122" s="3">
        <v>61</v>
      </c>
      <c r="I122" s="101">
        <v>5.0231481481481481E-3</v>
      </c>
      <c r="J122">
        <f t="shared" si="1"/>
        <v>9</v>
      </c>
    </row>
    <row r="123" spans="1:10">
      <c r="A123" s="102">
        <v>10</v>
      </c>
      <c r="B123" s="22">
        <v>588</v>
      </c>
      <c r="C123" s="4" t="s">
        <v>1560</v>
      </c>
      <c r="D123" s="100">
        <v>10164743770</v>
      </c>
      <c r="E123" s="100" t="s">
        <v>1448</v>
      </c>
      <c r="F123" s="100" t="s">
        <v>1561</v>
      </c>
      <c r="G123" s="101">
        <v>2.0509259259259258E-2</v>
      </c>
      <c r="H123" s="3">
        <v>62</v>
      </c>
      <c r="I123" s="101">
        <v>7.1180555555555546E-3</v>
      </c>
      <c r="J123">
        <f t="shared" si="1"/>
        <v>10</v>
      </c>
    </row>
    <row r="124" spans="1:10">
      <c r="A124" s="102">
        <v>11</v>
      </c>
      <c r="B124" s="107">
        <v>595</v>
      </c>
      <c r="C124" s="4" t="s">
        <v>1564</v>
      </c>
      <c r="D124" s="100">
        <v>10173517826</v>
      </c>
      <c r="E124" s="100" t="s">
        <v>6</v>
      </c>
      <c r="F124" s="100" t="s">
        <v>1500</v>
      </c>
      <c r="G124" s="101">
        <v>2.0509259259259258E-2</v>
      </c>
      <c r="H124" s="3">
        <v>63</v>
      </c>
      <c r="I124" s="101">
        <v>7.1180555555555546E-3</v>
      </c>
      <c r="J124">
        <f t="shared" si="1"/>
        <v>11</v>
      </c>
    </row>
    <row r="125" spans="1:10">
      <c r="A125" s="80"/>
      <c r="B125" s="2">
        <v>593</v>
      </c>
      <c r="C125" t="s">
        <v>735</v>
      </c>
      <c r="D125" s="17" t="s">
        <v>66</v>
      </c>
      <c r="E125" s="17" t="s">
        <v>1448</v>
      </c>
      <c r="F125" s="17" t="s">
        <v>1542</v>
      </c>
      <c r="G125" s="5" t="s">
        <v>1459</v>
      </c>
      <c r="H125" s="2">
        <v>52</v>
      </c>
      <c r="I125" s="5"/>
      <c r="J125">
        <f t="shared" si="1"/>
        <v>0</v>
      </c>
    </row>
    <row r="126" spans="1:10">
      <c r="A126" s="79"/>
      <c r="D126" s="17"/>
      <c r="E126" s="17"/>
      <c r="F126" s="17"/>
      <c r="G126" s="5"/>
      <c r="H126" s="2"/>
      <c r="I126" s="5"/>
      <c r="J126">
        <f t="shared" si="1"/>
        <v>0</v>
      </c>
    </row>
    <row r="127" spans="1:10">
      <c r="A127" s="80">
        <v>1</v>
      </c>
      <c r="B127" s="2">
        <v>484</v>
      </c>
      <c r="C127" t="s">
        <v>1503</v>
      </c>
      <c r="D127" s="17">
        <v>10162507114</v>
      </c>
      <c r="E127" s="17" t="s">
        <v>1448</v>
      </c>
      <c r="F127" s="17" t="s">
        <v>125</v>
      </c>
      <c r="G127" s="5">
        <v>1.6446759259259258E-2</v>
      </c>
      <c r="H127" s="2">
        <v>84</v>
      </c>
      <c r="I127" s="5"/>
      <c r="J127">
        <f t="shared" si="1"/>
        <v>1</v>
      </c>
    </row>
    <row r="128" spans="1:10">
      <c r="A128" s="79">
        <v>2</v>
      </c>
      <c r="B128" s="2">
        <v>482</v>
      </c>
      <c r="C128" t="s">
        <v>1501</v>
      </c>
      <c r="D128" s="17">
        <v>10171940261</v>
      </c>
      <c r="E128" s="17" t="s">
        <v>1448</v>
      </c>
      <c r="F128" s="17" t="s">
        <v>1502</v>
      </c>
      <c r="G128" s="5">
        <v>1.7615740740740741E-2</v>
      </c>
      <c r="H128" s="2">
        <v>87</v>
      </c>
      <c r="I128" s="5">
        <v>1.1689814814814826E-3</v>
      </c>
      <c r="J128">
        <f t="shared" si="1"/>
        <v>2</v>
      </c>
    </row>
    <row r="129" spans="1:10">
      <c r="A129" s="80">
        <v>3</v>
      </c>
      <c r="B129" s="2">
        <v>489</v>
      </c>
      <c r="C129" t="s">
        <v>1499</v>
      </c>
      <c r="D129" s="17">
        <v>10105006019</v>
      </c>
      <c r="E129" s="17" t="s">
        <v>1448</v>
      </c>
      <c r="F129" s="17" t="s">
        <v>1500</v>
      </c>
      <c r="G129" s="5">
        <v>1.7615740740740741E-2</v>
      </c>
      <c r="H129" s="2">
        <v>88</v>
      </c>
      <c r="I129" s="5">
        <v>1.1689814814814826E-3</v>
      </c>
      <c r="J129">
        <f t="shared" si="1"/>
        <v>3</v>
      </c>
    </row>
    <row r="130" spans="1:10">
      <c r="A130" s="79">
        <v>4</v>
      </c>
      <c r="B130" s="2">
        <v>483</v>
      </c>
      <c r="C130" t="s">
        <v>755</v>
      </c>
      <c r="D130" s="17">
        <v>10156361455</v>
      </c>
      <c r="E130" s="17" t="s">
        <v>1448</v>
      </c>
      <c r="F130" s="17" t="s">
        <v>1504</v>
      </c>
      <c r="G130" s="5">
        <v>2.2280092592592591E-2</v>
      </c>
      <c r="H130" s="2">
        <v>99</v>
      </c>
      <c r="I130" s="5">
        <v>5.8333333333333327E-3</v>
      </c>
      <c r="J130">
        <f t="shared" ref="J130:J193" si="2">A130</f>
        <v>4</v>
      </c>
    </row>
    <row r="131" spans="1:10">
      <c r="A131" s="80">
        <v>5</v>
      </c>
      <c r="B131" s="2">
        <v>491</v>
      </c>
      <c r="C131" t="s">
        <v>1509</v>
      </c>
      <c r="D131" s="17" t="s">
        <v>66</v>
      </c>
      <c r="E131" s="17" t="s">
        <v>6</v>
      </c>
      <c r="F131" s="17" t="s">
        <v>1487</v>
      </c>
      <c r="G131" s="5">
        <v>2.3495370370370368E-2</v>
      </c>
      <c r="H131" s="2">
        <v>100</v>
      </c>
      <c r="I131" s="5">
        <v>7.0486111111111097E-3</v>
      </c>
      <c r="J131">
        <f t="shared" si="2"/>
        <v>5</v>
      </c>
    </row>
    <row r="132" spans="1:10">
      <c r="A132" s="79">
        <v>6</v>
      </c>
      <c r="B132" s="2">
        <v>486</v>
      </c>
      <c r="C132" t="s">
        <v>1510</v>
      </c>
      <c r="D132" s="17">
        <v>10175803184</v>
      </c>
      <c r="E132" s="17" t="s">
        <v>1448</v>
      </c>
      <c r="F132" s="17" t="s">
        <v>150</v>
      </c>
      <c r="G132" s="5">
        <v>2.6469907407407407E-2</v>
      </c>
      <c r="H132" s="2">
        <v>101</v>
      </c>
      <c r="I132" s="5">
        <v>1.0023148148148149E-2</v>
      </c>
      <c r="J132">
        <f t="shared" si="2"/>
        <v>6</v>
      </c>
    </row>
    <row r="133" spans="1:10">
      <c r="A133" s="80">
        <v>7</v>
      </c>
      <c r="B133" s="2">
        <v>490</v>
      </c>
      <c r="C133" t="s">
        <v>1507</v>
      </c>
      <c r="D133" s="17" t="s">
        <v>66</v>
      </c>
      <c r="E133" s="17" t="s">
        <v>1448</v>
      </c>
      <c r="F133" s="17" t="s">
        <v>1508</v>
      </c>
      <c r="G133" s="5">
        <v>2.8067129629629629E-2</v>
      </c>
      <c r="H133" s="2">
        <v>102</v>
      </c>
      <c r="I133" s="5">
        <v>1.1620370370370371E-2</v>
      </c>
      <c r="J133">
        <f t="shared" si="2"/>
        <v>7</v>
      </c>
    </row>
    <row r="134" spans="1:10">
      <c r="A134" s="79">
        <v>8</v>
      </c>
      <c r="B134" s="2">
        <v>488</v>
      </c>
      <c r="C134" t="s">
        <v>1505</v>
      </c>
      <c r="D134" s="17">
        <v>10162509639</v>
      </c>
      <c r="E134" s="17" t="s">
        <v>1448</v>
      </c>
      <c r="F134" s="17" t="s">
        <v>1506</v>
      </c>
      <c r="G134" s="5">
        <v>2.8229166666666666E-2</v>
      </c>
      <c r="H134" s="2">
        <v>103</v>
      </c>
      <c r="I134" s="5">
        <v>1.1782407407407408E-2</v>
      </c>
      <c r="J134">
        <f t="shared" si="2"/>
        <v>8</v>
      </c>
    </row>
    <row r="135" spans="1:10">
      <c r="A135" s="80"/>
      <c r="D135" s="17"/>
      <c r="E135" s="17"/>
      <c r="F135" s="17"/>
      <c r="G135" s="5"/>
      <c r="H135" s="2"/>
      <c r="I135" s="5"/>
      <c r="J135">
        <f t="shared" si="2"/>
        <v>0</v>
      </c>
    </row>
    <row r="136" spans="1:10">
      <c r="A136" s="79">
        <v>1</v>
      </c>
      <c r="B136" s="2">
        <v>3</v>
      </c>
      <c r="C136" t="s">
        <v>1629</v>
      </c>
      <c r="D136" s="17">
        <v>10009200331</v>
      </c>
      <c r="E136" s="17" t="s">
        <v>1448</v>
      </c>
      <c r="F136" s="17" t="s">
        <v>1630</v>
      </c>
      <c r="G136" s="5">
        <v>6.4490740740740737E-2</v>
      </c>
      <c r="H136" s="2">
        <v>116</v>
      </c>
      <c r="I136" s="5"/>
      <c r="J136">
        <f t="shared" si="2"/>
        <v>1</v>
      </c>
    </row>
    <row r="137" spans="1:10">
      <c r="A137" s="80">
        <v>2</v>
      </c>
      <c r="B137" s="2">
        <v>26</v>
      </c>
      <c r="C137" t="s">
        <v>1631</v>
      </c>
      <c r="D137" s="17">
        <v>10089547148</v>
      </c>
      <c r="E137" s="17" t="s">
        <v>1448</v>
      </c>
      <c r="F137" s="17" t="s">
        <v>1632</v>
      </c>
      <c r="G137" s="5">
        <v>7.0277777777777772E-2</v>
      </c>
      <c r="H137" s="2">
        <v>118</v>
      </c>
      <c r="I137" s="5">
        <v>5.787037037037035E-3</v>
      </c>
      <c r="J137">
        <f t="shared" si="2"/>
        <v>2</v>
      </c>
    </row>
    <row r="138" spans="1:10">
      <c r="A138" s="79">
        <v>3</v>
      </c>
      <c r="B138" s="2">
        <v>25</v>
      </c>
      <c r="C138" t="s">
        <v>1633</v>
      </c>
      <c r="D138" s="17">
        <v>10137346425</v>
      </c>
      <c r="E138" s="17" t="s">
        <v>1448</v>
      </c>
      <c r="F138" s="17" t="s">
        <v>1555</v>
      </c>
      <c r="G138" s="5">
        <v>7.1388888888888891E-2</v>
      </c>
      <c r="H138" s="2">
        <v>119</v>
      </c>
      <c r="I138" s="5">
        <v>6.8981481481481532E-3</v>
      </c>
      <c r="J138">
        <f t="shared" si="2"/>
        <v>3</v>
      </c>
    </row>
    <row r="139" spans="1:10">
      <c r="A139" s="80">
        <v>4</v>
      </c>
      <c r="B139" s="2">
        <v>27</v>
      </c>
      <c r="C139" t="s">
        <v>1634</v>
      </c>
      <c r="D139" s="17">
        <v>10103820090</v>
      </c>
      <c r="E139" s="17" t="s">
        <v>1448</v>
      </c>
      <c r="F139" s="17" t="s">
        <v>1555</v>
      </c>
      <c r="G139" s="5">
        <v>7.1724537037037031E-2</v>
      </c>
      <c r="H139" s="2">
        <v>120</v>
      </c>
      <c r="I139" s="5">
        <v>7.2337962962962937E-3</v>
      </c>
      <c r="J139">
        <f t="shared" si="2"/>
        <v>4</v>
      </c>
    </row>
    <row r="140" spans="1:10">
      <c r="A140" s="79">
        <v>5</v>
      </c>
      <c r="B140" s="2">
        <v>12</v>
      </c>
      <c r="C140" t="s">
        <v>138</v>
      </c>
      <c r="D140" s="17">
        <v>10051220327</v>
      </c>
      <c r="E140" s="17" t="s">
        <v>1448</v>
      </c>
      <c r="F140" s="17" t="s">
        <v>1551</v>
      </c>
      <c r="G140" s="5">
        <v>7.435185185185185E-2</v>
      </c>
      <c r="H140" s="2">
        <v>121</v>
      </c>
      <c r="I140" s="5">
        <v>9.8611111111111122E-3</v>
      </c>
      <c r="J140">
        <f t="shared" si="2"/>
        <v>5</v>
      </c>
    </row>
    <row r="141" spans="1:10">
      <c r="A141" s="80">
        <v>6</v>
      </c>
      <c r="B141" s="2">
        <v>41</v>
      </c>
      <c r="C141" t="s">
        <v>1636</v>
      </c>
      <c r="D141" s="17">
        <v>10113754005</v>
      </c>
      <c r="E141" s="17" t="s">
        <v>6</v>
      </c>
      <c r="F141" s="17" t="s">
        <v>1637</v>
      </c>
      <c r="G141" s="5" t="s">
        <v>1535</v>
      </c>
      <c r="H141" s="2">
        <v>122</v>
      </c>
      <c r="I141" s="5" t="s">
        <v>6</v>
      </c>
      <c r="J141">
        <f t="shared" si="2"/>
        <v>6</v>
      </c>
    </row>
    <row r="142" spans="1:10">
      <c r="A142" s="7">
        <v>7</v>
      </c>
      <c r="B142" s="2">
        <v>37</v>
      </c>
      <c r="C142" t="s">
        <v>187</v>
      </c>
      <c r="D142" s="17">
        <v>10120252500</v>
      </c>
      <c r="E142" s="17" t="s">
        <v>1448</v>
      </c>
      <c r="F142" t="s">
        <v>1635</v>
      </c>
      <c r="G142" s="5" t="s">
        <v>1535</v>
      </c>
      <c r="H142" s="2">
        <v>123</v>
      </c>
      <c r="I142" s="5" t="s">
        <v>6</v>
      </c>
      <c r="J142">
        <f t="shared" si="2"/>
        <v>7</v>
      </c>
    </row>
    <row r="143" spans="1:10" ht="15.75">
      <c r="A143" s="2">
        <v>8</v>
      </c>
      <c r="B143" s="21">
        <v>43</v>
      </c>
      <c r="C143" t="s">
        <v>1638</v>
      </c>
      <c r="D143" s="17">
        <v>10129941382</v>
      </c>
      <c r="E143" s="17" t="s">
        <v>1448</v>
      </c>
      <c r="F143" t="s">
        <v>1639</v>
      </c>
      <c r="G143" s="5" t="s">
        <v>1596</v>
      </c>
      <c r="H143" s="2">
        <v>124</v>
      </c>
      <c r="I143" s="5" t="s">
        <v>6</v>
      </c>
      <c r="J143">
        <f t="shared" si="2"/>
        <v>8</v>
      </c>
    </row>
    <row r="144" spans="1:10" ht="15.75">
      <c r="A144" s="2">
        <v>9</v>
      </c>
      <c r="B144" s="21">
        <v>32</v>
      </c>
      <c r="C144" t="s">
        <v>177</v>
      </c>
      <c r="D144" s="17">
        <v>10101989521</v>
      </c>
      <c r="E144" s="17" t="s">
        <v>1448</v>
      </c>
      <c r="F144" t="s">
        <v>1640</v>
      </c>
      <c r="G144" s="5" t="s">
        <v>1596</v>
      </c>
      <c r="H144" s="2">
        <v>125</v>
      </c>
      <c r="I144" s="5" t="s">
        <v>6</v>
      </c>
      <c r="J144">
        <f t="shared" si="2"/>
        <v>9</v>
      </c>
    </row>
    <row r="145" spans="1:10" ht="15.75">
      <c r="A145" s="2">
        <v>10</v>
      </c>
      <c r="B145" s="21">
        <v>30</v>
      </c>
      <c r="C145" t="s">
        <v>171</v>
      </c>
      <c r="D145" s="17">
        <v>10140483767</v>
      </c>
      <c r="E145" s="17" t="s">
        <v>1448</v>
      </c>
      <c r="F145" t="s">
        <v>85</v>
      </c>
      <c r="G145" s="5" t="s">
        <v>1645</v>
      </c>
      <c r="H145" s="2">
        <v>126</v>
      </c>
      <c r="I145" s="5" t="s">
        <v>6</v>
      </c>
      <c r="J145">
        <f t="shared" si="2"/>
        <v>10</v>
      </c>
    </row>
    <row r="146" spans="1:10" ht="15.75">
      <c r="A146" s="2">
        <v>11</v>
      </c>
      <c r="B146" s="21">
        <v>40</v>
      </c>
      <c r="C146" t="s">
        <v>1641</v>
      </c>
      <c r="D146" s="17">
        <v>10154842595</v>
      </c>
      <c r="E146" s="17" t="s">
        <v>1448</v>
      </c>
      <c r="F146" t="s">
        <v>1642</v>
      </c>
      <c r="G146" s="5" t="s">
        <v>1645</v>
      </c>
      <c r="H146" s="2">
        <v>127</v>
      </c>
      <c r="I146" s="5" t="s">
        <v>6</v>
      </c>
      <c r="J146">
        <f t="shared" si="2"/>
        <v>11</v>
      </c>
    </row>
    <row r="147" spans="1:10" ht="15.75">
      <c r="A147" s="2">
        <v>12</v>
      </c>
      <c r="B147" s="21">
        <v>42</v>
      </c>
      <c r="C147" t="s">
        <v>1643</v>
      </c>
      <c r="D147" s="17">
        <v>10165153493</v>
      </c>
      <c r="E147" s="17" t="s">
        <v>1448</v>
      </c>
      <c r="F147" t="s">
        <v>1644</v>
      </c>
      <c r="G147" s="5" t="s">
        <v>1645</v>
      </c>
      <c r="H147" s="2">
        <v>128</v>
      </c>
      <c r="I147" s="5" t="s">
        <v>6</v>
      </c>
      <c r="J147">
        <f t="shared" si="2"/>
        <v>12</v>
      </c>
    </row>
    <row r="148" spans="1:10" ht="15.75">
      <c r="A148" s="2"/>
      <c r="B148" s="21">
        <v>31</v>
      </c>
      <c r="C148" t="s">
        <v>1688</v>
      </c>
      <c r="D148" s="17">
        <v>10144142687</v>
      </c>
      <c r="E148" s="17" t="s">
        <v>6</v>
      </c>
      <c r="F148" t="s">
        <v>1689</v>
      </c>
      <c r="G148" s="5" t="s">
        <v>1540</v>
      </c>
      <c r="H148" s="2">
        <v>132</v>
      </c>
      <c r="I148" s="5" t="s">
        <v>6</v>
      </c>
      <c r="J148">
        <f t="shared" si="2"/>
        <v>0</v>
      </c>
    </row>
    <row r="149" spans="1:10" ht="15.75">
      <c r="A149" s="2"/>
      <c r="B149" s="21">
        <v>9</v>
      </c>
      <c r="C149" t="s">
        <v>106</v>
      </c>
      <c r="D149" s="17">
        <v>10105198201</v>
      </c>
      <c r="E149" s="17" t="s">
        <v>6</v>
      </c>
      <c r="F149" t="s">
        <v>1646</v>
      </c>
      <c r="G149" s="5" t="s">
        <v>1459</v>
      </c>
      <c r="H149" s="2">
        <v>114</v>
      </c>
      <c r="I149" s="5" t="s">
        <v>6</v>
      </c>
      <c r="J149">
        <f t="shared" si="2"/>
        <v>0</v>
      </c>
    </row>
    <row r="150" spans="1:10" ht="15.75">
      <c r="A150" s="2"/>
      <c r="B150" s="21"/>
      <c r="D150" s="17"/>
      <c r="E150" s="17"/>
      <c r="G150" s="5"/>
      <c r="H150" s="2"/>
      <c r="I150" s="5"/>
      <c r="J150">
        <f t="shared" si="2"/>
        <v>0</v>
      </c>
    </row>
    <row r="151" spans="1:10" ht="15.75">
      <c r="A151" s="2">
        <v>1</v>
      </c>
      <c r="B151" s="21">
        <v>84</v>
      </c>
      <c r="C151" t="s">
        <v>1690</v>
      </c>
      <c r="D151" s="17">
        <v>10052898528</v>
      </c>
      <c r="E151" s="17" t="s">
        <v>1448</v>
      </c>
      <c r="F151" t="s">
        <v>1691</v>
      </c>
      <c r="G151" s="5">
        <v>5.5671296296296295E-2</v>
      </c>
      <c r="H151" s="2">
        <v>115</v>
      </c>
      <c r="I151" s="5"/>
      <c r="J151">
        <f t="shared" si="2"/>
        <v>1</v>
      </c>
    </row>
    <row r="152" spans="1:10" ht="15.75">
      <c r="A152" s="2">
        <v>2</v>
      </c>
      <c r="B152" s="21">
        <v>91</v>
      </c>
      <c r="C152" t="s">
        <v>1624</v>
      </c>
      <c r="D152" s="17">
        <v>10077498132</v>
      </c>
      <c r="E152" s="17" t="s">
        <v>1448</v>
      </c>
      <c r="F152" t="s">
        <v>1555</v>
      </c>
      <c r="G152" s="5">
        <v>6.4942129629629627E-2</v>
      </c>
      <c r="H152" s="2">
        <v>117</v>
      </c>
      <c r="I152" s="5">
        <v>9.2708333333333323E-3</v>
      </c>
      <c r="J152">
        <f t="shared" si="2"/>
        <v>2</v>
      </c>
    </row>
    <row r="153" spans="1:10">
      <c r="A153" s="7">
        <v>3</v>
      </c>
      <c r="B153" s="2">
        <v>90</v>
      </c>
      <c r="C153" t="s">
        <v>1621</v>
      </c>
      <c r="D153" s="17">
        <v>10104125238</v>
      </c>
      <c r="E153" s="17" t="s">
        <v>1448</v>
      </c>
      <c r="F153" t="s">
        <v>100</v>
      </c>
      <c r="G153" s="5" t="s">
        <v>1482</v>
      </c>
      <c r="H153" s="2">
        <v>129</v>
      </c>
      <c r="I153" s="5" t="s">
        <v>6</v>
      </c>
      <c r="J153">
        <f t="shared" si="2"/>
        <v>3</v>
      </c>
    </row>
    <row r="154" spans="1:10">
      <c r="A154" s="2">
        <v>4</v>
      </c>
      <c r="B154" s="22">
        <v>94</v>
      </c>
      <c r="C154" t="s">
        <v>1622</v>
      </c>
      <c r="D154" s="17">
        <v>10076571982</v>
      </c>
      <c r="E154" s="17" t="s">
        <v>1448</v>
      </c>
      <c r="F154" t="s">
        <v>1623</v>
      </c>
      <c r="G154" s="5" t="s">
        <v>1535</v>
      </c>
      <c r="H154" s="2">
        <v>130</v>
      </c>
      <c r="I154" s="5" t="s">
        <v>6</v>
      </c>
      <c r="J154">
        <f t="shared" si="2"/>
        <v>4</v>
      </c>
    </row>
    <row r="155" spans="1:10">
      <c r="A155" s="2">
        <v>5</v>
      </c>
      <c r="B155" s="2">
        <v>88</v>
      </c>
      <c r="C155" t="s">
        <v>1692</v>
      </c>
      <c r="D155" s="17">
        <v>10101990228</v>
      </c>
      <c r="E155" s="17" t="s">
        <v>1448</v>
      </c>
      <c r="F155" t="s">
        <v>100</v>
      </c>
      <c r="G155" s="5" t="s">
        <v>1535</v>
      </c>
      <c r="H155" s="2">
        <v>131</v>
      </c>
      <c r="I155" s="5" t="s">
        <v>6</v>
      </c>
      <c r="J155">
        <f t="shared" si="2"/>
        <v>5</v>
      </c>
    </row>
    <row r="156" spans="1:10">
      <c r="A156" s="2"/>
      <c r="B156" s="22">
        <v>92</v>
      </c>
      <c r="C156" t="s">
        <v>1625</v>
      </c>
      <c r="D156" s="17">
        <v>10077498435</v>
      </c>
      <c r="E156" s="17" t="s">
        <v>1448</v>
      </c>
      <c r="F156" t="s">
        <v>1555</v>
      </c>
      <c r="G156" s="5" t="s">
        <v>1459</v>
      </c>
      <c r="H156" s="2">
        <v>113</v>
      </c>
      <c r="I156" s="5" t="s">
        <v>6</v>
      </c>
      <c r="J156">
        <f t="shared" si="2"/>
        <v>0</v>
      </c>
    </row>
    <row r="157" spans="1:10">
      <c r="A157" s="2"/>
      <c r="D157" s="17"/>
      <c r="E157" s="17"/>
      <c r="G157" s="5"/>
      <c r="H157" s="2"/>
      <c r="I157" s="5"/>
      <c r="J157">
        <f t="shared" si="2"/>
        <v>0</v>
      </c>
    </row>
    <row r="158" spans="1:10">
      <c r="A158" s="2">
        <v>1</v>
      </c>
      <c r="B158" s="2">
        <v>307</v>
      </c>
      <c r="C158" t="s">
        <v>282</v>
      </c>
      <c r="D158" s="17">
        <v>10153824200</v>
      </c>
      <c r="E158" s="17" t="s">
        <v>1448</v>
      </c>
      <c r="F158" t="s">
        <v>1532</v>
      </c>
      <c r="G158" s="5">
        <v>3.0925925925925926E-2</v>
      </c>
      <c r="H158" s="2">
        <v>141</v>
      </c>
      <c r="I158" s="5"/>
      <c r="J158">
        <f t="shared" si="2"/>
        <v>1</v>
      </c>
    </row>
    <row r="159" spans="1:10">
      <c r="A159" s="2">
        <v>2</v>
      </c>
      <c r="B159" s="2">
        <v>302</v>
      </c>
      <c r="C159" t="s">
        <v>1566</v>
      </c>
      <c r="D159" s="17">
        <v>10128933895</v>
      </c>
      <c r="E159" s="17" t="s">
        <v>1448</v>
      </c>
      <c r="F159" t="s">
        <v>1555</v>
      </c>
      <c r="G159" s="5">
        <v>3.1481481481481478E-2</v>
      </c>
      <c r="H159" s="2">
        <v>142</v>
      </c>
      <c r="I159" s="5">
        <v>5.5555555555555219E-4</v>
      </c>
      <c r="J159">
        <f t="shared" si="2"/>
        <v>2</v>
      </c>
    </row>
    <row r="160" spans="1:10">
      <c r="A160" s="2">
        <v>3</v>
      </c>
      <c r="B160" s="22">
        <v>301</v>
      </c>
      <c r="C160" t="s">
        <v>1565</v>
      </c>
      <c r="D160" s="17">
        <v>120760930</v>
      </c>
      <c r="E160" s="17" t="s">
        <v>1448</v>
      </c>
      <c r="F160" t="s">
        <v>1555</v>
      </c>
      <c r="G160" s="5">
        <v>3.2418981481481479E-2</v>
      </c>
      <c r="H160" s="2">
        <v>143</v>
      </c>
      <c r="I160" s="5">
        <v>1.493055555555553E-3</v>
      </c>
      <c r="J160">
        <f t="shared" si="2"/>
        <v>3</v>
      </c>
    </row>
    <row r="161" spans="1:10">
      <c r="A161" s="2">
        <v>4</v>
      </c>
      <c r="B161" s="22">
        <v>346</v>
      </c>
      <c r="C161" t="s">
        <v>1567</v>
      </c>
      <c r="D161" s="17">
        <v>10127119086</v>
      </c>
      <c r="E161" s="17" t="s">
        <v>1448</v>
      </c>
      <c r="F161" t="s">
        <v>1568</v>
      </c>
      <c r="G161" s="5">
        <v>3.3460648148148149E-2</v>
      </c>
      <c r="H161" s="2">
        <v>144</v>
      </c>
      <c r="I161" s="5">
        <v>2.5347222222222229E-3</v>
      </c>
      <c r="J161">
        <f t="shared" si="2"/>
        <v>4</v>
      </c>
    </row>
    <row r="162" spans="1:10">
      <c r="A162" s="2">
        <v>5</v>
      </c>
      <c r="B162" s="2">
        <v>304</v>
      </c>
      <c r="C162" t="s">
        <v>1354</v>
      </c>
      <c r="D162" s="17">
        <v>10156150681</v>
      </c>
      <c r="E162" s="17" t="s">
        <v>1448</v>
      </c>
      <c r="F162" t="s">
        <v>1551</v>
      </c>
      <c r="G162" s="5">
        <v>3.3622685185185186E-2</v>
      </c>
      <c r="H162" s="2">
        <v>145</v>
      </c>
      <c r="I162" s="5">
        <v>2.6967592592592599E-3</v>
      </c>
      <c r="J162">
        <f t="shared" si="2"/>
        <v>5</v>
      </c>
    </row>
    <row r="163" spans="1:10">
      <c r="A163" s="3">
        <v>6</v>
      </c>
      <c r="B163" s="105">
        <v>325</v>
      </c>
      <c r="C163" s="100" t="s">
        <v>299</v>
      </c>
      <c r="D163" s="100">
        <v>10152418609</v>
      </c>
      <c r="E163" s="100" t="s">
        <v>1448</v>
      </c>
      <c r="F163" s="100" t="s">
        <v>240</v>
      </c>
      <c r="G163" s="101">
        <v>3.3831018518518517E-2</v>
      </c>
      <c r="H163" s="3">
        <v>146</v>
      </c>
      <c r="I163" s="101">
        <v>2.9050925925925911E-3</v>
      </c>
      <c r="J163">
        <f t="shared" si="2"/>
        <v>6</v>
      </c>
    </row>
    <row r="164" spans="1:10">
      <c r="A164" s="3">
        <v>7</v>
      </c>
      <c r="B164" s="105">
        <v>303</v>
      </c>
      <c r="C164" s="100" t="s">
        <v>1571</v>
      </c>
      <c r="D164" s="100">
        <v>10152378694</v>
      </c>
      <c r="E164" s="100" t="s">
        <v>1448</v>
      </c>
      <c r="F164" s="100" t="s">
        <v>1572</v>
      </c>
      <c r="G164" s="101">
        <v>3.4502314814814812E-2</v>
      </c>
      <c r="H164" s="3">
        <v>147</v>
      </c>
      <c r="I164" s="101">
        <v>3.5763888888888859E-3</v>
      </c>
      <c r="J164">
        <f t="shared" si="2"/>
        <v>7</v>
      </c>
    </row>
    <row r="165" spans="1:10">
      <c r="A165" s="3">
        <v>8</v>
      </c>
      <c r="B165" s="22">
        <v>359</v>
      </c>
      <c r="C165" s="100" t="s">
        <v>1575</v>
      </c>
      <c r="D165" s="100">
        <v>10164042845</v>
      </c>
      <c r="E165" s="100" t="s">
        <v>1448</v>
      </c>
      <c r="F165" s="100" t="s">
        <v>1576</v>
      </c>
      <c r="G165" s="101">
        <v>3.4884259259259261E-2</v>
      </c>
      <c r="H165" s="3">
        <v>148</v>
      </c>
      <c r="I165" s="101">
        <v>3.9583333333333345E-3</v>
      </c>
      <c r="J165">
        <f t="shared" si="2"/>
        <v>8</v>
      </c>
    </row>
    <row r="166" spans="1:10">
      <c r="A166" s="3">
        <v>9</v>
      </c>
      <c r="B166" s="3">
        <v>333</v>
      </c>
      <c r="C166" s="100" t="s">
        <v>1349</v>
      </c>
      <c r="D166" s="100">
        <v>504930380</v>
      </c>
      <c r="E166" s="100" t="s">
        <v>1448</v>
      </c>
      <c r="F166" s="100" t="s">
        <v>1578</v>
      </c>
      <c r="G166" s="101">
        <v>3.4895833333333334E-2</v>
      </c>
      <c r="H166" s="3">
        <v>149</v>
      </c>
      <c r="I166" s="101">
        <v>3.9699074074074081E-3</v>
      </c>
      <c r="J166">
        <f t="shared" si="2"/>
        <v>9</v>
      </c>
    </row>
    <row r="167" spans="1:10">
      <c r="A167" s="3">
        <v>10</v>
      </c>
      <c r="B167" s="3">
        <v>310</v>
      </c>
      <c r="C167" s="100" t="s">
        <v>278</v>
      </c>
      <c r="D167" s="100">
        <v>10140942495</v>
      </c>
      <c r="E167" s="100" t="s">
        <v>1448</v>
      </c>
      <c r="F167" s="100" t="s">
        <v>1532</v>
      </c>
      <c r="G167" s="101">
        <v>3.6030092592592593E-2</v>
      </c>
      <c r="H167" s="3">
        <v>151</v>
      </c>
      <c r="I167" s="101">
        <v>5.1041666666666666E-3</v>
      </c>
      <c r="J167">
        <f t="shared" si="2"/>
        <v>10</v>
      </c>
    </row>
    <row r="168" spans="1:10">
      <c r="A168" s="3">
        <v>11</v>
      </c>
      <c r="B168" s="3">
        <v>311</v>
      </c>
      <c r="C168" s="100" t="s">
        <v>1597</v>
      </c>
      <c r="D168" s="100">
        <v>10128424344</v>
      </c>
      <c r="E168" s="100" t="s">
        <v>1448</v>
      </c>
      <c r="F168" s="100" t="s">
        <v>1532</v>
      </c>
      <c r="G168" s="101">
        <v>3.6469907407407409E-2</v>
      </c>
      <c r="H168" s="3">
        <v>153</v>
      </c>
      <c r="I168" s="101">
        <v>5.5439814814814831E-3</v>
      </c>
      <c r="J168">
        <f t="shared" si="2"/>
        <v>11</v>
      </c>
    </row>
    <row r="169" spans="1:10">
      <c r="A169" s="3">
        <v>12</v>
      </c>
      <c r="B169" s="3">
        <v>337</v>
      </c>
      <c r="C169" s="100" t="s">
        <v>1693</v>
      </c>
      <c r="D169" s="100">
        <v>10173459020</v>
      </c>
      <c r="E169" s="100" t="s">
        <v>1448</v>
      </c>
      <c r="F169" s="100" t="s">
        <v>1667</v>
      </c>
      <c r="G169" s="101">
        <v>3.6527777777777777E-2</v>
      </c>
      <c r="H169" s="3">
        <v>154</v>
      </c>
      <c r="I169" s="101">
        <v>5.6018518518518509E-3</v>
      </c>
      <c r="J169">
        <f t="shared" si="2"/>
        <v>12</v>
      </c>
    </row>
    <row r="170" spans="1:10">
      <c r="A170" s="3">
        <v>13</v>
      </c>
      <c r="B170" s="105">
        <v>343</v>
      </c>
      <c r="C170" s="100" t="s">
        <v>1591</v>
      </c>
      <c r="D170" s="100">
        <v>10176617176</v>
      </c>
      <c r="E170" s="100" t="s">
        <v>1448</v>
      </c>
      <c r="F170" s="100" t="s">
        <v>107</v>
      </c>
      <c r="G170" s="101">
        <v>3.6597222222222225E-2</v>
      </c>
      <c r="H170" s="3">
        <v>155</v>
      </c>
      <c r="I170" s="101">
        <v>5.6712962962962993E-3</v>
      </c>
      <c r="J170">
        <f t="shared" si="2"/>
        <v>13</v>
      </c>
    </row>
    <row r="171" spans="1:10">
      <c r="A171" s="3">
        <v>14</v>
      </c>
      <c r="B171" s="105">
        <v>316</v>
      </c>
      <c r="C171" s="100" t="s">
        <v>1580</v>
      </c>
      <c r="D171" s="100">
        <v>10160796577</v>
      </c>
      <c r="E171" s="100" t="s">
        <v>1448</v>
      </c>
      <c r="F171" s="100" t="s">
        <v>84</v>
      </c>
      <c r="G171" s="101">
        <v>3.7615740740740741E-2</v>
      </c>
      <c r="H171" s="3">
        <v>156</v>
      </c>
      <c r="I171" s="101">
        <v>6.6898148148148151E-3</v>
      </c>
      <c r="J171">
        <f t="shared" si="2"/>
        <v>14</v>
      </c>
    </row>
    <row r="172" spans="1:10">
      <c r="A172" s="3">
        <v>15</v>
      </c>
      <c r="B172" s="3">
        <v>342</v>
      </c>
      <c r="C172" s="100" t="s">
        <v>1351</v>
      </c>
      <c r="D172" s="100">
        <v>10166012652</v>
      </c>
      <c r="E172" s="100" t="s">
        <v>1448</v>
      </c>
      <c r="F172" s="100" t="s">
        <v>310</v>
      </c>
      <c r="G172" s="101">
        <v>3.7673611111111109E-2</v>
      </c>
      <c r="H172" s="3">
        <v>157</v>
      </c>
      <c r="I172" s="101">
        <v>6.747685185185183E-3</v>
      </c>
      <c r="J172">
        <f t="shared" si="2"/>
        <v>15</v>
      </c>
    </row>
    <row r="173" spans="1:10">
      <c r="A173" s="3">
        <v>16</v>
      </c>
      <c r="B173" s="3">
        <v>312</v>
      </c>
      <c r="C173" s="100" t="s">
        <v>1358</v>
      </c>
      <c r="D173" s="100">
        <v>10162918251</v>
      </c>
      <c r="E173" s="100" t="s">
        <v>1448</v>
      </c>
      <c r="F173" s="100" t="s">
        <v>898</v>
      </c>
      <c r="G173" s="101">
        <v>3.7928240740740742E-2</v>
      </c>
      <c r="H173" s="3">
        <v>158</v>
      </c>
      <c r="I173" s="101">
        <v>7.0023148148148154E-3</v>
      </c>
      <c r="J173">
        <f t="shared" si="2"/>
        <v>16</v>
      </c>
    </row>
    <row r="174" spans="1:10">
      <c r="A174" s="3">
        <v>17</v>
      </c>
      <c r="B174" s="3">
        <v>319</v>
      </c>
      <c r="C174" s="100" t="s">
        <v>1589</v>
      </c>
      <c r="D174" s="100">
        <v>10155992956</v>
      </c>
      <c r="E174" s="100" t="s">
        <v>1448</v>
      </c>
      <c r="F174" s="100" t="s">
        <v>1500</v>
      </c>
      <c r="G174" s="101">
        <v>3.7986111111111109E-2</v>
      </c>
      <c r="H174" s="3">
        <v>159</v>
      </c>
      <c r="I174" s="101">
        <v>7.0601851851851832E-3</v>
      </c>
      <c r="J174">
        <f t="shared" si="2"/>
        <v>17</v>
      </c>
    </row>
    <row r="175" spans="1:10">
      <c r="A175" s="3">
        <v>18</v>
      </c>
      <c r="B175" s="3">
        <v>341</v>
      </c>
      <c r="C175" s="100" t="s">
        <v>670</v>
      </c>
      <c r="D175" s="100">
        <v>209350007</v>
      </c>
      <c r="E175" s="100" t="s">
        <v>1448</v>
      </c>
      <c r="F175" s="100" t="s">
        <v>1578</v>
      </c>
      <c r="G175" s="101">
        <v>3.9363425925925927E-2</v>
      </c>
      <c r="H175" s="3">
        <v>160</v>
      </c>
      <c r="I175" s="101">
        <v>8.4375000000000006E-3</v>
      </c>
      <c r="J175">
        <f t="shared" si="2"/>
        <v>18</v>
      </c>
    </row>
    <row r="176" spans="1:10">
      <c r="A176" s="3">
        <v>19</v>
      </c>
      <c r="B176" s="105">
        <v>327</v>
      </c>
      <c r="C176" s="100" t="s">
        <v>301</v>
      </c>
      <c r="D176" s="100">
        <v>10171445864</v>
      </c>
      <c r="E176" s="100" t="s">
        <v>1448</v>
      </c>
      <c r="F176" s="100" t="s">
        <v>240</v>
      </c>
      <c r="G176" s="101">
        <v>3.9895833333333332E-2</v>
      </c>
      <c r="H176" s="3">
        <v>161</v>
      </c>
      <c r="I176" s="101">
        <v>8.9699074074074056E-3</v>
      </c>
      <c r="J176">
        <f t="shared" si="2"/>
        <v>19</v>
      </c>
    </row>
    <row r="177" spans="1:10">
      <c r="A177" s="3">
        <v>20</v>
      </c>
      <c r="B177" s="22">
        <v>314</v>
      </c>
      <c r="C177" s="100" t="s">
        <v>1573</v>
      </c>
      <c r="D177" s="100">
        <v>10164592614</v>
      </c>
      <c r="E177" s="100" t="s">
        <v>1448</v>
      </c>
      <c r="F177" s="100" t="s">
        <v>1574</v>
      </c>
      <c r="G177" s="101" t="s">
        <v>1482</v>
      </c>
      <c r="H177" s="3">
        <v>163</v>
      </c>
      <c r="I177" s="101" t="s">
        <v>6</v>
      </c>
      <c r="J177">
        <f t="shared" si="2"/>
        <v>20</v>
      </c>
    </row>
    <row r="178" spans="1:10">
      <c r="A178" s="3">
        <v>21</v>
      </c>
      <c r="B178" s="105">
        <v>305</v>
      </c>
      <c r="C178" s="100" t="s">
        <v>1178</v>
      </c>
      <c r="D178" s="100">
        <v>10152909669</v>
      </c>
      <c r="E178" s="100" t="s">
        <v>1448</v>
      </c>
      <c r="F178" s="100" t="s">
        <v>1588</v>
      </c>
      <c r="G178" s="101" t="s">
        <v>1482</v>
      </c>
      <c r="H178" s="3">
        <v>164</v>
      </c>
      <c r="I178" s="101" t="s">
        <v>6</v>
      </c>
      <c r="J178">
        <f t="shared" si="2"/>
        <v>21</v>
      </c>
    </row>
    <row r="179" spans="1:10">
      <c r="A179" s="3">
        <v>22</v>
      </c>
      <c r="B179" s="3">
        <v>309</v>
      </c>
      <c r="C179" s="100" t="s">
        <v>1579</v>
      </c>
      <c r="D179" s="100">
        <v>10171656840</v>
      </c>
      <c r="E179" s="100" t="s">
        <v>1448</v>
      </c>
      <c r="F179" s="100" t="s">
        <v>1532</v>
      </c>
      <c r="G179" s="101" t="s">
        <v>1482</v>
      </c>
      <c r="H179" s="3">
        <v>165</v>
      </c>
      <c r="I179" s="101" t="s">
        <v>6</v>
      </c>
      <c r="J179">
        <f t="shared" si="2"/>
        <v>22</v>
      </c>
    </row>
    <row r="180" spans="1:10">
      <c r="A180" s="3">
        <v>23</v>
      </c>
      <c r="B180" s="105">
        <v>348</v>
      </c>
      <c r="C180" s="100" t="s">
        <v>680</v>
      </c>
      <c r="D180" s="100">
        <v>10165439746</v>
      </c>
      <c r="E180" s="100" t="s">
        <v>1448</v>
      </c>
      <c r="F180" s="100" t="s">
        <v>1582</v>
      </c>
      <c r="G180" s="101" t="s">
        <v>1482</v>
      </c>
      <c r="H180" s="3">
        <v>166</v>
      </c>
      <c r="I180" s="101" t="s">
        <v>6</v>
      </c>
      <c r="J180">
        <f t="shared" si="2"/>
        <v>23</v>
      </c>
    </row>
    <row r="181" spans="1:10">
      <c r="A181" s="3">
        <v>24</v>
      </c>
      <c r="B181" s="3">
        <v>329</v>
      </c>
      <c r="C181" s="100" t="s">
        <v>1577</v>
      </c>
      <c r="D181" s="100">
        <v>10144442579</v>
      </c>
      <c r="E181" s="100" t="s">
        <v>1448</v>
      </c>
      <c r="F181" s="100" t="s">
        <v>1500</v>
      </c>
      <c r="G181" s="101" t="s">
        <v>1482</v>
      </c>
      <c r="H181" s="3">
        <v>167</v>
      </c>
      <c r="I181" s="101" t="s">
        <v>6</v>
      </c>
      <c r="J181">
        <f t="shared" si="2"/>
        <v>24</v>
      </c>
    </row>
    <row r="182" spans="1:10">
      <c r="A182" s="3">
        <v>25</v>
      </c>
      <c r="B182" s="105">
        <v>335</v>
      </c>
      <c r="C182" s="100" t="s">
        <v>1585</v>
      </c>
      <c r="D182" s="100">
        <v>10154135004</v>
      </c>
      <c r="E182" s="100" t="s">
        <v>1448</v>
      </c>
      <c r="F182" s="100" t="s">
        <v>1586</v>
      </c>
      <c r="G182" s="101" t="s">
        <v>1482</v>
      </c>
      <c r="H182" s="3">
        <v>168</v>
      </c>
      <c r="I182" s="101" t="s">
        <v>6</v>
      </c>
      <c r="J182">
        <f t="shared" si="2"/>
        <v>25</v>
      </c>
    </row>
    <row r="183" spans="1:10">
      <c r="A183" s="3">
        <v>26</v>
      </c>
      <c r="B183" s="22">
        <v>355</v>
      </c>
      <c r="C183" s="100" t="s">
        <v>1355</v>
      </c>
      <c r="D183" s="100">
        <v>1111</v>
      </c>
      <c r="E183" s="100" t="s">
        <v>1448</v>
      </c>
      <c r="F183" s="100" t="s">
        <v>1587</v>
      </c>
      <c r="G183" s="101" t="s">
        <v>1482</v>
      </c>
      <c r="H183" s="3">
        <v>169</v>
      </c>
      <c r="I183" s="101" t="s">
        <v>6</v>
      </c>
      <c r="J183">
        <f t="shared" si="2"/>
        <v>26</v>
      </c>
    </row>
    <row r="184" spans="1:10">
      <c r="A184" s="3">
        <v>27</v>
      </c>
      <c r="B184" s="3">
        <v>351</v>
      </c>
      <c r="C184" s="100" t="s">
        <v>1188</v>
      </c>
      <c r="D184" s="100">
        <v>10152378795</v>
      </c>
      <c r="E184" s="100" t="s">
        <v>1448</v>
      </c>
      <c r="F184" s="100" t="s">
        <v>1578</v>
      </c>
      <c r="G184" s="101" t="s">
        <v>1482</v>
      </c>
      <c r="H184" s="3">
        <v>169</v>
      </c>
      <c r="I184" s="101" t="s">
        <v>6</v>
      </c>
      <c r="J184">
        <f t="shared" si="2"/>
        <v>27</v>
      </c>
    </row>
    <row r="185" spans="1:10">
      <c r="A185" s="3">
        <v>28</v>
      </c>
      <c r="B185" s="105">
        <v>332</v>
      </c>
      <c r="C185" s="100" t="s">
        <v>308</v>
      </c>
      <c r="D185" s="100">
        <v>10166671242</v>
      </c>
      <c r="E185" s="100" t="s">
        <v>1448</v>
      </c>
      <c r="F185" s="100" t="s">
        <v>112</v>
      </c>
      <c r="G185" s="101" t="s">
        <v>1482</v>
      </c>
      <c r="H185" s="3">
        <v>170</v>
      </c>
      <c r="I185" s="101" t="s">
        <v>6</v>
      </c>
      <c r="J185">
        <f t="shared" si="2"/>
        <v>28</v>
      </c>
    </row>
    <row r="186" spans="1:10">
      <c r="A186" s="2">
        <v>29</v>
      </c>
      <c r="B186" s="2">
        <v>306</v>
      </c>
      <c r="C186" t="s">
        <v>964</v>
      </c>
      <c r="D186" s="17">
        <v>10170771312</v>
      </c>
      <c r="E186" s="17" t="s">
        <v>1448</v>
      </c>
      <c r="F186" t="s">
        <v>1530</v>
      </c>
      <c r="G186" s="5" t="s">
        <v>1482</v>
      </c>
      <c r="H186" s="2">
        <v>170</v>
      </c>
      <c r="I186" s="5" t="s">
        <v>6</v>
      </c>
      <c r="J186">
        <f t="shared" si="2"/>
        <v>29</v>
      </c>
    </row>
    <row r="187" spans="1:10">
      <c r="A187" s="2">
        <v>30</v>
      </c>
      <c r="B187" s="22">
        <v>317</v>
      </c>
      <c r="C187" t="s">
        <v>1593</v>
      </c>
      <c r="D187" s="17">
        <v>10156702066</v>
      </c>
      <c r="E187" s="17" t="s">
        <v>1448</v>
      </c>
      <c r="F187" t="s">
        <v>84</v>
      </c>
      <c r="G187" s="5" t="s">
        <v>1482</v>
      </c>
      <c r="H187" s="2">
        <v>171</v>
      </c>
      <c r="I187" s="5" t="s">
        <v>6</v>
      </c>
      <c r="J187">
        <f t="shared" si="2"/>
        <v>30</v>
      </c>
    </row>
    <row r="188" spans="1:10">
      <c r="A188" s="2">
        <v>31</v>
      </c>
      <c r="B188" s="2">
        <v>358</v>
      </c>
      <c r="C188" t="s">
        <v>1590</v>
      </c>
      <c r="D188" s="17">
        <v>13386</v>
      </c>
      <c r="E188" s="17" t="s">
        <v>1448</v>
      </c>
      <c r="F188" t="s">
        <v>125</v>
      </c>
      <c r="G188" s="5" t="s">
        <v>1482</v>
      </c>
      <c r="H188" s="2">
        <v>172</v>
      </c>
      <c r="I188" s="5" t="s">
        <v>6</v>
      </c>
      <c r="J188">
        <f t="shared" si="2"/>
        <v>31</v>
      </c>
    </row>
    <row r="189" spans="1:10">
      <c r="A189" s="2">
        <v>32</v>
      </c>
      <c r="B189" s="2">
        <v>315</v>
      </c>
      <c r="C189" t="s">
        <v>1583</v>
      </c>
      <c r="D189" s="17">
        <v>10155740655</v>
      </c>
      <c r="E189" s="17" t="s">
        <v>1448</v>
      </c>
      <c r="F189" t="s">
        <v>1584</v>
      </c>
      <c r="G189" s="5" t="s">
        <v>1482</v>
      </c>
      <c r="H189" s="2">
        <v>173</v>
      </c>
      <c r="I189" s="5" t="s">
        <v>6</v>
      </c>
      <c r="J189">
        <f t="shared" si="2"/>
        <v>32</v>
      </c>
    </row>
    <row r="190" spans="1:10">
      <c r="A190" s="7">
        <v>33</v>
      </c>
      <c r="B190" s="2">
        <v>340</v>
      </c>
      <c r="C190" t="s">
        <v>1359</v>
      </c>
      <c r="D190" s="17">
        <v>10166711557</v>
      </c>
      <c r="E190" s="17" t="s">
        <v>1448</v>
      </c>
      <c r="F190" t="s">
        <v>126</v>
      </c>
      <c r="G190" s="5" t="s">
        <v>1535</v>
      </c>
      <c r="H190" s="2">
        <v>174</v>
      </c>
      <c r="I190" s="5" t="s">
        <v>6</v>
      </c>
      <c r="J190">
        <f t="shared" si="2"/>
        <v>33</v>
      </c>
    </row>
    <row r="191" spans="1:10" ht="15.75">
      <c r="A191" s="2">
        <v>34</v>
      </c>
      <c r="B191" s="21">
        <v>345</v>
      </c>
      <c r="C191" t="s">
        <v>1595</v>
      </c>
      <c r="D191" s="17">
        <v>10173505092</v>
      </c>
      <c r="E191" s="17" t="s">
        <v>1448</v>
      </c>
      <c r="F191" t="s">
        <v>591</v>
      </c>
      <c r="G191" s="5" t="s">
        <v>1535</v>
      </c>
      <c r="H191" s="2">
        <v>175</v>
      </c>
      <c r="I191" s="5" t="s">
        <v>6</v>
      </c>
      <c r="J191">
        <f t="shared" si="2"/>
        <v>34</v>
      </c>
    </row>
    <row r="192" spans="1:10" ht="15.75">
      <c r="A192" s="2"/>
      <c r="B192" s="21">
        <v>352</v>
      </c>
      <c r="C192" t="s">
        <v>1594</v>
      </c>
      <c r="D192" s="17">
        <v>10173412843</v>
      </c>
      <c r="E192" s="17" t="s">
        <v>1448</v>
      </c>
      <c r="F192" t="s">
        <v>84</v>
      </c>
      <c r="G192" s="5" t="s">
        <v>1540</v>
      </c>
      <c r="H192" s="2">
        <v>133</v>
      </c>
      <c r="I192" s="5" t="s">
        <v>6</v>
      </c>
      <c r="J192">
        <f t="shared" si="2"/>
        <v>0</v>
      </c>
    </row>
    <row r="193" spans="1:10" ht="15.75">
      <c r="A193" s="2"/>
      <c r="B193" s="21">
        <v>320</v>
      </c>
      <c r="C193" t="s">
        <v>659</v>
      </c>
      <c r="D193" s="17">
        <v>10136994902</v>
      </c>
      <c r="E193" s="17" t="s">
        <v>1448</v>
      </c>
      <c r="F193" t="s">
        <v>1581</v>
      </c>
      <c r="G193" s="5" t="s">
        <v>1540</v>
      </c>
      <c r="H193" s="2">
        <v>134</v>
      </c>
      <c r="I193" s="5" t="s">
        <v>6</v>
      </c>
      <c r="J193">
        <f t="shared" si="2"/>
        <v>0</v>
      </c>
    </row>
    <row r="194" spans="1:10" ht="15.75">
      <c r="A194" s="2"/>
      <c r="B194" s="21">
        <v>324</v>
      </c>
      <c r="C194" t="s">
        <v>297</v>
      </c>
      <c r="D194" s="17">
        <v>1016110819</v>
      </c>
      <c r="E194" s="17" t="s">
        <v>1448</v>
      </c>
      <c r="F194" t="s">
        <v>1592</v>
      </c>
      <c r="G194" s="5" t="s">
        <v>1540</v>
      </c>
      <c r="H194" s="2">
        <v>136</v>
      </c>
      <c r="I194" s="5" t="s">
        <v>6</v>
      </c>
      <c r="J194">
        <f t="shared" ref="J194:J218" si="3">A194</f>
        <v>0</v>
      </c>
    </row>
    <row r="195" spans="1:10" ht="15.75">
      <c r="A195" s="2"/>
      <c r="B195" s="21">
        <v>334</v>
      </c>
      <c r="C195" t="s">
        <v>1569</v>
      </c>
      <c r="D195" s="17">
        <v>10162499737</v>
      </c>
      <c r="E195" s="17" t="s">
        <v>1448</v>
      </c>
      <c r="F195" t="s">
        <v>1570</v>
      </c>
      <c r="G195" s="5" t="s">
        <v>1540</v>
      </c>
      <c r="H195" s="2">
        <v>176</v>
      </c>
      <c r="I195" s="5" t="s">
        <v>6</v>
      </c>
      <c r="J195">
        <f t="shared" si="3"/>
        <v>0</v>
      </c>
    </row>
    <row r="196" spans="1:10" ht="15.75">
      <c r="A196" s="2"/>
      <c r="B196" s="21">
        <v>326</v>
      </c>
      <c r="C196" t="s">
        <v>667</v>
      </c>
      <c r="D196" s="17">
        <v>10120480953</v>
      </c>
      <c r="E196" s="17" t="s">
        <v>1448</v>
      </c>
      <c r="F196" t="s">
        <v>130</v>
      </c>
      <c r="G196" s="5" t="s">
        <v>1459</v>
      </c>
      <c r="H196" s="2">
        <v>135</v>
      </c>
      <c r="I196" s="5" t="s">
        <v>6</v>
      </c>
      <c r="J196">
        <f t="shared" si="3"/>
        <v>0</v>
      </c>
    </row>
    <row r="197" spans="1:10" ht="15.75">
      <c r="A197" s="2"/>
      <c r="B197" s="21"/>
      <c r="D197" s="17"/>
      <c r="E197" s="17"/>
      <c r="G197" s="5"/>
      <c r="H197" s="2"/>
      <c r="I197" s="5"/>
      <c r="J197">
        <f t="shared" si="3"/>
        <v>0</v>
      </c>
    </row>
    <row r="198" spans="1:10" ht="15.75">
      <c r="A198" s="2">
        <v>1</v>
      </c>
      <c r="B198" s="21">
        <v>381</v>
      </c>
      <c r="C198" t="s">
        <v>1546</v>
      </c>
      <c r="D198" s="17">
        <v>10125653679</v>
      </c>
      <c r="E198" s="17" t="s">
        <v>1448</v>
      </c>
      <c r="F198" t="s">
        <v>1547</v>
      </c>
      <c r="G198" s="5">
        <v>2.6747685185185187E-2</v>
      </c>
      <c r="H198" s="2">
        <v>137</v>
      </c>
      <c r="I198" s="5"/>
      <c r="J198">
        <f t="shared" si="3"/>
        <v>1</v>
      </c>
    </row>
    <row r="199" spans="1:10">
      <c r="A199" s="7">
        <v>2</v>
      </c>
      <c r="B199" s="2">
        <v>382</v>
      </c>
      <c r="C199" t="s">
        <v>1549</v>
      </c>
      <c r="D199" s="17">
        <v>10128546909</v>
      </c>
      <c r="E199" s="17" t="s">
        <v>1448</v>
      </c>
      <c r="F199" t="s">
        <v>1550</v>
      </c>
      <c r="G199" s="5">
        <v>2.6828703703703705E-2</v>
      </c>
      <c r="H199" s="2">
        <v>138</v>
      </c>
      <c r="I199" s="5">
        <v>8.1018518518518462E-5</v>
      </c>
      <c r="J199">
        <f t="shared" si="3"/>
        <v>2</v>
      </c>
    </row>
    <row r="200" spans="1:10">
      <c r="A200" s="2">
        <v>3</v>
      </c>
      <c r="B200" s="10">
        <v>386</v>
      </c>
      <c r="C200" t="s">
        <v>1329</v>
      </c>
      <c r="D200" s="17">
        <v>10152378391</v>
      </c>
      <c r="E200" s="17" t="s">
        <v>1448</v>
      </c>
      <c r="F200" t="s">
        <v>1551</v>
      </c>
      <c r="G200" s="5">
        <v>2.8877314814814817E-2</v>
      </c>
      <c r="H200" s="2">
        <v>139</v>
      </c>
      <c r="I200" s="5">
        <v>2.1296296296296306E-3</v>
      </c>
      <c r="J200">
        <f t="shared" si="3"/>
        <v>3</v>
      </c>
    </row>
    <row r="201" spans="1:10">
      <c r="A201" s="2">
        <v>4</v>
      </c>
      <c r="B201" s="10">
        <v>387</v>
      </c>
      <c r="C201" t="s">
        <v>1548</v>
      </c>
      <c r="D201" s="17">
        <v>10156809877</v>
      </c>
      <c r="E201" s="17" t="s">
        <v>1448</v>
      </c>
      <c r="F201" t="s">
        <v>100</v>
      </c>
      <c r="G201" s="5">
        <v>2.9432870370370373E-2</v>
      </c>
      <c r="H201" s="2">
        <v>140</v>
      </c>
      <c r="I201" s="5">
        <v>2.6851851851851863E-3</v>
      </c>
      <c r="J201">
        <f t="shared" si="3"/>
        <v>4</v>
      </c>
    </row>
    <row r="202" spans="1:10">
      <c r="A202" s="2">
        <v>5</v>
      </c>
      <c r="B202" s="10">
        <v>385</v>
      </c>
      <c r="C202" t="s">
        <v>683</v>
      </c>
      <c r="D202" s="17">
        <v>10171339063</v>
      </c>
      <c r="E202" s="17" t="s">
        <v>1448</v>
      </c>
      <c r="F202" t="s">
        <v>1532</v>
      </c>
      <c r="G202" s="5">
        <v>3.4618055555555555E-2</v>
      </c>
      <c r="H202" s="2">
        <v>150</v>
      </c>
      <c r="I202" s="5">
        <v>7.8703703703703679E-3</v>
      </c>
      <c r="J202">
        <f t="shared" si="3"/>
        <v>5</v>
      </c>
    </row>
    <row r="203" spans="1:10">
      <c r="A203" s="2">
        <v>6</v>
      </c>
      <c r="B203" s="10">
        <v>384</v>
      </c>
      <c r="C203" t="s">
        <v>1330</v>
      </c>
      <c r="D203" s="17">
        <v>10141538340</v>
      </c>
      <c r="E203" s="17" t="s">
        <v>1448</v>
      </c>
      <c r="F203" t="s">
        <v>1331</v>
      </c>
      <c r="G203" s="5">
        <v>3.4826388888888886E-2</v>
      </c>
      <c r="H203" s="2">
        <v>152</v>
      </c>
      <c r="I203" s="5">
        <v>8.0787037037036991E-3</v>
      </c>
      <c r="J203">
        <f t="shared" si="3"/>
        <v>6</v>
      </c>
    </row>
    <row r="204" spans="1:10">
      <c r="A204" s="2"/>
      <c r="B204" s="10">
        <v>390</v>
      </c>
      <c r="C204" t="s">
        <v>1552</v>
      </c>
      <c r="D204" s="17">
        <v>10152964031</v>
      </c>
      <c r="E204" s="17" t="s">
        <v>1448</v>
      </c>
      <c r="F204" t="s">
        <v>1553</v>
      </c>
      <c r="G204" s="5" t="s">
        <v>1540</v>
      </c>
      <c r="H204" s="2">
        <v>162</v>
      </c>
      <c r="I204" s="5" t="s">
        <v>6</v>
      </c>
      <c r="J204">
        <f t="shared" si="3"/>
        <v>0</v>
      </c>
    </row>
    <row r="205" spans="1:10">
      <c r="A205" s="2"/>
      <c r="B205" s="10"/>
      <c r="D205" s="17"/>
      <c r="E205" s="17"/>
      <c r="G205" s="5"/>
      <c r="H205" s="2"/>
      <c r="I205" s="5"/>
      <c r="J205">
        <f t="shared" si="3"/>
        <v>0</v>
      </c>
    </row>
    <row r="206" spans="1:10">
      <c r="A206" s="2">
        <v>1</v>
      </c>
      <c r="B206" s="10">
        <v>113</v>
      </c>
      <c r="C206" t="s">
        <v>1599</v>
      </c>
      <c r="D206" s="17">
        <v>10126522639</v>
      </c>
      <c r="E206" s="17" t="s">
        <v>1448</v>
      </c>
      <c r="F206" t="s">
        <v>84</v>
      </c>
      <c r="G206" s="5">
        <v>3.6215277777777777E-2</v>
      </c>
      <c r="H206" s="2">
        <v>180</v>
      </c>
      <c r="I206" s="5"/>
      <c r="J206">
        <f t="shared" si="3"/>
        <v>1</v>
      </c>
    </row>
    <row r="207" spans="1:10">
      <c r="A207" s="2">
        <v>2</v>
      </c>
      <c r="B207" s="10">
        <v>106</v>
      </c>
      <c r="C207" t="s">
        <v>1600</v>
      </c>
      <c r="D207" s="17">
        <v>10119593506</v>
      </c>
      <c r="E207" s="17" t="s">
        <v>1448</v>
      </c>
      <c r="F207" t="s">
        <v>71</v>
      </c>
      <c r="G207" s="5">
        <v>3.8148148148148146E-2</v>
      </c>
      <c r="H207" s="2">
        <v>181</v>
      </c>
      <c r="I207" s="5">
        <v>1.9328703703703695E-3</v>
      </c>
      <c r="J207">
        <f t="shared" si="3"/>
        <v>2</v>
      </c>
    </row>
    <row r="208" spans="1:10">
      <c r="A208" s="2">
        <v>3</v>
      </c>
      <c r="B208" s="10">
        <v>105</v>
      </c>
      <c r="C208" t="s">
        <v>208</v>
      </c>
      <c r="D208" s="17">
        <v>10141533185</v>
      </c>
      <c r="E208" s="17" t="s">
        <v>1448</v>
      </c>
      <c r="F208" t="s">
        <v>1601</v>
      </c>
      <c r="G208" s="5">
        <v>3.8599537037037036E-2</v>
      </c>
      <c r="H208" s="2">
        <v>183</v>
      </c>
      <c r="I208" s="5">
        <v>2.3842592592592596E-3</v>
      </c>
      <c r="J208">
        <f t="shared" si="3"/>
        <v>3</v>
      </c>
    </row>
    <row r="209" spans="1:10">
      <c r="A209" s="2">
        <v>4</v>
      </c>
      <c r="B209" s="10">
        <v>104</v>
      </c>
      <c r="C209" t="s">
        <v>1365</v>
      </c>
      <c r="D209" s="17">
        <v>10116215680</v>
      </c>
      <c r="E209" s="17" t="s">
        <v>1448</v>
      </c>
      <c r="F209" t="s">
        <v>1555</v>
      </c>
      <c r="G209" s="5">
        <v>3.9004629629629632E-2</v>
      </c>
      <c r="H209" s="2">
        <v>184</v>
      </c>
      <c r="I209" s="5">
        <v>2.7893518518518554E-3</v>
      </c>
      <c r="J209">
        <f t="shared" si="3"/>
        <v>4</v>
      </c>
    </row>
    <row r="210" spans="1:10">
      <c r="A210" s="2">
        <v>5</v>
      </c>
      <c r="B210" s="10">
        <v>109</v>
      </c>
      <c r="C210" t="s">
        <v>602</v>
      </c>
      <c r="D210" s="17">
        <v>10161160935</v>
      </c>
      <c r="E210" s="17" t="s">
        <v>1448</v>
      </c>
      <c r="F210" t="s">
        <v>1205</v>
      </c>
      <c r="G210" s="5">
        <v>3.9629629629629633E-2</v>
      </c>
      <c r="H210" s="2">
        <v>185</v>
      </c>
      <c r="I210" s="5">
        <v>3.4143518518518559E-3</v>
      </c>
      <c r="J210">
        <f t="shared" si="3"/>
        <v>5</v>
      </c>
    </row>
    <row r="211" spans="1:10">
      <c r="A211" s="2">
        <v>6</v>
      </c>
      <c r="B211" s="10">
        <v>158</v>
      </c>
      <c r="C211" t="s">
        <v>1603</v>
      </c>
      <c r="D211" s="17">
        <v>10089728923</v>
      </c>
      <c r="E211" s="17" t="s">
        <v>1448</v>
      </c>
      <c r="F211" t="s">
        <v>1604</v>
      </c>
      <c r="G211" s="5">
        <v>4.0868055555555553E-2</v>
      </c>
      <c r="H211" s="2">
        <v>186</v>
      </c>
      <c r="I211" s="5">
        <v>4.6527777777777765E-3</v>
      </c>
      <c r="J211">
        <f t="shared" si="3"/>
        <v>6</v>
      </c>
    </row>
    <row r="212" spans="1:10">
      <c r="A212" s="2">
        <v>7</v>
      </c>
      <c r="B212" s="10">
        <v>131</v>
      </c>
      <c r="C212" t="s">
        <v>1608</v>
      </c>
      <c r="D212" s="17">
        <v>10152089718</v>
      </c>
      <c r="E212" s="17" t="s">
        <v>1448</v>
      </c>
      <c r="F212" t="s">
        <v>127</v>
      </c>
      <c r="G212" s="5">
        <v>4.1585648148148149E-2</v>
      </c>
      <c r="H212" s="2">
        <v>187</v>
      </c>
      <c r="I212" s="5">
        <v>5.3703703703703726E-3</v>
      </c>
      <c r="J212">
        <f t="shared" si="3"/>
        <v>7</v>
      </c>
    </row>
    <row r="213" spans="1:10">
      <c r="A213" s="2">
        <v>8</v>
      </c>
      <c r="B213" s="10">
        <v>107</v>
      </c>
      <c r="C213" t="s">
        <v>1031</v>
      </c>
      <c r="D213" s="17">
        <v>10171946426</v>
      </c>
      <c r="E213" s="17" t="s">
        <v>1448</v>
      </c>
      <c r="F213" t="s">
        <v>1605</v>
      </c>
      <c r="G213" s="5">
        <v>4.2743055555555555E-2</v>
      </c>
      <c r="H213" s="2">
        <v>188</v>
      </c>
      <c r="I213" s="5">
        <v>6.5277777777777782E-3</v>
      </c>
      <c r="J213">
        <f t="shared" si="3"/>
        <v>8</v>
      </c>
    </row>
    <row r="214" spans="1:10">
      <c r="A214" s="2">
        <v>9</v>
      </c>
      <c r="B214" s="10">
        <v>160</v>
      </c>
      <c r="C214" t="s">
        <v>236</v>
      </c>
      <c r="D214" s="17">
        <v>10171940059</v>
      </c>
      <c r="E214" s="17" t="s">
        <v>1448</v>
      </c>
      <c r="F214" t="s">
        <v>1609</v>
      </c>
      <c r="G214" s="5">
        <v>4.3263888888888886E-2</v>
      </c>
      <c r="H214" s="2">
        <v>189</v>
      </c>
      <c r="I214" s="5">
        <v>7.0486111111111097E-3</v>
      </c>
      <c r="J214">
        <f t="shared" si="3"/>
        <v>9</v>
      </c>
    </row>
    <row r="215" spans="1:10">
      <c r="A215" s="2">
        <v>10</v>
      </c>
      <c r="B215" s="10">
        <v>163</v>
      </c>
      <c r="C215" t="s">
        <v>1614</v>
      </c>
      <c r="D215" s="17">
        <v>10142353645</v>
      </c>
      <c r="E215" s="17" t="s">
        <v>1448</v>
      </c>
      <c r="F215" t="s">
        <v>1615</v>
      </c>
      <c r="G215" s="5">
        <v>4.3807870370370372E-2</v>
      </c>
      <c r="H215" s="2">
        <v>190</v>
      </c>
      <c r="I215" s="5">
        <v>7.5925925925925952E-3</v>
      </c>
      <c r="J215">
        <f t="shared" si="3"/>
        <v>10</v>
      </c>
    </row>
    <row r="216" spans="1:10">
      <c r="A216" s="2">
        <v>11</v>
      </c>
      <c r="B216" s="10">
        <v>110</v>
      </c>
      <c r="C216" t="s">
        <v>1602</v>
      </c>
      <c r="D216" s="17">
        <v>10131930286</v>
      </c>
      <c r="E216" s="17" t="s">
        <v>1448</v>
      </c>
      <c r="F216" t="s">
        <v>978</v>
      </c>
      <c r="G216" s="5">
        <v>4.3807870370370372E-2</v>
      </c>
      <c r="H216" s="2">
        <v>191</v>
      </c>
      <c r="I216" s="5">
        <v>7.5925925925925952E-3</v>
      </c>
      <c r="J216">
        <f t="shared" si="3"/>
        <v>11</v>
      </c>
    </row>
    <row r="217" spans="1:10">
      <c r="A217" s="2">
        <v>12</v>
      </c>
      <c r="B217" s="10">
        <v>147</v>
      </c>
      <c r="C217" t="s">
        <v>261</v>
      </c>
      <c r="D217" s="17">
        <v>10173505601</v>
      </c>
      <c r="E217" s="17" t="s">
        <v>1448</v>
      </c>
      <c r="F217" t="s">
        <v>1563</v>
      </c>
      <c r="G217" s="5" t="s">
        <v>1482</v>
      </c>
      <c r="H217" s="2">
        <v>193</v>
      </c>
      <c r="I217" s="5" t="s">
        <v>66</v>
      </c>
      <c r="J217">
        <f t="shared" si="3"/>
        <v>12</v>
      </c>
    </row>
    <row r="218" spans="1:10">
      <c r="A218" s="2">
        <v>13</v>
      </c>
      <c r="B218" s="10">
        <v>130</v>
      </c>
      <c r="C218" t="s">
        <v>1610</v>
      </c>
      <c r="D218" s="17">
        <v>10141535512</v>
      </c>
      <c r="E218" s="17" t="s">
        <v>1448</v>
      </c>
      <c r="F218" t="s">
        <v>127</v>
      </c>
      <c r="G218" s="5" t="s">
        <v>1482</v>
      </c>
      <c r="H218" s="2">
        <v>194</v>
      </c>
      <c r="I218" s="5" t="s">
        <v>66</v>
      </c>
      <c r="J218">
        <f t="shared" si="3"/>
        <v>13</v>
      </c>
    </row>
    <row r="219" spans="1:10">
      <c r="A219" s="7">
        <v>14</v>
      </c>
      <c r="B219" s="58">
        <v>119</v>
      </c>
      <c r="C219" s="109" t="s">
        <v>1613</v>
      </c>
      <c r="D219" s="110">
        <v>10161411014</v>
      </c>
      <c r="E219" s="110" t="s">
        <v>1448</v>
      </c>
      <c r="F219" s="109" t="s">
        <v>84</v>
      </c>
      <c r="G219" s="111" t="s">
        <v>1482</v>
      </c>
      <c r="H219" s="58">
        <v>195</v>
      </c>
      <c r="I219" s="111" t="s">
        <v>66</v>
      </c>
      <c r="J219">
        <f>A219</f>
        <v>14</v>
      </c>
    </row>
    <row r="220" spans="1:10">
      <c r="A220" s="7">
        <v>15</v>
      </c>
      <c r="B220" s="58">
        <v>120</v>
      </c>
      <c r="C220" s="109" t="s">
        <v>1212</v>
      </c>
      <c r="D220" s="110">
        <v>10164526027</v>
      </c>
      <c r="E220" s="110" t="s">
        <v>1448</v>
      </c>
      <c r="F220" s="109" t="s">
        <v>1539</v>
      </c>
      <c r="G220" s="111" t="s">
        <v>1482</v>
      </c>
      <c r="H220" s="58">
        <v>196</v>
      </c>
      <c r="I220" s="111" t="s">
        <v>66</v>
      </c>
      <c r="J220">
        <f t="shared" ref="J220:J225" si="4">A220</f>
        <v>15</v>
      </c>
    </row>
    <row r="221" spans="1:10" ht="15.75">
      <c r="A221" s="58">
        <v>16</v>
      </c>
      <c r="B221" s="48">
        <v>132</v>
      </c>
      <c r="C221" s="110" t="s">
        <v>1611</v>
      </c>
      <c r="D221" s="110">
        <v>10152089819</v>
      </c>
      <c r="E221" s="110" t="s">
        <v>1448</v>
      </c>
      <c r="F221" s="109" t="s">
        <v>127</v>
      </c>
      <c r="G221" s="111" t="s">
        <v>1482</v>
      </c>
      <c r="H221" s="58">
        <v>197</v>
      </c>
      <c r="I221" s="111" t="s">
        <v>66</v>
      </c>
      <c r="J221">
        <f t="shared" si="4"/>
        <v>16</v>
      </c>
    </row>
    <row r="222" spans="1:10" ht="15.75">
      <c r="A222" s="58">
        <v>17</v>
      </c>
      <c r="B222" s="48">
        <v>112</v>
      </c>
      <c r="C222" s="110" t="s">
        <v>247</v>
      </c>
      <c r="D222" s="110">
        <v>10164774385</v>
      </c>
      <c r="E222" s="110" t="s">
        <v>1448</v>
      </c>
      <c r="F222" s="109" t="s">
        <v>1694</v>
      </c>
      <c r="G222" s="111" t="s">
        <v>1535</v>
      </c>
      <c r="H222" s="58">
        <v>199</v>
      </c>
      <c r="I222" s="111" t="s">
        <v>66</v>
      </c>
      <c r="J222">
        <f t="shared" si="4"/>
        <v>17</v>
      </c>
    </row>
    <row r="223" spans="1:10">
      <c r="A223" s="58">
        <v>18</v>
      </c>
      <c r="B223" s="58">
        <v>161</v>
      </c>
      <c r="C223" s="110" t="s">
        <v>1378</v>
      </c>
      <c r="D223" s="110">
        <v>10152284728</v>
      </c>
      <c r="E223" s="110" t="s">
        <v>1448</v>
      </c>
      <c r="F223" s="109" t="s">
        <v>172</v>
      </c>
      <c r="G223" s="111" t="s">
        <v>1535</v>
      </c>
      <c r="H223" s="58">
        <v>200</v>
      </c>
      <c r="I223" s="111" t="s">
        <v>66</v>
      </c>
      <c r="J223">
        <f t="shared" si="4"/>
        <v>18</v>
      </c>
    </row>
    <row r="224" spans="1:10">
      <c r="A224" s="7">
        <v>19</v>
      </c>
      <c r="B224" s="58">
        <v>162</v>
      </c>
      <c r="C224" s="109" t="s">
        <v>1619</v>
      </c>
      <c r="D224" s="110">
        <v>10161111728</v>
      </c>
      <c r="E224" s="110" t="s">
        <v>1448</v>
      </c>
      <c r="F224" s="109" t="s">
        <v>130</v>
      </c>
      <c r="G224" s="111" t="s">
        <v>1535</v>
      </c>
      <c r="H224" s="58">
        <v>201</v>
      </c>
      <c r="I224" s="111" t="s">
        <v>66</v>
      </c>
      <c r="J224">
        <f t="shared" si="4"/>
        <v>19</v>
      </c>
    </row>
    <row r="225" spans="1:10">
      <c r="A225" s="7">
        <v>20</v>
      </c>
      <c r="B225" s="58">
        <v>164</v>
      </c>
      <c r="C225" s="109" t="s">
        <v>1616</v>
      </c>
      <c r="D225" s="110">
        <v>10164035670</v>
      </c>
      <c r="E225" s="110" t="s">
        <v>1448</v>
      </c>
      <c r="F225" s="109" t="s">
        <v>1617</v>
      </c>
      <c r="G225" s="111" t="s">
        <v>1535</v>
      </c>
      <c r="H225" s="58">
        <v>202</v>
      </c>
      <c r="I225" s="111" t="s">
        <v>66</v>
      </c>
      <c r="J225">
        <f t="shared" si="4"/>
        <v>20</v>
      </c>
    </row>
    <row r="226" spans="1:10">
      <c r="A226" s="2">
        <v>21</v>
      </c>
      <c r="B226" s="10">
        <v>166</v>
      </c>
      <c r="C226" t="s">
        <v>1620</v>
      </c>
      <c r="D226" s="17">
        <v>10131783069</v>
      </c>
      <c r="E226" s="17" t="s">
        <v>1448</v>
      </c>
      <c r="F226" t="s">
        <v>84</v>
      </c>
      <c r="G226" s="5" t="s">
        <v>1535</v>
      </c>
      <c r="H226" s="2">
        <v>203</v>
      </c>
      <c r="I226" s="5" t="s">
        <v>66</v>
      </c>
      <c r="J226">
        <f t="shared" ref="J226:J257" si="5">A226</f>
        <v>21</v>
      </c>
    </row>
    <row r="227" spans="1:10">
      <c r="A227" s="2">
        <v>22</v>
      </c>
      <c r="B227" s="10">
        <v>114</v>
      </c>
      <c r="C227" t="s">
        <v>1612</v>
      </c>
      <c r="D227" s="17">
        <v>10165016683</v>
      </c>
      <c r="E227" s="17" t="s">
        <v>1448</v>
      </c>
      <c r="F227" t="s">
        <v>1532</v>
      </c>
      <c r="G227" s="5" t="s">
        <v>1535</v>
      </c>
      <c r="H227" s="2">
        <v>204</v>
      </c>
      <c r="I227" s="5" t="s">
        <v>66</v>
      </c>
      <c r="J227">
        <f t="shared" si="5"/>
        <v>22</v>
      </c>
    </row>
    <row r="228" spans="1:10">
      <c r="A228" s="2">
        <v>23</v>
      </c>
      <c r="B228" s="10">
        <v>173</v>
      </c>
      <c r="C228" t="s">
        <v>1695</v>
      </c>
      <c r="D228" s="17" t="s">
        <v>66</v>
      </c>
      <c r="E228" s="17" t="s">
        <v>1448</v>
      </c>
      <c r="F228" t="s">
        <v>1696</v>
      </c>
      <c r="G228" s="5" t="s">
        <v>1535</v>
      </c>
      <c r="H228" s="2">
        <v>205</v>
      </c>
      <c r="I228" s="5" t="s">
        <v>66</v>
      </c>
      <c r="J228">
        <f t="shared" si="5"/>
        <v>23</v>
      </c>
    </row>
    <row r="229" spans="1:10">
      <c r="A229" s="2"/>
      <c r="B229" s="10">
        <v>174</v>
      </c>
      <c r="C229" t="s">
        <v>1606</v>
      </c>
      <c r="D229" s="17">
        <v>10127944394</v>
      </c>
      <c r="E229" s="17" t="s">
        <v>1448</v>
      </c>
      <c r="F229" t="s">
        <v>1607</v>
      </c>
      <c r="G229" s="5" t="s">
        <v>1540</v>
      </c>
      <c r="H229" s="2">
        <v>177</v>
      </c>
      <c r="I229" s="5" t="s">
        <v>66</v>
      </c>
      <c r="J229">
        <f t="shared" si="5"/>
        <v>0</v>
      </c>
    </row>
    <row r="230" spans="1:10">
      <c r="A230" s="2"/>
      <c r="B230" s="10">
        <v>103</v>
      </c>
      <c r="C230" t="s">
        <v>1598</v>
      </c>
      <c r="D230" s="17">
        <v>10154951521</v>
      </c>
      <c r="E230" s="17" t="s">
        <v>1448</v>
      </c>
      <c r="F230" t="s">
        <v>100</v>
      </c>
      <c r="G230" s="5" t="s">
        <v>1540</v>
      </c>
      <c r="H230" s="2">
        <v>178</v>
      </c>
      <c r="I230" s="5" t="s">
        <v>66</v>
      </c>
      <c r="J230">
        <f t="shared" si="5"/>
        <v>0</v>
      </c>
    </row>
    <row r="231" spans="1:10">
      <c r="A231" s="2"/>
      <c r="B231" s="10">
        <v>125</v>
      </c>
      <c r="C231" t="s">
        <v>1049</v>
      </c>
      <c r="D231" s="17">
        <v>10171432932</v>
      </c>
      <c r="E231" s="17" t="s">
        <v>1448</v>
      </c>
      <c r="F231" t="s">
        <v>240</v>
      </c>
      <c r="G231" s="5" t="s">
        <v>1697</v>
      </c>
      <c r="H231" s="2">
        <v>207</v>
      </c>
      <c r="I231" s="5" t="s">
        <v>66</v>
      </c>
      <c r="J231">
        <f t="shared" si="5"/>
        <v>0</v>
      </c>
    </row>
    <row r="232" spans="1:10">
      <c r="A232" s="2"/>
      <c r="B232" s="10">
        <v>122</v>
      </c>
      <c r="C232" t="s">
        <v>1210</v>
      </c>
      <c r="D232" s="17">
        <v>10133141372</v>
      </c>
      <c r="E232" s="17" t="s">
        <v>1448</v>
      </c>
      <c r="F232" t="s">
        <v>1578</v>
      </c>
      <c r="G232" s="5" t="s">
        <v>1697</v>
      </c>
      <c r="H232" s="2">
        <v>208</v>
      </c>
      <c r="I232" s="5" t="s">
        <v>66</v>
      </c>
      <c r="J232">
        <f t="shared" si="5"/>
        <v>0</v>
      </c>
    </row>
    <row r="233" spans="1:10">
      <c r="A233" s="2"/>
      <c r="B233" s="10">
        <v>172</v>
      </c>
      <c r="C233" t="s">
        <v>1618</v>
      </c>
      <c r="D233" s="17">
        <v>10089603530</v>
      </c>
      <c r="E233" s="17" t="s">
        <v>1448</v>
      </c>
      <c r="F233" t="s">
        <v>125</v>
      </c>
      <c r="G233" s="5" t="s">
        <v>1680</v>
      </c>
      <c r="H233" s="2">
        <v>179</v>
      </c>
      <c r="I233" s="5" t="s">
        <v>66</v>
      </c>
      <c r="J233">
        <f t="shared" si="5"/>
        <v>0</v>
      </c>
    </row>
    <row r="234" spans="1:10">
      <c r="A234" s="2"/>
      <c r="B234" s="10"/>
      <c r="D234" s="17"/>
      <c r="E234" s="17"/>
      <c r="G234" s="5"/>
      <c r="H234" s="2"/>
      <c r="I234" s="5"/>
      <c r="J234">
        <f t="shared" si="5"/>
        <v>0</v>
      </c>
    </row>
    <row r="235" spans="1:10">
      <c r="A235" s="2">
        <v>1</v>
      </c>
      <c r="B235" s="10">
        <v>263</v>
      </c>
      <c r="C235" t="s">
        <v>1626</v>
      </c>
      <c r="D235" s="17">
        <v>10122460056</v>
      </c>
      <c r="E235" s="17" t="s">
        <v>1448</v>
      </c>
      <c r="F235" t="s">
        <v>376</v>
      </c>
      <c r="G235" s="5">
        <v>3.8240740740740742E-2</v>
      </c>
      <c r="H235" s="2">
        <v>182</v>
      </c>
      <c r="I235" s="5"/>
      <c r="J235">
        <f t="shared" si="5"/>
        <v>1</v>
      </c>
    </row>
    <row r="236" spans="1:10">
      <c r="A236" s="2">
        <v>2</v>
      </c>
      <c r="B236" s="10">
        <v>266</v>
      </c>
      <c r="C236" t="s">
        <v>1627</v>
      </c>
      <c r="D236" s="17">
        <v>10103913858</v>
      </c>
      <c r="E236" s="17" t="s">
        <v>1448</v>
      </c>
      <c r="F236" t="s">
        <v>1628</v>
      </c>
      <c r="G236" s="5">
        <v>4.6851851851851853E-2</v>
      </c>
      <c r="H236" s="2">
        <v>192</v>
      </c>
      <c r="I236" s="5">
        <v>8.611111111111111E-3</v>
      </c>
      <c r="J236">
        <f t="shared" si="5"/>
        <v>2</v>
      </c>
    </row>
    <row r="237" spans="1:10">
      <c r="A237" s="2">
        <v>3</v>
      </c>
      <c r="B237" s="10">
        <v>268</v>
      </c>
      <c r="C237" t="s">
        <v>1698</v>
      </c>
      <c r="D237" s="17">
        <v>10152125686</v>
      </c>
      <c r="E237" s="17" t="s">
        <v>6</v>
      </c>
      <c r="F237" t="s">
        <v>1699</v>
      </c>
      <c r="G237" s="5">
        <v>5.3148148148148146E-2</v>
      </c>
      <c r="H237" s="2">
        <v>206</v>
      </c>
      <c r="I237" s="5">
        <v>1.4907407407407404E-2</v>
      </c>
      <c r="J237">
        <f t="shared" si="5"/>
        <v>3</v>
      </c>
    </row>
    <row r="238" spans="1:10">
      <c r="A238" s="2"/>
      <c r="B238" s="10"/>
      <c r="D238" s="17"/>
      <c r="E238" s="17"/>
      <c r="G238" s="5"/>
      <c r="H238" s="2"/>
      <c r="I238" s="5"/>
      <c r="J238">
        <f t="shared" si="5"/>
        <v>0</v>
      </c>
    </row>
    <row r="239" spans="1:10">
      <c r="A239" s="2"/>
      <c r="B239" s="10"/>
      <c r="D239" s="17"/>
      <c r="E239" s="17"/>
      <c r="G239" s="5"/>
      <c r="H239" s="2"/>
      <c r="I239" s="5"/>
      <c r="J239">
        <f t="shared" si="5"/>
        <v>0</v>
      </c>
    </row>
    <row r="240" spans="1:10">
      <c r="A240" s="2"/>
      <c r="B240" s="10"/>
      <c r="D240" s="17"/>
      <c r="E240" s="17"/>
      <c r="G240" s="5"/>
      <c r="H240" s="2"/>
      <c r="I240" s="5"/>
      <c r="J240">
        <f t="shared" si="5"/>
        <v>0</v>
      </c>
    </row>
    <row r="241" spans="1:10">
      <c r="A241" s="2"/>
      <c r="B241" s="10"/>
      <c r="D241" s="17"/>
      <c r="E241" s="17"/>
      <c r="G241" s="5"/>
      <c r="H241" s="2"/>
      <c r="I241" s="5"/>
      <c r="J241">
        <f t="shared" si="5"/>
        <v>0</v>
      </c>
    </row>
    <row r="242" spans="1:10">
      <c r="A242" s="2"/>
      <c r="B242" s="10"/>
      <c r="D242" s="17"/>
      <c r="E242" s="17"/>
      <c r="G242" s="5"/>
      <c r="H242" s="2"/>
      <c r="I242" s="5"/>
      <c r="J242">
        <f t="shared" si="5"/>
        <v>0</v>
      </c>
    </row>
    <row r="243" spans="1:10">
      <c r="J243">
        <f t="shared" si="5"/>
        <v>0</v>
      </c>
    </row>
    <row r="244" spans="1:10" ht="15.75">
      <c r="A244" s="2"/>
      <c r="B244" s="40"/>
      <c r="D244" s="17"/>
      <c r="E244" s="17"/>
      <c r="G244" s="5"/>
      <c r="H244" s="2"/>
      <c r="I244" s="5"/>
      <c r="J244">
        <f t="shared" si="5"/>
        <v>0</v>
      </c>
    </row>
    <row r="245" spans="1:10" ht="15.75">
      <c r="A245" s="2"/>
      <c r="B245" s="40"/>
      <c r="D245" s="17"/>
      <c r="E245" s="17"/>
      <c r="G245" s="5"/>
      <c r="H245" s="2"/>
      <c r="I245" s="5"/>
      <c r="J245">
        <f t="shared" si="5"/>
        <v>0</v>
      </c>
    </row>
    <row r="246" spans="1:10">
      <c r="A246" s="3"/>
      <c r="B246" s="3"/>
      <c r="C246" s="4"/>
      <c r="D246" s="100"/>
      <c r="E246" s="100"/>
      <c r="F246" s="4"/>
      <c r="G246" s="101"/>
      <c r="H246" s="3"/>
      <c r="I246" s="101"/>
      <c r="J246">
        <f t="shared" si="5"/>
        <v>0</v>
      </c>
    </row>
    <row r="247" spans="1:10">
      <c r="A247" s="3"/>
      <c r="B247" s="3"/>
      <c r="C247" s="4"/>
      <c r="D247" s="100"/>
      <c r="E247" s="100"/>
      <c r="F247" s="4"/>
      <c r="G247" s="101"/>
      <c r="H247" s="3"/>
      <c r="I247" s="101"/>
      <c r="J247">
        <f t="shared" si="5"/>
        <v>0</v>
      </c>
    </row>
    <row r="248" spans="1:10">
      <c r="A248" s="3"/>
      <c r="B248" s="105"/>
      <c r="C248" s="4"/>
      <c r="D248" s="100"/>
      <c r="E248" s="100"/>
      <c r="F248" s="4"/>
      <c r="G248" s="101"/>
      <c r="H248" s="3"/>
      <c r="I248" s="101"/>
      <c r="J248">
        <f t="shared" si="5"/>
        <v>0</v>
      </c>
    </row>
    <row r="249" spans="1:10">
      <c r="A249" s="3"/>
      <c r="B249" s="3"/>
      <c r="C249" s="4"/>
      <c r="D249" s="100"/>
      <c r="E249" s="100"/>
      <c r="F249" s="4"/>
      <c r="G249" s="101"/>
      <c r="H249" s="3"/>
      <c r="I249" s="101"/>
      <c r="J249">
        <f t="shared" si="5"/>
        <v>0</v>
      </c>
    </row>
    <row r="250" spans="1:10" ht="15.75">
      <c r="A250" s="2"/>
      <c r="B250" s="40"/>
      <c r="D250" s="17"/>
      <c r="E250" s="17"/>
      <c r="G250" s="5"/>
      <c r="H250" s="2"/>
      <c r="I250" s="5"/>
      <c r="J250">
        <f t="shared" si="5"/>
        <v>0</v>
      </c>
    </row>
    <row r="251" spans="1:10">
      <c r="A251" s="2"/>
      <c r="D251" s="17"/>
      <c r="E251" s="17"/>
      <c r="G251" s="5"/>
      <c r="H251" s="2"/>
      <c r="I251" s="5"/>
      <c r="J251">
        <f t="shared" si="5"/>
        <v>0</v>
      </c>
    </row>
    <row r="252" spans="1:10">
      <c r="A252" s="2"/>
      <c r="D252" s="17"/>
      <c r="E252" s="17"/>
      <c r="G252" s="5"/>
      <c r="H252" s="2"/>
      <c r="I252" s="5"/>
      <c r="J252">
        <f t="shared" si="5"/>
        <v>0</v>
      </c>
    </row>
    <row r="253" spans="1:10" ht="15.75">
      <c r="A253" s="2"/>
      <c r="B253" s="40"/>
      <c r="D253" s="17"/>
      <c r="E253" s="17"/>
      <c r="G253" s="5"/>
      <c r="H253" s="2"/>
      <c r="I253" s="5"/>
      <c r="J253">
        <f t="shared" si="5"/>
        <v>0</v>
      </c>
    </row>
    <row r="254" spans="1:10" ht="15.75">
      <c r="A254" s="2"/>
      <c r="B254" s="40"/>
      <c r="D254" s="17"/>
      <c r="E254" s="17"/>
      <c r="G254" s="5"/>
      <c r="H254" s="2"/>
      <c r="I254" s="5"/>
      <c r="J254">
        <f t="shared" si="5"/>
        <v>0</v>
      </c>
    </row>
    <row r="255" spans="1:10">
      <c r="A255" s="2"/>
      <c r="D255" s="17"/>
      <c r="E255" s="17"/>
      <c r="G255" s="5"/>
      <c r="H255" s="2"/>
      <c r="I255" s="5"/>
      <c r="J255">
        <f t="shared" si="5"/>
        <v>0</v>
      </c>
    </row>
    <row r="256" spans="1:10" ht="15.75">
      <c r="A256" s="2"/>
      <c r="B256" s="40"/>
      <c r="D256" s="17"/>
      <c r="E256" s="17"/>
      <c r="G256" s="5"/>
      <c r="H256" s="2"/>
      <c r="I256" s="5"/>
      <c r="J256">
        <f t="shared" si="5"/>
        <v>0</v>
      </c>
    </row>
    <row r="257" spans="1:10">
      <c r="A257" s="2"/>
      <c r="D257" s="17"/>
      <c r="E257" s="17"/>
      <c r="G257" s="5"/>
      <c r="H257" s="2"/>
      <c r="I257" s="5"/>
      <c r="J257">
        <f t="shared" si="5"/>
        <v>0</v>
      </c>
    </row>
    <row r="258" spans="1:10">
      <c r="A258" s="2"/>
      <c r="D258" s="17"/>
      <c r="E258" s="17"/>
      <c r="G258" s="5"/>
      <c r="H258" s="2"/>
      <c r="I258" s="5"/>
      <c r="J258">
        <f t="shared" ref="J258:J321" si="6">A258</f>
        <v>0</v>
      </c>
    </row>
    <row r="259" spans="1:10" ht="15.75">
      <c r="A259" s="2"/>
      <c r="B259" s="40"/>
      <c r="D259" s="17"/>
      <c r="E259" s="17"/>
      <c r="G259" s="5"/>
      <c r="H259" s="2"/>
      <c r="I259" s="5"/>
      <c r="J259">
        <f t="shared" si="6"/>
        <v>0</v>
      </c>
    </row>
    <row r="260" spans="1:10">
      <c r="J260">
        <f t="shared" si="6"/>
        <v>0</v>
      </c>
    </row>
    <row r="261" spans="1:10">
      <c r="A261" s="2"/>
      <c r="B261" s="10"/>
      <c r="C261" s="17"/>
      <c r="D261" s="17"/>
      <c r="E261" s="17"/>
      <c r="F261" s="17"/>
      <c r="G261" s="5"/>
      <c r="H261" s="2"/>
      <c r="I261" s="5"/>
      <c r="J261">
        <f t="shared" si="6"/>
        <v>0</v>
      </c>
    </row>
    <row r="262" spans="1:10">
      <c r="A262" s="2"/>
      <c r="B262" s="10"/>
      <c r="C262" s="17"/>
      <c r="D262" s="17"/>
      <c r="E262" s="17"/>
      <c r="F262" s="17"/>
      <c r="G262" s="5"/>
      <c r="H262" s="2"/>
      <c r="I262" s="5"/>
      <c r="J262">
        <f t="shared" si="6"/>
        <v>0</v>
      </c>
    </row>
    <row r="263" spans="1:10">
      <c r="A263" s="2"/>
      <c r="B263" s="10"/>
      <c r="C263" s="17"/>
      <c r="D263" s="17"/>
      <c r="E263" s="17"/>
      <c r="F263" s="17"/>
      <c r="G263" s="5"/>
      <c r="H263" s="2"/>
      <c r="I263" s="5"/>
      <c r="J263">
        <f t="shared" si="6"/>
        <v>0</v>
      </c>
    </row>
    <row r="264" spans="1:10">
      <c r="A264" s="2"/>
      <c r="B264" s="10"/>
      <c r="C264" s="17"/>
      <c r="D264" s="17"/>
      <c r="E264" s="17"/>
      <c r="F264" s="17"/>
      <c r="G264" s="5"/>
      <c r="H264" s="2"/>
      <c r="I264" s="5"/>
      <c r="J264">
        <f t="shared" si="6"/>
        <v>0</v>
      </c>
    </row>
    <row r="265" spans="1:10">
      <c r="A265" s="2"/>
      <c r="B265" s="10"/>
      <c r="C265" s="17"/>
      <c r="D265" s="17"/>
      <c r="E265" s="17"/>
      <c r="F265" s="17"/>
      <c r="G265" s="5"/>
      <c r="H265" s="2"/>
      <c r="I265" s="5"/>
      <c r="J265">
        <f t="shared" si="6"/>
        <v>0</v>
      </c>
    </row>
    <row r="266" spans="1:10">
      <c r="A266" s="2"/>
      <c r="B266" s="10"/>
      <c r="C266" s="17"/>
      <c r="D266" s="17"/>
      <c r="E266" s="17"/>
      <c r="F266" s="17"/>
      <c r="G266" s="5"/>
      <c r="H266" s="2"/>
      <c r="I266" s="5"/>
      <c r="J266">
        <f t="shared" si="6"/>
        <v>0</v>
      </c>
    </row>
    <row r="267" spans="1:10">
      <c r="A267" s="2"/>
      <c r="B267" s="10"/>
      <c r="C267" s="17"/>
      <c r="D267" s="17"/>
      <c r="E267" s="17"/>
      <c r="F267" s="17"/>
      <c r="G267" s="5"/>
      <c r="H267" s="2"/>
      <c r="I267" s="5"/>
      <c r="J267">
        <f t="shared" si="6"/>
        <v>0</v>
      </c>
    </row>
    <row r="268" spans="1:10">
      <c r="A268" s="2"/>
      <c r="B268" s="10"/>
      <c r="C268" s="17"/>
      <c r="D268" s="17"/>
      <c r="E268" s="17"/>
      <c r="F268" s="17"/>
      <c r="G268" s="5"/>
      <c r="H268" s="2"/>
      <c r="I268" s="5"/>
      <c r="J268">
        <f t="shared" si="6"/>
        <v>0</v>
      </c>
    </row>
    <row r="269" spans="1:10">
      <c r="A269" s="2"/>
      <c r="B269" s="10"/>
      <c r="C269" s="17"/>
      <c r="D269" s="17"/>
      <c r="E269" s="17"/>
      <c r="F269" s="17"/>
      <c r="G269" s="5"/>
      <c r="H269" s="2"/>
      <c r="I269" s="5"/>
      <c r="J269">
        <f t="shared" si="6"/>
        <v>0</v>
      </c>
    </row>
    <row r="270" spans="1:10">
      <c r="A270" s="2"/>
      <c r="B270" s="10"/>
      <c r="C270" s="17"/>
      <c r="D270" s="17"/>
      <c r="E270" s="17"/>
      <c r="F270" s="17"/>
      <c r="G270" s="5"/>
      <c r="H270" s="2"/>
      <c r="I270" s="5"/>
      <c r="J270">
        <f t="shared" si="6"/>
        <v>0</v>
      </c>
    </row>
    <row r="271" spans="1:10">
      <c r="A271" s="2"/>
      <c r="B271" s="10"/>
      <c r="C271" s="17"/>
      <c r="D271" s="17"/>
      <c r="E271" s="17"/>
      <c r="F271" s="17"/>
      <c r="G271" s="5"/>
      <c r="H271" s="2"/>
      <c r="I271" s="5"/>
      <c r="J271">
        <f t="shared" si="6"/>
        <v>0</v>
      </c>
    </row>
    <row r="272" spans="1:10">
      <c r="A272" s="2"/>
      <c r="B272" s="10"/>
      <c r="C272" s="17"/>
      <c r="D272" s="17"/>
      <c r="E272" s="17"/>
      <c r="F272" s="17"/>
      <c r="G272" s="5"/>
      <c r="H272" s="2"/>
      <c r="I272" s="5"/>
      <c r="J272">
        <f t="shared" si="6"/>
        <v>0</v>
      </c>
    </row>
    <row r="273" spans="1:10">
      <c r="A273" s="2"/>
      <c r="B273" s="10"/>
      <c r="C273" s="17"/>
      <c r="D273" s="17"/>
      <c r="E273" s="17"/>
      <c r="F273" s="17"/>
      <c r="G273" s="5"/>
      <c r="H273" s="2"/>
      <c r="I273" s="5"/>
      <c r="J273">
        <f t="shared" si="6"/>
        <v>0</v>
      </c>
    </row>
    <row r="274" spans="1:10">
      <c r="A274" s="2"/>
      <c r="B274" s="10"/>
      <c r="C274" s="17"/>
      <c r="D274" s="17"/>
      <c r="E274" s="17"/>
      <c r="F274" s="17"/>
      <c r="G274" s="5"/>
      <c r="H274" s="2"/>
      <c r="I274" s="5"/>
      <c r="J274">
        <f t="shared" si="6"/>
        <v>0</v>
      </c>
    </row>
    <row r="275" spans="1:10">
      <c r="A275" s="2"/>
      <c r="B275" s="10"/>
      <c r="C275" s="17"/>
      <c r="D275" s="17"/>
      <c r="E275" s="17"/>
      <c r="F275" s="17"/>
      <c r="G275" s="5"/>
      <c r="H275" s="2"/>
      <c r="I275" s="5"/>
      <c r="J275">
        <f t="shared" si="6"/>
        <v>0</v>
      </c>
    </row>
    <row r="276" spans="1:10">
      <c r="A276" s="2"/>
      <c r="B276" s="10"/>
      <c r="C276" s="17"/>
      <c r="D276" s="17"/>
      <c r="E276" s="17"/>
      <c r="F276" s="17"/>
      <c r="G276" s="5"/>
      <c r="H276" s="2"/>
      <c r="I276" s="5"/>
      <c r="J276">
        <f t="shared" si="6"/>
        <v>0</v>
      </c>
    </row>
    <row r="277" spans="1:10">
      <c r="A277" s="2"/>
      <c r="B277" s="10"/>
      <c r="C277" s="17"/>
      <c r="D277" s="17"/>
      <c r="E277" s="17"/>
      <c r="F277" s="17"/>
      <c r="G277" s="5"/>
      <c r="H277" s="2"/>
      <c r="I277" s="5"/>
      <c r="J277">
        <f t="shared" si="6"/>
        <v>0</v>
      </c>
    </row>
    <row r="278" spans="1:10">
      <c r="A278" s="2"/>
      <c r="B278" s="10"/>
      <c r="C278" s="17"/>
      <c r="D278" s="17"/>
      <c r="E278" s="17"/>
      <c r="F278" s="17"/>
      <c r="G278" s="5"/>
      <c r="H278" s="2"/>
      <c r="I278" s="5"/>
      <c r="J278">
        <f t="shared" si="6"/>
        <v>0</v>
      </c>
    </row>
    <row r="279" spans="1:10">
      <c r="A279" s="2"/>
      <c r="B279" s="10"/>
      <c r="C279" s="17"/>
      <c r="D279" s="17"/>
      <c r="E279" s="17"/>
      <c r="F279" s="17"/>
      <c r="G279" s="5"/>
      <c r="H279" s="2"/>
      <c r="I279" s="5"/>
      <c r="J279">
        <f t="shared" si="6"/>
        <v>0</v>
      </c>
    </row>
    <row r="280" spans="1:10">
      <c r="A280" s="2"/>
      <c r="B280" s="10"/>
      <c r="C280" s="17"/>
      <c r="D280" s="17"/>
      <c r="E280" s="17"/>
      <c r="F280" s="17"/>
      <c r="G280" s="5"/>
      <c r="H280" s="2"/>
      <c r="I280" s="5"/>
      <c r="J280">
        <f t="shared" si="6"/>
        <v>0</v>
      </c>
    </row>
    <row r="281" spans="1:10">
      <c r="A281" s="2"/>
      <c r="B281" s="10"/>
      <c r="C281" s="17"/>
      <c r="D281" s="17"/>
      <c r="E281" s="17"/>
      <c r="F281" s="17"/>
      <c r="G281" s="5"/>
      <c r="H281" s="2"/>
      <c r="I281" s="5"/>
      <c r="J281">
        <f t="shared" si="6"/>
        <v>0</v>
      </c>
    </row>
    <row r="282" spans="1:10">
      <c r="A282" s="2"/>
      <c r="B282" s="10"/>
      <c r="C282" s="17"/>
      <c r="D282" s="17"/>
      <c r="E282" s="17"/>
      <c r="F282" s="17"/>
      <c r="G282" s="5"/>
      <c r="H282" s="2"/>
      <c r="I282" s="5"/>
      <c r="J282">
        <f t="shared" si="6"/>
        <v>0</v>
      </c>
    </row>
    <row r="283" spans="1:10">
      <c r="A283" s="2"/>
      <c r="B283" s="10"/>
      <c r="C283" s="17"/>
      <c r="D283" s="17"/>
      <c r="E283" s="17"/>
      <c r="F283" s="17"/>
      <c r="G283" s="5"/>
      <c r="H283" s="2"/>
      <c r="I283" s="5"/>
      <c r="J283">
        <f t="shared" si="6"/>
        <v>0</v>
      </c>
    </row>
    <row r="284" spans="1:10">
      <c r="A284" s="2"/>
      <c r="B284" s="10"/>
      <c r="C284" s="17"/>
      <c r="D284" s="17"/>
      <c r="E284" s="17"/>
      <c r="F284" s="17"/>
      <c r="G284" s="5"/>
      <c r="H284" s="2"/>
      <c r="I284" s="5"/>
      <c r="J284">
        <f t="shared" si="6"/>
        <v>0</v>
      </c>
    </row>
    <row r="285" spans="1:10">
      <c r="A285" s="2"/>
      <c r="B285" s="10"/>
      <c r="C285" s="17"/>
      <c r="D285" s="17"/>
      <c r="E285" s="17"/>
      <c r="F285" s="17"/>
      <c r="G285" s="5"/>
      <c r="H285" s="2"/>
      <c r="I285" s="5"/>
      <c r="J285">
        <f t="shared" si="6"/>
        <v>0</v>
      </c>
    </row>
    <row r="286" spans="1:10">
      <c r="A286" s="2"/>
      <c r="B286" s="10"/>
      <c r="C286" s="17"/>
      <c r="D286" s="17"/>
      <c r="E286" s="17"/>
      <c r="F286" s="17"/>
      <c r="G286" s="5"/>
      <c r="H286" s="2"/>
      <c r="I286" s="5"/>
      <c r="J286">
        <f t="shared" si="6"/>
        <v>0</v>
      </c>
    </row>
    <row r="287" spans="1:10">
      <c r="J287">
        <f t="shared" si="6"/>
        <v>0</v>
      </c>
    </row>
    <row r="288" spans="1:10">
      <c r="A288" s="2"/>
      <c r="D288" s="17"/>
      <c r="E288" s="17"/>
      <c r="G288" s="5"/>
      <c r="H288" s="2"/>
      <c r="I288" s="5"/>
      <c r="J288">
        <f t="shared" si="6"/>
        <v>0</v>
      </c>
    </row>
    <row r="289" spans="1:10">
      <c r="A289" s="2"/>
      <c r="D289" s="17"/>
      <c r="E289" s="17"/>
      <c r="G289" s="5"/>
      <c r="H289" s="2"/>
      <c r="I289" s="5"/>
      <c r="J289">
        <f t="shared" si="6"/>
        <v>0</v>
      </c>
    </row>
    <row r="290" spans="1:10">
      <c r="A290" s="2"/>
      <c r="D290" s="17"/>
      <c r="E290" s="17"/>
      <c r="G290" s="5"/>
      <c r="H290" s="2"/>
      <c r="I290" s="5"/>
      <c r="J290">
        <f t="shared" si="6"/>
        <v>0</v>
      </c>
    </row>
    <row r="291" spans="1:10">
      <c r="A291" s="2"/>
      <c r="D291" s="17"/>
      <c r="E291" s="17"/>
      <c r="G291" s="5"/>
      <c r="H291" s="2"/>
      <c r="I291" s="5"/>
      <c r="J291">
        <f t="shared" si="6"/>
        <v>0</v>
      </c>
    </row>
    <row r="292" spans="1:10">
      <c r="A292" s="2"/>
      <c r="D292" s="17"/>
      <c r="E292" s="17"/>
      <c r="G292" s="5"/>
      <c r="H292" s="2"/>
      <c r="I292" s="5"/>
      <c r="J292">
        <f t="shared" si="6"/>
        <v>0</v>
      </c>
    </row>
    <row r="293" spans="1:10">
      <c r="A293" s="2"/>
      <c r="D293" s="17"/>
      <c r="E293" s="17"/>
      <c r="G293" s="5"/>
      <c r="H293" s="2"/>
      <c r="I293" s="5"/>
      <c r="J293">
        <f t="shared" si="6"/>
        <v>0</v>
      </c>
    </row>
    <row r="294" spans="1:10">
      <c r="J294">
        <f t="shared" si="6"/>
        <v>0</v>
      </c>
    </row>
    <row r="295" spans="1:10">
      <c r="A295" s="2"/>
      <c r="D295" s="17"/>
      <c r="E295" s="17"/>
      <c r="G295" s="5"/>
      <c r="H295" s="2"/>
      <c r="I295" s="5"/>
      <c r="J295">
        <f t="shared" si="6"/>
        <v>0</v>
      </c>
    </row>
    <row r="296" spans="1:10">
      <c r="A296" s="2"/>
      <c r="D296" s="17"/>
      <c r="E296" s="17"/>
      <c r="G296" s="5"/>
      <c r="H296" s="2"/>
      <c r="I296" s="5"/>
      <c r="J296">
        <f t="shared" si="6"/>
        <v>0</v>
      </c>
    </row>
    <row r="297" spans="1:10">
      <c r="A297" s="2"/>
      <c r="D297" s="17"/>
      <c r="E297" s="17"/>
      <c r="G297" s="5"/>
      <c r="H297" s="2"/>
      <c r="I297" s="5"/>
      <c r="J297">
        <f t="shared" si="6"/>
        <v>0</v>
      </c>
    </row>
    <row r="298" spans="1:10">
      <c r="A298" s="2"/>
      <c r="D298" s="17"/>
      <c r="E298" s="17"/>
      <c r="G298" s="5"/>
      <c r="H298" s="2"/>
      <c r="I298" s="5"/>
      <c r="J298">
        <f t="shared" si="6"/>
        <v>0</v>
      </c>
    </row>
    <row r="299" spans="1:10">
      <c r="A299" s="2"/>
      <c r="D299" s="17"/>
      <c r="E299" s="17"/>
      <c r="G299" s="5"/>
      <c r="H299" s="2"/>
      <c r="I299" s="5"/>
      <c r="J299">
        <f t="shared" si="6"/>
        <v>0</v>
      </c>
    </row>
    <row r="300" spans="1:10">
      <c r="A300" s="2"/>
      <c r="D300" s="17"/>
      <c r="E300" s="17"/>
      <c r="G300" s="5"/>
      <c r="H300" s="2"/>
      <c r="I300" s="5"/>
      <c r="J300">
        <f t="shared" si="6"/>
        <v>0</v>
      </c>
    </row>
    <row r="301" spans="1:10">
      <c r="A301" s="2"/>
      <c r="D301" s="17"/>
      <c r="E301" s="17"/>
      <c r="G301" s="5"/>
      <c r="H301" s="2"/>
      <c r="I301" s="5"/>
      <c r="J301">
        <f t="shared" si="6"/>
        <v>0</v>
      </c>
    </row>
    <row r="302" spans="1:10">
      <c r="J302">
        <f t="shared" si="6"/>
        <v>0</v>
      </c>
    </row>
    <row r="303" spans="1:10">
      <c r="J303">
        <f t="shared" si="6"/>
        <v>0</v>
      </c>
    </row>
    <row r="304" spans="1:10">
      <c r="J304">
        <f t="shared" si="6"/>
        <v>0</v>
      </c>
    </row>
    <row r="305" spans="10:10">
      <c r="J305">
        <f t="shared" si="6"/>
        <v>0</v>
      </c>
    </row>
    <row r="306" spans="10:10">
      <c r="J306">
        <f t="shared" si="6"/>
        <v>0</v>
      </c>
    </row>
    <row r="307" spans="10:10">
      <c r="J307">
        <f t="shared" si="6"/>
        <v>0</v>
      </c>
    </row>
    <row r="308" spans="10:10">
      <c r="J308">
        <f t="shared" si="6"/>
        <v>0</v>
      </c>
    </row>
    <row r="309" spans="10:10">
      <c r="J309">
        <f t="shared" si="6"/>
        <v>0</v>
      </c>
    </row>
    <row r="310" spans="10:10">
      <c r="J310">
        <f t="shared" si="6"/>
        <v>0</v>
      </c>
    </row>
    <row r="311" spans="10:10">
      <c r="J311">
        <f t="shared" si="6"/>
        <v>0</v>
      </c>
    </row>
    <row r="312" spans="10:10">
      <c r="J312">
        <f t="shared" si="6"/>
        <v>0</v>
      </c>
    </row>
    <row r="313" spans="10:10">
      <c r="J313">
        <f t="shared" si="6"/>
        <v>0</v>
      </c>
    </row>
    <row r="314" spans="10:10">
      <c r="J314">
        <f t="shared" si="6"/>
        <v>0</v>
      </c>
    </row>
    <row r="315" spans="10:10">
      <c r="J315">
        <f t="shared" si="6"/>
        <v>0</v>
      </c>
    </row>
    <row r="316" spans="10:10">
      <c r="J316">
        <f t="shared" si="6"/>
        <v>0</v>
      </c>
    </row>
    <row r="317" spans="10:10">
      <c r="J317">
        <f t="shared" si="6"/>
        <v>0</v>
      </c>
    </row>
    <row r="318" spans="10:10">
      <c r="J318">
        <f t="shared" si="6"/>
        <v>0</v>
      </c>
    </row>
    <row r="319" spans="10:10">
      <c r="J319">
        <f t="shared" si="6"/>
        <v>0</v>
      </c>
    </row>
    <row r="320" spans="10:10">
      <c r="J320">
        <f t="shared" si="6"/>
        <v>0</v>
      </c>
    </row>
    <row r="321" spans="10:10">
      <c r="J321">
        <f t="shared" si="6"/>
        <v>0</v>
      </c>
    </row>
    <row r="322" spans="10:10">
      <c r="J322">
        <f t="shared" ref="J322:J385" si="7">A322</f>
        <v>0</v>
      </c>
    </row>
    <row r="323" spans="10:10">
      <c r="J323">
        <f t="shared" si="7"/>
        <v>0</v>
      </c>
    </row>
    <row r="324" spans="10:10">
      <c r="J324">
        <f t="shared" si="7"/>
        <v>0</v>
      </c>
    </row>
    <row r="325" spans="10:10">
      <c r="J325">
        <f t="shared" si="7"/>
        <v>0</v>
      </c>
    </row>
    <row r="326" spans="10:10">
      <c r="J326">
        <f t="shared" si="7"/>
        <v>0</v>
      </c>
    </row>
    <row r="327" spans="10:10">
      <c r="J327">
        <f t="shared" si="7"/>
        <v>0</v>
      </c>
    </row>
    <row r="328" spans="10:10">
      <c r="J328">
        <f t="shared" si="7"/>
        <v>0</v>
      </c>
    </row>
    <row r="329" spans="10:10">
      <c r="J329">
        <f t="shared" si="7"/>
        <v>0</v>
      </c>
    </row>
    <row r="330" spans="10:10">
      <c r="J330">
        <f t="shared" si="7"/>
        <v>0</v>
      </c>
    </row>
    <row r="331" spans="10:10">
      <c r="J331">
        <f t="shared" si="7"/>
        <v>0</v>
      </c>
    </row>
    <row r="332" spans="10:10">
      <c r="J332">
        <f t="shared" si="7"/>
        <v>0</v>
      </c>
    </row>
    <row r="333" spans="10:10">
      <c r="J333">
        <f t="shared" si="7"/>
        <v>0</v>
      </c>
    </row>
    <row r="334" spans="10:10">
      <c r="J334">
        <f t="shared" si="7"/>
        <v>0</v>
      </c>
    </row>
    <row r="335" spans="10:10">
      <c r="J335">
        <f t="shared" si="7"/>
        <v>0</v>
      </c>
    </row>
    <row r="336" spans="10:10">
      <c r="J336">
        <f t="shared" si="7"/>
        <v>0</v>
      </c>
    </row>
    <row r="337" spans="10:10">
      <c r="J337">
        <f t="shared" si="7"/>
        <v>0</v>
      </c>
    </row>
    <row r="338" spans="10:10">
      <c r="J338">
        <f t="shared" si="7"/>
        <v>0</v>
      </c>
    </row>
    <row r="339" spans="10:10">
      <c r="J339">
        <f t="shared" si="7"/>
        <v>0</v>
      </c>
    </row>
    <row r="340" spans="10:10">
      <c r="J340">
        <f t="shared" si="7"/>
        <v>0</v>
      </c>
    </row>
    <row r="341" spans="10:10">
      <c r="J341">
        <f t="shared" si="7"/>
        <v>0</v>
      </c>
    </row>
    <row r="342" spans="10:10">
      <c r="J342">
        <f t="shared" si="7"/>
        <v>0</v>
      </c>
    </row>
    <row r="343" spans="10:10">
      <c r="J343">
        <f t="shared" si="7"/>
        <v>0</v>
      </c>
    </row>
    <row r="344" spans="10:10">
      <c r="J344">
        <f t="shared" si="7"/>
        <v>0</v>
      </c>
    </row>
    <row r="345" spans="10:10">
      <c r="J345">
        <f t="shared" si="7"/>
        <v>0</v>
      </c>
    </row>
    <row r="346" spans="10:10">
      <c r="J346">
        <f t="shared" si="7"/>
        <v>0</v>
      </c>
    </row>
    <row r="347" spans="10:10">
      <c r="J347">
        <f t="shared" si="7"/>
        <v>0</v>
      </c>
    </row>
    <row r="348" spans="10:10">
      <c r="J348">
        <f t="shared" si="7"/>
        <v>0</v>
      </c>
    </row>
    <row r="349" spans="10:10">
      <c r="J349">
        <f t="shared" si="7"/>
        <v>0</v>
      </c>
    </row>
    <row r="350" spans="10:10">
      <c r="J350">
        <f t="shared" si="7"/>
        <v>0</v>
      </c>
    </row>
    <row r="351" spans="10:10">
      <c r="J351">
        <f t="shared" si="7"/>
        <v>0</v>
      </c>
    </row>
    <row r="352" spans="10:10">
      <c r="J352">
        <f t="shared" si="7"/>
        <v>0</v>
      </c>
    </row>
    <row r="353" spans="10:10">
      <c r="J353">
        <f t="shared" si="7"/>
        <v>0</v>
      </c>
    </row>
    <row r="354" spans="10:10">
      <c r="J354">
        <f t="shared" si="7"/>
        <v>0</v>
      </c>
    </row>
    <row r="355" spans="10:10">
      <c r="J355">
        <f t="shared" si="7"/>
        <v>0</v>
      </c>
    </row>
    <row r="356" spans="10:10">
      <c r="J356">
        <f t="shared" si="7"/>
        <v>0</v>
      </c>
    </row>
    <row r="357" spans="10:10">
      <c r="J357">
        <f t="shared" si="7"/>
        <v>0</v>
      </c>
    </row>
    <row r="358" spans="10:10">
      <c r="J358">
        <f t="shared" si="7"/>
        <v>0</v>
      </c>
    </row>
    <row r="359" spans="10:10">
      <c r="J359">
        <f t="shared" si="7"/>
        <v>0</v>
      </c>
    </row>
    <row r="360" spans="10:10">
      <c r="J360">
        <f t="shared" si="7"/>
        <v>0</v>
      </c>
    </row>
    <row r="361" spans="10:10">
      <c r="J361">
        <f t="shared" si="7"/>
        <v>0</v>
      </c>
    </row>
    <row r="362" spans="10:10">
      <c r="J362">
        <f t="shared" si="7"/>
        <v>0</v>
      </c>
    </row>
    <row r="363" spans="10:10">
      <c r="J363">
        <f t="shared" si="7"/>
        <v>0</v>
      </c>
    </row>
    <row r="364" spans="10:10">
      <c r="J364">
        <f t="shared" si="7"/>
        <v>0</v>
      </c>
    </row>
    <row r="365" spans="10:10">
      <c r="J365">
        <f t="shared" si="7"/>
        <v>0</v>
      </c>
    </row>
    <row r="366" spans="10:10">
      <c r="J366">
        <f t="shared" si="7"/>
        <v>0</v>
      </c>
    </row>
    <row r="367" spans="10:10">
      <c r="J367">
        <f t="shared" si="7"/>
        <v>0</v>
      </c>
    </row>
    <row r="368" spans="10:10">
      <c r="J368">
        <f t="shared" si="7"/>
        <v>0</v>
      </c>
    </row>
    <row r="369" spans="10:10">
      <c r="J369">
        <f t="shared" si="7"/>
        <v>0</v>
      </c>
    </row>
    <row r="370" spans="10:10">
      <c r="J370">
        <f t="shared" si="7"/>
        <v>0</v>
      </c>
    </row>
    <row r="371" spans="10:10">
      <c r="J371">
        <f t="shared" si="7"/>
        <v>0</v>
      </c>
    </row>
    <row r="372" spans="10:10">
      <c r="J372">
        <f t="shared" si="7"/>
        <v>0</v>
      </c>
    </row>
    <row r="373" spans="10:10">
      <c r="J373">
        <f t="shared" si="7"/>
        <v>0</v>
      </c>
    </row>
    <row r="374" spans="10:10">
      <c r="J374">
        <f t="shared" si="7"/>
        <v>0</v>
      </c>
    </row>
    <row r="375" spans="10:10">
      <c r="J375">
        <f t="shared" si="7"/>
        <v>0</v>
      </c>
    </row>
    <row r="376" spans="10:10">
      <c r="J376">
        <f t="shared" si="7"/>
        <v>0</v>
      </c>
    </row>
    <row r="377" spans="10:10">
      <c r="J377">
        <f t="shared" si="7"/>
        <v>0</v>
      </c>
    </row>
    <row r="378" spans="10:10">
      <c r="J378">
        <f t="shared" si="7"/>
        <v>0</v>
      </c>
    </row>
    <row r="379" spans="10:10">
      <c r="J379">
        <f t="shared" si="7"/>
        <v>0</v>
      </c>
    </row>
    <row r="380" spans="10:10">
      <c r="J380">
        <f t="shared" si="7"/>
        <v>0</v>
      </c>
    </row>
    <row r="381" spans="10:10">
      <c r="J381">
        <f t="shared" si="7"/>
        <v>0</v>
      </c>
    </row>
    <row r="382" spans="10:10">
      <c r="J382">
        <f t="shared" si="7"/>
        <v>0</v>
      </c>
    </row>
    <row r="383" spans="10:10">
      <c r="J383">
        <f t="shared" si="7"/>
        <v>0</v>
      </c>
    </row>
    <row r="384" spans="10:10">
      <c r="J384">
        <f t="shared" si="7"/>
        <v>0</v>
      </c>
    </row>
    <row r="385" spans="10:10">
      <c r="J385">
        <f t="shared" si="7"/>
        <v>0</v>
      </c>
    </row>
    <row r="386" spans="10:10">
      <c r="J386">
        <f t="shared" ref="J386:J407" si="8">A386</f>
        <v>0</v>
      </c>
    </row>
    <row r="387" spans="10:10">
      <c r="J387">
        <f t="shared" si="8"/>
        <v>0</v>
      </c>
    </row>
    <row r="388" spans="10:10">
      <c r="J388">
        <f t="shared" si="8"/>
        <v>0</v>
      </c>
    </row>
    <row r="389" spans="10:10">
      <c r="J389">
        <f t="shared" si="8"/>
        <v>0</v>
      </c>
    </row>
    <row r="390" spans="10:10">
      <c r="J390">
        <f t="shared" si="8"/>
        <v>0</v>
      </c>
    </row>
    <row r="391" spans="10:10">
      <c r="J391">
        <f t="shared" si="8"/>
        <v>0</v>
      </c>
    </row>
    <row r="392" spans="10:10">
      <c r="J392">
        <f t="shared" si="8"/>
        <v>0</v>
      </c>
    </row>
    <row r="393" spans="10:10">
      <c r="J393">
        <f t="shared" si="8"/>
        <v>0</v>
      </c>
    </row>
    <row r="394" spans="10:10">
      <c r="J394">
        <f t="shared" si="8"/>
        <v>0</v>
      </c>
    </row>
    <row r="395" spans="10:10">
      <c r="J395">
        <f t="shared" si="8"/>
        <v>0</v>
      </c>
    </row>
    <row r="396" spans="10:10">
      <c r="J396">
        <f t="shared" si="8"/>
        <v>0</v>
      </c>
    </row>
    <row r="397" spans="10:10">
      <c r="J397">
        <f t="shared" si="8"/>
        <v>0</v>
      </c>
    </row>
    <row r="398" spans="10:10">
      <c r="J398">
        <f t="shared" si="8"/>
        <v>0</v>
      </c>
    </row>
    <row r="399" spans="10:10">
      <c r="J399">
        <f t="shared" si="8"/>
        <v>0</v>
      </c>
    </row>
    <row r="400" spans="10:10">
      <c r="J400">
        <f t="shared" si="8"/>
        <v>0</v>
      </c>
    </row>
    <row r="401" spans="10:10">
      <c r="J401">
        <f t="shared" si="8"/>
        <v>0</v>
      </c>
    </row>
    <row r="402" spans="10:10">
      <c r="J402">
        <f t="shared" si="8"/>
        <v>0</v>
      </c>
    </row>
    <row r="403" spans="10:10">
      <c r="J403">
        <f t="shared" si="8"/>
        <v>0</v>
      </c>
    </row>
    <row r="404" spans="10:10">
      <c r="J404">
        <f t="shared" si="8"/>
        <v>0</v>
      </c>
    </row>
    <row r="405" spans="10:10">
      <c r="J405">
        <f t="shared" si="8"/>
        <v>0</v>
      </c>
    </row>
    <row r="406" spans="10:10">
      <c r="J406">
        <f t="shared" si="8"/>
        <v>0</v>
      </c>
    </row>
    <row r="407" spans="10:10">
      <c r="J407">
        <f t="shared" si="8"/>
        <v>0</v>
      </c>
    </row>
  </sheetData>
  <conditionalFormatting sqref="B20:B21">
    <cfRule type="duplicateValues" dxfId="35" priority="37"/>
  </conditionalFormatting>
  <conditionalFormatting sqref="B28">
    <cfRule type="duplicateValues" dxfId="34" priority="35" stopIfTrue="1"/>
  </conditionalFormatting>
  <conditionalFormatting sqref="B142:B153 B190 B199">
    <cfRule type="duplicateValues" dxfId="33" priority="34"/>
  </conditionalFormatting>
  <conditionalFormatting sqref="B41 B43 B45 B47 B49:B50">
    <cfRule type="duplicateValues" dxfId="32" priority="31"/>
  </conditionalFormatting>
  <conditionalFormatting sqref="B89 B91 B93 B95">
    <cfRule type="duplicateValues" dxfId="31" priority="27"/>
  </conditionalFormatting>
  <conditionalFormatting sqref="B88 B90 B92 B94 B96">
    <cfRule type="duplicateValues" dxfId="30" priority="28"/>
  </conditionalFormatting>
  <conditionalFormatting sqref="B98">
    <cfRule type="duplicateValues" dxfId="29" priority="26"/>
  </conditionalFormatting>
  <conditionalFormatting sqref="B107:B112">
    <cfRule type="duplicateValues" dxfId="28" priority="24"/>
  </conditionalFormatting>
  <conditionalFormatting sqref="A107:A112">
    <cfRule type="duplicateValues" dxfId="27" priority="25"/>
  </conditionalFormatting>
  <conditionalFormatting sqref="A114:A116">
    <cfRule type="duplicateValues" dxfId="26" priority="23"/>
  </conditionalFormatting>
  <conditionalFormatting sqref="A125:A141">
    <cfRule type="duplicateValues" dxfId="25" priority="22"/>
  </conditionalFormatting>
  <conditionalFormatting sqref="B125:B141">
    <cfRule type="duplicateValues" dxfId="24" priority="21"/>
  </conditionalFormatting>
  <conditionalFormatting sqref="B154:B162 B186:B189">
    <cfRule type="duplicateValues" dxfId="23" priority="20"/>
  </conditionalFormatting>
  <conditionalFormatting sqref="B200:B218 B226:B242">
    <cfRule type="duplicateValues" dxfId="22" priority="19"/>
  </conditionalFormatting>
  <conditionalFormatting sqref="B244:B245">
    <cfRule type="duplicateValues" dxfId="21" priority="18"/>
  </conditionalFormatting>
  <conditionalFormatting sqref="B250 B252 B254 B256 B258">
    <cfRule type="duplicateValues" dxfId="20" priority="17"/>
  </conditionalFormatting>
  <conditionalFormatting sqref="B278 B284:B286">
    <cfRule type="duplicateValues" dxfId="19" priority="16"/>
  </conditionalFormatting>
  <conditionalFormatting sqref="B270">
    <cfRule type="duplicateValues" dxfId="18" priority="15"/>
  </conditionalFormatting>
  <conditionalFormatting sqref="B279">
    <cfRule type="duplicateValues" dxfId="17" priority="14"/>
  </conditionalFormatting>
  <conditionalFormatting sqref="B77 B79 B81 B83 B85 B87">
    <cfRule type="duplicateValues" dxfId="16" priority="12"/>
  </conditionalFormatting>
  <conditionalFormatting sqref="B76 B78 B80 B82 B84 B86">
    <cfRule type="duplicateValues" dxfId="15" priority="13"/>
  </conditionalFormatting>
  <conditionalFormatting sqref="B180">
    <cfRule type="duplicateValues" dxfId="14" priority="11"/>
  </conditionalFormatting>
  <conditionalFormatting sqref="B172">
    <cfRule type="duplicateValues" dxfId="13" priority="10"/>
  </conditionalFormatting>
  <conditionalFormatting sqref="B181">
    <cfRule type="duplicateValues" dxfId="12" priority="9"/>
  </conditionalFormatting>
  <conditionalFormatting sqref="B246:B249">
    <cfRule type="duplicateValues" dxfId="11" priority="8"/>
  </conditionalFormatting>
  <conditionalFormatting sqref="A117:A124">
    <cfRule type="duplicateValues" dxfId="10" priority="7"/>
  </conditionalFormatting>
  <conditionalFormatting sqref="B117:B124">
    <cfRule type="duplicateValues" dxfId="9" priority="6"/>
  </conditionalFormatting>
  <conditionalFormatting sqref="B219:B220 B224:B225">
    <cfRule type="duplicateValues" dxfId="8" priority="5"/>
  </conditionalFormatting>
  <conditionalFormatting sqref="B221 B223">
    <cfRule type="duplicateValues" dxfId="7" priority="4"/>
  </conditionalFormatting>
  <conditionalFormatting sqref="B222">
    <cfRule type="duplicateValues" dxfId="6" priority="3"/>
  </conditionalFormatting>
  <conditionalFormatting sqref="B61 B63:B64 B66:B67 B69:B75">
    <cfRule type="duplicateValues" dxfId="5" priority="1"/>
  </conditionalFormatting>
  <conditionalFormatting sqref="B60 B62 B65 B68">
    <cfRule type="duplicateValues" dxfId="4" priority="2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J265"/>
  <sheetViews>
    <sheetView topLeftCell="A166" workbookViewId="0">
      <selection activeCell="E185" sqref="E185"/>
    </sheetView>
  </sheetViews>
  <sheetFormatPr baseColWidth="10" defaultRowHeight="15"/>
  <cols>
    <col min="1" max="2" width="11.42578125" style="109"/>
    <col min="3" max="3" width="24.85546875" style="109" customWidth="1"/>
    <col min="4" max="4" width="11.85546875" style="109" bestFit="1" customWidth="1"/>
    <col min="5" max="5" width="11.85546875" style="109" customWidth="1"/>
    <col min="6" max="6" width="33.140625" style="109" bestFit="1" customWidth="1"/>
    <col min="7" max="9" width="11.42578125" style="109"/>
  </cols>
  <sheetData>
    <row r="1" spans="1:10">
      <c r="A1" s="49" t="s">
        <v>74</v>
      </c>
      <c r="B1" s="49" t="s">
        <v>75</v>
      </c>
      <c r="C1" s="50" t="s">
        <v>76</v>
      </c>
      <c r="D1" s="50" t="s">
        <v>48</v>
      </c>
      <c r="E1" s="50" t="s">
        <v>95</v>
      </c>
      <c r="F1" s="50" t="s">
        <v>77</v>
      </c>
      <c r="G1" s="49" t="s">
        <v>78</v>
      </c>
      <c r="H1" s="49" t="s">
        <v>79</v>
      </c>
      <c r="I1" s="49" t="s">
        <v>80</v>
      </c>
    </row>
    <row r="2" spans="1:10">
      <c r="A2" s="7">
        <v>1</v>
      </c>
      <c r="B2" s="7">
        <v>713</v>
      </c>
      <c r="C2" s="109" t="s">
        <v>1447</v>
      </c>
      <c r="D2" s="110">
        <v>10006255268</v>
      </c>
      <c r="E2" s="110" t="s">
        <v>1448</v>
      </c>
      <c r="F2" s="109" t="s">
        <v>1449</v>
      </c>
      <c r="G2" s="111">
        <v>6.4120370370370373E-3</v>
      </c>
      <c r="H2" s="58">
        <v>1</v>
      </c>
      <c r="I2" s="111"/>
      <c r="J2">
        <f t="shared" ref="J2:J65" si="0">A2</f>
        <v>1</v>
      </c>
    </row>
    <row r="3" spans="1:10">
      <c r="A3" s="7">
        <v>2</v>
      </c>
      <c r="B3" s="7">
        <v>701</v>
      </c>
      <c r="C3" s="109" t="s">
        <v>760</v>
      </c>
      <c r="D3" s="110">
        <v>10079383568</v>
      </c>
      <c r="E3" s="110" t="s">
        <v>1448</v>
      </c>
      <c r="F3" s="109" t="s">
        <v>1450</v>
      </c>
      <c r="G3" s="111">
        <v>1.3460648148148149E-2</v>
      </c>
      <c r="H3" s="58">
        <v>2</v>
      </c>
      <c r="I3" s="111">
        <v>7.0486111111111114E-3</v>
      </c>
      <c r="J3">
        <f t="shared" si="0"/>
        <v>2</v>
      </c>
    </row>
    <row r="4" spans="1:10">
      <c r="A4" s="7"/>
      <c r="B4" s="7"/>
      <c r="D4" s="110"/>
      <c r="E4" s="110"/>
      <c r="G4" s="111"/>
      <c r="H4" s="58"/>
      <c r="I4" s="111"/>
      <c r="J4">
        <f t="shared" si="0"/>
        <v>0</v>
      </c>
    </row>
    <row r="5" spans="1:10">
      <c r="A5" s="7">
        <v>1</v>
      </c>
      <c r="B5" s="7">
        <v>758</v>
      </c>
      <c r="C5" s="109" t="s">
        <v>1190</v>
      </c>
      <c r="D5" s="110">
        <v>10140636745</v>
      </c>
      <c r="E5" s="110" t="s">
        <v>1448</v>
      </c>
      <c r="F5" s="109" t="s">
        <v>957</v>
      </c>
      <c r="G5" s="111">
        <v>1.3425925925925926E-2</v>
      </c>
      <c r="H5" s="58">
        <v>3</v>
      </c>
      <c r="I5" s="111"/>
      <c r="J5">
        <f t="shared" si="0"/>
        <v>1</v>
      </c>
    </row>
    <row r="6" spans="1:10" ht="15.75">
      <c r="A6" s="7">
        <v>2</v>
      </c>
      <c r="B6" s="21">
        <v>763</v>
      </c>
      <c r="C6" s="109" t="s">
        <v>1451</v>
      </c>
      <c r="D6" s="110">
        <v>10103825447</v>
      </c>
      <c r="E6" s="110" t="s">
        <v>1448</v>
      </c>
      <c r="F6" s="109" t="s">
        <v>1452</v>
      </c>
      <c r="G6" s="111">
        <v>1.3425925925925926E-2</v>
      </c>
      <c r="H6" s="58">
        <v>4</v>
      </c>
      <c r="I6" s="111">
        <v>0</v>
      </c>
      <c r="J6">
        <f t="shared" si="0"/>
        <v>2</v>
      </c>
    </row>
    <row r="7" spans="1:10">
      <c r="A7" s="102"/>
      <c r="B7" s="22"/>
      <c r="C7" s="4"/>
      <c r="D7" s="100"/>
      <c r="E7" s="100"/>
      <c r="F7" s="100"/>
      <c r="G7" s="101"/>
      <c r="H7" s="3"/>
      <c r="I7" s="101"/>
      <c r="J7">
        <f t="shared" si="0"/>
        <v>0</v>
      </c>
    </row>
    <row r="8" spans="1:10">
      <c r="A8" s="103">
        <v>1</v>
      </c>
      <c r="B8" s="22">
        <v>614</v>
      </c>
      <c r="C8" s="4" t="s">
        <v>1453</v>
      </c>
      <c r="D8" s="100">
        <v>10153041631</v>
      </c>
      <c r="E8" s="100" t="s">
        <v>1448</v>
      </c>
      <c r="F8" s="100" t="s">
        <v>1423</v>
      </c>
      <c r="G8" s="101">
        <v>1.3634259259259259E-2</v>
      </c>
      <c r="H8" s="3">
        <v>5</v>
      </c>
      <c r="I8" s="101"/>
      <c r="J8">
        <f t="shared" si="0"/>
        <v>1</v>
      </c>
    </row>
    <row r="9" spans="1:10">
      <c r="A9" s="102">
        <v>2</v>
      </c>
      <c r="B9" s="22">
        <v>622</v>
      </c>
      <c r="C9" s="4" t="s">
        <v>1454</v>
      </c>
      <c r="D9" s="100" t="s">
        <v>66</v>
      </c>
      <c r="E9" s="100" t="s">
        <v>1448</v>
      </c>
      <c r="F9" s="100" t="s">
        <v>1455</v>
      </c>
      <c r="G9" s="101">
        <v>1.4953703703703703E-2</v>
      </c>
      <c r="H9" s="3">
        <v>6</v>
      </c>
      <c r="I9" s="101">
        <v>1.3194444444444443E-3</v>
      </c>
      <c r="J9">
        <f t="shared" si="0"/>
        <v>2</v>
      </c>
    </row>
    <row r="10" spans="1:10">
      <c r="A10" s="103">
        <v>3</v>
      </c>
      <c r="B10" s="22">
        <v>631</v>
      </c>
      <c r="C10" s="4" t="s">
        <v>1456</v>
      </c>
      <c r="D10" s="100" t="s">
        <v>66</v>
      </c>
      <c r="E10" s="100" t="s">
        <v>1448</v>
      </c>
      <c r="F10" s="100" t="s">
        <v>1457</v>
      </c>
      <c r="G10" s="101">
        <v>1.5289351851851854E-2</v>
      </c>
      <c r="H10" s="3">
        <v>7</v>
      </c>
      <c r="I10" s="101">
        <v>1.6550925925925952E-3</v>
      </c>
      <c r="J10">
        <f t="shared" si="0"/>
        <v>3</v>
      </c>
    </row>
    <row r="11" spans="1:10">
      <c r="A11" s="7"/>
      <c r="B11" s="58">
        <v>632</v>
      </c>
      <c r="C11" s="109" t="s">
        <v>1458</v>
      </c>
      <c r="D11" s="110" t="s">
        <v>6</v>
      </c>
      <c r="E11" s="110" t="s">
        <v>1448</v>
      </c>
      <c r="F11" s="109" t="s">
        <v>1311</v>
      </c>
      <c r="G11" s="111" t="s">
        <v>1459</v>
      </c>
      <c r="H11" s="58">
        <v>8</v>
      </c>
      <c r="I11" s="111" t="s">
        <v>6</v>
      </c>
      <c r="J11">
        <f t="shared" si="0"/>
        <v>0</v>
      </c>
    </row>
    <row r="12" spans="1:10">
      <c r="A12" s="7"/>
      <c r="B12" s="7"/>
      <c r="D12" s="110"/>
      <c r="E12" s="110"/>
      <c r="G12" s="111"/>
      <c r="H12" s="58"/>
      <c r="I12" s="111"/>
      <c r="J12">
        <f t="shared" si="0"/>
        <v>0</v>
      </c>
    </row>
    <row r="13" spans="1:10" ht="15.75">
      <c r="A13" s="7">
        <v>1</v>
      </c>
      <c r="B13" s="21">
        <v>814</v>
      </c>
      <c r="C13" s="109" t="s">
        <v>88</v>
      </c>
      <c r="D13" s="110">
        <v>10114540513</v>
      </c>
      <c r="E13" s="110" t="s">
        <v>1448</v>
      </c>
      <c r="F13" s="109" t="s">
        <v>89</v>
      </c>
      <c r="G13" s="111">
        <v>1.15625E-2</v>
      </c>
      <c r="H13" s="58">
        <v>13</v>
      </c>
      <c r="I13" s="111"/>
      <c r="J13">
        <f t="shared" si="0"/>
        <v>1</v>
      </c>
    </row>
    <row r="14" spans="1:10">
      <c r="A14" s="7">
        <v>2</v>
      </c>
      <c r="B14" s="7">
        <v>801</v>
      </c>
      <c r="C14" s="109" t="s">
        <v>1460</v>
      </c>
      <c r="D14" s="110">
        <v>10102979628</v>
      </c>
      <c r="E14" s="110" t="s">
        <v>1448</v>
      </c>
      <c r="F14" s="109" t="s">
        <v>427</v>
      </c>
      <c r="G14" s="111">
        <v>1.1689814814814814E-2</v>
      </c>
      <c r="H14" s="58">
        <v>14</v>
      </c>
      <c r="I14" s="111">
        <v>1.2731481481481448E-4</v>
      </c>
      <c r="J14">
        <f t="shared" si="0"/>
        <v>2</v>
      </c>
    </row>
    <row r="15" spans="1:10">
      <c r="A15" s="7">
        <v>3</v>
      </c>
      <c r="B15" s="7">
        <v>813</v>
      </c>
      <c r="C15" s="109" t="s">
        <v>784</v>
      </c>
      <c r="D15" s="110">
        <v>10051209819</v>
      </c>
      <c r="E15" s="110" t="s">
        <v>1448</v>
      </c>
      <c r="F15" s="109" t="s">
        <v>1461</v>
      </c>
      <c r="G15" s="111">
        <v>1.1805555555555555E-2</v>
      </c>
      <c r="H15" s="58">
        <v>15</v>
      </c>
      <c r="I15" s="111">
        <v>2.4305555555555539E-4</v>
      </c>
      <c r="J15">
        <f t="shared" si="0"/>
        <v>3</v>
      </c>
    </row>
    <row r="16" spans="1:10" ht="15.75">
      <c r="A16" s="7">
        <v>4</v>
      </c>
      <c r="B16" s="40">
        <v>809</v>
      </c>
      <c r="C16" s="109" t="s">
        <v>435</v>
      </c>
      <c r="D16" s="110">
        <v>10114420473</v>
      </c>
      <c r="E16" s="110" t="s">
        <v>1448</v>
      </c>
      <c r="F16" s="109" t="s">
        <v>1195</v>
      </c>
      <c r="G16" s="111">
        <v>1.21875E-2</v>
      </c>
      <c r="H16" s="58">
        <v>20</v>
      </c>
      <c r="I16" s="111">
        <v>6.2500000000000056E-4</v>
      </c>
      <c r="J16">
        <f t="shared" si="0"/>
        <v>4</v>
      </c>
    </row>
    <row r="17" spans="1:10" ht="15.75">
      <c r="A17" s="7">
        <v>5</v>
      </c>
      <c r="B17" s="21">
        <v>825</v>
      </c>
      <c r="C17" s="109" t="s">
        <v>1462</v>
      </c>
      <c r="D17" s="110">
        <v>10111579585</v>
      </c>
      <c r="E17" s="110" t="s">
        <v>1448</v>
      </c>
      <c r="F17" s="109" t="s">
        <v>1463</v>
      </c>
      <c r="G17" s="111">
        <v>1.2500000000000001E-2</v>
      </c>
      <c r="H17" s="58">
        <v>21</v>
      </c>
      <c r="I17" s="111">
        <v>9.3750000000000083E-4</v>
      </c>
      <c r="J17">
        <f t="shared" si="0"/>
        <v>5</v>
      </c>
    </row>
    <row r="18" spans="1:10">
      <c r="A18" s="3">
        <v>6</v>
      </c>
      <c r="B18" s="22">
        <v>829</v>
      </c>
      <c r="C18" s="4" t="s">
        <v>1464</v>
      </c>
      <c r="D18" s="100">
        <v>10130587545</v>
      </c>
      <c r="E18" s="100" t="s">
        <v>1448</v>
      </c>
      <c r="F18" s="4" t="s">
        <v>1465</v>
      </c>
      <c r="G18" s="101">
        <v>1.292824074074074E-2</v>
      </c>
      <c r="H18" s="3">
        <v>23</v>
      </c>
      <c r="I18" s="101">
        <v>1.3657407407407403E-3</v>
      </c>
      <c r="J18">
        <f t="shared" si="0"/>
        <v>6</v>
      </c>
    </row>
    <row r="19" spans="1:10">
      <c r="A19" s="3">
        <v>7</v>
      </c>
      <c r="B19" s="22">
        <v>805</v>
      </c>
      <c r="C19" s="4" t="s">
        <v>785</v>
      </c>
      <c r="D19" s="100">
        <v>10122661938</v>
      </c>
      <c r="E19" s="100" t="s">
        <v>1448</v>
      </c>
      <c r="F19" s="4" t="s">
        <v>1466</v>
      </c>
      <c r="G19" s="101">
        <v>1.3472222222222222E-2</v>
      </c>
      <c r="H19" s="3">
        <v>24</v>
      </c>
      <c r="I19" s="101">
        <v>1.9097222222222224E-3</v>
      </c>
      <c r="J19">
        <f t="shared" si="0"/>
        <v>7</v>
      </c>
    </row>
    <row r="20" spans="1:10">
      <c r="A20" s="3"/>
      <c r="B20" s="22"/>
      <c r="C20" s="4"/>
      <c r="D20" s="100"/>
      <c r="E20" s="100"/>
      <c r="F20" s="4"/>
      <c r="G20" s="101"/>
      <c r="H20" s="3"/>
      <c r="I20" s="101"/>
      <c r="J20">
        <f t="shared" si="0"/>
        <v>0</v>
      </c>
    </row>
    <row r="21" spans="1:10">
      <c r="A21" s="3">
        <v>1</v>
      </c>
      <c r="B21" s="22">
        <v>852</v>
      </c>
      <c r="C21" s="4" t="s">
        <v>118</v>
      </c>
      <c r="D21" s="100">
        <v>10007726234</v>
      </c>
      <c r="E21" s="100" t="s">
        <v>1448</v>
      </c>
      <c r="F21" s="4" t="s">
        <v>1467</v>
      </c>
      <c r="G21" s="101">
        <v>1.0763888888888889E-2</v>
      </c>
      <c r="H21" s="3">
        <v>9</v>
      </c>
      <c r="I21" s="101"/>
      <c r="J21">
        <f t="shared" si="0"/>
        <v>1</v>
      </c>
    </row>
    <row r="22" spans="1:10">
      <c r="A22" s="3">
        <v>2</v>
      </c>
      <c r="B22" s="22">
        <v>851</v>
      </c>
      <c r="C22" s="4" t="s">
        <v>1243</v>
      </c>
      <c r="D22" s="100">
        <v>10060932451</v>
      </c>
      <c r="E22" s="100" t="s">
        <v>1448</v>
      </c>
      <c r="F22" s="4" t="s">
        <v>1468</v>
      </c>
      <c r="G22" s="101">
        <v>1.0844907407407407E-2</v>
      </c>
      <c r="H22" s="3">
        <v>10</v>
      </c>
      <c r="I22" s="101">
        <v>8.1018518518518462E-5</v>
      </c>
      <c r="J22">
        <f t="shared" si="0"/>
        <v>2</v>
      </c>
    </row>
    <row r="23" spans="1:10">
      <c r="A23" s="7">
        <v>3</v>
      </c>
      <c r="B23" s="7">
        <v>853</v>
      </c>
      <c r="C23" s="109" t="s">
        <v>1469</v>
      </c>
      <c r="D23" s="110">
        <v>10122227054</v>
      </c>
      <c r="E23" s="110" t="s">
        <v>1448</v>
      </c>
      <c r="F23" s="109" t="s">
        <v>100</v>
      </c>
      <c r="G23" s="111">
        <v>1.0844907407407407E-2</v>
      </c>
      <c r="H23" s="58">
        <v>11</v>
      </c>
      <c r="I23" s="111">
        <v>8.1018518518518462E-5</v>
      </c>
      <c r="J23">
        <f t="shared" si="0"/>
        <v>3</v>
      </c>
    </row>
    <row r="24" spans="1:10" ht="15.75">
      <c r="A24" s="7">
        <v>4</v>
      </c>
      <c r="B24" s="40">
        <v>859</v>
      </c>
      <c r="C24" s="109" t="s">
        <v>1470</v>
      </c>
      <c r="D24" s="110">
        <v>10051462726</v>
      </c>
      <c r="E24" s="110" t="s">
        <v>1448</v>
      </c>
      <c r="F24" s="109" t="s">
        <v>459</v>
      </c>
      <c r="G24" s="111">
        <v>1.1203703703703704E-2</v>
      </c>
      <c r="H24" s="58">
        <v>12</v>
      </c>
      <c r="I24" s="111">
        <v>4.3981481481481476E-4</v>
      </c>
      <c r="J24">
        <f t="shared" si="0"/>
        <v>4</v>
      </c>
    </row>
    <row r="25" spans="1:10" ht="15.75">
      <c r="A25" s="7">
        <v>5</v>
      </c>
      <c r="B25" s="21">
        <v>860</v>
      </c>
      <c r="C25" s="109" t="s">
        <v>1471</v>
      </c>
      <c r="D25" s="110">
        <v>10061984903</v>
      </c>
      <c r="E25" s="110" t="s">
        <v>1448</v>
      </c>
      <c r="F25" s="109" t="s">
        <v>1472</v>
      </c>
      <c r="G25" s="111">
        <v>1.1527777777777777E-2</v>
      </c>
      <c r="H25" s="58">
        <v>16</v>
      </c>
      <c r="I25" s="111">
        <v>7.638888888888886E-4</v>
      </c>
      <c r="J25">
        <f t="shared" si="0"/>
        <v>5</v>
      </c>
    </row>
    <row r="26" spans="1:10" ht="15.75">
      <c r="A26" s="7">
        <v>6</v>
      </c>
      <c r="B26" s="40">
        <v>865</v>
      </c>
      <c r="C26" s="109" t="s">
        <v>465</v>
      </c>
      <c r="D26" s="110">
        <v>10138850531</v>
      </c>
      <c r="E26" s="110" t="s">
        <v>1448</v>
      </c>
      <c r="F26" s="109" t="s">
        <v>1473</v>
      </c>
      <c r="G26" s="111">
        <v>1.1817129629629629E-2</v>
      </c>
      <c r="H26" s="58">
        <v>19</v>
      </c>
      <c r="I26" s="111">
        <v>1.05324074074074E-3</v>
      </c>
      <c r="J26">
        <f t="shared" si="0"/>
        <v>6</v>
      </c>
    </row>
    <row r="27" spans="1:10" ht="15.75">
      <c r="A27" s="7">
        <v>7</v>
      </c>
      <c r="B27" s="21">
        <v>863</v>
      </c>
      <c r="C27" s="109" t="s">
        <v>1474</v>
      </c>
      <c r="D27" s="110">
        <v>10104387239</v>
      </c>
      <c r="E27" s="110" t="s">
        <v>1448</v>
      </c>
      <c r="F27" s="109" t="s">
        <v>1475</v>
      </c>
      <c r="G27" s="111">
        <v>1.3333333333333332E-2</v>
      </c>
      <c r="H27" s="58">
        <v>25</v>
      </c>
      <c r="I27" s="111">
        <v>2.5694444444444436E-3</v>
      </c>
      <c r="J27">
        <f t="shared" si="0"/>
        <v>7</v>
      </c>
    </row>
    <row r="28" spans="1:10" ht="15.75">
      <c r="A28" s="7"/>
      <c r="B28" s="40"/>
      <c r="D28" s="110"/>
      <c r="E28" s="110"/>
      <c r="G28" s="111"/>
      <c r="H28" s="58"/>
      <c r="I28" s="111"/>
      <c r="J28">
        <f t="shared" si="0"/>
        <v>0</v>
      </c>
    </row>
    <row r="29" spans="1:10" ht="15.75">
      <c r="A29" s="7">
        <v>1</v>
      </c>
      <c r="B29" s="40">
        <v>908</v>
      </c>
      <c r="C29" s="109" t="s">
        <v>121</v>
      </c>
      <c r="D29" s="110">
        <v>10101986891</v>
      </c>
      <c r="E29" s="110" t="s">
        <v>1448</v>
      </c>
      <c r="F29" s="109" t="s">
        <v>1476</v>
      </c>
      <c r="G29" s="111">
        <v>1.1250000000000001E-2</v>
      </c>
      <c r="H29" s="58">
        <v>17</v>
      </c>
      <c r="I29" s="111"/>
      <c r="J29">
        <f t="shared" si="0"/>
        <v>1</v>
      </c>
    </row>
    <row r="30" spans="1:10" ht="15.75">
      <c r="A30" s="7">
        <v>2</v>
      </c>
      <c r="B30" s="40">
        <v>903</v>
      </c>
      <c r="C30" s="109" t="s">
        <v>73</v>
      </c>
      <c r="D30" s="110">
        <v>10061997734</v>
      </c>
      <c r="E30" s="110" t="s">
        <v>1448</v>
      </c>
      <c r="F30" s="109" t="s">
        <v>1477</v>
      </c>
      <c r="G30" s="111">
        <v>1.1354166666666667E-2</v>
      </c>
      <c r="H30" s="58">
        <v>18</v>
      </c>
      <c r="I30" s="111">
        <v>1.041666666666656E-4</v>
      </c>
      <c r="J30">
        <f t="shared" si="0"/>
        <v>2</v>
      </c>
    </row>
    <row r="31" spans="1:10">
      <c r="A31" s="7">
        <v>3</v>
      </c>
      <c r="B31" s="7">
        <v>911</v>
      </c>
      <c r="C31" s="109" t="s">
        <v>806</v>
      </c>
      <c r="D31" s="110">
        <v>10052413629</v>
      </c>
      <c r="E31" s="110" t="s">
        <v>1448</v>
      </c>
      <c r="F31" s="109" t="s">
        <v>1478</v>
      </c>
      <c r="G31" s="111">
        <v>1.1932870370370371E-2</v>
      </c>
      <c r="H31" s="58">
        <v>22</v>
      </c>
      <c r="I31" s="111">
        <v>6.8287037037037014E-4</v>
      </c>
      <c r="J31">
        <f t="shared" si="0"/>
        <v>3</v>
      </c>
    </row>
    <row r="32" spans="1:10">
      <c r="A32" s="7">
        <v>4</v>
      </c>
      <c r="B32" s="7">
        <v>919</v>
      </c>
      <c r="C32" s="109" t="s">
        <v>1479</v>
      </c>
      <c r="D32" s="110">
        <v>10124529590</v>
      </c>
      <c r="E32" s="110" t="s">
        <v>1448</v>
      </c>
      <c r="F32" s="109" t="s">
        <v>1480</v>
      </c>
      <c r="G32" s="111">
        <v>1.2743055555555556E-2</v>
      </c>
      <c r="H32" s="58">
        <v>26</v>
      </c>
      <c r="I32" s="111">
        <v>1.4930555555555548E-3</v>
      </c>
      <c r="J32">
        <f t="shared" si="0"/>
        <v>4</v>
      </c>
    </row>
    <row r="33" spans="1:10" ht="15.75">
      <c r="A33" s="7">
        <v>5</v>
      </c>
      <c r="B33" s="40">
        <v>905</v>
      </c>
      <c r="C33" s="109" t="s">
        <v>474</v>
      </c>
      <c r="D33" s="110">
        <v>10061855668</v>
      </c>
      <c r="E33" s="110" t="s">
        <v>1448</v>
      </c>
      <c r="F33" s="109" t="s">
        <v>1481</v>
      </c>
      <c r="G33" s="111" t="s">
        <v>1482</v>
      </c>
      <c r="H33" s="58">
        <v>27</v>
      </c>
      <c r="I33" s="111" t="s">
        <v>6</v>
      </c>
      <c r="J33">
        <f t="shared" si="0"/>
        <v>5</v>
      </c>
    </row>
    <row r="34" spans="1:10">
      <c r="A34" s="7">
        <v>6</v>
      </c>
      <c r="B34" s="7">
        <v>922</v>
      </c>
      <c r="C34" s="109" t="s">
        <v>923</v>
      </c>
      <c r="D34" s="110">
        <v>10126639241</v>
      </c>
      <c r="E34" s="110" t="s">
        <v>1448</v>
      </c>
      <c r="F34" s="109" t="s">
        <v>1467</v>
      </c>
      <c r="G34" s="111" t="s">
        <v>1482</v>
      </c>
      <c r="H34" s="58">
        <v>28</v>
      </c>
      <c r="I34" s="111" t="s">
        <v>6</v>
      </c>
      <c r="J34">
        <f t="shared" si="0"/>
        <v>6</v>
      </c>
    </row>
    <row r="35" spans="1:10" ht="15.75">
      <c r="A35" s="7"/>
      <c r="B35" s="21">
        <v>907</v>
      </c>
      <c r="C35" s="109" t="s">
        <v>1483</v>
      </c>
      <c r="D35" s="110">
        <v>10075039079</v>
      </c>
      <c r="E35" s="110" t="s">
        <v>1448</v>
      </c>
      <c r="F35" s="109" t="s">
        <v>1484</v>
      </c>
      <c r="G35" s="111" t="s">
        <v>1459</v>
      </c>
      <c r="H35" s="58">
        <v>29</v>
      </c>
      <c r="I35" s="111" t="s">
        <v>6</v>
      </c>
      <c r="J35">
        <f t="shared" si="0"/>
        <v>0</v>
      </c>
    </row>
    <row r="36" spans="1:10" ht="15.75">
      <c r="A36" s="7"/>
      <c r="B36" s="21"/>
      <c r="D36" s="110"/>
      <c r="E36" s="110"/>
      <c r="G36" s="111"/>
      <c r="H36" s="58"/>
      <c r="I36" s="111"/>
      <c r="J36">
        <f t="shared" si="0"/>
        <v>0</v>
      </c>
    </row>
    <row r="37" spans="1:10" ht="15.75">
      <c r="A37" s="7">
        <v>1</v>
      </c>
      <c r="B37" s="21">
        <v>401</v>
      </c>
      <c r="C37" s="109" t="s">
        <v>377</v>
      </c>
      <c r="D37" s="110">
        <v>10162383236</v>
      </c>
      <c r="E37" s="110" t="s">
        <v>1448</v>
      </c>
      <c r="F37" s="109" t="s">
        <v>1485</v>
      </c>
      <c r="G37" s="111">
        <v>1.0277777777777778E-2</v>
      </c>
      <c r="H37" s="58">
        <v>30</v>
      </c>
      <c r="I37" s="111"/>
      <c r="J37">
        <f t="shared" si="0"/>
        <v>1</v>
      </c>
    </row>
    <row r="38" spans="1:10">
      <c r="A38" s="7">
        <v>2</v>
      </c>
      <c r="B38" s="7">
        <v>421</v>
      </c>
      <c r="C38" s="109" t="s">
        <v>1486</v>
      </c>
      <c r="D38" s="110" t="s">
        <v>66</v>
      </c>
      <c r="E38" s="110" t="s">
        <v>1448</v>
      </c>
      <c r="F38" s="109" t="s">
        <v>1487</v>
      </c>
      <c r="G38" s="111">
        <v>1.1354166666666667E-2</v>
      </c>
      <c r="H38" s="58">
        <v>31</v>
      </c>
      <c r="I38" s="111">
        <v>1.0763888888888889E-3</v>
      </c>
      <c r="J38">
        <f t="shared" si="0"/>
        <v>2</v>
      </c>
    </row>
    <row r="39" spans="1:10">
      <c r="A39" s="7">
        <v>3</v>
      </c>
      <c r="B39" s="7">
        <v>404</v>
      </c>
      <c r="C39" s="109" t="s">
        <v>380</v>
      </c>
      <c r="D39" s="110">
        <v>10130330796</v>
      </c>
      <c r="E39" s="110" t="s">
        <v>1448</v>
      </c>
      <c r="F39" s="109" t="s">
        <v>65</v>
      </c>
      <c r="G39" s="111">
        <v>1.1631944444444445E-2</v>
      </c>
      <c r="H39" s="58">
        <v>32</v>
      </c>
      <c r="I39" s="111">
        <v>1.3541666666666667E-3</v>
      </c>
      <c r="J39">
        <f t="shared" si="0"/>
        <v>3</v>
      </c>
    </row>
    <row r="40" spans="1:10">
      <c r="A40" s="58">
        <v>4</v>
      </c>
      <c r="B40" s="109">
        <v>407</v>
      </c>
      <c r="C40" s="109" t="s">
        <v>1488</v>
      </c>
      <c r="D40" s="109" t="s">
        <v>66</v>
      </c>
      <c r="E40" s="109" t="s">
        <v>1448</v>
      </c>
      <c r="F40" s="109" t="s">
        <v>84</v>
      </c>
      <c r="G40" s="111">
        <v>1.1875E-2</v>
      </c>
      <c r="H40" s="109">
        <v>34</v>
      </c>
      <c r="I40" s="109">
        <v>1.5972222222222221E-3</v>
      </c>
      <c r="J40">
        <f t="shared" si="0"/>
        <v>4</v>
      </c>
    </row>
    <row r="41" spans="1:10">
      <c r="A41" s="58">
        <v>5</v>
      </c>
      <c r="B41" s="109">
        <v>406</v>
      </c>
      <c r="C41" s="109" t="s">
        <v>1489</v>
      </c>
      <c r="D41" s="109">
        <v>10172211659</v>
      </c>
      <c r="E41" s="109" t="s">
        <v>1448</v>
      </c>
      <c r="F41" s="109" t="s">
        <v>1490</v>
      </c>
      <c r="G41" s="111">
        <v>1.2500000000000001E-2</v>
      </c>
      <c r="H41" s="109">
        <v>36</v>
      </c>
      <c r="I41" s="109">
        <v>2.2222222222222227E-3</v>
      </c>
      <c r="J41">
        <f t="shared" si="0"/>
        <v>5</v>
      </c>
    </row>
    <row r="42" spans="1:10">
      <c r="A42" s="58">
        <v>6</v>
      </c>
      <c r="B42" s="109">
        <v>420</v>
      </c>
      <c r="C42" s="109" t="s">
        <v>1491</v>
      </c>
      <c r="D42" s="109">
        <v>10177779257</v>
      </c>
      <c r="E42" s="109" t="s">
        <v>1448</v>
      </c>
      <c r="F42" s="109" t="s">
        <v>65</v>
      </c>
      <c r="G42" s="111">
        <v>1.269675925925926E-2</v>
      </c>
      <c r="H42" s="109">
        <v>38</v>
      </c>
      <c r="I42" s="109">
        <v>2.418981481481482E-3</v>
      </c>
      <c r="J42">
        <f t="shared" si="0"/>
        <v>6</v>
      </c>
    </row>
    <row r="43" spans="1:10">
      <c r="A43" s="58">
        <v>7</v>
      </c>
      <c r="B43" s="109">
        <v>424</v>
      </c>
      <c r="C43" s="109" t="s">
        <v>1492</v>
      </c>
      <c r="D43" s="109" t="s">
        <v>66</v>
      </c>
      <c r="E43" s="109" t="s">
        <v>1448</v>
      </c>
      <c r="F43" s="109" t="s">
        <v>1493</v>
      </c>
      <c r="G43" s="111">
        <v>1.2835648148148148E-2</v>
      </c>
      <c r="H43" s="109">
        <v>39</v>
      </c>
      <c r="I43" s="109">
        <v>2.5578703703703701E-3</v>
      </c>
      <c r="J43">
        <f t="shared" si="0"/>
        <v>7</v>
      </c>
    </row>
    <row r="44" spans="1:10">
      <c r="A44" s="58">
        <v>8</v>
      </c>
      <c r="B44" s="109">
        <v>409</v>
      </c>
      <c r="C44" s="109" t="s">
        <v>1144</v>
      </c>
      <c r="D44" s="109">
        <v>10173513378</v>
      </c>
      <c r="E44" s="109" t="s">
        <v>1448</v>
      </c>
      <c r="F44" s="109" t="s">
        <v>1494</v>
      </c>
      <c r="G44" s="111">
        <v>1.3344907407407408E-2</v>
      </c>
      <c r="H44" s="109">
        <v>41</v>
      </c>
      <c r="I44" s="109">
        <v>3.0671296296296297E-3</v>
      </c>
      <c r="J44">
        <f t="shared" si="0"/>
        <v>8</v>
      </c>
    </row>
    <row r="45" spans="1:10">
      <c r="A45" s="58">
        <v>9</v>
      </c>
      <c r="B45" s="109">
        <v>417</v>
      </c>
      <c r="C45" s="109" t="s">
        <v>1309</v>
      </c>
      <c r="D45" s="109">
        <v>10175618177</v>
      </c>
      <c r="E45" s="109" t="s">
        <v>1448</v>
      </c>
      <c r="F45" s="109" t="s">
        <v>1495</v>
      </c>
      <c r="G45" s="111">
        <v>1.3599537037037037E-2</v>
      </c>
      <c r="H45" s="109">
        <v>42</v>
      </c>
      <c r="I45" s="109">
        <v>3.3217592592592587E-3</v>
      </c>
      <c r="J45">
        <f t="shared" si="0"/>
        <v>9</v>
      </c>
    </row>
    <row r="46" spans="1:10">
      <c r="A46" s="58">
        <v>10</v>
      </c>
      <c r="B46" s="109">
        <v>422</v>
      </c>
      <c r="C46" s="109" t="s">
        <v>1496</v>
      </c>
      <c r="D46" s="109" t="s">
        <v>66</v>
      </c>
      <c r="E46" s="109" t="s">
        <v>1448</v>
      </c>
      <c r="F46" s="109" t="s">
        <v>1487</v>
      </c>
      <c r="G46" s="111">
        <v>1.4282407407407407E-2</v>
      </c>
      <c r="H46" s="109">
        <v>43</v>
      </c>
      <c r="I46" s="109">
        <v>4.0046296296296288E-3</v>
      </c>
      <c r="J46">
        <f t="shared" si="0"/>
        <v>10</v>
      </c>
    </row>
    <row r="47" spans="1:10">
      <c r="A47" s="58">
        <v>11</v>
      </c>
      <c r="B47" s="109">
        <v>425</v>
      </c>
      <c r="C47" s="109" t="s">
        <v>1497</v>
      </c>
      <c r="D47" s="109" t="s">
        <v>6</v>
      </c>
      <c r="E47" s="109" t="s">
        <v>1448</v>
      </c>
      <c r="F47" s="109" t="s">
        <v>1494</v>
      </c>
      <c r="G47" s="111">
        <v>1.4872685185185185E-2</v>
      </c>
      <c r="H47" s="109">
        <v>44</v>
      </c>
      <c r="I47" s="109">
        <v>4.5949074074074069E-3</v>
      </c>
      <c r="J47">
        <f t="shared" si="0"/>
        <v>11</v>
      </c>
    </row>
    <row r="48" spans="1:10">
      <c r="A48" s="58">
        <v>12</v>
      </c>
      <c r="B48" s="109">
        <v>423</v>
      </c>
      <c r="C48" s="109" t="s">
        <v>1498</v>
      </c>
      <c r="D48" s="109">
        <v>10175538254</v>
      </c>
      <c r="E48" s="109" t="s">
        <v>1448</v>
      </c>
      <c r="F48" s="109" t="s">
        <v>1487</v>
      </c>
      <c r="G48" s="111">
        <v>1.5173611111111112E-2</v>
      </c>
      <c r="H48" s="109">
        <v>46</v>
      </c>
      <c r="I48" s="109">
        <v>4.8958333333333336E-3</v>
      </c>
      <c r="J48">
        <f t="shared" si="0"/>
        <v>12</v>
      </c>
    </row>
    <row r="49" spans="1:10">
      <c r="A49" s="58"/>
      <c r="G49" s="111"/>
      <c r="J49">
        <f t="shared" si="0"/>
        <v>0</v>
      </c>
    </row>
    <row r="50" spans="1:10">
      <c r="A50" s="58">
        <v>1</v>
      </c>
      <c r="B50" s="109">
        <v>489</v>
      </c>
      <c r="C50" s="109" t="s">
        <v>1499</v>
      </c>
      <c r="D50" s="109">
        <v>10105006019</v>
      </c>
      <c r="E50" s="109" t="s">
        <v>1448</v>
      </c>
      <c r="F50" s="109" t="s">
        <v>1500</v>
      </c>
      <c r="G50" s="111">
        <v>1.1678240740740741E-2</v>
      </c>
      <c r="H50" s="109">
        <v>33</v>
      </c>
      <c r="J50">
        <f t="shared" si="0"/>
        <v>1</v>
      </c>
    </row>
    <row r="51" spans="1:10">
      <c r="A51" s="58">
        <v>2</v>
      </c>
      <c r="B51" s="109">
        <v>482</v>
      </c>
      <c r="C51" s="109" t="s">
        <v>1501</v>
      </c>
      <c r="D51" s="109">
        <v>10171940261</v>
      </c>
      <c r="E51" s="109" t="s">
        <v>1448</v>
      </c>
      <c r="F51" s="109" t="s">
        <v>1502</v>
      </c>
      <c r="G51" s="111">
        <v>1.2303240740740741E-2</v>
      </c>
      <c r="H51" s="109">
        <v>35</v>
      </c>
      <c r="I51" s="109">
        <v>6.2500000000000056E-4</v>
      </c>
      <c r="J51">
        <f t="shared" si="0"/>
        <v>2</v>
      </c>
    </row>
    <row r="52" spans="1:10">
      <c r="A52" s="58">
        <v>3</v>
      </c>
      <c r="B52" s="109">
        <v>484</v>
      </c>
      <c r="C52" s="109" t="s">
        <v>1503</v>
      </c>
      <c r="D52" s="109">
        <v>10162507114</v>
      </c>
      <c r="E52" s="109" t="s">
        <v>1448</v>
      </c>
      <c r="F52" s="109" t="s">
        <v>125</v>
      </c>
      <c r="G52" s="111">
        <v>1.2615740740740742E-2</v>
      </c>
      <c r="H52" s="109">
        <v>37</v>
      </c>
      <c r="I52" s="109">
        <v>9.3750000000000083E-4</v>
      </c>
      <c r="J52">
        <f t="shared" si="0"/>
        <v>3</v>
      </c>
    </row>
    <row r="53" spans="1:10">
      <c r="A53" s="58">
        <v>4</v>
      </c>
      <c r="B53" s="109">
        <v>483</v>
      </c>
      <c r="C53" s="109" t="s">
        <v>755</v>
      </c>
      <c r="D53" s="109">
        <v>10156361455</v>
      </c>
      <c r="E53" s="109" t="s">
        <v>1448</v>
      </c>
      <c r="F53" s="109" t="s">
        <v>1504</v>
      </c>
      <c r="G53" s="111">
        <v>1.3194444444444444E-2</v>
      </c>
      <c r="H53" s="109">
        <v>40</v>
      </c>
      <c r="I53" s="109">
        <v>1.5162037037037036E-3</v>
      </c>
      <c r="J53">
        <f t="shared" si="0"/>
        <v>4</v>
      </c>
    </row>
    <row r="54" spans="1:10">
      <c r="A54" s="58">
        <v>5</v>
      </c>
      <c r="B54" s="109">
        <v>488</v>
      </c>
      <c r="C54" s="109" t="s">
        <v>1505</v>
      </c>
      <c r="D54" s="109">
        <v>10162509639</v>
      </c>
      <c r="E54" s="109" t="s">
        <v>1448</v>
      </c>
      <c r="F54" s="109" t="s">
        <v>1506</v>
      </c>
      <c r="G54" s="111">
        <v>1.5138888888888889E-2</v>
      </c>
      <c r="H54" s="109">
        <v>45</v>
      </c>
      <c r="I54" s="109">
        <v>3.4606481481481485E-3</v>
      </c>
      <c r="J54">
        <f t="shared" si="0"/>
        <v>5</v>
      </c>
    </row>
    <row r="55" spans="1:10">
      <c r="A55" s="58">
        <v>6</v>
      </c>
      <c r="B55" s="109">
        <v>490</v>
      </c>
      <c r="C55" s="109" t="s">
        <v>1507</v>
      </c>
      <c r="D55" s="109" t="s">
        <v>66</v>
      </c>
      <c r="E55" s="109" t="s">
        <v>1448</v>
      </c>
      <c r="F55" s="109" t="s">
        <v>1508</v>
      </c>
      <c r="G55" s="111">
        <v>1.6064814814814816E-2</v>
      </c>
      <c r="H55" s="109">
        <v>47</v>
      </c>
      <c r="I55" s="109">
        <v>4.3865740740740757E-3</v>
      </c>
      <c r="J55">
        <f t="shared" si="0"/>
        <v>6</v>
      </c>
    </row>
    <row r="56" spans="1:10">
      <c r="A56" s="58">
        <v>7</v>
      </c>
      <c r="B56" s="109">
        <v>491</v>
      </c>
      <c r="C56" s="109" t="s">
        <v>1509</v>
      </c>
      <c r="D56" s="109" t="s">
        <v>66</v>
      </c>
      <c r="E56" s="109" t="s">
        <v>6</v>
      </c>
      <c r="F56" s="109" t="s">
        <v>1487</v>
      </c>
      <c r="G56" s="111">
        <v>1.6180555555555556E-2</v>
      </c>
      <c r="H56" s="109">
        <v>48</v>
      </c>
      <c r="I56" s="109">
        <v>4.5023148148148149E-3</v>
      </c>
      <c r="J56">
        <f t="shared" si="0"/>
        <v>7</v>
      </c>
    </row>
    <row r="57" spans="1:10">
      <c r="A57" s="58">
        <v>8</v>
      </c>
      <c r="B57" s="109">
        <v>486</v>
      </c>
      <c r="C57" s="109" t="s">
        <v>1510</v>
      </c>
      <c r="D57" s="109">
        <v>10175803184</v>
      </c>
      <c r="E57" s="109" t="s">
        <v>1448</v>
      </c>
      <c r="F57" s="109" t="s">
        <v>150</v>
      </c>
      <c r="G57" s="111">
        <v>1.7245370370370369E-2</v>
      </c>
      <c r="H57" s="109">
        <v>49</v>
      </c>
      <c r="I57" s="109">
        <v>5.5671296296296285E-3</v>
      </c>
      <c r="J57">
        <f t="shared" si="0"/>
        <v>8</v>
      </c>
    </row>
    <row r="58" spans="1:10">
      <c r="A58" s="58"/>
      <c r="G58" s="111"/>
      <c r="J58">
        <f t="shared" si="0"/>
        <v>0</v>
      </c>
    </row>
    <row r="59" spans="1:10">
      <c r="A59" s="58">
        <v>1</v>
      </c>
      <c r="B59" s="59">
        <v>502</v>
      </c>
      <c r="C59" s="109" t="s">
        <v>336</v>
      </c>
      <c r="D59" s="110">
        <v>10139359880</v>
      </c>
      <c r="E59" s="110" t="s">
        <v>1448</v>
      </c>
      <c r="F59" s="109" t="s">
        <v>84</v>
      </c>
      <c r="G59" s="111">
        <v>1.1712962962962963E-2</v>
      </c>
      <c r="H59" s="58">
        <v>54</v>
      </c>
      <c r="I59" s="111"/>
      <c r="J59">
        <f t="shared" si="0"/>
        <v>1</v>
      </c>
    </row>
    <row r="60" spans="1:10">
      <c r="A60" s="58">
        <v>2</v>
      </c>
      <c r="B60" s="59">
        <v>501</v>
      </c>
      <c r="C60" s="109" t="s">
        <v>1511</v>
      </c>
      <c r="D60" s="110">
        <v>10171463345</v>
      </c>
      <c r="E60" s="110" t="s">
        <v>1448</v>
      </c>
      <c r="F60" s="109" t="s">
        <v>1512</v>
      </c>
      <c r="G60" s="111">
        <v>1.1770833333333333E-2</v>
      </c>
      <c r="H60" s="58">
        <v>55</v>
      </c>
      <c r="I60" s="111">
        <v>5.7870370370369587E-5</v>
      </c>
      <c r="J60">
        <f t="shared" si="0"/>
        <v>2</v>
      </c>
    </row>
    <row r="61" spans="1:10" ht="15.75">
      <c r="A61" s="58">
        <v>3</v>
      </c>
      <c r="B61" s="48">
        <v>505</v>
      </c>
      <c r="C61" s="109" t="s">
        <v>690</v>
      </c>
      <c r="D61" s="110">
        <v>10156807554</v>
      </c>
      <c r="E61" s="110" t="s">
        <v>1448</v>
      </c>
      <c r="F61" s="109" t="s">
        <v>340</v>
      </c>
      <c r="G61" s="111">
        <v>1.1817129629629629E-2</v>
      </c>
      <c r="H61" s="58">
        <v>56</v>
      </c>
      <c r="I61" s="111">
        <v>1.041666666666656E-4</v>
      </c>
      <c r="J61">
        <f t="shared" si="0"/>
        <v>3</v>
      </c>
    </row>
    <row r="62" spans="1:10" ht="15.75">
      <c r="A62" s="58">
        <v>4</v>
      </c>
      <c r="B62" s="21">
        <v>518</v>
      </c>
      <c r="C62" s="109" t="s">
        <v>930</v>
      </c>
      <c r="D62" s="110">
        <v>10141584517</v>
      </c>
      <c r="E62" s="110" t="s">
        <v>1448</v>
      </c>
      <c r="F62" s="109" t="s">
        <v>1513</v>
      </c>
      <c r="G62" s="111">
        <v>1.1851851851851851E-2</v>
      </c>
      <c r="H62" s="58">
        <v>58</v>
      </c>
      <c r="I62" s="111">
        <v>1.3888888888888805E-4</v>
      </c>
      <c r="J62">
        <f t="shared" si="0"/>
        <v>4</v>
      </c>
    </row>
    <row r="63" spans="1:10" ht="15.75">
      <c r="A63" s="58">
        <v>4</v>
      </c>
      <c r="B63" s="21">
        <v>510</v>
      </c>
      <c r="C63" s="109" t="s">
        <v>1514</v>
      </c>
      <c r="D63" s="110">
        <v>10126142218</v>
      </c>
      <c r="E63" s="110" t="s">
        <v>1448</v>
      </c>
      <c r="F63" s="109" t="s">
        <v>125</v>
      </c>
      <c r="G63" s="111">
        <v>1.1875E-2</v>
      </c>
      <c r="H63" s="58">
        <v>57</v>
      </c>
      <c r="I63" s="111">
        <v>1.6203703703703692E-4</v>
      </c>
      <c r="J63">
        <f t="shared" si="0"/>
        <v>4</v>
      </c>
    </row>
    <row r="64" spans="1:10" ht="15.75">
      <c r="A64" s="58">
        <v>6</v>
      </c>
      <c r="B64" s="21">
        <v>521</v>
      </c>
      <c r="C64" s="109" t="s">
        <v>362</v>
      </c>
      <c r="D64" s="110">
        <v>10153425183</v>
      </c>
      <c r="E64" s="110" t="s">
        <v>1448</v>
      </c>
      <c r="F64" s="109" t="s">
        <v>1500</v>
      </c>
      <c r="G64" s="111">
        <v>1.2407407407407407E-2</v>
      </c>
      <c r="H64" s="58">
        <v>59</v>
      </c>
      <c r="I64" s="111">
        <v>6.9444444444444371E-4</v>
      </c>
      <c r="J64">
        <f t="shared" si="0"/>
        <v>6</v>
      </c>
    </row>
    <row r="65" spans="1:10" ht="15.75">
      <c r="A65" s="58">
        <v>7</v>
      </c>
      <c r="B65" s="21">
        <v>507</v>
      </c>
      <c r="C65" s="109" t="s">
        <v>1515</v>
      </c>
      <c r="D65" s="110">
        <v>10129054440</v>
      </c>
      <c r="E65" s="110" t="s">
        <v>1448</v>
      </c>
      <c r="F65" s="109" t="s">
        <v>150</v>
      </c>
      <c r="G65" s="111">
        <v>1.2662037037037038E-2</v>
      </c>
      <c r="H65" s="58">
        <v>60</v>
      </c>
      <c r="I65" s="111">
        <v>9.490740740740744E-4</v>
      </c>
      <c r="J65">
        <f t="shared" si="0"/>
        <v>7</v>
      </c>
    </row>
    <row r="66" spans="1:10" ht="15.75">
      <c r="A66" s="58">
        <v>8</v>
      </c>
      <c r="B66" s="21">
        <v>512</v>
      </c>
      <c r="C66" s="109" t="s">
        <v>689</v>
      </c>
      <c r="D66" s="110">
        <v>10131905735</v>
      </c>
      <c r="E66" s="110" t="s">
        <v>1448</v>
      </c>
      <c r="F66" s="109" t="s">
        <v>128</v>
      </c>
      <c r="G66" s="111">
        <v>1.2812499999999999E-2</v>
      </c>
      <c r="H66" s="58">
        <v>61</v>
      </c>
      <c r="I66" s="111">
        <v>1.099537037037036E-3</v>
      </c>
      <c r="J66">
        <f t="shared" ref="J66:J129" si="1">A66</f>
        <v>8</v>
      </c>
    </row>
    <row r="67" spans="1:10" ht="15.75">
      <c r="A67" s="58">
        <v>9</v>
      </c>
      <c r="B67" s="21">
        <v>539</v>
      </c>
      <c r="C67" s="109" t="s">
        <v>1516</v>
      </c>
      <c r="D67" s="110" t="s">
        <v>66</v>
      </c>
      <c r="E67" s="110" t="s">
        <v>1448</v>
      </c>
      <c r="F67" s="109" t="s">
        <v>1513</v>
      </c>
      <c r="G67" s="111">
        <v>1.3043981481481481E-2</v>
      </c>
      <c r="H67" s="58">
        <v>62</v>
      </c>
      <c r="I67" s="111">
        <v>1.3310185185185178E-3</v>
      </c>
      <c r="J67">
        <f t="shared" si="1"/>
        <v>9</v>
      </c>
    </row>
    <row r="68" spans="1:10">
      <c r="A68" s="58">
        <v>10</v>
      </c>
      <c r="B68" s="59">
        <v>529</v>
      </c>
      <c r="C68" s="109" t="s">
        <v>1517</v>
      </c>
      <c r="D68" s="110">
        <v>10162504282</v>
      </c>
      <c r="E68" s="110" t="s">
        <v>1448</v>
      </c>
      <c r="F68" s="109" t="s">
        <v>125</v>
      </c>
      <c r="G68" s="111">
        <v>1.3043981481481481E-2</v>
      </c>
      <c r="H68" s="58">
        <v>63</v>
      </c>
      <c r="I68" s="111">
        <v>1.3310185185185178E-3</v>
      </c>
      <c r="J68">
        <f t="shared" si="1"/>
        <v>10</v>
      </c>
    </row>
    <row r="69" spans="1:10" ht="15.75">
      <c r="A69" s="58">
        <v>11</v>
      </c>
      <c r="B69" s="21">
        <v>503</v>
      </c>
      <c r="C69" s="109" t="s">
        <v>337</v>
      </c>
      <c r="D69" s="110">
        <v>10142567550</v>
      </c>
      <c r="E69" s="110" t="s">
        <v>1448</v>
      </c>
      <c r="F69" s="109" t="s">
        <v>154</v>
      </c>
      <c r="G69" s="111">
        <v>1.3784722222222223E-2</v>
      </c>
      <c r="H69" s="58">
        <v>64</v>
      </c>
      <c r="I69" s="111">
        <v>2.0717592592592593E-3</v>
      </c>
      <c r="J69">
        <f t="shared" si="1"/>
        <v>11</v>
      </c>
    </row>
    <row r="70" spans="1:10" ht="15.75">
      <c r="A70" s="58">
        <v>12</v>
      </c>
      <c r="B70" s="21">
        <v>530</v>
      </c>
      <c r="C70" s="109" t="s">
        <v>941</v>
      </c>
      <c r="D70" s="110">
        <v>10173144172</v>
      </c>
      <c r="E70" s="110" t="s">
        <v>1448</v>
      </c>
      <c r="F70" s="109" t="s">
        <v>1518</v>
      </c>
      <c r="G70" s="111">
        <v>1.3923611111111111E-2</v>
      </c>
      <c r="H70" s="58">
        <v>65</v>
      </c>
      <c r="I70" s="111">
        <v>2.2106481481481473E-3</v>
      </c>
      <c r="J70">
        <f t="shared" si="1"/>
        <v>12</v>
      </c>
    </row>
    <row r="71" spans="1:10" ht="15.75">
      <c r="A71" s="58">
        <v>13</v>
      </c>
      <c r="B71" s="21">
        <v>526</v>
      </c>
      <c r="C71" s="109" t="s">
        <v>1519</v>
      </c>
      <c r="D71" s="110">
        <v>10173358380</v>
      </c>
      <c r="E71" s="110" t="s">
        <v>1448</v>
      </c>
      <c r="F71" s="109" t="s">
        <v>1520</v>
      </c>
      <c r="G71" s="111">
        <v>1.4039351851851851E-2</v>
      </c>
      <c r="H71" s="58">
        <v>66</v>
      </c>
      <c r="I71" s="111">
        <v>2.3263888888888883E-3</v>
      </c>
      <c r="J71">
        <f t="shared" si="1"/>
        <v>13</v>
      </c>
    </row>
    <row r="72" spans="1:10" ht="15.75">
      <c r="A72" s="58">
        <v>14</v>
      </c>
      <c r="B72" s="21">
        <v>540</v>
      </c>
      <c r="C72" s="109" t="s">
        <v>1521</v>
      </c>
      <c r="D72" s="110">
        <v>10175690525</v>
      </c>
      <c r="E72" s="110" t="s">
        <v>1448</v>
      </c>
      <c r="F72" s="109" t="s">
        <v>112</v>
      </c>
      <c r="G72" s="111">
        <v>1.4328703703703703E-2</v>
      </c>
      <c r="H72" s="58">
        <v>67</v>
      </c>
      <c r="I72" s="111">
        <v>2.6157407407407397E-3</v>
      </c>
      <c r="J72">
        <f t="shared" si="1"/>
        <v>14</v>
      </c>
    </row>
    <row r="73" spans="1:10" ht="15.75">
      <c r="A73" s="58">
        <v>15</v>
      </c>
      <c r="B73" s="21">
        <v>531</v>
      </c>
      <c r="C73" s="109" t="s">
        <v>1522</v>
      </c>
      <c r="D73" s="110">
        <v>10102760669</v>
      </c>
      <c r="E73" s="110" t="s">
        <v>1448</v>
      </c>
      <c r="F73" s="109" t="s">
        <v>1523</v>
      </c>
      <c r="G73" s="111">
        <v>1.4375000000000001E-2</v>
      </c>
      <c r="H73" s="58">
        <v>68</v>
      </c>
      <c r="I73" s="111">
        <v>2.6620370370370374E-3</v>
      </c>
      <c r="J73">
        <f t="shared" si="1"/>
        <v>15</v>
      </c>
    </row>
    <row r="74" spans="1:10" ht="15.75">
      <c r="A74" s="58">
        <v>16</v>
      </c>
      <c r="B74" s="21">
        <v>514</v>
      </c>
      <c r="C74" s="109" t="s">
        <v>351</v>
      </c>
      <c r="D74" s="110">
        <v>10157013578</v>
      </c>
      <c r="E74" s="110" t="s">
        <v>1448</v>
      </c>
      <c r="F74" s="109" t="s">
        <v>1524</v>
      </c>
      <c r="G74" s="111">
        <v>1.4479166666666666E-2</v>
      </c>
      <c r="H74" s="58">
        <v>69</v>
      </c>
      <c r="I74" s="111">
        <v>2.766203703703703E-3</v>
      </c>
      <c r="J74">
        <f t="shared" si="1"/>
        <v>16</v>
      </c>
    </row>
    <row r="75" spans="1:10" ht="15.75">
      <c r="A75" s="58">
        <v>17</v>
      </c>
      <c r="B75" s="21">
        <v>523</v>
      </c>
      <c r="C75" s="109" t="s">
        <v>1525</v>
      </c>
      <c r="D75" s="110">
        <v>10155993259</v>
      </c>
      <c r="E75" s="110" t="s">
        <v>1448</v>
      </c>
      <c r="F75" s="109" t="s">
        <v>1500</v>
      </c>
      <c r="G75" s="111">
        <v>1.4687499999999999E-2</v>
      </c>
      <c r="H75" s="58">
        <v>70</v>
      </c>
      <c r="I75" s="111">
        <v>2.974537037037036E-3</v>
      </c>
      <c r="J75">
        <f t="shared" si="1"/>
        <v>17</v>
      </c>
    </row>
    <row r="76" spans="1:10" ht="15.75">
      <c r="A76" s="58">
        <v>18</v>
      </c>
      <c r="B76" s="21">
        <v>519</v>
      </c>
      <c r="C76" s="109" t="s">
        <v>1526</v>
      </c>
      <c r="D76" s="110">
        <v>10132818884</v>
      </c>
      <c r="E76" s="110" t="s">
        <v>1448</v>
      </c>
      <c r="F76" s="109" t="s">
        <v>1527</v>
      </c>
      <c r="G76" s="111">
        <v>1.4837962962962963E-2</v>
      </c>
      <c r="H76" s="58">
        <v>71</v>
      </c>
      <c r="I76" s="111">
        <v>3.1249999999999993E-3</v>
      </c>
      <c r="J76">
        <f t="shared" si="1"/>
        <v>18</v>
      </c>
    </row>
    <row r="77" spans="1:10" ht="15.75">
      <c r="A77" s="58">
        <v>19</v>
      </c>
      <c r="B77" s="21">
        <v>516</v>
      </c>
      <c r="C77" s="109" t="s">
        <v>1528</v>
      </c>
      <c r="D77" s="110">
        <v>10172014730</v>
      </c>
      <c r="E77" s="110" t="s">
        <v>1448</v>
      </c>
      <c r="F77" s="109" t="s">
        <v>84</v>
      </c>
      <c r="G77" s="111">
        <v>1.4965277777777777E-2</v>
      </c>
      <c r="H77" s="58">
        <v>72</v>
      </c>
      <c r="I77" s="111">
        <v>3.2523148148148138E-3</v>
      </c>
      <c r="J77">
        <f t="shared" si="1"/>
        <v>19</v>
      </c>
    </row>
    <row r="78" spans="1:10">
      <c r="A78" s="58">
        <v>20</v>
      </c>
      <c r="B78" s="109">
        <v>504</v>
      </c>
      <c r="C78" s="109" t="s">
        <v>947</v>
      </c>
      <c r="D78" s="109">
        <v>10154828350</v>
      </c>
      <c r="E78" s="109" t="s">
        <v>1448</v>
      </c>
      <c r="F78" s="109" t="s">
        <v>124</v>
      </c>
      <c r="G78" s="109">
        <v>1.5219907407407408E-2</v>
      </c>
      <c r="H78" s="109">
        <v>73</v>
      </c>
      <c r="I78" s="109">
        <v>3.5069444444444445E-3</v>
      </c>
      <c r="J78">
        <f t="shared" si="1"/>
        <v>20</v>
      </c>
    </row>
    <row r="79" spans="1:10">
      <c r="A79" s="58">
        <v>21</v>
      </c>
      <c r="B79" s="109">
        <v>506</v>
      </c>
      <c r="C79" s="109" t="s">
        <v>1529</v>
      </c>
      <c r="D79" s="109">
        <v>10171702512</v>
      </c>
      <c r="E79" s="109" t="s">
        <v>1448</v>
      </c>
      <c r="F79" s="109" t="s">
        <v>1530</v>
      </c>
      <c r="G79" s="109">
        <v>1.5486111111111112E-2</v>
      </c>
      <c r="H79" s="109">
        <v>74</v>
      </c>
      <c r="I79" s="109">
        <v>3.7731481481481487E-3</v>
      </c>
      <c r="J79">
        <f t="shared" si="1"/>
        <v>21</v>
      </c>
    </row>
    <row r="80" spans="1:10">
      <c r="A80" s="58">
        <v>22</v>
      </c>
      <c r="B80" s="109">
        <v>508</v>
      </c>
      <c r="C80" s="109" t="s">
        <v>1531</v>
      </c>
      <c r="D80" s="109">
        <v>10171656133</v>
      </c>
      <c r="E80" s="109" t="s">
        <v>1448</v>
      </c>
      <c r="F80" s="109" t="s">
        <v>1532</v>
      </c>
      <c r="G80" s="109">
        <v>1.5486111111111112E-2</v>
      </c>
      <c r="H80" s="109">
        <v>75</v>
      </c>
      <c r="I80" s="109">
        <v>3.7731481481481487E-3</v>
      </c>
      <c r="J80">
        <f t="shared" si="1"/>
        <v>22</v>
      </c>
    </row>
    <row r="81" spans="1:10">
      <c r="A81" s="58">
        <v>23</v>
      </c>
      <c r="B81" s="109">
        <v>538</v>
      </c>
      <c r="C81" s="109" t="s">
        <v>1326</v>
      </c>
      <c r="D81" s="109" t="s">
        <v>66</v>
      </c>
      <c r="E81" s="109" t="s">
        <v>1448</v>
      </c>
      <c r="F81" s="109" t="s">
        <v>1533</v>
      </c>
      <c r="G81" s="109" t="s">
        <v>1482</v>
      </c>
      <c r="H81" s="109">
        <v>76</v>
      </c>
      <c r="I81" s="109" t="s">
        <v>6</v>
      </c>
      <c r="J81">
        <f t="shared" si="1"/>
        <v>23</v>
      </c>
    </row>
    <row r="82" spans="1:10">
      <c r="A82" s="58">
        <v>24</v>
      </c>
      <c r="B82" s="109">
        <v>544</v>
      </c>
      <c r="C82" s="109" t="s">
        <v>1534</v>
      </c>
      <c r="D82" s="109" t="s">
        <v>66</v>
      </c>
      <c r="E82" s="109" t="s">
        <v>1448</v>
      </c>
      <c r="F82" s="109" t="s">
        <v>1487</v>
      </c>
      <c r="G82" s="109" t="s">
        <v>1535</v>
      </c>
      <c r="H82" s="109">
        <v>77</v>
      </c>
      <c r="I82" s="109" t="s">
        <v>6</v>
      </c>
      <c r="J82">
        <f t="shared" si="1"/>
        <v>24</v>
      </c>
    </row>
    <row r="83" spans="1:10">
      <c r="A83" s="58">
        <v>25</v>
      </c>
      <c r="B83" s="109">
        <v>543</v>
      </c>
      <c r="C83" s="109" t="s">
        <v>1536</v>
      </c>
      <c r="D83" s="109" t="s">
        <v>66</v>
      </c>
      <c r="E83" s="109" t="s">
        <v>1448</v>
      </c>
      <c r="F83" s="109" t="s">
        <v>1537</v>
      </c>
      <c r="G83" s="109" t="s">
        <v>1535</v>
      </c>
      <c r="H83" s="109">
        <v>78</v>
      </c>
      <c r="I83" s="109" t="s">
        <v>6</v>
      </c>
      <c r="J83">
        <f t="shared" si="1"/>
        <v>25</v>
      </c>
    </row>
    <row r="84" spans="1:10">
      <c r="A84" s="58"/>
      <c r="B84" s="109">
        <v>509</v>
      </c>
      <c r="C84" s="109" t="s">
        <v>1538</v>
      </c>
      <c r="D84" s="109">
        <v>10164774688</v>
      </c>
      <c r="E84" s="109" t="s">
        <v>1448</v>
      </c>
      <c r="F84" s="109" t="s">
        <v>1539</v>
      </c>
      <c r="G84" s="109" t="s">
        <v>1540</v>
      </c>
      <c r="H84" s="109">
        <v>79</v>
      </c>
      <c r="I84" s="109" t="s">
        <v>6</v>
      </c>
      <c r="J84">
        <f t="shared" si="1"/>
        <v>0</v>
      </c>
    </row>
    <row r="85" spans="1:10">
      <c r="A85" s="58"/>
      <c r="B85" s="109">
        <v>515</v>
      </c>
      <c r="C85" s="109" t="s">
        <v>948</v>
      </c>
      <c r="D85" s="109">
        <v>10171999875</v>
      </c>
      <c r="E85" s="109" t="s">
        <v>1448</v>
      </c>
      <c r="F85" s="109" t="s">
        <v>130</v>
      </c>
      <c r="G85" s="109" t="s">
        <v>1540</v>
      </c>
      <c r="H85" s="109">
        <v>80</v>
      </c>
      <c r="I85" s="109" t="s">
        <v>6</v>
      </c>
      <c r="J85">
        <f t="shared" si="1"/>
        <v>0</v>
      </c>
    </row>
    <row r="86" spans="1:10">
      <c r="A86" s="58"/>
      <c r="B86" s="109">
        <v>545</v>
      </c>
      <c r="C86" s="109" t="s">
        <v>1541</v>
      </c>
      <c r="D86" s="109" t="s">
        <v>6</v>
      </c>
      <c r="E86" s="109" t="s">
        <v>1448</v>
      </c>
      <c r="F86" s="109" t="s">
        <v>1542</v>
      </c>
      <c r="G86" s="109" t="s">
        <v>1459</v>
      </c>
      <c r="H86" s="109">
        <v>50</v>
      </c>
      <c r="I86" s="109" t="s">
        <v>6</v>
      </c>
      <c r="J86">
        <f t="shared" si="1"/>
        <v>0</v>
      </c>
    </row>
    <row r="87" spans="1:10">
      <c r="A87" s="58"/>
      <c r="B87" s="109">
        <v>536</v>
      </c>
      <c r="C87" s="109" t="s">
        <v>1327</v>
      </c>
      <c r="D87" s="109">
        <v>10175690727</v>
      </c>
      <c r="E87" s="109" t="s">
        <v>1448</v>
      </c>
      <c r="F87" s="109" t="s">
        <v>65</v>
      </c>
      <c r="G87" s="109" t="s">
        <v>1459</v>
      </c>
      <c r="H87" s="109">
        <v>51</v>
      </c>
      <c r="I87" s="109" t="s">
        <v>6</v>
      </c>
      <c r="J87">
        <f t="shared" si="1"/>
        <v>0</v>
      </c>
    </row>
    <row r="88" spans="1:10">
      <c r="A88" s="58"/>
      <c r="B88" s="109">
        <v>513</v>
      </c>
      <c r="C88" s="109" t="s">
        <v>1543</v>
      </c>
      <c r="D88" s="109">
        <v>121480958</v>
      </c>
      <c r="E88" s="109" t="s">
        <v>1448</v>
      </c>
      <c r="F88" s="109" t="s">
        <v>130</v>
      </c>
      <c r="G88" s="109" t="s">
        <v>1459</v>
      </c>
      <c r="H88" s="109">
        <v>52</v>
      </c>
      <c r="I88" s="109" t="s">
        <v>6</v>
      </c>
      <c r="J88">
        <f t="shared" si="1"/>
        <v>0</v>
      </c>
    </row>
    <row r="89" spans="1:10">
      <c r="A89" s="58"/>
      <c r="B89" s="109">
        <v>537</v>
      </c>
      <c r="C89" s="109" t="s">
        <v>1544</v>
      </c>
      <c r="D89" s="109">
        <v>10175124992</v>
      </c>
      <c r="E89" s="109" t="s">
        <v>1448</v>
      </c>
      <c r="F89" s="109" t="s">
        <v>1545</v>
      </c>
      <c r="G89" s="109" t="s">
        <v>1459</v>
      </c>
      <c r="H89" s="109">
        <v>53</v>
      </c>
      <c r="I89" s="109" t="s">
        <v>6</v>
      </c>
      <c r="J89">
        <f t="shared" si="1"/>
        <v>0</v>
      </c>
    </row>
    <row r="90" spans="1:10">
      <c r="A90" s="58"/>
      <c r="J90">
        <f t="shared" si="1"/>
        <v>0</v>
      </c>
    </row>
    <row r="91" spans="1:10">
      <c r="A91" s="58">
        <v>1</v>
      </c>
      <c r="B91" s="109">
        <v>381</v>
      </c>
      <c r="C91" s="109" t="s">
        <v>1546</v>
      </c>
      <c r="D91" s="109">
        <v>10125653679</v>
      </c>
      <c r="E91" s="109" t="s">
        <v>1448</v>
      </c>
      <c r="F91" s="109" t="s">
        <v>1547</v>
      </c>
      <c r="G91" s="109">
        <v>9.8148148148148144E-3</v>
      </c>
      <c r="H91" s="109">
        <v>82</v>
      </c>
      <c r="J91">
        <f t="shared" si="1"/>
        <v>1</v>
      </c>
    </row>
    <row r="92" spans="1:10">
      <c r="A92" s="58">
        <v>2</v>
      </c>
      <c r="B92" s="109">
        <v>387</v>
      </c>
      <c r="C92" s="109" t="s">
        <v>1548</v>
      </c>
      <c r="D92" s="109">
        <v>10156809877</v>
      </c>
      <c r="E92" s="109" t="s">
        <v>1448</v>
      </c>
      <c r="F92" s="109" t="s">
        <v>100</v>
      </c>
      <c r="G92" s="109">
        <v>1.0034722222222223E-2</v>
      </c>
      <c r="H92" s="109">
        <v>83</v>
      </c>
      <c r="I92" s="109">
        <v>2.1990740740740825E-4</v>
      </c>
      <c r="J92">
        <f t="shared" si="1"/>
        <v>2</v>
      </c>
    </row>
    <row r="93" spans="1:10">
      <c r="A93" s="58">
        <v>3</v>
      </c>
      <c r="B93" s="109">
        <v>382</v>
      </c>
      <c r="C93" s="109" t="s">
        <v>1549</v>
      </c>
      <c r="D93" s="109">
        <v>10128546909</v>
      </c>
      <c r="E93" s="109" t="s">
        <v>1448</v>
      </c>
      <c r="F93" s="109" t="s">
        <v>1550</v>
      </c>
      <c r="G93" s="109">
        <v>1.0289351851851852E-2</v>
      </c>
      <c r="H93" s="109">
        <v>84</v>
      </c>
      <c r="I93" s="109">
        <v>4.745370370370372E-4</v>
      </c>
      <c r="J93">
        <f t="shared" si="1"/>
        <v>3</v>
      </c>
    </row>
    <row r="94" spans="1:10">
      <c r="A94" s="58">
        <v>4</v>
      </c>
      <c r="B94" s="109">
        <v>386</v>
      </c>
      <c r="C94" s="109" t="s">
        <v>1329</v>
      </c>
      <c r="D94" s="109">
        <v>10152378391</v>
      </c>
      <c r="E94" s="109" t="s">
        <v>1448</v>
      </c>
      <c r="F94" s="109" t="s">
        <v>1551</v>
      </c>
      <c r="G94" s="109">
        <v>1.0659722222222221E-2</v>
      </c>
      <c r="H94" s="109">
        <v>85</v>
      </c>
      <c r="I94" s="109">
        <v>8.4490740740740707E-4</v>
      </c>
      <c r="J94">
        <f t="shared" si="1"/>
        <v>4</v>
      </c>
    </row>
    <row r="95" spans="1:10">
      <c r="A95" s="58">
        <v>5</v>
      </c>
      <c r="B95" s="109">
        <v>385</v>
      </c>
      <c r="C95" s="109" t="s">
        <v>683</v>
      </c>
      <c r="D95" s="109">
        <v>10171339063</v>
      </c>
      <c r="E95" s="109" t="s">
        <v>1448</v>
      </c>
      <c r="F95" s="109" t="s">
        <v>1532</v>
      </c>
      <c r="G95" s="109">
        <v>1.1134259259259259E-2</v>
      </c>
      <c r="H95" s="109">
        <v>88</v>
      </c>
      <c r="I95" s="109">
        <v>1.3194444444444443E-3</v>
      </c>
      <c r="J95">
        <f t="shared" si="1"/>
        <v>5</v>
      </c>
    </row>
    <row r="96" spans="1:10">
      <c r="A96" s="58">
        <v>6</v>
      </c>
      <c r="B96" s="109">
        <v>384</v>
      </c>
      <c r="C96" s="109" t="s">
        <v>1330</v>
      </c>
      <c r="D96" s="109">
        <v>10141538340</v>
      </c>
      <c r="E96" s="109" t="s">
        <v>1448</v>
      </c>
      <c r="F96" s="109" t="s">
        <v>1331</v>
      </c>
      <c r="G96" s="109">
        <v>1.2083333333333333E-2</v>
      </c>
      <c r="H96" s="109">
        <v>92</v>
      </c>
      <c r="I96" s="109">
        <v>2.2685185185185187E-3</v>
      </c>
      <c r="J96">
        <f t="shared" si="1"/>
        <v>6</v>
      </c>
    </row>
    <row r="97" spans="1:10">
      <c r="A97" s="58">
        <v>7</v>
      </c>
      <c r="B97" s="109">
        <v>390</v>
      </c>
      <c r="C97" s="109" t="s">
        <v>1552</v>
      </c>
      <c r="D97" s="109">
        <v>10152964031</v>
      </c>
      <c r="E97" s="109" t="s">
        <v>1448</v>
      </c>
      <c r="F97" s="109" t="s">
        <v>1553</v>
      </c>
      <c r="G97" s="109">
        <v>1.2974537037037038E-2</v>
      </c>
      <c r="H97" s="109">
        <v>96</v>
      </c>
      <c r="I97" s="109">
        <v>3.1597222222222235E-3</v>
      </c>
      <c r="J97">
        <f t="shared" si="1"/>
        <v>7</v>
      </c>
    </row>
    <row r="98" spans="1:10">
      <c r="A98" s="58"/>
      <c r="J98">
        <f t="shared" si="1"/>
        <v>0</v>
      </c>
    </row>
    <row r="99" spans="1:10">
      <c r="A99" s="58">
        <v>1</v>
      </c>
      <c r="B99" s="109">
        <v>581</v>
      </c>
      <c r="C99" s="109" t="s">
        <v>1554</v>
      </c>
      <c r="D99" s="109">
        <v>121480116</v>
      </c>
      <c r="E99" s="109" t="s">
        <v>1448</v>
      </c>
      <c r="F99" s="109" t="s">
        <v>1555</v>
      </c>
      <c r="G99" s="109">
        <v>9.7685185185185184E-3</v>
      </c>
      <c r="H99" s="109">
        <v>81</v>
      </c>
      <c r="J99">
        <f t="shared" si="1"/>
        <v>1</v>
      </c>
    </row>
    <row r="100" spans="1:10">
      <c r="A100" s="58">
        <v>2</v>
      </c>
      <c r="B100" s="109">
        <v>582</v>
      </c>
      <c r="C100" s="109" t="s">
        <v>1167</v>
      </c>
      <c r="D100" s="109">
        <v>10131906139</v>
      </c>
      <c r="E100" s="109" t="s">
        <v>1448</v>
      </c>
      <c r="F100" s="109" t="s">
        <v>130</v>
      </c>
      <c r="G100" s="109">
        <v>1.0983796296296297E-2</v>
      </c>
      <c r="H100" s="109">
        <v>86</v>
      </c>
      <c r="I100" s="109">
        <v>1.2152777777777787E-3</v>
      </c>
      <c r="J100">
        <f t="shared" si="1"/>
        <v>2</v>
      </c>
    </row>
    <row r="101" spans="1:10">
      <c r="A101" s="58">
        <v>3</v>
      </c>
      <c r="B101" s="109">
        <v>586</v>
      </c>
      <c r="C101" s="109" t="s">
        <v>1556</v>
      </c>
      <c r="D101" s="109" t="s">
        <v>66</v>
      </c>
      <c r="E101" s="109" t="s">
        <v>1448</v>
      </c>
      <c r="F101" s="109" t="s">
        <v>150</v>
      </c>
      <c r="G101" s="109">
        <v>1.0983796296296297E-2</v>
      </c>
      <c r="H101" s="109">
        <v>87</v>
      </c>
      <c r="I101" s="109">
        <v>1.2152777777777787E-3</v>
      </c>
      <c r="J101">
        <f t="shared" si="1"/>
        <v>3</v>
      </c>
    </row>
    <row r="102" spans="1:10">
      <c r="A102" s="58">
        <v>4</v>
      </c>
      <c r="B102" s="109">
        <v>589</v>
      </c>
      <c r="C102" s="109" t="s">
        <v>374</v>
      </c>
      <c r="D102" s="109">
        <v>10164743366</v>
      </c>
      <c r="E102" s="109" t="s">
        <v>1448</v>
      </c>
      <c r="F102" s="109" t="s">
        <v>449</v>
      </c>
      <c r="G102" s="109">
        <v>1.1273148148148148E-2</v>
      </c>
      <c r="H102" s="109">
        <v>89</v>
      </c>
      <c r="I102" s="109">
        <v>1.5046296296296301E-3</v>
      </c>
      <c r="J102">
        <f t="shared" si="1"/>
        <v>4</v>
      </c>
    </row>
    <row r="103" spans="1:10">
      <c r="A103" s="58">
        <v>5</v>
      </c>
      <c r="B103" s="109">
        <v>596</v>
      </c>
      <c r="C103" s="109" t="s">
        <v>1557</v>
      </c>
      <c r="D103" s="109">
        <v>10153426601</v>
      </c>
      <c r="E103" s="109" t="s">
        <v>1448</v>
      </c>
      <c r="F103" s="109" t="s">
        <v>1506</v>
      </c>
      <c r="G103" s="109">
        <v>1.1481481481481481E-2</v>
      </c>
      <c r="H103" s="109">
        <v>90</v>
      </c>
      <c r="I103" s="109">
        <v>1.712962962962963E-3</v>
      </c>
      <c r="J103">
        <f t="shared" si="1"/>
        <v>5</v>
      </c>
    </row>
    <row r="104" spans="1:10">
      <c r="A104" s="58">
        <v>6</v>
      </c>
      <c r="B104" s="109">
        <v>583</v>
      </c>
      <c r="C104" s="109" t="s">
        <v>1558</v>
      </c>
      <c r="D104" s="109">
        <v>10154228768</v>
      </c>
      <c r="E104" s="109" t="s">
        <v>1448</v>
      </c>
      <c r="F104" s="109" t="s">
        <v>124</v>
      </c>
      <c r="G104" s="109">
        <v>1.2048611111111111E-2</v>
      </c>
      <c r="H104" s="109">
        <v>91</v>
      </c>
      <c r="I104" s="109">
        <v>2.2800925925925922E-3</v>
      </c>
      <c r="J104">
        <f t="shared" si="1"/>
        <v>6</v>
      </c>
    </row>
    <row r="105" spans="1:10">
      <c r="A105" s="58">
        <v>7</v>
      </c>
      <c r="B105" s="109">
        <v>590</v>
      </c>
      <c r="C105" s="109" t="s">
        <v>1559</v>
      </c>
      <c r="D105" s="109">
        <v>10172211558</v>
      </c>
      <c r="E105" s="109" t="s">
        <v>1448</v>
      </c>
      <c r="F105" s="109" t="s">
        <v>111</v>
      </c>
      <c r="G105" s="109">
        <v>1.21875E-2</v>
      </c>
      <c r="H105" s="109">
        <v>93</v>
      </c>
      <c r="J105">
        <f t="shared" si="1"/>
        <v>7</v>
      </c>
    </row>
    <row r="106" spans="1:10">
      <c r="A106" s="58">
        <v>8</v>
      </c>
      <c r="B106" s="109">
        <v>588</v>
      </c>
      <c r="C106" s="109" t="s">
        <v>1560</v>
      </c>
      <c r="D106" s="109">
        <v>10164743770</v>
      </c>
      <c r="E106" s="109" t="s">
        <v>1448</v>
      </c>
      <c r="F106" s="109" t="s">
        <v>1561</v>
      </c>
      <c r="G106" s="109">
        <v>1.2592592592592593E-2</v>
      </c>
      <c r="H106" s="109">
        <v>94</v>
      </c>
      <c r="J106">
        <f t="shared" si="1"/>
        <v>8</v>
      </c>
    </row>
    <row r="107" spans="1:10">
      <c r="A107" s="58">
        <v>9</v>
      </c>
      <c r="B107" s="109">
        <v>587</v>
      </c>
      <c r="C107" s="109" t="s">
        <v>1562</v>
      </c>
      <c r="D107" s="109">
        <v>10176563323</v>
      </c>
      <c r="E107" s="109" t="s">
        <v>1448</v>
      </c>
      <c r="F107" s="109" t="s">
        <v>150</v>
      </c>
      <c r="G107" s="109">
        <v>1.2835648148148148E-2</v>
      </c>
      <c r="H107" s="109">
        <v>95</v>
      </c>
      <c r="J107">
        <f t="shared" si="1"/>
        <v>9</v>
      </c>
    </row>
    <row r="108" spans="1:10">
      <c r="A108" s="58">
        <v>10</v>
      </c>
      <c r="B108" s="109">
        <v>593</v>
      </c>
      <c r="C108" s="109" t="s">
        <v>735</v>
      </c>
      <c r="D108" s="109" t="s">
        <v>66</v>
      </c>
      <c r="E108" s="109" t="s">
        <v>1448</v>
      </c>
      <c r="F108" s="109" t="s">
        <v>1542</v>
      </c>
      <c r="G108" s="109" t="s">
        <v>1482</v>
      </c>
      <c r="H108" s="109">
        <v>97</v>
      </c>
      <c r="J108">
        <f t="shared" si="1"/>
        <v>10</v>
      </c>
    </row>
    <row r="109" spans="1:10">
      <c r="A109" s="58"/>
      <c r="B109" s="109">
        <v>584</v>
      </c>
      <c r="C109" s="109" t="s">
        <v>369</v>
      </c>
      <c r="D109" s="109">
        <v>10154309503</v>
      </c>
      <c r="E109" s="109" t="s">
        <v>1448</v>
      </c>
      <c r="F109" s="109" t="s">
        <v>1563</v>
      </c>
      <c r="G109" s="109" t="s">
        <v>1459</v>
      </c>
      <c r="H109" s="109">
        <v>98</v>
      </c>
      <c r="J109">
        <f t="shared" si="1"/>
        <v>0</v>
      </c>
    </row>
    <row r="110" spans="1:10">
      <c r="A110" s="58"/>
      <c r="B110" s="109">
        <v>595</v>
      </c>
      <c r="C110" s="109" t="s">
        <v>1564</v>
      </c>
      <c r="D110" s="109">
        <v>10173517826</v>
      </c>
      <c r="E110" s="109" t="s">
        <v>6</v>
      </c>
      <c r="F110" s="109" t="s">
        <v>1500</v>
      </c>
      <c r="G110" s="109" t="s">
        <v>1459</v>
      </c>
      <c r="H110" s="109">
        <v>99</v>
      </c>
      <c r="J110">
        <f t="shared" si="1"/>
        <v>0</v>
      </c>
    </row>
    <row r="111" spans="1:10">
      <c r="A111" s="58"/>
      <c r="J111">
        <f t="shared" si="1"/>
        <v>0</v>
      </c>
    </row>
    <row r="112" spans="1:10">
      <c r="A112" s="58">
        <v>1</v>
      </c>
      <c r="B112" s="109">
        <v>307</v>
      </c>
      <c r="C112" s="109" t="s">
        <v>282</v>
      </c>
      <c r="D112" s="109">
        <v>10153824200</v>
      </c>
      <c r="E112" s="109" t="s">
        <v>1448</v>
      </c>
      <c r="F112" s="109" t="s">
        <v>1532</v>
      </c>
      <c r="G112" s="109">
        <v>1.3564814814814814E-2</v>
      </c>
      <c r="H112" s="109">
        <v>101</v>
      </c>
      <c r="J112">
        <f t="shared" si="1"/>
        <v>1</v>
      </c>
    </row>
    <row r="113" spans="1:10">
      <c r="A113" s="58">
        <v>2</v>
      </c>
      <c r="B113" s="109">
        <v>301</v>
      </c>
      <c r="C113" s="109" t="s">
        <v>1565</v>
      </c>
      <c r="D113" s="109">
        <v>120760930</v>
      </c>
      <c r="E113" s="109" t="s">
        <v>1448</v>
      </c>
      <c r="F113" s="109" t="s">
        <v>1555</v>
      </c>
      <c r="G113" s="109">
        <v>1.3726851851851851E-2</v>
      </c>
      <c r="H113" s="109">
        <v>102</v>
      </c>
      <c r="I113" s="109">
        <v>1.6203703703703692E-4</v>
      </c>
      <c r="J113">
        <f t="shared" si="1"/>
        <v>2</v>
      </c>
    </row>
    <row r="114" spans="1:10">
      <c r="A114" s="58">
        <v>3</v>
      </c>
      <c r="B114" s="109">
        <v>302</v>
      </c>
      <c r="C114" s="109" t="s">
        <v>1566</v>
      </c>
      <c r="D114" s="109">
        <v>10128933895</v>
      </c>
      <c r="E114" s="109" t="s">
        <v>1448</v>
      </c>
      <c r="F114" s="109" t="s">
        <v>1555</v>
      </c>
      <c r="G114" s="109">
        <v>1.3831018518518519E-2</v>
      </c>
      <c r="H114" s="109">
        <v>103</v>
      </c>
      <c r="I114" s="109">
        <v>2.6620370370370426E-4</v>
      </c>
      <c r="J114">
        <f t="shared" si="1"/>
        <v>3</v>
      </c>
    </row>
    <row r="115" spans="1:10">
      <c r="A115" s="58">
        <v>4</v>
      </c>
      <c r="B115" s="109">
        <v>346</v>
      </c>
      <c r="C115" s="109" t="s">
        <v>1567</v>
      </c>
      <c r="D115" s="109">
        <v>10127119086</v>
      </c>
      <c r="E115" s="109" t="s">
        <v>1448</v>
      </c>
      <c r="F115" s="109" t="s">
        <v>1568</v>
      </c>
      <c r="G115" s="109">
        <v>1.4479166666666666E-2</v>
      </c>
      <c r="H115" s="109">
        <v>104</v>
      </c>
      <c r="I115" s="109">
        <v>9.1435185185185196E-4</v>
      </c>
      <c r="J115">
        <f t="shared" si="1"/>
        <v>4</v>
      </c>
    </row>
    <row r="116" spans="1:10">
      <c r="A116" s="58">
        <v>5</v>
      </c>
      <c r="B116" s="109">
        <v>326</v>
      </c>
      <c r="C116" s="109" t="s">
        <v>667</v>
      </c>
      <c r="D116" s="109">
        <v>10120480953</v>
      </c>
      <c r="E116" s="109" t="s">
        <v>1448</v>
      </c>
      <c r="F116" s="109" t="s">
        <v>130</v>
      </c>
      <c r="G116" s="109">
        <v>1.457175925925926E-2</v>
      </c>
      <c r="H116" s="109">
        <v>105</v>
      </c>
      <c r="I116" s="109">
        <v>1.0069444444444457E-3</v>
      </c>
      <c r="J116">
        <f t="shared" si="1"/>
        <v>5</v>
      </c>
    </row>
    <row r="117" spans="1:10">
      <c r="A117" s="58">
        <v>6</v>
      </c>
      <c r="B117" s="109">
        <v>334</v>
      </c>
      <c r="C117" s="109" t="s">
        <v>1569</v>
      </c>
      <c r="D117" s="109">
        <v>10162499737</v>
      </c>
      <c r="E117" s="109" t="s">
        <v>1448</v>
      </c>
      <c r="F117" s="109" t="s">
        <v>1570</v>
      </c>
      <c r="G117" s="109">
        <v>1.4687499999999999E-2</v>
      </c>
      <c r="H117" s="109">
        <v>106</v>
      </c>
      <c r="I117" s="109">
        <v>1.1226851851851849E-3</v>
      </c>
      <c r="J117">
        <f t="shared" si="1"/>
        <v>6</v>
      </c>
    </row>
    <row r="118" spans="1:10">
      <c r="A118" s="58">
        <v>7</v>
      </c>
      <c r="B118" s="109">
        <v>325</v>
      </c>
      <c r="C118" s="109" t="s">
        <v>299</v>
      </c>
      <c r="D118" s="109">
        <v>10152418609</v>
      </c>
      <c r="E118" s="109" t="s">
        <v>1448</v>
      </c>
      <c r="F118" s="109" t="s">
        <v>240</v>
      </c>
      <c r="G118" s="109">
        <v>1.4756944444444444E-2</v>
      </c>
      <c r="H118" s="109">
        <v>107</v>
      </c>
      <c r="I118" s="109">
        <v>1.1921296296296298E-3</v>
      </c>
      <c r="J118">
        <f t="shared" si="1"/>
        <v>7</v>
      </c>
    </row>
    <row r="119" spans="1:10">
      <c r="A119" s="58">
        <v>8</v>
      </c>
      <c r="B119" s="109">
        <v>303</v>
      </c>
      <c r="C119" s="109" t="s">
        <v>1571</v>
      </c>
      <c r="D119" s="109">
        <v>10152378694</v>
      </c>
      <c r="E119" s="109" t="s">
        <v>1448</v>
      </c>
      <c r="F119" s="109" t="s">
        <v>1572</v>
      </c>
      <c r="G119" s="109">
        <v>1.4918981481481481E-2</v>
      </c>
      <c r="H119" s="109">
        <v>108</v>
      </c>
      <c r="I119" s="109">
        <v>1.3541666666666667E-3</v>
      </c>
      <c r="J119">
        <f t="shared" si="1"/>
        <v>8</v>
      </c>
    </row>
    <row r="120" spans="1:10">
      <c r="A120" s="58">
        <v>9</v>
      </c>
      <c r="B120" s="109">
        <v>314</v>
      </c>
      <c r="C120" s="109" t="s">
        <v>1573</v>
      </c>
      <c r="D120" s="109">
        <v>10164592614</v>
      </c>
      <c r="E120" s="109" t="s">
        <v>1448</v>
      </c>
      <c r="F120" s="109" t="s">
        <v>1574</v>
      </c>
      <c r="G120" s="109">
        <v>1.494212962962963E-2</v>
      </c>
      <c r="H120" s="109">
        <v>109</v>
      </c>
      <c r="I120" s="109">
        <v>1.3773148148148156E-3</v>
      </c>
      <c r="J120">
        <f t="shared" si="1"/>
        <v>9</v>
      </c>
    </row>
    <row r="121" spans="1:10">
      <c r="A121" s="58">
        <v>10</v>
      </c>
      <c r="B121" s="109">
        <v>359</v>
      </c>
      <c r="C121" s="109" t="s">
        <v>1575</v>
      </c>
      <c r="D121" s="109">
        <v>10164042845</v>
      </c>
      <c r="E121" s="109" t="s">
        <v>1448</v>
      </c>
      <c r="F121" s="109" t="s">
        <v>1576</v>
      </c>
      <c r="G121" s="109">
        <v>1.4965277777777777E-2</v>
      </c>
      <c r="H121" s="109">
        <v>110</v>
      </c>
      <c r="I121" s="109">
        <v>1.4004629629629627E-3</v>
      </c>
      <c r="J121">
        <f t="shared" si="1"/>
        <v>10</v>
      </c>
    </row>
    <row r="122" spans="1:10">
      <c r="A122" s="58">
        <v>11</v>
      </c>
      <c r="B122" s="109">
        <v>329</v>
      </c>
      <c r="C122" s="109" t="s">
        <v>1577</v>
      </c>
      <c r="D122" s="109">
        <v>10144442579</v>
      </c>
      <c r="E122" s="109" t="s">
        <v>1448</v>
      </c>
      <c r="F122" s="109" t="s">
        <v>1500</v>
      </c>
      <c r="G122" s="109">
        <v>1.5011574074074075E-2</v>
      </c>
      <c r="H122" s="109">
        <v>111</v>
      </c>
      <c r="I122" s="109">
        <v>1.4467592592592605E-3</v>
      </c>
      <c r="J122">
        <f t="shared" si="1"/>
        <v>11</v>
      </c>
    </row>
    <row r="123" spans="1:10">
      <c r="A123" s="58">
        <v>12</v>
      </c>
      <c r="B123" s="109">
        <v>310</v>
      </c>
      <c r="C123" s="109" t="s">
        <v>278</v>
      </c>
      <c r="D123" s="109">
        <v>10140942495</v>
      </c>
      <c r="E123" s="109" t="s">
        <v>1448</v>
      </c>
      <c r="F123" s="109" t="s">
        <v>1532</v>
      </c>
      <c r="G123" s="109">
        <v>1.5023148148148148E-2</v>
      </c>
      <c r="H123" s="109">
        <v>112</v>
      </c>
      <c r="I123" s="109">
        <v>1.4583333333333341E-3</v>
      </c>
      <c r="J123">
        <f t="shared" si="1"/>
        <v>12</v>
      </c>
    </row>
    <row r="124" spans="1:10">
      <c r="A124" s="58">
        <v>13</v>
      </c>
      <c r="B124" s="109">
        <v>333</v>
      </c>
      <c r="C124" s="109" t="s">
        <v>1349</v>
      </c>
      <c r="D124" s="109">
        <v>504930380</v>
      </c>
      <c r="E124" s="109" t="s">
        <v>1448</v>
      </c>
      <c r="F124" s="109" t="s">
        <v>1578</v>
      </c>
      <c r="G124" s="109">
        <v>1.5104166666666667E-2</v>
      </c>
      <c r="H124" s="109">
        <v>113</v>
      </c>
      <c r="I124" s="109">
        <v>1.5393518518518525E-3</v>
      </c>
      <c r="J124">
        <f t="shared" si="1"/>
        <v>13</v>
      </c>
    </row>
    <row r="125" spans="1:10">
      <c r="A125" s="58">
        <v>14</v>
      </c>
      <c r="B125" s="109">
        <v>304</v>
      </c>
      <c r="C125" s="109" t="s">
        <v>1354</v>
      </c>
      <c r="D125" s="109">
        <v>10156150681</v>
      </c>
      <c r="E125" s="109" t="s">
        <v>1448</v>
      </c>
      <c r="F125" s="109" t="s">
        <v>1551</v>
      </c>
      <c r="G125" s="109">
        <v>1.5162037037037036E-2</v>
      </c>
      <c r="H125" s="109">
        <v>114</v>
      </c>
      <c r="I125" s="109">
        <v>1.5972222222222221E-3</v>
      </c>
      <c r="J125">
        <f t="shared" si="1"/>
        <v>14</v>
      </c>
    </row>
    <row r="126" spans="1:10">
      <c r="A126" s="58">
        <v>15</v>
      </c>
      <c r="B126" s="109">
        <v>309</v>
      </c>
      <c r="C126" s="109" t="s">
        <v>1579</v>
      </c>
      <c r="D126" s="109">
        <v>10171656840</v>
      </c>
      <c r="E126" s="109" t="s">
        <v>1448</v>
      </c>
      <c r="F126" s="109" t="s">
        <v>1532</v>
      </c>
      <c r="G126" s="109">
        <v>1.5196759259259259E-2</v>
      </c>
      <c r="H126" s="109">
        <v>115</v>
      </c>
      <c r="I126" s="109">
        <v>1.6319444444444445E-3</v>
      </c>
      <c r="J126">
        <f t="shared" si="1"/>
        <v>15</v>
      </c>
    </row>
    <row r="127" spans="1:10">
      <c r="A127" s="58">
        <v>16</v>
      </c>
      <c r="B127" s="109">
        <v>342</v>
      </c>
      <c r="C127" s="109" t="s">
        <v>1351</v>
      </c>
      <c r="D127" s="109">
        <v>10166012652</v>
      </c>
      <c r="E127" s="109" t="s">
        <v>1448</v>
      </c>
      <c r="F127" s="109" t="s">
        <v>310</v>
      </c>
      <c r="G127" s="109">
        <v>1.5243055555555555E-2</v>
      </c>
      <c r="H127" s="109">
        <v>116</v>
      </c>
      <c r="I127" s="109">
        <v>1.6782407407407406E-3</v>
      </c>
      <c r="J127">
        <f t="shared" si="1"/>
        <v>16</v>
      </c>
    </row>
    <row r="128" spans="1:10">
      <c r="A128" s="58">
        <v>17</v>
      </c>
      <c r="B128" s="109">
        <v>316</v>
      </c>
      <c r="C128" s="109" t="s">
        <v>1580</v>
      </c>
      <c r="D128" s="109">
        <v>10160796577</v>
      </c>
      <c r="E128" s="109" t="s">
        <v>1448</v>
      </c>
      <c r="F128" s="109" t="s">
        <v>84</v>
      </c>
      <c r="G128" s="109" t="s">
        <v>1482</v>
      </c>
      <c r="H128" s="109">
        <v>117</v>
      </c>
      <c r="I128" s="109" t="s">
        <v>6</v>
      </c>
      <c r="J128">
        <f t="shared" si="1"/>
        <v>17</v>
      </c>
    </row>
    <row r="129" spans="1:10">
      <c r="A129" s="58">
        <v>18</v>
      </c>
      <c r="B129" s="109">
        <v>332</v>
      </c>
      <c r="C129" s="109" t="s">
        <v>308</v>
      </c>
      <c r="D129" s="109">
        <v>10166671242</v>
      </c>
      <c r="E129" s="109" t="s">
        <v>1448</v>
      </c>
      <c r="F129" s="109" t="s">
        <v>112</v>
      </c>
      <c r="G129" s="109" t="s">
        <v>1482</v>
      </c>
      <c r="H129" s="109">
        <v>118</v>
      </c>
      <c r="I129" s="109" t="s">
        <v>6</v>
      </c>
      <c r="J129">
        <f t="shared" si="1"/>
        <v>18</v>
      </c>
    </row>
    <row r="130" spans="1:10">
      <c r="A130" s="58">
        <v>19</v>
      </c>
      <c r="B130" s="109">
        <v>341</v>
      </c>
      <c r="C130" s="109" t="s">
        <v>670</v>
      </c>
      <c r="D130" s="109">
        <v>209350007</v>
      </c>
      <c r="E130" s="109" t="s">
        <v>1448</v>
      </c>
      <c r="F130" s="109" t="s">
        <v>1578</v>
      </c>
      <c r="G130" s="109" t="s">
        <v>1482</v>
      </c>
      <c r="H130" s="109">
        <v>119</v>
      </c>
      <c r="I130" s="109" t="s">
        <v>6</v>
      </c>
      <c r="J130">
        <f t="shared" ref="J130:J161" si="2">A130</f>
        <v>19</v>
      </c>
    </row>
    <row r="131" spans="1:10">
      <c r="A131" s="58">
        <v>20</v>
      </c>
      <c r="B131" s="109">
        <v>320</v>
      </c>
      <c r="C131" s="109" t="s">
        <v>659</v>
      </c>
      <c r="D131" s="109">
        <v>10136994902</v>
      </c>
      <c r="E131" s="109" t="s">
        <v>1448</v>
      </c>
      <c r="F131" s="109" t="s">
        <v>1581</v>
      </c>
      <c r="G131" s="109" t="s">
        <v>1482</v>
      </c>
      <c r="H131" s="109">
        <v>120</v>
      </c>
      <c r="I131" s="109" t="s">
        <v>6</v>
      </c>
      <c r="J131">
        <f t="shared" si="2"/>
        <v>20</v>
      </c>
    </row>
    <row r="132" spans="1:10">
      <c r="A132" s="58">
        <v>21</v>
      </c>
      <c r="B132" s="109">
        <v>348</v>
      </c>
      <c r="C132" s="109" t="s">
        <v>680</v>
      </c>
      <c r="D132" s="109">
        <v>10165439746</v>
      </c>
      <c r="E132" s="109" t="s">
        <v>1448</v>
      </c>
      <c r="F132" s="109" t="s">
        <v>1582</v>
      </c>
      <c r="G132" s="109" t="s">
        <v>1482</v>
      </c>
      <c r="H132" s="109">
        <v>121</v>
      </c>
      <c r="I132" s="109" t="s">
        <v>6</v>
      </c>
      <c r="J132">
        <f t="shared" si="2"/>
        <v>21</v>
      </c>
    </row>
    <row r="133" spans="1:10">
      <c r="A133" s="58">
        <v>22</v>
      </c>
      <c r="B133" s="109">
        <v>315</v>
      </c>
      <c r="C133" s="109" t="s">
        <v>1583</v>
      </c>
      <c r="D133" s="109">
        <v>10155740655</v>
      </c>
      <c r="E133" s="109" t="s">
        <v>1448</v>
      </c>
      <c r="F133" s="109" t="s">
        <v>1584</v>
      </c>
      <c r="G133" s="109" t="s">
        <v>1535</v>
      </c>
      <c r="H133" s="109">
        <v>122</v>
      </c>
      <c r="I133" s="109" t="s">
        <v>6</v>
      </c>
      <c r="J133">
        <f t="shared" si="2"/>
        <v>22</v>
      </c>
    </row>
    <row r="134" spans="1:10">
      <c r="A134" s="58">
        <v>23</v>
      </c>
      <c r="B134" s="109">
        <v>312</v>
      </c>
      <c r="C134" s="109" t="s">
        <v>1358</v>
      </c>
      <c r="D134" s="109">
        <v>10162918251</v>
      </c>
      <c r="E134" s="109" t="s">
        <v>1448</v>
      </c>
      <c r="F134" s="109" t="s">
        <v>898</v>
      </c>
      <c r="G134" s="109" t="s">
        <v>1535</v>
      </c>
      <c r="H134" s="109">
        <v>123</v>
      </c>
      <c r="I134" s="109" t="s">
        <v>6</v>
      </c>
      <c r="J134">
        <f t="shared" si="2"/>
        <v>23</v>
      </c>
    </row>
    <row r="135" spans="1:10">
      <c r="A135" s="7">
        <v>24</v>
      </c>
      <c r="B135" s="58">
        <v>335</v>
      </c>
      <c r="C135" s="109" t="s">
        <v>1585</v>
      </c>
      <c r="D135" s="110">
        <v>10154135004</v>
      </c>
      <c r="E135" s="110" t="s">
        <v>1448</v>
      </c>
      <c r="F135" s="109" t="s">
        <v>1586</v>
      </c>
      <c r="G135" s="111" t="s">
        <v>1535</v>
      </c>
      <c r="H135" s="58">
        <v>124</v>
      </c>
      <c r="I135" s="111" t="s">
        <v>6</v>
      </c>
      <c r="J135">
        <f t="shared" si="2"/>
        <v>24</v>
      </c>
    </row>
    <row r="136" spans="1:10">
      <c r="A136" s="7">
        <v>25</v>
      </c>
      <c r="B136" s="58">
        <v>355</v>
      </c>
      <c r="C136" s="109" t="s">
        <v>1355</v>
      </c>
      <c r="D136" s="110">
        <v>1111</v>
      </c>
      <c r="E136" s="110" t="s">
        <v>1448</v>
      </c>
      <c r="F136" s="109" t="s">
        <v>1587</v>
      </c>
      <c r="G136" s="111" t="s">
        <v>1535</v>
      </c>
      <c r="H136" s="58">
        <v>125</v>
      </c>
      <c r="I136" s="111" t="s">
        <v>6</v>
      </c>
      <c r="J136">
        <f t="shared" si="2"/>
        <v>25</v>
      </c>
    </row>
    <row r="137" spans="1:10">
      <c r="A137" s="7">
        <v>26</v>
      </c>
      <c r="B137" s="58">
        <v>305</v>
      </c>
      <c r="C137" s="109" t="s">
        <v>1178</v>
      </c>
      <c r="D137" s="110">
        <v>10152909669</v>
      </c>
      <c r="E137" s="110" t="s">
        <v>1448</v>
      </c>
      <c r="F137" s="109" t="s">
        <v>1588</v>
      </c>
      <c r="G137" s="111" t="s">
        <v>1535</v>
      </c>
      <c r="H137" s="58">
        <v>126</v>
      </c>
      <c r="I137" s="111" t="s">
        <v>6</v>
      </c>
      <c r="J137">
        <f t="shared" si="2"/>
        <v>26</v>
      </c>
    </row>
    <row r="138" spans="1:10">
      <c r="A138" s="7">
        <v>27</v>
      </c>
      <c r="B138" s="58">
        <v>319</v>
      </c>
      <c r="C138" s="109" t="s">
        <v>1589</v>
      </c>
      <c r="D138" s="110">
        <v>10155992956</v>
      </c>
      <c r="E138" s="110" t="s">
        <v>1448</v>
      </c>
      <c r="F138" s="109" t="s">
        <v>1500</v>
      </c>
      <c r="G138" s="111" t="s">
        <v>1535</v>
      </c>
      <c r="H138" s="58">
        <v>127</v>
      </c>
      <c r="I138" s="111" t="s">
        <v>6</v>
      </c>
      <c r="J138">
        <f t="shared" si="2"/>
        <v>27</v>
      </c>
    </row>
    <row r="139" spans="1:10">
      <c r="A139" s="7">
        <v>28</v>
      </c>
      <c r="B139" s="58">
        <v>306</v>
      </c>
      <c r="C139" s="109" t="s">
        <v>964</v>
      </c>
      <c r="D139" s="110">
        <v>10170771312</v>
      </c>
      <c r="E139" s="110" t="s">
        <v>1448</v>
      </c>
      <c r="F139" s="109" t="s">
        <v>1530</v>
      </c>
      <c r="G139" s="111" t="s">
        <v>1535</v>
      </c>
      <c r="H139" s="58">
        <v>128</v>
      </c>
      <c r="I139" s="111" t="s">
        <v>6</v>
      </c>
      <c r="J139">
        <f t="shared" si="2"/>
        <v>28</v>
      </c>
    </row>
    <row r="140" spans="1:10">
      <c r="A140" s="7">
        <v>29</v>
      </c>
      <c r="B140" s="58">
        <v>358</v>
      </c>
      <c r="C140" s="109" t="s">
        <v>1590</v>
      </c>
      <c r="D140" s="110">
        <v>13386</v>
      </c>
      <c r="E140" s="110" t="s">
        <v>1448</v>
      </c>
      <c r="F140" s="109" t="s">
        <v>125</v>
      </c>
      <c r="G140" s="111" t="s">
        <v>1535</v>
      </c>
      <c r="H140" s="58">
        <v>129</v>
      </c>
      <c r="I140" s="111" t="s">
        <v>6</v>
      </c>
      <c r="J140">
        <f t="shared" si="2"/>
        <v>29</v>
      </c>
    </row>
    <row r="141" spans="1:10">
      <c r="A141" s="7">
        <v>30</v>
      </c>
      <c r="B141" s="58">
        <v>327</v>
      </c>
      <c r="C141" s="109" t="s">
        <v>301</v>
      </c>
      <c r="D141" s="110">
        <v>10171445864</v>
      </c>
      <c r="E141" s="110" t="s">
        <v>1448</v>
      </c>
      <c r="F141" s="109" t="s">
        <v>240</v>
      </c>
      <c r="G141" s="111" t="s">
        <v>1535</v>
      </c>
      <c r="H141" s="58">
        <v>130</v>
      </c>
      <c r="I141" s="111" t="s">
        <v>6</v>
      </c>
      <c r="J141">
        <f t="shared" si="2"/>
        <v>30</v>
      </c>
    </row>
    <row r="142" spans="1:10">
      <c r="A142" s="7">
        <v>31</v>
      </c>
      <c r="B142" s="58">
        <v>351</v>
      </c>
      <c r="C142" s="109" t="s">
        <v>1188</v>
      </c>
      <c r="D142" s="110">
        <v>10152378795</v>
      </c>
      <c r="E142" s="110" t="s">
        <v>1448</v>
      </c>
      <c r="F142" s="109" t="s">
        <v>1578</v>
      </c>
      <c r="G142" s="111" t="s">
        <v>1535</v>
      </c>
      <c r="H142" s="58">
        <v>131</v>
      </c>
      <c r="I142" s="111" t="s">
        <v>6</v>
      </c>
      <c r="J142">
        <f t="shared" si="2"/>
        <v>31</v>
      </c>
    </row>
    <row r="143" spans="1:10">
      <c r="A143" s="7">
        <v>32</v>
      </c>
      <c r="B143" s="58">
        <v>343</v>
      </c>
      <c r="C143" s="109" t="s">
        <v>1591</v>
      </c>
      <c r="D143" s="110">
        <v>10176617176</v>
      </c>
      <c r="E143" s="110" t="s">
        <v>1448</v>
      </c>
      <c r="F143" s="109" t="s">
        <v>107</v>
      </c>
      <c r="G143" s="111" t="s">
        <v>1535</v>
      </c>
      <c r="H143" s="58">
        <v>132</v>
      </c>
      <c r="I143" s="111" t="s">
        <v>6</v>
      </c>
      <c r="J143">
        <f t="shared" si="2"/>
        <v>32</v>
      </c>
    </row>
    <row r="144" spans="1:10">
      <c r="A144" s="7">
        <v>33</v>
      </c>
      <c r="B144" s="58">
        <v>324</v>
      </c>
      <c r="C144" s="109" t="s">
        <v>297</v>
      </c>
      <c r="D144" s="110">
        <v>1016110819</v>
      </c>
      <c r="E144" s="110" t="s">
        <v>1448</v>
      </c>
      <c r="F144" s="109" t="s">
        <v>1592</v>
      </c>
      <c r="G144" s="111" t="s">
        <v>1535</v>
      </c>
      <c r="H144" s="58">
        <v>133</v>
      </c>
      <c r="I144" s="111" t="s">
        <v>6</v>
      </c>
      <c r="J144">
        <f t="shared" si="2"/>
        <v>33</v>
      </c>
    </row>
    <row r="145" spans="1:10">
      <c r="A145" s="7">
        <v>34</v>
      </c>
      <c r="B145" s="58">
        <v>317</v>
      </c>
      <c r="C145" s="109" t="s">
        <v>1593</v>
      </c>
      <c r="D145" s="110">
        <v>10156702066</v>
      </c>
      <c r="E145" s="110" t="s">
        <v>1448</v>
      </c>
      <c r="F145" s="109" t="s">
        <v>84</v>
      </c>
      <c r="G145" s="111" t="s">
        <v>1535</v>
      </c>
      <c r="H145" s="58">
        <v>134</v>
      </c>
      <c r="I145" s="111" t="s">
        <v>6</v>
      </c>
      <c r="J145">
        <f t="shared" si="2"/>
        <v>34</v>
      </c>
    </row>
    <row r="146" spans="1:10">
      <c r="A146" s="7">
        <v>35</v>
      </c>
      <c r="B146" s="58">
        <v>352</v>
      </c>
      <c r="C146" s="109" t="s">
        <v>1594</v>
      </c>
      <c r="D146" s="110">
        <v>10173412843</v>
      </c>
      <c r="E146" s="110" t="s">
        <v>1448</v>
      </c>
      <c r="F146" s="109" t="s">
        <v>84</v>
      </c>
      <c r="G146" s="111" t="s">
        <v>1535</v>
      </c>
      <c r="H146" s="58">
        <v>135</v>
      </c>
      <c r="I146" s="111" t="s">
        <v>6</v>
      </c>
      <c r="J146">
        <f t="shared" si="2"/>
        <v>35</v>
      </c>
    </row>
    <row r="147" spans="1:10">
      <c r="A147" s="7">
        <v>36</v>
      </c>
      <c r="B147" s="58">
        <v>340</v>
      </c>
      <c r="C147" s="109" t="s">
        <v>1359</v>
      </c>
      <c r="D147" s="110">
        <v>10166711557</v>
      </c>
      <c r="E147" s="110" t="s">
        <v>1448</v>
      </c>
      <c r="F147" s="109" t="s">
        <v>126</v>
      </c>
      <c r="G147" s="111" t="s">
        <v>1535</v>
      </c>
      <c r="H147" s="58">
        <v>136</v>
      </c>
      <c r="I147" s="111" t="s">
        <v>6</v>
      </c>
      <c r="J147">
        <f t="shared" si="2"/>
        <v>36</v>
      </c>
    </row>
    <row r="148" spans="1:10">
      <c r="A148" s="7">
        <v>37</v>
      </c>
      <c r="B148" s="58">
        <v>345</v>
      </c>
      <c r="C148" s="109" t="s">
        <v>1595</v>
      </c>
      <c r="D148" s="110">
        <v>10173505092</v>
      </c>
      <c r="E148" s="110" t="s">
        <v>1448</v>
      </c>
      <c r="F148" s="109" t="s">
        <v>591</v>
      </c>
      <c r="G148" s="111" t="s">
        <v>1596</v>
      </c>
      <c r="H148" s="58">
        <v>137</v>
      </c>
      <c r="I148" s="111" t="s">
        <v>6</v>
      </c>
      <c r="J148">
        <f t="shared" si="2"/>
        <v>37</v>
      </c>
    </row>
    <row r="149" spans="1:10">
      <c r="A149" s="7"/>
      <c r="B149" s="58">
        <v>311</v>
      </c>
      <c r="C149" s="109" t="s">
        <v>1597</v>
      </c>
      <c r="D149" s="110">
        <v>10128424344</v>
      </c>
      <c r="E149" s="110" t="s">
        <v>1448</v>
      </c>
      <c r="F149" s="109" t="s">
        <v>1532</v>
      </c>
      <c r="G149" s="111" t="s">
        <v>1459</v>
      </c>
      <c r="H149" s="58">
        <v>100</v>
      </c>
      <c r="I149" s="111" t="s">
        <v>6</v>
      </c>
      <c r="J149">
        <f t="shared" si="2"/>
        <v>0</v>
      </c>
    </row>
    <row r="150" spans="1:10" ht="15.75">
      <c r="A150" s="7"/>
      <c r="B150" s="21"/>
      <c r="D150" s="110"/>
      <c r="E150" s="110"/>
      <c r="G150" s="111"/>
      <c r="H150" s="58"/>
      <c r="I150" s="111"/>
      <c r="J150">
        <f t="shared" si="2"/>
        <v>0</v>
      </c>
    </row>
    <row r="151" spans="1:10">
      <c r="A151" s="7">
        <v>1</v>
      </c>
      <c r="B151" s="58">
        <v>103</v>
      </c>
      <c r="C151" s="109" t="s">
        <v>1598</v>
      </c>
      <c r="D151" s="110">
        <v>10154951521</v>
      </c>
      <c r="E151" s="110" t="s">
        <v>1448</v>
      </c>
      <c r="F151" s="109" t="s">
        <v>100</v>
      </c>
      <c r="G151" s="111">
        <v>1.5821759259259258E-2</v>
      </c>
      <c r="H151" s="58">
        <v>137</v>
      </c>
      <c r="I151" s="111"/>
      <c r="J151">
        <f t="shared" si="2"/>
        <v>1</v>
      </c>
    </row>
    <row r="152" spans="1:10">
      <c r="A152" s="7">
        <v>2</v>
      </c>
      <c r="B152" s="58">
        <v>113</v>
      </c>
      <c r="C152" s="109" t="s">
        <v>1599</v>
      </c>
      <c r="D152" s="110">
        <v>10126522639</v>
      </c>
      <c r="E152" s="110" t="s">
        <v>1448</v>
      </c>
      <c r="F152" s="109" t="s">
        <v>84</v>
      </c>
      <c r="G152" s="111">
        <v>1.6087962962962964E-2</v>
      </c>
      <c r="H152" s="58">
        <v>138</v>
      </c>
      <c r="I152" s="111">
        <v>2.66203703703706E-4</v>
      </c>
      <c r="J152">
        <f t="shared" si="2"/>
        <v>2</v>
      </c>
    </row>
    <row r="153" spans="1:10">
      <c r="A153" s="7">
        <v>3</v>
      </c>
      <c r="B153" s="58">
        <v>106</v>
      </c>
      <c r="C153" s="109" t="s">
        <v>1600</v>
      </c>
      <c r="D153" s="110">
        <v>10119593506</v>
      </c>
      <c r="E153" s="110" t="s">
        <v>1448</v>
      </c>
      <c r="F153" s="109" t="s">
        <v>71</v>
      </c>
      <c r="G153" s="111">
        <v>1.6203703703703703E-2</v>
      </c>
      <c r="H153" s="58">
        <v>139</v>
      </c>
      <c r="I153" s="111">
        <v>3.8194444444444517E-4</v>
      </c>
      <c r="J153">
        <f t="shared" si="2"/>
        <v>3</v>
      </c>
    </row>
    <row r="154" spans="1:10">
      <c r="A154" s="7">
        <v>4</v>
      </c>
      <c r="B154" s="58">
        <v>104</v>
      </c>
      <c r="C154" s="109" t="s">
        <v>1365</v>
      </c>
      <c r="D154" s="110">
        <v>10116215680</v>
      </c>
      <c r="E154" s="110" t="s">
        <v>1448</v>
      </c>
      <c r="F154" s="109" t="s">
        <v>1555</v>
      </c>
      <c r="G154" s="111">
        <v>1.6319444444444445E-2</v>
      </c>
      <c r="H154" s="58">
        <v>140</v>
      </c>
      <c r="I154" s="111">
        <v>4.9768518518518781E-4</v>
      </c>
      <c r="J154">
        <f t="shared" si="2"/>
        <v>4</v>
      </c>
    </row>
    <row r="155" spans="1:10">
      <c r="A155" s="7">
        <v>5</v>
      </c>
      <c r="B155" s="58">
        <v>105</v>
      </c>
      <c r="C155" s="109" t="s">
        <v>208</v>
      </c>
      <c r="D155" s="110">
        <v>10141533185</v>
      </c>
      <c r="E155" s="110" t="s">
        <v>1448</v>
      </c>
      <c r="F155" s="109" t="s">
        <v>1601</v>
      </c>
      <c r="G155" s="111">
        <v>1.6377314814814813E-2</v>
      </c>
      <c r="H155" s="58">
        <v>141</v>
      </c>
      <c r="I155" s="111">
        <v>5.5555555555555566E-4</v>
      </c>
      <c r="J155">
        <f t="shared" si="2"/>
        <v>5</v>
      </c>
    </row>
    <row r="156" spans="1:10">
      <c r="A156" s="7">
        <v>6</v>
      </c>
      <c r="B156" s="58">
        <v>109</v>
      </c>
      <c r="C156" s="109" t="s">
        <v>602</v>
      </c>
      <c r="D156" s="110">
        <v>10161160935</v>
      </c>
      <c r="E156" s="110" t="s">
        <v>1448</v>
      </c>
      <c r="F156" s="109" t="s">
        <v>1205</v>
      </c>
      <c r="G156" s="111">
        <v>1.6458333333333332E-2</v>
      </c>
      <c r="H156" s="58">
        <v>142</v>
      </c>
      <c r="I156" s="111">
        <v>6.3657407407407413E-4</v>
      </c>
      <c r="J156">
        <f t="shared" si="2"/>
        <v>6</v>
      </c>
    </row>
    <row r="157" spans="1:10">
      <c r="A157" s="7">
        <v>7</v>
      </c>
      <c r="B157" s="58">
        <v>110</v>
      </c>
      <c r="C157" s="109" t="s">
        <v>1602</v>
      </c>
      <c r="D157" s="110">
        <v>10131930286</v>
      </c>
      <c r="E157" s="110" t="s">
        <v>1448</v>
      </c>
      <c r="F157" s="109" t="s">
        <v>978</v>
      </c>
      <c r="G157" s="111">
        <v>1.6620370370370369E-2</v>
      </c>
      <c r="H157" s="58">
        <v>143</v>
      </c>
      <c r="I157" s="111">
        <v>7.9861111111111105E-4</v>
      </c>
      <c r="J157">
        <f t="shared" si="2"/>
        <v>7</v>
      </c>
    </row>
    <row r="158" spans="1:10">
      <c r="A158" s="7">
        <v>8</v>
      </c>
      <c r="B158" s="58">
        <v>158</v>
      </c>
      <c r="C158" s="109" t="s">
        <v>1603</v>
      </c>
      <c r="D158" s="110">
        <v>10089728923</v>
      </c>
      <c r="E158" s="110" t="s">
        <v>1448</v>
      </c>
      <c r="F158" s="109" t="s">
        <v>1604</v>
      </c>
      <c r="G158" s="111">
        <v>1.6921296296296295E-2</v>
      </c>
      <c r="H158" s="58">
        <v>144</v>
      </c>
      <c r="I158" s="111">
        <v>1.0995370370370378E-3</v>
      </c>
      <c r="J158">
        <f t="shared" si="2"/>
        <v>8</v>
      </c>
    </row>
    <row r="159" spans="1:10">
      <c r="A159" s="7">
        <v>9</v>
      </c>
      <c r="B159" s="58">
        <v>107</v>
      </c>
      <c r="C159" s="109" t="s">
        <v>1031</v>
      </c>
      <c r="D159" s="110">
        <v>10171946426</v>
      </c>
      <c r="E159" s="110" t="s">
        <v>1448</v>
      </c>
      <c r="F159" s="109" t="s">
        <v>1605</v>
      </c>
      <c r="G159" s="111">
        <v>1.7187500000000001E-2</v>
      </c>
      <c r="H159" s="58">
        <v>145</v>
      </c>
      <c r="I159" s="111">
        <v>1.3657407407407438E-3</v>
      </c>
      <c r="J159">
        <f t="shared" si="2"/>
        <v>9</v>
      </c>
    </row>
    <row r="160" spans="1:10">
      <c r="A160" s="7">
        <v>10</v>
      </c>
      <c r="B160" s="58">
        <v>174</v>
      </c>
      <c r="C160" s="109" t="s">
        <v>1606</v>
      </c>
      <c r="D160" s="110">
        <v>10127944394</v>
      </c>
      <c r="E160" s="110" t="s">
        <v>1448</v>
      </c>
      <c r="F160" s="109" t="s">
        <v>1607</v>
      </c>
      <c r="G160" s="111">
        <v>1.7395833333333333E-2</v>
      </c>
      <c r="H160" s="58">
        <v>146</v>
      </c>
      <c r="I160" s="111">
        <v>1.574074074074075E-3</v>
      </c>
      <c r="J160">
        <f t="shared" si="2"/>
        <v>10</v>
      </c>
    </row>
    <row r="161" spans="1:10">
      <c r="A161" s="7">
        <v>11</v>
      </c>
      <c r="B161" s="58">
        <v>131</v>
      </c>
      <c r="C161" s="109" t="s">
        <v>1608</v>
      </c>
      <c r="D161" s="110">
        <v>10152089718</v>
      </c>
      <c r="E161" s="110" t="s">
        <v>1448</v>
      </c>
      <c r="F161" s="109" t="s">
        <v>127</v>
      </c>
      <c r="G161" s="111">
        <v>1.7638888888888888E-2</v>
      </c>
      <c r="H161" s="58">
        <v>147</v>
      </c>
      <c r="I161" s="111">
        <v>1.8171296296296303E-3</v>
      </c>
      <c r="J161">
        <f t="shared" si="2"/>
        <v>11</v>
      </c>
    </row>
    <row r="162" spans="1:10">
      <c r="A162" s="7">
        <v>12</v>
      </c>
      <c r="B162" s="58">
        <v>160</v>
      </c>
      <c r="C162" s="109" t="s">
        <v>236</v>
      </c>
      <c r="D162" s="110">
        <v>10171940059</v>
      </c>
      <c r="E162" s="110" t="s">
        <v>1448</v>
      </c>
      <c r="F162" s="109" t="s">
        <v>1609</v>
      </c>
      <c r="G162" s="111">
        <v>1.8078703703703704E-2</v>
      </c>
      <c r="H162" s="58">
        <v>148</v>
      </c>
      <c r="I162" s="111">
        <v>2.2569444444444468E-3</v>
      </c>
      <c r="J162">
        <f t="shared" ref="J162:J180" si="3">A162</f>
        <v>12</v>
      </c>
    </row>
    <row r="163" spans="1:10">
      <c r="A163" s="7">
        <v>13</v>
      </c>
      <c r="B163" s="58">
        <v>147</v>
      </c>
      <c r="C163" s="109" t="s">
        <v>261</v>
      </c>
      <c r="D163" s="110">
        <v>10173505601</v>
      </c>
      <c r="E163" s="110" t="s">
        <v>1448</v>
      </c>
      <c r="F163" s="109" t="s">
        <v>1563</v>
      </c>
      <c r="G163" s="111">
        <v>1.8124999999999999E-2</v>
      </c>
      <c r="H163" s="58">
        <v>149</v>
      </c>
      <c r="I163" s="111">
        <v>2.3032407407407411E-3</v>
      </c>
      <c r="J163">
        <f t="shared" si="3"/>
        <v>13</v>
      </c>
    </row>
    <row r="164" spans="1:10" ht="15.75">
      <c r="A164" s="7">
        <v>14</v>
      </c>
      <c r="B164" s="21">
        <v>130</v>
      </c>
      <c r="C164" s="109" t="s">
        <v>1610</v>
      </c>
      <c r="D164" s="110">
        <v>10141535512</v>
      </c>
      <c r="E164" s="110" t="s">
        <v>1448</v>
      </c>
      <c r="F164" s="109" t="s">
        <v>127</v>
      </c>
      <c r="G164" s="111" t="s">
        <v>1535</v>
      </c>
      <c r="H164" s="58">
        <v>150</v>
      </c>
      <c r="I164" s="111" t="s">
        <v>66</v>
      </c>
      <c r="J164">
        <f t="shared" si="3"/>
        <v>14</v>
      </c>
    </row>
    <row r="165" spans="1:10">
      <c r="A165" s="7">
        <v>15</v>
      </c>
      <c r="B165" s="58">
        <v>132</v>
      </c>
      <c r="C165" s="109" t="s">
        <v>1611</v>
      </c>
      <c r="D165" s="110">
        <v>10152089819</v>
      </c>
      <c r="E165" s="110" t="s">
        <v>1448</v>
      </c>
      <c r="F165" s="109" t="s">
        <v>127</v>
      </c>
      <c r="G165" s="111" t="s">
        <v>1535</v>
      </c>
      <c r="H165" s="58">
        <v>151</v>
      </c>
      <c r="I165" s="111" t="s">
        <v>66</v>
      </c>
      <c r="J165">
        <f t="shared" si="3"/>
        <v>15</v>
      </c>
    </row>
    <row r="166" spans="1:10">
      <c r="A166" s="7">
        <v>16</v>
      </c>
      <c r="B166" s="58">
        <v>120</v>
      </c>
      <c r="C166" s="109" t="s">
        <v>1212</v>
      </c>
      <c r="D166" s="110">
        <v>10164526027</v>
      </c>
      <c r="E166" s="110" t="s">
        <v>1448</v>
      </c>
      <c r="F166" s="109" t="s">
        <v>1539</v>
      </c>
      <c r="G166" s="111" t="s">
        <v>1535</v>
      </c>
      <c r="H166" s="58">
        <v>152</v>
      </c>
      <c r="I166" s="111" t="s">
        <v>66</v>
      </c>
      <c r="J166">
        <f t="shared" si="3"/>
        <v>16</v>
      </c>
    </row>
    <row r="167" spans="1:10">
      <c r="A167" s="7">
        <v>17</v>
      </c>
      <c r="B167" s="58">
        <v>161</v>
      </c>
      <c r="C167" s="109" t="s">
        <v>1378</v>
      </c>
      <c r="D167" s="110">
        <v>10152284728</v>
      </c>
      <c r="E167" s="110" t="s">
        <v>1448</v>
      </c>
      <c r="F167" s="109" t="s">
        <v>172</v>
      </c>
      <c r="G167" s="111" t="s">
        <v>1535</v>
      </c>
      <c r="H167" s="58">
        <v>153</v>
      </c>
      <c r="I167" s="111" t="s">
        <v>66</v>
      </c>
      <c r="J167">
        <f t="shared" si="3"/>
        <v>17</v>
      </c>
    </row>
    <row r="168" spans="1:10" ht="15.75">
      <c r="A168" s="7">
        <v>18</v>
      </c>
      <c r="B168" s="21">
        <v>114</v>
      </c>
      <c r="C168" s="109" t="s">
        <v>1612</v>
      </c>
      <c r="D168" s="110">
        <v>10165016683</v>
      </c>
      <c r="E168" s="110" t="s">
        <v>1448</v>
      </c>
      <c r="F168" s="109" t="s">
        <v>1532</v>
      </c>
      <c r="G168" s="111" t="s">
        <v>1535</v>
      </c>
      <c r="H168" s="58">
        <v>154</v>
      </c>
      <c r="I168" s="111" t="s">
        <v>66</v>
      </c>
      <c r="J168">
        <f t="shared" si="3"/>
        <v>18</v>
      </c>
    </row>
    <row r="169" spans="1:10">
      <c r="A169" s="7">
        <v>19</v>
      </c>
      <c r="B169" s="58">
        <v>119</v>
      </c>
      <c r="C169" s="109" t="s">
        <v>1613</v>
      </c>
      <c r="D169" s="110">
        <v>10161411014</v>
      </c>
      <c r="E169" s="110" t="s">
        <v>1448</v>
      </c>
      <c r="F169" s="109" t="s">
        <v>84</v>
      </c>
      <c r="G169" s="111" t="s">
        <v>1535</v>
      </c>
      <c r="H169" s="58">
        <v>155</v>
      </c>
      <c r="I169" s="111" t="s">
        <v>66</v>
      </c>
      <c r="J169">
        <f t="shared" si="3"/>
        <v>19</v>
      </c>
    </row>
    <row r="170" spans="1:10" ht="15.75">
      <c r="A170" s="7">
        <v>20</v>
      </c>
      <c r="B170" s="21">
        <v>163</v>
      </c>
      <c r="C170" s="109" t="s">
        <v>1614</v>
      </c>
      <c r="D170" s="110">
        <v>10142353645</v>
      </c>
      <c r="E170" s="110" t="s">
        <v>1448</v>
      </c>
      <c r="F170" s="109" t="s">
        <v>1615</v>
      </c>
      <c r="G170" s="111" t="s">
        <v>1535</v>
      </c>
      <c r="H170" s="58">
        <v>156</v>
      </c>
      <c r="I170" s="111" t="s">
        <v>66</v>
      </c>
      <c r="J170">
        <f t="shared" si="3"/>
        <v>20</v>
      </c>
    </row>
    <row r="171" spans="1:10">
      <c r="A171" s="7">
        <v>21</v>
      </c>
      <c r="B171" s="58">
        <v>164</v>
      </c>
      <c r="C171" s="109" t="s">
        <v>1616</v>
      </c>
      <c r="D171" s="110">
        <v>10164035670</v>
      </c>
      <c r="E171" s="110" t="s">
        <v>1448</v>
      </c>
      <c r="F171" s="109" t="s">
        <v>1617</v>
      </c>
      <c r="G171" s="111" t="s">
        <v>1596</v>
      </c>
      <c r="H171" s="58">
        <v>157</v>
      </c>
      <c r="I171" s="111" t="s">
        <v>66</v>
      </c>
      <c r="J171">
        <f t="shared" si="3"/>
        <v>21</v>
      </c>
    </row>
    <row r="172" spans="1:10">
      <c r="A172" s="7">
        <v>22</v>
      </c>
      <c r="B172" s="58">
        <v>172</v>
      </c>
      <c r="C172" s="109" t="s">
        <v>1618</v>
      </c>
      <c r="D172" s="110">
        <v>10089603530</v>
      </c>
      <c r="E172" s="110" t="s">
        <v>1448</v>
      </c>
      <c r="F172" s="109" t="s">
        <v>125</v>
      </c>
      <c r="G172" s="111" t="s">
        <v>1596</v>
      </c>
      <c r="H172" s="58">
        <v>158</v>
      </c>
      <c r="I172" s="111" t="s">
        <v>66</v>
      </c>
      <c r="J172">
        <f t="shared" si="3"/>
        <v>22</v>
      </c>
    </row>
    <row r="173" spans="1:10">
      <c r="A173" s="7">
        <v>23</v>
      </c>
      <c r="B173" s="58">
        <v>162</v>
      </c>
      <c r="C173" s="109" t="s">
        <v>1619</v>
      </c>
      <c r="D173" s="110">
        <v>10161111728</v>
      </c>
      <c r="E173" s="110" t="s">
        <v>1448</v>
      </c>
      <c r="F173" s="109" t="s">
        <v>130</v>
      </c>
      <c r="G173" s="111" t="s">
        <v>1596</v>
      </c>
      <c r="H173" s="58">
        <v>159</v>
      </c>
      <c r="I173" s="111" t="s">
        <v>66</v>
      </c>
      <c r="J173">
        <f t="shared" si="3"/>
        <v>23</v>
      </c>
    </row>
    <row r="174" spans="1:10">
      <c r="A174" s="7">
        <v>24</v>
      </c>
      <c r="B174" s="58">
        <v>122</v>
      </c>
      <c r="C174" s="109" t="s">
        <v>1210</v>
      </c>
      <c r="D174" s="110">
        <v>10133141372</v>
      </c>
      <c r="E174" s="110" t="s">
        <v>1448</v>
      </c>
      <c r="F174" s="109" t="s">
        <v>1578</v>
      </c>
      <c r="G174" s="111" t="s">
        <v>1596</v>
      </c>
      <c r="H174" s="58">
        <v>160</v>
      </c>
      <c r="I174" s="111" t="s">
        <v>66</v>
      </c>
      <c r="J174">
        <f t="shared" si="3"/>
        <v>24</v>
      </c>
    </row>
    <row r="175" spans="1:10">
      <c r="A175" s="7"/>
      <c r="B175" s="58">
        <v>166</v>
      </c>
      <c r="C175" s="109" t="s">
        <v>1620</v>
      </c>
      <c r="D175" s="110">
        <v>10131783069</v>
      </c>
      <c r="E175" s="110" t="s">
        <v>1448</v>
      </c>
      <c r="F175" s="109" t="s">
        <v>84</v>
      </c>
      <c r="G175" s="111" t="s">
        <v>1459</v>
      </c>
      <c r="H175" s="58">
        <v>138</v>
      </c>
      <c r="I175" s="111" t="s">
        <v>66</v>
      </c>
      <c r="J175">
        <f t="shared" si="3"/>
        <v>0</v>
      </c>
    </row>
    <row r="176" spans="1:10">
      <c r="A176" s="7"/>
      <c r="B176" s="58"/>
      <c r="D176" s="110"/>
      <c r="E176" s="110"/>
      <c r="G176" s="111"/>
      <c r="H176" s="58"/>
      <c r="I176" s="111"/>
      <c r="J176">
        <f t="shared" si="3"/>
        <v>0</v>
      </c>
    </row>
    <row r="177" spans="1:10">
      <c r="A177" s="7">
        <v>1</v>
      </c>
      <c r="B177" s="58">
        <v>90</v>
      </c>
      <c r="C177" s="109" t="s">
        <v>1621</v>
      </c>
      <c r="D177" s="110">
        <v>10104125238</v>
      </c>
      <c r="E177" s="110" t="s">
        <v>1448</v>
      </c>
      <c r="F177" s="109" t="s">
        <v>100</v>
      </c>
      <c r="G177" s="111">
        <v>1.7071759259259259E-2</v>
      </c>
      <c r="H177" s="58">
        <v>162</v>
      </c>
      <c r="I177" s="111"/>
      <c r="J177">
        <f t="shared" si="3"/>
        <v>1</v>
      </c>
    </row>
    <row r="178" spans="1:10">
      <c r="A178" s="7">
        <v>2</v>
      </c>
      <c r="B178" s="58">
        <v>94</v>
      </c>
      <c r="C178" s="109" t="s">
        <v>1622</v>
      </c>
      <c r="D178" s="110">
        <v>10076571982</v>
      </c>
      <c r="E178" s="110" t="s">
        <v>1448</v>
      </c>
      <c r="F178" s="109" t="s">
        <v>1623</v>
      </c>
      <c r="G178" s="111">
        <v>1.7523148148148149E-2</v>
      </c>
      <c r="H178" s="58">
        <v>163</v>
      </c>
      <c r="I178" s="111">
        <v>4.5138888888889006E-4</v>
      </c>
      <c r="J178">
        <f t="shared" si="3"/>
        <v>2</v>
      </c>
    </row>
    <row r="179" spans="1:10">
      <c r="A179" s="7"/>
      <c r="B179" s="58">
        <v>91</v>
      </c>
      <c r="C179" s="109" t="s">
        <v>1624</v>
      </c>
      <c r="D179" s="110">
        <v>10077498132</v>
      </c>
      <c r="E179" s="110" t="s">
        <v>1448</v>
      </c>
      <c r="F179" s="109" t="s">
        <v>1555</v>
      </c>
      <c r="G179" s="111" t="s">
        <v>1459</v>
      </c>
      <c r="H179" s="58">
        <v>166</v>
      </c>
      <c r="I179" s="111" t="s">
        <v>6</v>
      </c>
      <c r="J179">
        <f t="shared" si="3"/>
        <v>0</v>
      </c>
    </row>
    <row r="180" spans="1:10">
      <c r="A180" s="7"/>
      <c r="B180" s="58">
        <v>92</v>
      </c>
      <c r="C180" s="109" t="s">
        <v>1625</v>
      </c>
      <c r="D180" s="110">
        <v>10077498435</v>
      </c>
      <c r="E180" s="110" t="s">
        <v>1448</v>
      </c>
      <c r="F180" s="109" t="s">
        <v>1555</v>
      </c>
      <c r="G180" s="111" t="s">
        <v>1459</v>
      </c>
      <c r="H180" s="58">
        <v>167</v>
      </c>
      <c r="I180" s="111" t="s">
        <v>6</v>
      </c>
      <c r="J180">
        <f t="shared" si="3"/>
        <v>0</v>
      </c>
    </row>
    <row r="182" spans="1:10">
      <c r="A182" s="109">
        <v>1</v>
      </c>
      <c r="B182" s="109">
        <v>263</v>
      </c>
      <c r="C182" s="109" t="s">
        <v>1626</v>
      </c>
      <c r="D182" s="109">
        <v>10122460056</v>
      </c>
      <c r="E182" s="109" t="s">
        <v>1448</v>
      </c>
      <c r="F182" s="109" t="s">
        <v>376</v>
      </c>
      <c r="G182" s="109">
        <v>1.6250000000000001E-2</v>
      </c>
      <c r="H182" s="109">
        <v>161</v>
      </c>
      <c r="J182">
        <v>1</v>
      </c>
    </row>
    <row r="183" spans="1:10">
      <c r="A183" s="109">
        <v>2</v>
      </c>
      <c r="B183" s="109">
        <v>266</v>
      </c>
      <c r="C183" s="109" t="s">
        <v>1627</v>
      </c>
      <c r="D183" s="109">
        <v>10103913858</v>
      </c>
      <c r="E183" s="109" t="s">
        <v>1448</v>
      </c>
      <c r="F183" s="109" t="s">
        <v>1628</v>
      </c>
      <c r="G183" s="109">
        <v>1.8078703703703704E-2</v>
      </c>
      <c r="H183" s="109">
        <v>164</v>
      </c>
      <c r="I183" s="109">
        <v>1.8287037037037039E-3</v>
      </c>
      <c r="J183">
        <v>2</v>
      </c>
    </row>
    <row r="185" spans="1:10">
      <c r="A185" s="109">
        <v>1</v>
      </c>
      <c r="B185" s="109">
        <v>951</v>
      </c>
      <c r="C185" s="109" t="s">
        <v>156</v>
      </c>
      <c r="D185" s="109">
        <v>10101986689</v>
      </c>
      <c r="E185" s="109" t="s">
        <v>1448</v>
      </c>
      <c r="F185" s="109" t="s">
        <v>1395</v>
      </c>
      <c r="G185" s="109">
        <v>1.8090277777777778E-2</v>
      </c>
      <c r="I185" s="109" t="s">
        <v>6</v>
      </c>
      <c r="J185">
        <v>1</v>
      </c>
    </row>
    <row r="187" spans="1:10">
      <c r="A187" s="109">
        <v>1</v>
      </c>
      <c r="B187" s="109">
        <v>3</v>
      </c>
      <c r="C187" s="109" t="s">
        <v>1629</v>
      </c>
      <c r="D187" s="109">
        <v>10009200331</v>
      </c>
      <c r="E187" s="109" t="s">
        <v>1448</v>
      </c>
      <c r="F187" s="109" t="s">
        <v>1630</v>
      </c>
      <c r="G187" s="109">
        <v>1.7233796296296296E-2</v>
      </c>
      <c r="H187" s="109">
        <v>169</v>
      </c>
      <c r="J187">
        <f>A187</f>
        <v>1</v>
      </c>
    </row>
    <row r="188" spans="1:10">
      <c r="A188" s="7">
        <v>2</v>
      </c>
      <c r="B188" s="58">
        <v>26</v>
      </c>
      <c r="C188" s="109" t="s">
        <v>1631</v>
      </c>
      <c r="D188" s="110">
        <v>10089547148</v>
      </c>
      <c r="E188" s="110" t="s">
        <v>1448</v>
      </c>
      <c r="F188" s="109" t="s">
        <v>1632</v>
      </c>
      <c r="G188" s="111">
        <v>1.7418981481481483E-2</v>
      </c>
      <c r="H188" s="58">
        <v>170</v>
      </c>
      <c r="I188" s="111">
        <v>1.8518518518518753E-4</v>
      </c>
      <c r="J188">
        <f t="shared" ref="J188:J193" si="4">A188</f>
        <v>2</v>
      </c>
    </row>
    <row r="189" spans="1:10">
      <c r="A189" s="7">
        <v>3</v>
      </c>
      <c r="B189" s="58">
        <v>25</v>
      </c>
      <c r="C189" s="109" t="s">
        <v>1633</v>
      </c>
      <c r="D189" s="110">
        <v>10137346425</v>
      </c>
      <c r="E189" s="110" t="s">
        <v>1448</v>
      </c>
      <c r="F189" s="109" t="s">
        <v>1555</v>
      </c>
      <c r="G189" s="111">
        <v>1.7488425925925925E-2</v>
      </c>
      <c r="H189" s="58">
        <v>171</v>
      </c>
      <c r="I189" s="111">
        <v>2.5462962962962896E-4</v>
      </c>
      <c r="J189">
        <f t="shared" si="4"/>
        <v>3</v>
      </c>
    </row>
    <row r="190" spans="1:10">
      <c r="A190" s="7">
        <v>4</v>
      </c>
      <c r="B190" s="58">
        <v>12</v>
      </c>
      <c r="C190" s="109" t="s">
        <v>138</v>
      </c>
      <c r="D190" s="110">
        <v>10051220327</v>
      </c>
      <c r="E190" s="110" t="s">
        <v>1448</v>
      </c>
      <c r="F190" s="109" t="s">
        <v>1551</v>
      </c>
      <c r="G190" s="111">
        <v>1.7696759259259259E-2</v>
      </c>
      <c r="H190" s="58">
        <v>172</v>
      </c>
      <c r="I190" s="111">
        <v>4.6296296296296363E-4</v>
      </c>
      <c r="J190">
        <f t="shared" si="4"/>
        <v>4</v>
      </c>
    </row>
    <row r="191" spans="1:10">
      <c r="A191" s="7">
        <v>5</v>
      </c>
      <c r="B191" s="58">
        <v>27</v>
      </c>
      <c r="C191" s="109" t="s">
        <v>1634</v>
      </c>
      <c r="D191" s="110">
        <v>10103820090</v>
      </c>
      <c r="E191" s="110" t="s">
        <v>1448</v>
      </c>
      <c r="F191" s="109" t="s">
        <v>1555</v>
      </c>
      <c r="G191" s="111">
        <v>1.7835648148148149E-2</v>
      </c>
      <c r="H191" s="58">
        <v>173</v>
      </c>
      <c r="I191" s="111">
        <v>6.0185185185185341E-4</v>
      </c>
      <c r="J191">
        <f t="shared" si="4"/>
        <v>5</v>
      </c>
    </row>
    <row r="192" spans="1:10" ht="15.75">
      <c r="A192" s="7">
        <v>6</v>
      </c>
      <c r="B192" s="21">
        <v>30</v>
      </c>
      <c r="C192" s="109" t="s">
        <v>171</v>
      </c>
      <c r="D192" s="110">
        <v>10140483767</v>
      </c>
      <c r="E192" s="110" t="s">
        <v>1448</v>
      </c>
      <c r="F192" s="109" t="s">
        <v>85</v>
      </c>
      <c r="G192" s="111">
        <v>1.9131944444444444E-2</v>
      </c>
      <c r="H192" s="58">
        <v>174</v>
      </c>
      <c r="I192" s="111">
        <v>1.8981481481481488E-3</v>
      </c>
      <c r="J192">
        <f t="shared" si="4"/>
        <v>6</v>
      </c>
    </row>
    <row r="193" spans="1:10">
      <c r="A193" s="7">
        <v>7</v>
      </c>
      <c r="B193" s="58">
        <v>37</v>
      </c>
      <c r="C193" s="109" t="s">
        <v>187</v>
      </c>
      <c r="D193" s="110">
        <v>10120252500</v>
      </c>
      <c r="E193" s="110" t="s">
        <v>1448</v>
      </c>
      <c r="F193" s="109" t="s">
        <v>1635</v>
      </c>
      <c r="G193" s="111" t="s">
        <v>1482</v>
      </c>
      <c r="H193" s="58">
        <v>175</v>
      </c>
      <c r="I193" s="111" t="s">
        <v>6</v>
      </c>
      <c r="J193">
        <f t="shared" si="4"/>
        <v>7</v>
      </c>
    </row>
    <row r="194" spans="1:10" ht="15.75">
      <c r="A194" s="7">
        <v>8</v>
      </c>
      <c r="B194" s="21">
        <v>41</v>
      </c>
      <c r="C194" s="109" t="s">
        <v>1636</v>
      </c>
      <c r="D194" s="110">
        <v>10113754005</v>
      </c>
      <c r="E194" s="110" t="s">
        <v>6</v>
      </c>
      <c r="F194" s="109" t="s">
        <v>1637</v>
      </c>
      <c r="G194" s="111" t="s">
        <v>1482</v>
      </c>
      <c r="H194" s="58">
        <v>176</v>
      </c>
      <c r="I194" s="111" t="s">
        <v>6</v>
      </c>
      <c r="J194">
        <f t="shared" ref="J194:J225" si="5">A194</f>
        <v>8</v>
      </c>
    </row>
    <row r="195" spans="1:10">
      <c r="A195" s="7">
        <v>9</v>
      </c>
      <c r="B195" s="58">
        <v>43</v>
      </c>
      <c r="C195" s="109" t="s">
        <v>1638</v>
      </c>
      <c r="D195" s="110">
        <v>10129941382</v>
      </c>
      <c r="E195" s="110" t="s">
        <v>1448</v>
      </c>
      <c r="F195" s="109" t="s">
        <v>1639</v>
      </c>
      <c r="G195" s="111" t="s">
        <v>1535</v>
      </c>
      <c r="H195" s="58">
        <v>177</v>
      </c>
      <c r="I195" s="111" t="s">
        <v>6</v>
      </c>
      <c r="J195">
        <f t="shared" si="5"/>
        <v>9</v>
      </c>
    </row>
    <row r="196" spans="1:10" ht="15.75">
      <c r="A196" s="7">
        <v>10</v>
      </c>
      <c r="B196" s="21">
        <v>32</v>
      </c>
      <c r="C196" s="109" t="s">
        <v>177</v>
      </c>
      <c r="D196" s="110">
        <v>10101989521</v>
      </c>
      <c r="E196" s="110" t="s">
        <v>1448</v>
      </c>
      <c r="F196" s="109" t="s">
        <v>1640</v>
      </c>
      <c r="G196" s="111" t="s">
        <v>1596</v>
      </c>
      <c r="H196" s="58">
        <v>178</v>
      </c>
      <c r="I196" s="111" t="s">
        <v>6</v>
      </c>
      <c r="J196">
        <f t="shared" si="5"/>
        <v>10</v>
      </c>
    </row>
    <row r="197" spans="1:10">
      <c r="A197" s="7">
        <v>11</v>
      </c>
      <c r="B197" s="58">
        <v>40</v>
      </c>
      <c r="C197" s="109" t="s">
        <v>1641</v>
      </c>
      <c r="D197" s="110">
        <v>10154842595</v>
      </c>
      <c r="E197" s="110" t="s">
        <v>1448</v>
      </c>
      <c r="F197" s="109" t="s">
        <v>1642</v>
      </c>
      <c r="G197" s="111" t="s">
        <v>1596</v>
      </c>
      <c r="H197" s="58">
        <v>179</v>
      </c>
      <c r="I197" s="111" t="s">
        <v>6</v>
      </c>
      <c r="J197">
        <f t="shared" si="5"/>
        <v>11</v>
      </c>
    </row>
    <row r="198" spans="1:10">
      <c r="A198" s="7">
        <v>12</v>
      </c>
      <c r="B198" s="58">
        <v>42</v>
      </c>
      <c r="C198" s="109" t="s">
        <v>1643</v>
      </c>
      <c r="D198" s="110">
        <v>10165153493</v>
      </c>
      <c r="E198" s="110" t="s">
        <v>1448</v>
      </c>
      <c r="F198" s="109" t="s">
        <v>1644</v>
      </c>
      <c r="G198" s="111" t="s">
        <v>1645</v>
      </c>
      <c r="H198" s="58">
        <v>180</v>
      </c>
      <c r="I198" s="111" t="s">
        <v>6</v>
      </c>
      <c r="J198">
        <f t="shared" si="5"/>
        <v>12</v>
      </c>
    </row>
    <row r="199" spans="1:10">
      <c r="A199" s="7"/>
      <c r="B199" s="58">
        <v>9</v>
      </c>
      <c r="C199" s="109" t="s">
        <v>106</v>
      </c>
      <c r="D199" s="110">
        <v>10105198201</v>
      </c>
      <c r="E199" s="110" t="s">
        <v>6</v>
      </c>
      <c r="F199" s="109" t="s">
        <v>1646</v>
      </c>
      <c r="G199" s="111" t="s">
        <v>1459</v>
      </c>
      <c r="H199" s="58">
        <v>168</v>
      </c>
      <c r="I199" s="111" t="s">
        <v>6</v>
      </c>
      <c r="J199">
        <f t="shared" si="5"/>
        <v>0</v>
      </c>
    </row>
    <row r="200" spans="1:10">
      <c r="A200" s="7"/>
      <c r="B200" s="58"/>
      <c r="D200" s="110"/>
      <c r="E200" s="110"/>
      <c r="G200" s="111"/>
      <c r="H200" s="58"/>
      <c r="I200" s="111"/>
      <c r="J200">
        <f t="shared" si="5"/>
        <v>0</v>
      </c>
    </row>
    <row r="201" spans="1:10">
      <c r="A201" s="7">
        <v>1</v>
      </c>
      <c r="B201" s="58">
        <v>961</v>
      </c>
      <c r="C201" s="109" t="s">
        <v>1647</v>
      </c>
      <c r="D201" s="110">
        <v>10129943002</v>
      </c>
      <c r="E201" s="110" t="s">
        <v>1648</v>
      </c>
      <c r="F201" s="109">
        <v>2.7766203703703703E-2</v>
      </c>
      <c r="G201" s="111"/>
      <c r="H201" s="58">
        <v>0</v>
      </c>
      <c r="I201" s="111"/>
      <c r="J201">
        <f t="shared" si="5"/>
        <v>1</v>
      </c>
    </row>
    <row r="202" spans="1:10" ht="15.75">
      <c r="A202" s="7">
        <v>2</v>
      </c>
      <c r="B202" s="21">
        <v>967</v>
      </c>
      <c r="C202" s="109" t="s">
        <v>1649</v>
      </c>
      <c r="D202" s="110">
        <v>10159628133</v>
      </c>
      <c r="E202" s="110" t="s">
        <v>1650</v>
      </c>
      <c r="F202" s="109">
        <v>2.8634259259259259E-2</v>
      </c>
      <c r="G202" s="111"/>
      <c r="H202" s="58">
        <v>8.6805555555555594E-4</v>
      </c>
      <c r="I202" s="111"/>
      <c r="J202">
        <f t="shared" si="5"/>
        <v>2</v>
      </c>
    </row>
    <row r="203" spans="1:10" ht="15.75">
      <c r="A203" s="7">
        <v>3</v>
      </c>
      <c r="B203" s="21">
        <v>962</v>
      </c>
      <c r="C203" s="109" t="s">
        <v>1233</v>
      </c>
      <c r="D203" s="110">
        <v>10136994700</v>
      </c>
      <c r="E203" s="110" t="s">
        <v>1648</v>
      </c>
      <c r="F203" s="109">
        <v>2.8761574074074075E-2</v>
      </c>
      <c r="G203" s="111"/>
      <c r="H203" s="58">
        <v>9.9537037037037215E-4</v>
      </c>
      <c r="I203" s="111"/>
      <c r="J203">
        <f t="shared" si="5"/>
        <v>3</v>
      </c>
    </row>
    <row r="204" spans="1:10" ht="15.75">
      <c r="A204" s="7">
        <v>4</v>
      </c>
      <c r="B204" s="21">
        <v>964</v>
      </c>
      <c r="C204" s="109" t="s">
        <v>1651</v>
      </c>
      <c r="D204" s="110">
        <v>10061982172</v>
      </c>
      <c r="E204" s="110" t="s">
        <v>150</v>
      </c>
      <c r="F204" s="109">
        <v>2.9814814814814815E-2</v>
      </c>
      <c r="G204" s="111"/>
      <c r="H204" s="58">
        <v>2.0486111111111122E-3</v>
      </c>
      <c r="I204" s="111"/>
      <c r="J204">
        <f t="shared" si="5"/>
        <v>4</v>
      </c>
    </row>
    <row r="205" spans="1:10" ht="15.75">
      <c r="A205" s="7"/>
      <c r="B205" s="21"/>
      <c r="D205" s="110"/>
      <c r="E205" s="110"/>
      <c r="G205" s="111"/>
      <c r="H205" s="58"/>
      <c r="I205" s="111"/>
      <c r="J205">
        <f t="shared" si="5"/>
        <v>0</v>
      </c>
    </row>
    <row r="206" spans="1:10">
      <c r="A206" s="7">
        <v>1</v>
      </c>
      <c r="B206" s="58">
        <v>981</v>
      </c>
      <c r="C206" s="109" t="s">
        <v>1234</v>
      </c>
      <c r="D206" s="110" t="s">
        <v>66</v>
      </c>
      <c r="E206" s="110" t="s">
        <v>1448</v>
      </c>
      <c r="F206" s="109" t="s">
        <v>1652</v>
      </c>
      <c r="G206" s="111">
        <v>2.6053240740740741E-2</v>
      </c>
      <c r="H206" s="58">
        <v>181</v>
      </c>
      <c r="I206" s="111"/>
      <c r="J206">
        <f t="shared" si="5"/>
        <v>1</v>
      </c>
    </row>
    <row r="207" spans="1:10">
      <c r="A207" s="7">
        <v>2</v>
      </c>
      <c r="B207" s="58">
        <v>978</v>
      </c>
      <c r="C207" s="109" t="s">
        <v>1653</v>
      </c>
      <c r="D207" s="110" t="s">
        <v>66</v>
      </c>
      <c r="E207" s="110" t="s">
        <v>1448</v>
      </c>
      <c r="F207" s="109" t="s">
        <v>1654</v>
      </c>
      <c r="G207" s="111">
        <v>3.7511574074074072E-2</v>
      </c>
      <c r="H207" s="58">
        <v>186</v>
      </c>
      <c r="I207" s="111">
        <v>1.1458333333333331E-2</v>
      </c>
      <c r="J207">
        <f t="shared" si="5"/>
        <v>2</v>
      </c>
    </row>
    <row r="208" spans="1:10">
      <c r="A208" s="7">
        <v>3</v>
      </c>
      <c r="B208" s="58">
        <v>982</v>
      </c>
      <c r="C208" s="109" t="s">
        <v>849</v>
      </c>
      <c r="D208" s="110">
        <v>10050347327</v>
      </c>
      <c r="E208" s="110" t="s">
        <v>1448</v>
      </c>
      <c r="F208" s="109" t="s">
        <v>1655</v>
      </c>
      <c r="G208" s="111">
        <v>4.1053240740740737E-2</v>
      </c>
      <c r="H208" s="58">
        <v>187</v>
      </c>
      <c r="I208" s="111">
        <v>1.4999999999999996E-2</v>
      </c>
      <c r="J208">
        <f t="shared" si="5"/>
        <v>3</v>
      </c>
    </row>
    <row r="209" spans="1:10">
      <c r="A209" s="7">
        <v>4</v>
      </c>
      <c r="B209" s="58">
        <v>984</v>
      </c>
      <c r="C209" s="109" t="s">
        <v>1656</v>
      </c>
      <c r="D209" s="110" t="s">
        <v>66</v>
      </c>
      <c r="E209" s="110" t="s">
        <v>1448</v>
      </c>
      <c r="F209" s="109" t="s">
        <v>1657</v>
      </c>
      <c r="G209" s="111">
        <v>4.1886574074074076E-2</v>
      </c>
      <c r="H209" s="58">
        <v>188</v>
      </c>
      <c r="I209" s="111">
        <v>1.5833333333333335E-2</v>
      </c>
      <c r="J209">
        <f t="shared" si="5"/>
        <v>4</v>
      </c>
    </row>
    <row r="210" spans="1:10">
      <c r="A210" s="58">
        <v>5</v>
      </c>
      <c r="B210" s="109">
        <v>985</v>
      </c>
      <c r="C210" s="109" t="s">
        <v>1658</v>
      </c>
      <c r="D210" s="109">
        <v>10170981880</v>
      </c>
      <c r="E210" s="109" t="s">
        <v>1448</v>
      </c>
      <c r="F210" s="109" t="s">
        <v>1659</v>
      </c>
      <c r="G210" s="109" t="s">
        <v>1459</v>
      </c>
      <c r="H210" s="109">
        <v>189</v>
      </c>
      <c r="I210" s="109" t="s">
        <v>6</v>
      </c>
      <c r="J210">
        <f t="shared" si="5"/>
        <v>5</v>
      </c>
    </row>
    <row r="211" spans="1:10">
      <c r="A211" s="58"/>
      <c r="J211">
        <f t="shared" si="5"/>
        <v>0</v>
      </c>
    </row>
    <row r="212" spans="1:10">
      <c r="A212" s="58"/>
      <c r="J212">
        <f t="shared" si="5"/>
        <v>0</v>
      </c>
    </row>
    <row r="213" spans="1:10">
      <c r="A213" s="58"/>
      <c r="J213">
        <f t="shared" si="5"/>
        <v>0</v>
      </c>
    </row>
    <row r="214" spans="1:10">
      <c r="A214" s="58"/>
      <c r="J214">
        <f t="shared" si="5"/>
        <v>0</v>
      </c>
    </row>
    <row r="215" spans="1:10">
      <c r="A215" s="58"/>
      <c r="J215">
        <f t="shared" si="5"/>
        <v>0</v>
      </c>
    </row>
    <row r="216" spans="1:10">
      <c r="A216" s="58"/>
      <c r="J216">
        <f t="shared" si="5"/>
        <v>0</v>
      </c>
    </row>
    <row r="217" spans="1:10">
      <c r="A217" s="58"/>
      <c r="J217">
        <f t="shared" si="5"/>
        <v>0</v>
      </c>
    </row>
    <row r="218" spans="1:10">
      <c r="A218" s="58"/>
      <c r="J218">
        <f t="shared" si="5"/>
        <v>0</v>
      </c>
    </row>
    <row r="219" spans="1:10">
      <c r="A219" s="58"/>
      <c r="J219">
        <f t="shared" si="5"/>
        <v>0</v>
      </c>
    </row>
    <row r="220" spans="1:10">
      <c r="A220" s="58"/>
      <c r="J220">
        <f t="shared" si="5"/>
        <v>0</v>
      </c>
    </row>
    <row r="221" spans="1:10">
      <c r="A221" s="58"/>
      <c r="J221">
        <f t="shared" si="5"/>
        <v>0</v>
      </c>
    </row>
    <row r="222" spans="1:10">
      <c r="A222" s="58"/>
      <c r="J222">
        <f t="shared" si="5"/>
        <v>0</v>
      </c>
    </row>
    <row r="223" spans="1:10">
      <c r="A223" s="58"/>
      <c r="J223">
        <f t="shared" si="5"/>
        <v>0</v>
      </c>
    </row>
    <row r="224" spans="1:10">
      <c r="A224" s="58"/>
      <c r="J224">
        <f t="shared" si="5"/>
        <v>0</v>
      </c>
    </row>
    <row r="225" spans="1:10">
      <c r="A225" s="58"/>
      <c r="J225">
        <f t="shared" si="5"/>
        <v>0</v>
      </c>
    </row>
    <row r="226" spans="1:10">
      <c r="A226" s="58"/>
      <c r="J226">
        <f t="shared" ref="J226:J244" si="6">A226</f>
        <v>0</v>
      </c>
    </row>
    <row r="227" spans="1:10">
      <c r="A227" s="58"/>
      <c r="J227">
        <f t="shared" si="6"/>
        <v>0</v>
      </c>
    </row>
    <row r="228" spans="1:10">
      <c r="A228" s="58"/>
      <c r="J228">
        <f t="shared" si="6"/>
        <v>0</v>
      </c>
    </row>
    <row r="229" spans="1:10">
      <c r="A229" s="58"/>
      <c r="J229">
        <f t="shared" si="6"/>
        <v>0</v>
      </c>
    </row>
    <row r="230" spans="1:10">
      <c r="A230" s="58"/>
      <c r="J230">
        <f t="shared" si="6"/>
        <v>0</v>
      </c>
    </row>
    <row r="231" spans="1:10">
      <c r="A231" s="58"/>
      <c r="J231">
        <f t="shared" si="6"/>
        <v>0</v>
      </c>
    </row>
    <row r="232" spans="1:10">
      <c r="A232" s="58"/>
      <c r="J232">
        <f t="shared" si="6"/>
        <v>0</v>
      </c>
    </row>
    <row r="233" spans="1:10">
      <c r="A233" s="58"/>
      <c r="J233">
        <f t="shared" si="6"/>
        <v>0</v>
      </c>
    </row>
    <row r="234" spans="1:10">
      <c r="A234" s="58"/>
      <c r="J234">
        <f t="shared" si="6"/>
        <v>0</v>
      </c>
    </row>
    <row r="235" spans="1:10">
      <c r="A235" s="58"/>
      <c r="J235">
        <f t="shared" si="6"/>
        <v>0</v>
      </c>
    </row>
    <row r="236" spans="1:10">
      <c r="A236" s="58"/>
      <c r="J236">
        <f t="shared" si="6"/>
        <v>0</v>
      </c>
    </row>
    <row r="237" spans="1:10">
      <c r="A237" s="58"/>
      <c r="J237">
        <f t="shared" si="6"/>
        <v>0</v>
      </c>
    </row>
    <row r="238" spans="1:10">
      <c r="A238" s="58"/>
      <c r="J238">
        <f t="shared" si="6"/>
        <v>0</v>
      </c>
    </row>
    <row r="239" spans="1:10">
      <c r="A239" s="58"/>
      <c r="J239">
        <f t="shared" si="6"/>
        <v>0</v>
      </c>
    </row>
    <row r="240" spans="1:10">
      <c r="A240" s="58"/>
      <c r="J240">
        <f t="shared" si="6"/>
        <v>0</v>
      </c>
    </row>
    <row r="241" spans="1:10">
      <c r="A241" s="58"/>
      <c r="J241">
        <f t="shared" si="6"/>
        <v>0</v>
      </c>
    </row>
    <row r="242" spans="1:10">
      <c r="A242" s="58"/>
      <c r="J242">
        <f t="shared" si="6"/>
        <v>0</v>
      </c>
    </row>
    <row r="243" spans="1:10">
      <c r="A243" s="58"/>
      <c r="J243">
        <f t="shared" si="6"/>
        <v>0</v>
      </c>
    </row>
    <row r="244" spans="1:10">
      <c r="A244" s="58"/>
      <c r="J244">
        <f t="shared" si="6"/>
        <v>0</v>
      </c>
    </row>
    <row r="245" spans="1:10">
      <c r="J245">
        <f>ResXCO!A2</f>
        <v>1</v>
      </c>
    </row>
    <row r="246" spans="1:10">
      <c r="J246">
        <f>ResXCO!A3</f>
        <v>2</v>
      </c>
    </row>
    <row r="247" spans="1:10">
      <c r="J247">
        <f>ResXCO!A4</f>
        <v>3</v>
      </c>
    </row>
    <row r="248" spans="1:10">
      <c r="J248">
        <f>ResXCO!A5</f>
        <v>4</v>
      </c>
    </row>
    <row r="249" spans="1:10">
      <c r="J249">
        <f>ResXCO!A6</f>
        <v>0</v>
      </c>
    </row>
    <row r="250" spans="1:10">
      <c r="J250">
        <f>ResXCO!A7</f>
        <v>1</v>
      </c>
    </row>
    <row r="251" spans="1:10">
      <c r="J251">
        <f>ResXCO!A8</f>
        <v>2</v>
      </c>
    </row>
    <row r="252" spans="1:10">
      <c r="J252">
        <f>ResXCO!A9</f>
        <v>3</v>
      </c>
    </row>
    <row r="253" spans="1:10">
      <c r="J253">
        <f>ResXCO!A10</f>
        <v>4</v>
      </c>
    </row>
    <row r="254" spans="1:10">
      <c r="J254">
        <f>ResXCO!A11</f>
        <v>5</v>
      </c>
    </row>
    <row r="255" spans="1:10">
      <c r="J255">
        <f>A255</f>
        <v>0</v>
      </c>
    </row>
    <row r="256" spans="1:10">
      <c r="J256">
        <f>A256</f>
        <v>0</v>
      </c>
    </row>
    <row r="257" spans="10:10">
      <c r="J257">
        <f>A257</f>
        <v>0</v>
      </c>
    </row>
    <row r="258" spans="10:10">
      <c r="J258">
        <f t="shared" ref="J258:J265" si="7">A258</f>
        <v>0</v>
      </c>
    </row>
    <row r="259" spans="10:10">
      <c r="J259">
        <f t="shared" si="7"/>
        <v>0</v>
      </c>
    </row>
    <row r="260" spans="10:10">
      <c r="J260">
        <f t="shared" si="7"/>
        <v>0</v>
      </c>
    </row>
    <row r="261" spans="10:10">
      <c r="J261">
        <f t="shared" si="7"/>
        <v>0</v>
      </c>
    </row>
    <row r="262" spans="10:10">
      <c r="J262">
        <f t="shared" si="7"/>
        <v>0</v>
      </c>
    </row>
    <row r="263" spans="10:10">
      <c r="J263">
        <f t="shared" si="7"/>
        <v>0</v>
      </c>
    </row>
    <row r="264" spans="10:10">
      <c r="J264">
        <f t="shared" si="7"/>
        <v>0</v>
      </c>
    </row>
    <row r="265" spans="10:10">
      <c r="J265">
        <f t="shared" si="7"/>
        <v>0</v>
      </c>
    </row>
  </sheetData>
  <conditionalFormatting sqref="B20:B21">
    <cfRule type="duplicateValues" dxfId="3" priority="7"/>
  </conditionalFormatting>
  <conditionalFormatting sqref="B28">
    <cfRule type="duplicateValues" dxfId="2" priority="5" stopIfTrue="1"/>
  </conditionalFormatting>
  <conditionalFormatting sqref="B135:B180 B188:B209">
    <cfRule type="duplicateValues" dxfId="1" priority="4"/>
  </conditionalFormatting>
  <conditionalFormatting sqref="A7:A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28</vt:i4>
      </vt:variant>
    </vt:vector>
  </HeadingPairs>
  <TitlesOfParts>
    <vt:vector size="60" baseType="lpstr">
      <vt:lpstr>EM</vt:lpstr>
      <vt:lpstr>Res I Fecha</vt:lpstr>
      <vt:lpstr>Res II Fecha</vt:lpstr>
      <vt:lpstr>SUB23</vt:lpstr>
      <vt:lpstr>EF</vt:lpstr>
      <vt:lpstr>SUB23F</vt:lpstr>
      <vt:lpstr>JM</vt:lpstr>
      <vt:lpstr>JF</vt:lpstr>
      <vt:lpstr>PJM</vt:lpstr>
      <vt:lpstr>PJF</vt:lpstr>
      <vt:lpstr>IM</vt:lpstr>
      <vt:lpstr>PIM</vt:lpstr>
      <vt:lpstr>IF</vt:lpstr>
      <vt:lpstr>PIF</vt:lpstr>
      <vt:lpstr>MA</vt:lpstr>
      <vt:lpstr>MB</vt:lpstr>
      <vt:lpstr>MC</vt:lpstr>
      <vt:lpstr>MD</vt:lpstr>
      <vt:lpstr>ME</vt:lpstr>
      <vt:lpstr>MAF</vt:lpstr>
      <vt:lpstr>MBF</vt:lpstr>
      <vt:lpstr>OP</vt:lpstr>
      <vt:lpstr>OP F</vt:lpstr>
      <vt:lpstr>PLM</vt:lpstr>
      <vt:lpstr>E-BIKE</vt:lpstr>
      <vt:lpstr>CXM</vt:lpstr>
      <vt:lpstr>Puntos XCO</vt:lpstr>
      <vt:lpstr>Puntos XCC Mayor</vt:lpstr>
      <vt:lpstr>Puntos XCC Menor</vt:lpstr>
      <vt:lpstr>Planilla</vt:lpstr>
      <vt:lpstr>ResXCO</vt:lpstr>
      <vt:lpstr>ResXCC</vt:lpstr>
      <vt:lpstr>CXM!Área_de_impresión</vt:lpstr>
      <vt:lpstr>'E-BIKE'!Área_de_impresión</vt:lpstr>
      <vt:lpstr>EF!Área_de_impresión</vt:lpstr>
      <vt:lpstr>EM!Área_de_impresión</vt:lpstr>
      <vt:lpstr>IF!Área_de_impresión</vt:lpstr>
      <vt:lpstr>IM!Área_de_impresión</vt:lpstr>
      <vt:lpstr>JF!Área_de_impresión</vt:lpstr>
      <vt:lpstr>JM!Área_de_impresión</vt:lpstr>
      <vt:lpstr>MA!Área_de_impresión</vt:lpstr>
      <vt:lpstr>MAF!Área_de_impresión</vt:lpstr>
      <vt:lpstr>MB!Área_de_impresión</vt:lpstr>
      <vt:lpstr>MBF!Área_de_impresión</vt:lpstr>
      <vt:lpstr>MC!Área_de_impresión</vt:lpstr>
      <vt:lpstr>MD!Área_de_impresión</vt:lpstr>
      <vt:lpstr>ME!Área_de_impresión</vt:lpstr>
      <vt:lpstr>OP!Área_de_impresión</vt:lpstr>
      <vt:lpstr>'OP F'!Área_de_impresión</vt:lpstr>
      <vt:lpstr>PIF!Área_de_impresión</vt:lpstr>
      <vt:lpstr>PIM!Área_de_impresión</vt:lpstr>
      <vt:lpstr>PJF!Área_de_impresión</vt:lpstr>
      <vt:lpstr>PJM!Área_de_impresión</vt:lpstr>
      <vt:lpstr>PLM!Área_de_impresión</vt:lpstr>
      <vt:lpstr>'SUB23'!Área_de_impresión</vt:lpstr>
      <vt:lpstr>SUB23F!Área_de_impresión</vt:lpstr>
      <vt:lpstr>PLANILLA</vt:lpstr>
      <vt:lpstr>RESXCC_1</vt:lpstr>
      <vt:lpstr>RESXCO</vt:lpstr>
      <vt:lpstr>RESXCO_SUB23_1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admin</cp:lastModifiedBy>
  <cp:lastPrinted>2026-09-14T16:08:03Z</cp:lastPrinted>
  <dcterms:created xsi:type="dcterms:W3CDTF">2011-06-14T01:18:11Z</dcterms:created>
  <dcterms:modified xsi:type="dcterms:W3CDTF">2026-09-17T01:07:06Z</dcterms:modified>
</cp:coreProperties>
</file>