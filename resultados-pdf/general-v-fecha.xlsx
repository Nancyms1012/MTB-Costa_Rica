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bookViews>
    <workbookView xWindow="0" yWindow="0" windowWidth="16815" windowHeight="7620" tabRatio="577" activeTab="25"/>
  </bookViews>
  <sheets>
    <sheet name="EM" sheetId="1" r:id="rId1"/>
    <sheet name="Res I Fecha" sheetId="22" state="hidden" r:id="rId2"/>
    <sheet name="Res II Fecha" sheetId="30" state="hidden" r:id="rId3"/>
    <sheet name="SUB23" sheetId="58" r:id="rId4"/>
    <sheet name="EF" sheetId="57" r:id="rId5"/>
    <sheet name="SUB23F" sheetId="59" r:id="rId6"/>
    <sheet name="JM" sheetId="61" r:id="rId7"/>
    <sheet name="JF" sheetId="62" r:id="rId8"/>
    <sheet name="PJM" sheetId="63" r:id="rId9"/>
    <sheet name="PJF" sheetId="64" r:id="rId10"/>
    <sheet name="IM" sheetId="65" r:id="rId11"/>
    <sheet name="PIM" sheetId="76" r:id="rId12"/>
    <sheet name="IF" sheetId="66" r:id="rId13"/>
    <sheet name="PIF" sheetId="77" r:id="rId14"/>
    <sheet name="MA" sheetId="67" r:id="rId15"/>
    <sheet name="MB" sheetId="68" r:id="rId16"/>
    <sheet name="MC" sheetId="69" r:id="rId17"/>
    <sheet name="MD" sheetId="70" r:id="rId18"/>
    <sheet name="ME" sheetId="74" r:id="rId19"/>
    <sheet name="MAF" sheetId="71" r:id="rId20"/>
    <sheet name="MBF" sheetId="78" r:id="rId21"/>
    <sheet name="OP" sheetId="72" r:id="rId22"/>
    <sheet name="OP F" sheetId="73" r:id="rId23"/>
    <sheet name="PLM" sheetId="79" r:id="rId24"/>
    <sheet name="E-BIKE" sheetId="75" r:id="rId25"/>
    <sheet name="CXM" sheetId="80" r:id="rId26"/>
    <sheet name="Puntos XCO" sheetId="36" r:id="rId27"/>
    <sheet name="Puntos XCC Mayor" sheetId="38" r:id="rId28"/>
    <sheet name="Puntos XCC Menor" sheetId="39" r:id="rId29"/>
    <sheet name="Planilla" sheetId="37" r:id="rId30"/>
    <sheet name="ResXCO" sheetId="55" r:id="rId31"/>
    <sheet name="ResXCC" sheetId="56" r:id="rId32"/>
  </sheets>
  <externalReferences>
    <externalReference r:id="rId33"/>
  </externalReferences>
  <definedNames>
    <definedName name="_xlnm.Print_Area" localSheetId="25">CXM!$A$1:$Z$41</definedName>
    <definedName name="_xlnm.Print_Area" localSheetId="24">'E-BIKE'!$A$1:$Z$25</definedName>
    <definedName name="_xlnm.Print_Area" localSheetId="4">EF!$A$1:$Z$38</definedName>
    <definedName name="_xlnm.Print_Area" localSheetId="0">EM!$A$1:$Z$65</definedName>
    <definedName name="_xlnm.Print_Area" localSheetId="12">IF!$A$1:$Z$38</definedName>
    <definedName name="_xlnm.Print_Area" localSheetId="10">IM!$A$1:$Z$60</definedName>
    <definedName name="_xlnm.Print_Area" localSheetId="7">JF!$A$1:$Z$27</definedName>
    <definedName name="_xlnm.Print_Area" localSheetId="6">JM!$A$1:$Z$87</definedName>
    <definedName name="_xlnm.Print_Area" localSheetId="14">MA!$A$1:$Z$39</definedName>
    <definedName name="_xlnm.Print_Area" localSheetId="19">MAF!$A$1:$Z$25</definedName>
    <definedName name="_xlnm.Print_Area" localSheetId="15">MB!$A$1:$Z$45</definedName>
    <definedName name="_xlnm.Print_Area" localSheetId="20">MBF!$A$1:$Z$25</definedName>
    <definedName name="_xlnm.Print_Area" localSheetId="16">MC!$A$1:$Z$46</definedName>
    <definedName name="_xlnm.Print_Area" localSheetId="17">MD!$A$1:$Z$44</definedName>
    <definedName name="_xlnm.Print_Area" localSheetId="18">ME!$A$1:$Z$42</definedName>
    <definedName name="_xlnm.Print_Area" localSheetId="21">OP!$A$1:$Z$47</definedName>
    <definedName name="_xlnm.Print_Area" localSheetId="22">'OP F'!$A$1:$Z$21</definedName>
    <definedName name="_xlnm.Print_Area" localSheetId="13">PIF!$A$1:$Z$28</definedName>
    <definedName name="_xlnm.Print_Area" localSheetId="11">PIM!$A$1:$Z$38</definedName>
    <definedName name="_xlnm.Print_Area" localSheetId="9">PJF!$A$1:$Z$29</definedName>
    <definedName name="_xlnm.Print_Area" localSheetId="8">PJM!$A$1:$Z$75</definedName>
    <definedName name="_xlnm.Print_Area" localSheetId="23">PLM!$A$1:$Z$27</definedName>
    <definedName name="_xlnm.Print_Area" localSheetId="3">'SUB23'!$A$1:$Z$49</definedName>
    <definedName name="_xlnm.Print_Area" localSheetId="5">SUB23F!$A$1:$Z$29</definedName>
    <definedName name="PLANILLA">Planilla!$B$2:$F$4186</definedName>
    <definedName name="RESXCC_1">ResXCC!$B$2:$J$950</definedName>
    <definedName name="RESXCO">ResXCO!$B$2:$J$1000</definedName>
    <definedName name="RESXCO_SUB23_1">ResXCO!$B$40:$J$60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20" i="75" l="1"/>
  <c r="Y20" i="75" s="1"/>
  <c r="Z20" i="75" s="1"/>
  <c r="X19" i="75"/>
  <c r="Y19" i="75" s="1"/>
  <c r="Z19" i="75" s="1"/>
  <c r="X18" i="75"/>
  <c r="Y18" i="75" s="1"/>
  <c r="X17" i="75"/>
  <c r="Y17" i="75" s="1"/>
  <c r="X16" i="75"/>
  <c r="Y16" i="75" s="1"/>
  <c r="X22" i="79"/>
  <c r="Y22" i="79" s="1"/>
  <c r="W22" i="79"/>
  <c r="V22" i="79"/>
  <c r="X16" i="79"/>
  <c r="Y16" i="79" s="1"/>
  <c r="V16" i="79"/>
  <c r="W16" i="79" s="1"/>
  <c r="Y21" i="79"/>
  <c r="X21" i="79"/>
  <c r="V21" i="79"/>
  <c r="W21" i="79" s="1"/>
  <c r="Y17" i="79"/>
  <c r="X17" i="79"/>
  <c r="V17" i="79"/>
  <c r="W17" i="79" s="1"/>
  <c r="X20" i="79"/>
  <c r="Y20" i="79" s="1"/>
  <c r="W20" i="79"/>
  <c r="V20" i="79"/>
  <c r="X19" i="79"/>
  <c r="Y19" i="79" s="1"/>
  <c r="V19" i="79"/>
  <c r="W19" i="79" s="1"/>
  <c r="X18" i="79"/>
  <c r="Y18" i="79" s="1"/>
  <c r="V18" i="79"/>
  <c r="W18" i="79" s="1"/>
  <c r="X16" i="73"/>
  <c r="Y16" i="73" s="1"/>
  <c r="W16" i="73"/>
  <c r="V16" i="73"/>
  <c r="X42" i="72"/>
  <c r="Y42" i="72" s="1"/>
  <c r="V42" i="72"/>
  <c r="W42" i="72" s="1"/>
  <c r="X41" i="72"/>
  <c r="Y41" i="72" s="1"/>
  <c r="V41" i="72"/>
  <c r="W41" i="72" s="1"/>
  <c r="X40" i="72"/>
  <c r="Y40" i="72" s="1"/>
  <c r="V40" i="72"/>
  <c r="W40" i="72" s="1"/>
  <c r="X39" i="72"/>
  <c r="Y39" i="72" s="1"/>
  <c r="V39" i="72"/>
  <c r="W39" i="72" s="1"/>
  <c r="X38" i="72"/>
  <c r="Y38" i="72" s="1"/>
  <c r="V38" i="72"/>
  <c r="W38" i="72" s="1"/>
  <c r="X37" i="72"/>
  <c r="Y37" i="72" s="1"/>
  <c r="V37" i="72"/>
  <c r="W37" i="72" s="1"/>
  <c r="X36" i="72"/>
  <c r="Y36" i="72" s="1"/>
  <c r="V36" i="72"/>
  <c r="W36" i="72" s="1"/>
  <c r="X35" i="72"/>
  <c r="Y35" i="72" s="1"/>
  <c r="W35" i="72"/>
  <c r="V35" i="72"/>
  <c r="Y34" i="72"/>
  <c r="X34" i="72"/>
  <c r="V34" i="72"/>
  <c r="W34" i="72" s="1"/>
  <c r="X33" i="72"/>
  <c r="Y33" i="72" s="1"/>
  <c r="V33" i="72"/>
  <c r="W33" i="72" s="1"/>
  <c r="X32" i="72"/>
  <c r="Y32" i="72" s="1"/>
  <c r="V32" i="72"/>
  <c r="W32" i="72" s="1"/>
  <c r="X31" i="72"/>
  <c r="Y31" i="72" s="1"/>
  <c r="W31" i="72"/>
  <c r="V31" i="72"/>
  <c r="Y30" i="72"/>
  <c r="X30" i="72"/>
  <c r="V30" i="72"/>
  <c r="W30" i="72" s="1"/>
  <c r="X24" i="72"/>
  <c r="Y24" i="72" s="1"/>
  <c r="V24" i="72"/>
  <c r="W24" i="72" s="1"/>
  <c r="X29" i="72"/>
  <c r="Y29" i="72" s="1"/>
  <c r="V29" i="72"/>
  <c r="W29" i="72" s="1"/>
  <c r="X28" i="72"/>
  <c r="Y28" i="72" s="1"/>
  <c r="W28" i="72"/>
  <c r="V28" i="72"/>
  <c r="Y27" i="72"/>
  <c r="X27" i="72"/>
  <c r="V27" i="72"/>
  <c r="W27" i="72" s="1"/>
  <c r="X23" i="72"/>
  <c r="Y23" i="72" s="1"/>
  <c r="V23" i="72"/>
  <c r="W23" i="72" s="1"/>
  <c r="X26" i="72"/>
  <c r="Y26" i="72" s="1"/>
  <c r="V26" i="72"/>
  <c r="W26" i="72" s="1"/>
  <c r="X22" i="72"/>
  <c r="Y22" i="72" s="1"/>
  <c r="W22" i="72"/>
  <c r="V22" i="72"/>
  <c r="Y25" i="72"/>
  <c r="X25" i="72"/>
  <c r="V25" i="72"/>
  <c r="W25" i="72" s="1"/>
  <c r="X21" i="72"/>
  <c r="Y21" i="72" s="1"/>
  <c r="V21" i="72"/>
  <c r="W21" i="72" s="1"/>
  <c r="X20" i="72"/>
  <c r="Y20" i="72" s="1"/>
  <c r="V20" i="72"/>
  <c r="W20" i="72" s="1"/>
  <c r="X19" i="72"/>
  <c r="Y19" i="72" s="1"/>
  <c r="W19" i="72"/>
  <c r="V19" i="72"/>
  <c r="Y17" i="72"/>
  <c r="X17" i="72"/>
  <c r="V17" i="72"/>
  <c r="W17" i="72" s="1"/>
  <c r="X18" i="72"/>
  <c r="Y18" i="72" s="1"/>
  <c r="V18" i="72"/>
  <c r="W18" i="72" s="1"/>
  <c r="X16" i="72"/>
  <c r="Y16" i="72" s="1"/>
  <c r="V16" i="72"/>
  <c r="W16" i="72" s="1"/>
  <c r="X17" i="78"/>
  <c r="Y17" i="78" s="1"/>
  <c r="V17" i="78"/>
  <c r="W17" i="78" s="1"/>
  <c r="X20" i="78"/>
  <c r="Y20" i="78" s="1"/>
  <c r="V20" i="78"/>
  <c r="W20" i="78" s="1"/>
  <c r="X19" i="78"/>
  <c r="Y19" i="78" s="1"/>
  <c r="V19" i="78"/>
  <c r="W19" i="78" s="1"/>
  <c r="Y18" i="78"/>
  <c r="X18" i="78"/>
  <c r="V18" i="78"/>
  <c r="W18" i="78" s="1"/>
  <c r="Y16" i="78"/>
  <c r="X16" i="78"/>
  <c r="V16" i="78"/>
  <c r="W16" i="78" s="1"/>
  <c r="X19" i="71"/>
  <c r="Y19" i="71" s="1"/>
  <c r="V19" i="71"/>
  <c r="W19" i="71" s="1"/>
  <c r="X20" i="71"/>
  <c r="Y20" i="71" s="1"/>
  <c r="W20" i="71"/>
  <c r="V20" i="71"/>
  <c r="X18" i="71"/>
  <c r="Y18" i="71" s="1"/>
  <c r="V18" i="71"/>
  <c r="W18" i="71" s="1"/>
  <c r="X17" i="71"/>
  <c r="Y17" i="71" s="1"/>
  <c r="V17" i="71"/>
  <c r="W17" i="71" s="1"/>
  <c r="X16" i="71"/>
  <c r="Y16" i="71" s="1"/>
  <c r="V16" i="71"/>
  <c r="W16" i="71" s="1"/>
  <c r="X35" i="74"/>
  <c r="Y35" i="74" s="1"/>
  <c r="V35" i="74"/>
  <c r="W35" i="74" s="1"/>
  <c r="X37" i="74"/>
  <c r="Y37" i="74" s="1"/>
  <c r="V37" i="74"/>
  <c r="W37" i="74" s="1"/>
  <c r="X31" i="74"/>
  <c r="Y31" i="74" s="1"/>
  <c r="V31" i="74"/>
  <c r="W31" i="74" s="1"/>
  <c r="X36" i="74"/>
  <c r="Y36" i="74" s="1"/>
  <c r="V36" i="74"/>
  <c r="W36" i="74" s="1"/>
  <c r="X34" i="74"/>
  <c r="Y34" i="74" s="1"/>
  <c r="V34" i="74"/>
  <c r="W34" i="74" s="1"/>
  <c r="X33" i="74"/>
  <c r="Y33" i="74" s="1"/>
  <c r="V33" i="74"/>
  <c r="W33" i="74" s="1"/>
  <c r="X32" i="74"/>
  <c r="Y32" i="74" s="1"/>
  <c r="V32" i="74"/>
  <c r="W32" i="74" s="1"/>
  <c r="X30" i="74"/>
  <c r="Y30" i="74" s="1"/>
  <c r="V30" i="74"/>
  <c r="W30" i="74" s="1"/>
  <c r="X25" i="74"/>
  <c r="Y25" i="74" s="1"/>
  <c r="V25" i="74"/>
  <c r="W25" i="74" s="1"/>
  <c r="X29" i="74"/>
  <c r="Y29" i="74" s="1"/>
  <c r="V29" i="74"/>
  <c r="W29" i="74" s="1"/>
  <c r="X28" i="74"/>
  <c r="Y28" i="74" s="1"/>
  <c r="V28" i="74"/>
  <c r="W28" i="74" s="1"/>
  <c r="X27" i="74"/>
  <c r="Y27" i="74" s="1"/>
  <c r="V27" i="74"/>
  <c r="W27" i="74" s="1"/>
  <c r="X24" i="74"/>
  <c r="Y24" i="74" s="1"/>
  <c r="V24" i="74"/>
  <c r="W24" i="74" s="1"/>
  <c r="X26" i="74"/>
  <c r="Y26" i="74" s="1"/>
  <c r="V26" i="74"/>
  <c r="W26" i="74" s="1"/>
  <c r="X23" i="74"/>
  <c r="Y23" i="74" s="1"/>
  <c r="V23" i="74"/>
  <c r="W23" i="74" s="1"/>
  <c r="X22" i="74"/>
  <c r="Y22" i="74" s="1"/>
  <c r="V22" i="74"/>
  <c r="W22" i="74" s="1"/>
  <c r="X19" i="74"/>
  <c r="Y19" i="74" s="1"/>
  <c r="V19" i="74"/>
  <c r="W19" i="74" s="1"/>
  <c r="X21" i="74"/>
  <c r="Y21" i="74" s="1"/>
  <c r="V21" i="74"/>
  <c r="W21" i="74" s="1"/>
  <c r="X20" i="74"/>
  <c r="Y20" i="74" s="1"/>
  <c r="V20" i="74"/>
  <c r="W20" i="74" s="1"/>
  <c r="X18" i="74"/>
  <c r="Y18" i="74" s="1"/>
  <c r="V18" i="74"/>
  <c r="W18" i="74" s="1"/>
  <c r="X17" i="74"/>
  <c r="Y17" i="74" s="1"/>
  <c r="V17" i="74"/>
  <c r="W17" i="74" s="1"/>
  <c r="X16" i="74"/>
  <c r="Y16" i="74" s="1"/>
  <c r="V16" i="74"/>
  <c r="W16" i="74" s="1"/>
  <c r="X27" i="70"/>
  <c r="Y27" i="70" s="1"/>
  <c r="W27" i="70"/>
  <c r="V27" i="70"/>
  <c r="X39" i="70"/>
  <c r="Y39" i="70" s="1"/>
  <c r="V39" i="70"/>
  <c r="W39" i="70" s="1"/>
  <c r="X34" i="70"/>
  <c r="Y34" i="70" s="1"/>
  <c r="V34" i="70"/>
  <c r="W34" i="70" s="1"/>
  <c r="Y38" i="70"/>
  <c r="X38" i="70"/>
  <c r="V38" i="70"/>
  <c r="W38" i="70" s="1"/>
  <c r="X37" i="70"/>
  <c r="Y37" i="70" s="1"/>
  <c r="V37" i="70"/>
  <c r="W37" i="70" s="1"/>
  <c r="X36" i="70"/>
  <c r="Y36" i="70" s="1"/>
  <c r="W36" i="70"/>
  <c r="V36" i="70"/>
  <c r="Y35" i="70"/>
  <c r="X35" i="70"/>
  <c r="V35" i="70"/>
  <c r="W35" i="70" s="1"/>
  <c r="X33" i="70"/>
  <c r="Y33" i="70" s="1"/>
  <c r="V33" i="70"/>
  <c r="W33" i="70" s="1"/>
  <c r="X32" i="70"/>
  <c r="Y32" i="70" s="1"/>
  <c r="V32" i="70"/>
  <c r="W32" i="70" s="1"/>
  <c r="X28" i="70"/>
  <c r="Y28" i="70" s="1"/>
  <c r="W28" i="70"/>
  <c r="V28" i="70"/>
  <c r="Y31" i="70"/>
  <c r="X31" i="70"/>
  <c r="V31" i="70"/>
  <c r="W31" i="70" s="1"/>
  <c r="X30" i="70"/>
  <c r="Y30" i="70" s="1"/>
  <c r="V30" i="70"/>
  <c r="W30" i="70" s="1"/>
  <c r="X25" i="70"/>
  <c r="Y25" i="70" s="1"/>
  <c r="V25" i="70"/>
  <c r="W25" i="70" s="1"/>
  <c r="X29" i="70"/>
  <c r="Y29" i="70" s="1"/>
  <c r="W29" i="70"/>
  <c r="V29" i="70"/>
  <c r="X26" i="70"/>
  <c r="Y26" i="70" s="1"/>
  <c r="V26" i="70"/>
  <c r="W26" i="70" s="1"/>
  <c r="X24" i="70"/>
  <c r="Y24" i="70" s="1"/>
  <c r="V24" i="70"/>
  <c r="W24" i="70" s="1"/>
  <c r="X23" i="70"/>
  <c r="Y23" i="70" s="1"/>
  <c r="V23" i="70"/>
  <c r="W23" i="70" s="1"/>
  <c r="X22" i="70"/>
  <c r="Y22" i="70" s="1"/>
  <c r="W22" i="70"/>
  <c r="V22" i="70"/>
  <c r="X18" i="70"/>
  <c r="Y18" i="70" s="1"/>
  <c r="V18" i="70"/>
  <c r="W18" i="70" s="1"/>
  <c r="X21" i="70"/>
  <c r="Y21" i="70" s="1"/>
  <c r="V21" i="70"/>
  <c r="W21" i="70" s="1"/>
  <c r="X20" i="70"/>
  <c r="Y20" i="70" s="1"/>
  <c r="V20" i="70"/>
  <c r="W20" i="70" s="1"/>
  <c r="X19" i="70"/>
  <c r="Y19" i="70" s="1"/>
  <c r="W19" i="70"/>
  <c r="V19" i="70"/>
  <c r="X17" i="70"/>
  <c r="Y17" i="70" s="1"/>
  <c r="V17" i="70"/>
  <c r="W17" i="70" s="1"/>
  <c r="X16" i="70"/>
  <c r="Y16" i="70" s="1"/>
  <c r="V16" i="70"/>
  <c r="W16" i="70" s="1"/>
  <c r="X36" i="69"/>
  <c r="Y36" i="69" s="1"/>
  <c r="V36" i="69"/>
  <c r="W36" i="69" s="1"/>
  <c r="Z36" i="69" s="1"/>
  <c r="X41" i="69"/>
  <c r="Y41" i="69" s="1"/>
  <c r="W41" i="69"/>
  <c r="V41" i="69"/>
  <c r="X32" i="69"/>
  <c r="Y32" i="69" s="1"/>
  <c r="V32" i="69"/>
  <c r="W32" i="69" s="1"/>
  <c r="X29" i="69"/>
  <c r="Y29" i="69" s="1"/>
  <c r="V29" i="69"/>
  <c r="W29" i="69" s="1"/>
  <c r="X40" i="69"/>
  <c r="Y40" i="69" s="1"/>
  <c r="V40" i="69"/>
  <c r="W40" i="69" s="1"/>
  <c r="X39" i="69"/>
  <c r="Y39" i="69" s="1"/>
  <c r="W39" i="69"/>
  <c r="V39" i="69"/>
  <c r="X38" i="69"/>
  <c r="Y38" i="69" s="1"/>
  <c r="V38" i="69"/>
  <c r="W38" i="69" s="1"/>
  <c r="X37" i="69"/>
  <c r="Y37" i="69" s="1"/>
  <c r="V37" i="69"/>
  <c r="W37" i="69" s="1"/>
  <c r="X35" i="69"/>
  <c r="Y35" i="69" s="1"/>
  <c r="V35" i="69"/>
  <c r="W35" i="69" s="1"/>
  <c r="X34" i="69"/>
  <c r="Y34" i="69" s="1"/>
  <c r="W34" i="69"/>
  <c r="V34" i="69"/>
  <c r="X33" i="69"/>
  <c r="Y33" i="69" s="1"/>
  <c r="V33" i="69"/>
  <c r="W33" i="69" s="1"/>
  <c r="X31" i="69"/>
  <c r="Y31" i="69" s="1"/>
  <c r="V31" i="69"/>
  <c r="W31" i="69" s="1"/>
  <c r="X30" i="69"/>
  <c r="Y30" i="69" s="1"/>
  <c r="V30" i="69"/>
  <c r="W30" i="69" s="1"/>
  <c r="X28" i="69"/>
  <c r="Y28" i="69" s="1"/>
  <c r="W28" i="69"/>
  <c r="V28" i="69"/>
  <c r="X27" i="69"/>
  <c r="Y27" i="69" s="1"/>
  <c r="V27" i="69"/>
  <c r="W27" i="69" s="1"/>
  <c r="X24" i="69"/>
  <c r="Y24" i="69" s="1"/>
  <c r="V24" i="69"/>
  <c r="W24" i="69" s="1"/>
  <c r="X26" i="69"/>
  <c r="Y26" i="69" s="1"/>
  <c r="V26" i="69"/>
  <c r="W26" i="69" s="1"/>
  <c r="X23" i="69"/>
  <c r="Y23" i="69" s="1"/>
  <c r="W23" i="69"/>
  <c r="V23" i="69"/>
  <c r="X25" i="69"/>
  <c r="Y25" i="69" s="1"/>
  <c r="V25" i="69"/>
  <c r="W25" i="69" s="1"/>
  <c r="X22" i="69"/>
  <c r="Y22" i="69" s="1"/>
  <c r="V22" i="69"/>
  <c r="W22" i="69" s="1"/>
  <c r="X21" i="69"/>
  <c r="Y21" i="69" s="1"/>
  <c r="V21" i="69"/>
  <c r="W21" i="69" s="1"/>
  <c r="X17" i="69"/>
  <c r="Y17" i="69" s="1"/>
  <c r="W17" i="69"/>
  <c r="V17" i="69"/>
  <c r="X20" i="69"/>
  <c r="Y20" i="69" s="1"/>
  <c r="V20" i="69"/>
  <c r="W20" i="69" s="1"/>
  <c r="X19" i="69"/>
  <c r="Y19" i="69" s="1"/>
  <c r="V19" i="69"/>
  <c r="W19" i="69" s="1"/>
  <c r="X18" i="69"/>
  <c r="Y18" i="69" s="1"/>
  <c r="V18" i="69"/>
  <c r="W18" i="69" s="1"/>
  <c r="X16" i="69"/>
  <c r="Y16" i="69" s="1"/>
  <c r="W16" i="69"/>
  <c r="V16" i="69"/>
  <c r="X35" i="68"/>
  <c r="Y35" i="68" s="1"/>
  <c r="V35" i="68"/>
  <c r="W35" i="68" s="1"/>
  <c r="X31" i="68"/>
  <c r="Y31" i="68" s="1"/>
  <c r="W31" i="68"/>
  <c r="V31" i="68"/>
  <c r="Y40" i="68"/>
  <c r="X40" i="68"/>
  <c r="V40" i="68"/>
  <c r="W40" i="68" s="1"/>
  <c r="X39" i="68"/>
  <c r="Y39" i="68" s="1"/>
  <c r="V39" i="68"/>
  <c r="W39" i="68" s="1"/>
  <c r="X38" i="68"/>
  <c r="Y38" i="68" s="1"/>
  <c r="V38" i="68"/>
  <c r="W38" i="68" s="1"/>
  <c r="X37" i="68"/>
  <c r="Y37" i="68" s="1"/>
  <c r="W37" i="68"/>
  <c r="V37" i="68"/>
  <c r="Y36" i="68"/>
  <c r="X36" i="68"/>
  <c r="W36" i="68"/>
  <c r="V36" i="68"/>
  <c r="Y34" i="68"/>
  <c r="X34" i="68"/>
  <c r="V34" i="68"/>
  <c r="W34" i="68" s="1"/>
  <c r="X33" i="68"/>
  <c r="Y33" i="68" s="1"/>
  <c r="W33" i="68"/>
  <c r="V33" i="68"/>
  <c r="X28" i="68"/>
  <c r="Y28" i="68" s="1"/>
  <c r="W28" i="68"/>
  <c r="V28" i="68"/>
  <c r="Y32" i="68"/>
  <c r="X32" i="68"/>
  <c r="V32" i="68"/>
  <c r="W32" i="68" s="1"/>
  <c r="X30" i="68"/>
  <c r="Y30" i="68" s="1"/>
  <c r="V30" i="68"/>
  <c r="W30" i="68" s="1"/>
  <c r="Y27" i="68"/>
  <c r="X27" i="68"/>
  <c r="W27" i="68"/>
  <c r="V27" i="68"/>
  <c r="X29" i="68"/>
  <c r="Y29" i="68" s="1"/>
  <c r="V29" i="68"/>
  <c r="W29" i="68" s="1"/>
  <c r="X21" i="68"/>
  <c r="Y21" i="68" s="1"/>
  <c r="V21" i="68"/>
  <c r="W21" i="68" s="1"/>
  <c r="X22" i="68"/>
  <c r="Y22" i="68" s="1"/>
  <c r="V22" i="68"/>
  <c r="W22" i="68" s="1"/>
  <c r="Y26" i="68"/>
  <c r="X26" i="68"/>
  <c r="W26" i="68"/>
  <c r="V26" i="68"/>
  <c r="X25" i="68"/>
  <c r="Y25" i="68" s="1"/>
  <c r="V25" i="68"/>
  <c r="W25" i="68" s="1"/>
  <c r="X24" i="68"/>
  <c r="Y24" i="68" s="1"/>
  <c r="V24" i="68"/>
  <c r="W24" i="68" s="1"/>
  <c r="X20" i="68"/>
  <c r="Y20" i="68" s="1"/>
  <c r="V20" i="68"/>
  <c r="W20" i="68" s="1"/>
  <c r="Y23" i="68"/>
  <c r="X23" i="68"/>
  <c r="W23" i="68"/>
  <c r="V23" i="68"/>
  <c r="X19" i="68"/>
  <c r="Y19" i="68" s="1"/>
  <c r="V19" i="68"/>
  <c r="W19" i="68" s="1"/>
  <c r="X18" i="68"/>
  <c r="Y18" i="68" s="1"/>
  <c r="V18" i="68"/>
  <c r="W18" i="68" s="1"/>
  <c r="X17" i="68"/>
  <c r="Y17" i="68" s="1"/>
  <c r="V17" i="68"/>
  <c r="W17" i="68" s="1"/>
  <c r="Y15" i="68"/>
  <c r="X15" i="68"/>
  <c r="W15" i="68"/>
  <c r="V15" i="68"/>
  <c r="X34" i="67"/>
  <c r="Y34" i="67" s="1"/>
  <c r="W34" i="67"/>
  <c r="V34" i="67"/>
  <c r="X33" i="67"/>
  <c r="Y33" i="67" s="1"/>
  <c r="V33" i="67"/>
  <c r="W33" i="67" s="1"/>
  <c r="Y32" i="67"/>
  <c r="X32" i="67"/>
  <c r="V32" i="67"/>
  <c r="W32" i="67" s="1"/>
  <c r="X31" i="67"/>
  <c r="Y31" i="67" s="1"/>
  <c r="V31" i="67"/>
  <c r="W31" i="67" s="1"/>
  <c r="X30" i="67"/>
  <c r="Y30" i="67" s="1"/>
  <c r="V30" i="67"/>
  <c r="W30" i="67" s="1"/>
  <c r="X29" i="67"/>
  <c r="Y29" i="67" s="1"/>
  <c r="V29" i="67"/>
  <c r="W29" i="67" s="1"/>
  <c r="X28" i="67"/>
  <c r="Y28" i="67" s="1"/>
  <c r="V28" i="67"/>
  <c r="W28" i="67" s="1"/>
  <c r="X27" i="67"/>
  <c r="Y27" i="67" s="1"/>
  <c r="V27" i="67"/>
  <c r="W27" i="67" s="1"/>
  <c r="X26" i="67"/>
  <c r="Y26" i="67" s="1"/>
  <c r="V26" i="67"/>
  <c r="W26" i="67" s="1"/>
  <c r="X25" i="67"/>
  <c r="Y25" i="67" s="1"/>
  <c r="W25" i="67"/>
  <c r="V25" i="67"/>
  <c r="X24" i="67"/>
  <c r="Y24" i="67" s="1"/>
  <c r="V24" i="67"/>
  <c r="W24" i="67" s="1"/>
  <c r="X23" i="67"/>
  <c r="Y23" i="67" s="1"/>
  <c r="V23" i="67"/>
  <c r="W23" i="67" s="1"/>
  <c r="X20" i="67"/>
  <c r="Y20" i="67" s="1"/>
  <c r="V20" i="67"/>
  <c r="W20" i="67" s="1"/>
  <c r="X22" i="67"/>
  <c r="Y22" i="67" s="1"/>
  <c r="W22" i="67"/>
  <c r="V22" i="67"/>
  <c r="X19" i="67"/>
  <c r="Y19" i="67" s="1"/>
  <c r="V19" i="67"/>
  <c r="W19" i="67" s="1"/>
  <c r="X21" i="67"/>
  <c r="Y21" i="67" s="1"/>
  <c r="V21" i="67"/>
  <c r="W21" i="67" s="1"/>
  <c r="X18" i="67"/>
  <c r="Y18" i="67" s="1"/>
  <c r="V18" i="67"/>
  <c r="W18" i="67" s="1"/>
  <c r="X17" i="67"/>
  <c r="Y17" i="67" s="1"/>
  <c r="W17" i="67"/>
  <c r="V17" i="67"/>
  <c r="X16" i="67"/>
  <c r="Y16" i="67" s="1"/>
  <c r="V16" i="67"/>
  <c r="W16" i="67" s="1"/>
  <c r="X20" i="77"/>
  <c r="Y20" i="77" s="1"/>
  <c r="V20" i="77"/>
  <c r="W20" i="77" s="1"/>
  <c r="X21" i="77"/>
  <c r="Y21" i="77" s="1"/>
  <c r="W21" i="77"/>
  <c r="V21" i="77"/>
  <c r="X23" i="77"/>
  <c r="Y23" i="77" s="1"/>
  <c r="V23" i="77"/>
  <c r="W23" i="77" s="1"/>
  <c r="X22" i="77"/>
  <c r="Y22" i="77" s="1"/>
  <c r="V22" i="77"/>
  <c r="W22" i="77" s="1"/>
  <c r="X19" i="77"/>
  <c r="Y19" i="77" s="1"/>
  <c r="V19" i="77"/>
  <c r="W19" i="77" s="1"/>
  <c r="X18" i="77"/>
  <c r="Y18" i="77" s="1"/>
  <c r="V18" i="77"/>
  <c r="W18" i="77" s="1"/>
  <c r="X17" i="77"/>
  <c r="Y17" i="77" s="1"/>
  <c r="V17" i="77"/>
  <c r="W17" i="77" s="1"/>
  <c r="X15" i="77"/>
  <c r="Y15" i="77" s="1"/>
  <c r="V15" i="77"/>
  <c r="W15" i="77" s="1"/>
  <c r="X27" i="66"/>
  <c r="Y27" i="66" s="1"/>
  <c r="V27" i="66"/>
  <c r="W27" i="66" s="1"/>
  <c r="X28" i="66"/>
  <c r="Y28" i="66" s="1"/>
  <c r="W28" i="66"/>
  <c r="V28" i="66"/>
  <c r="Y33" i="66"/>
  <c r="X33" i="66"/>
  <c r="V33" i="66"/>
  <c r="W33" i="66" s="1"/>
  <c r="X32" i="66"/>
  <c r="Y32" i="66" s="1"/>
  <c r="V32" i="66"/>
  <c r="W32" i="66" s="1"/>
  <c r="X31" i="66"/>
  <c r="Y31" i="66" s="1"/>
  <c r="W31" i="66"/>
  <c r="V31" i="66"/>
  <c r="X30" i="66"/>
  <c r="Y30" i="66" s="1"/>
  <c r="V30" i="66"/>
  <c r="W30" i="66" s="1"/>
  <c r="X29" i="66"/>
  <c r="Y29" i="66" s="1"/>
  <c r="V29" i="66"/>
  <c r="W29" i="66" s="1"/>
  <c r="X25" i="66"/>
  <c r="Y25" i="66" s="1"/>
  <c r="V25" i="66"/>
  <c r="W25" i="66" s="1"/>
  <c r="X24" i="66"/>
  <c r="Y24" i="66" s="1"/>
  <c r="W24" i="66"/>
  <c r="V24" i="66"/>
  <c r="X26" i="66"/>
  <c r="Y26" i="66" s="1"/>
  <c r="V26" i="66"/>
  <c r="W26" i="66" s="1"/>
  <c r="Y23" i="66"/>
  <c r="X23" i="66"/>
  <c r="V23" i="66"/>
  <c r="W23" i="66" s="1"/>
  <c r="X21" i="66"/>
  <c r="Y21" i="66" s="1"/>
  <c r="V21" i="66"/>
  <c r="W21" i="66" s="1"/>
  <c r="X22" i="66"/>
  <c r="Y22" i="66" s="1"/>
  <c r="W22" i="66"/>
  <c r="V22" i="66"/>
  <c r="X20" i="66"/>
  <c r="Y20" i="66" s="1"/>
  <c r="V20" i="66"/>
  <c r="W20" i="66" s="1"/>
  <c r="Y19" i="66"/>
  <c r="X19" i="66"/>
  <c r="V19" i="66"/>
  <c r="W19" i="66" s="1"/>
  <c r="X18" i="66"/>
  <c r="Y18" i="66" s="1"/>
  <c r="V18" i="66"/>
  <c r="W18" i="66" s="1"/>
  <c r="X17" i="66"/>
  <c r="Y17" i="66" s="1"/>
  <c r="W17" i="66"/>
  <c r="V17" i="66"/>
  <c r="X16" i="66"/>
  <c r="Y16" i="66" s="1"/>
  <c r="V16" i="66"/>
  <c r="W16" i="66" s="1"/>
  <c r="X26" i="76"/>
  <c r="Y26" i="76" s="1"/>
  <c r="V26" i="76"/>
  <c r="W26" i="76" s="1"/>
  <c r="Z26" i="76" s="1"/>
  <c r="X33" i="76"/>
  <c r="Y33" i="76" s="1"/>
  <c r="V33" i="76"/>
  <c r="W33" i="76" s="1"/>
  <c r="Z33" i="76" s="1"/>
  <c r="X30" i="76"/>
  <c r="Y30" i="76" s="1"/>
  <c r="V30" i="76"/>
  <c r="W30" i="76" s="1"/>
  <c r="Z30" i="76" s="1"/>
  <c r="X29" i="76"/>
  <c r="Y29" i="76" s="1"/>
  <c r="V29" i="76"/>
  <c r="W29" i="76" s="1"/>
  <c r="Z29" i="76" s="1"/>
  <c r="X27" i="76"/>
  <c r="Y27" i="76" s="1"/>
  <c r="V27" i="76"/>
  <c r="W27" i="76" s="1"/>
  <c r="Z27" i="76" s="1"/>
  <c r="X32" i="76"/>
  <c r="Y32" i="76" s="1"/>
  <c r="V32" i="76"/>
  <c r="W32" i="76" s="1"/>
  <c r="X31" i="76"/>
  <c r="Y31" i="76" s="1"/>
  <c r="V31" i="76"/>
  <c r="W31" i="76" s="1"/>
  <c r="Y28" i="76"/>
  <c r="X28" i="76"/>
  <c r="V28" i="76"/>
  <c r="W28" i="76" s="1"/>
  <c r="X25" i="76"/>
  <c r="Y25" i="76" s="1"/>
  <c r="V25" i="76"/>
  <c r="W25" i="76" s="1"/>
  <c r="X24" i="76"/>
  <c r="Y24" i="76" s="1"/>
  <c r="V24" i="76"/>
  <c r="W24" i="76" s="1"/>
  <c r="X23" i="76"/>
  <c r="Y23" i="76" s="1"/>
  <c r="W23" i="76"/>
  <c r="V23" i="76"/>
  <c r="Y22" i="76"/>
  <c r="X22" i="76"/>
  <c r="V22" i="76"/>
  <c r="W22" i="76" s="1"/>
  <c r="X21" i="76"/>
  <c r="Y21" i="76" s="1"/>
  <c r="V21" i="76"/>
  <c r="W21" i="76" s="1"/>
  <c r="X19" i="76"/>
  <c r="Y19" i="76" s="1"/>
  <c r="V19" i="76"/>
  <c r="W19" i="76" s="1"/>
  <c r="X20" i="76"/>
  <c r="Y20" i="76" s="1"/>
  <c r="W20" i="76"/>
  <c r="V20" i="76"/>
  <c r="Y16" i="76"/>
  <c r="X16" i="76"/>
  <c r="V16" i="76"/>
  <c r="W16" i="76" s="1"/>
  <c r="X18" i="76"/>
  <c r="Y18" i="76" s="1"/>
  <c r="V18" i="76"/>
  <c r="W18" i="76" s="1"/>
  <c r="X17" i="76"/>
  <c r="Y17" i="76" s="1"/>
  <c r="V17" i="76"/>
  <c r="W17" i="76" s="1"/>
  <c r="X49" i="65"/>
  <c r="Y49" i="65" s="1"/>
  <c r="V49" i="65"/>
  <c r="W49" i="65" s="1"/>
  <c r="X51" i="65"/>
  <c r="Y51" i="65" s="1"/>
  <c r="V51" i="65"/>
  <c r="W51" i="65" s="1"/>
  <c r="Z51" i="65" s="1"/>
  <c r="X47" i="65"/>
  <c r="Y47" i="65" s="1"/>
  <c r="W47" i="65"/>
  <c r="Z47" i="65" s="1"/>
  <c r="V47" i="65"/>
  <c r="X43" i="65"/>
  <c r="Y43" i="65" s="1"/>
  <c r="W43" i="65"/>
  <c r="V43" i="65"/>
  <c r="X55" i="65"/>
  <c r="Y55" i="65" s="1"/>
  <c r="V55" i="65"/>
  <c r="W55" i="65" s="1"/>
  <c r="X54" i="65"/>
  <c r="Y54" i="65" s="1"/>
  <c r="V54" i="65"/>
  <c r="W54" i="65" s="1"/>
  <c r="X53" i="65"/>
  <c r="Y53" i="65" s="1"/>
  <c r="W53" i="65"/>
  <c r="V53" i="65"/>
  <c r="X52" i="65"/>
  <c r="Y52" i="65" s="1"/>
  <c r="V52" i="65"/>
  <c r="W52" i="65" s="1"/>
  <c r="Y50" i="65"/>
  <c r="X50" i="65"/>
  <c r="V50" i="65"/>
  <c r="W50" i="65" s="1"/>
  <c r="X48" i="65"/>
  <c r="Y48" i="65" s="1"/>
  <c r="V48" i="65"/>
  <c r="W48" i="65" s="1"/>
  <c r="X40" i="65"/>
  <c r="Y40" i="65" s="1"/>
  <c r="V40" i="65"/>
  <c r="W40" i="65" s="1"/>
  <c r="X46" i="65"/>
  <c r="Y46" i="65" s="1"/>
  <c r="V46" i="65"/>
  <c r="W46" i="65" s="1"/>
  <c r="X37" i="65"/>
  <c r="Y37" i="65" s="1"/>
  <c r="V37" i="65"/>
  <c r="W37" i="65" s="1"/>
  <c r="X45" i="65"/>
  <c r="Y45" i="65" s="1"/>
  <c r="V45" i="65"/>
  <c r="W45" i="65" s="1"/>
  <c r="X39" i="65"/>
  <c r="Y39" i="65" s="1"/>
  <c r="W39" i="65"/>
  <c r="V39" i="65"/>
  <c r="X44" i="65"/>
  <c r="Y44" i="65" s="1"/>
  <c r="V44" i="65"/>
  <c r="W44" i="65" s="1"/>
  <c r="Y42" i="65"/>
  <c r="X42" i="65"/>
  <c r="V42" i="65"/>
  <c r="W42" i="65" s="1"/>
  <c r="X41" i="65"/>
  <c r="Y41" i="65" s="1"/>
  <c r="V41" i="65"/>
  <c r="W41" i="65" s="1"/>
  <c r="X33" i="65"/>
  <c r="Y33" i="65" s="1"/>
  <c r="V33" i="65"/>
  <c r="W33" i="65" s="1"/>
  <c r="X32" i="65"/>
  <c r="Y32" i="65" s="1"/>
  <c r="V32" i="65"/>
  <c r="W32" i="65" s="1"/>
  <c r="X38" i="65"/>
  <c r="Y38" i="65" s="1"/>
  <c r="V38" i="65"/>
  <c r="W38" i="65" s="1"/>
  <c r="X31" i="65"/>
  <c r="Y31" i="65" s="1"/>
  <c r="V31" i="65"/>
  <c r="W31" i="65" s="1"/>
  <c r="X36" i="65"/>
  <c r="Y36" i="65" s="1"/>
  <c r="W36" i="65"/>
  <c r="V36" i="65"/>
  <c r="X35" i="65"/>
  <c r="Y35" i="65" s="1"/>
  <c r="V35" i="65"/>
  <c r="W35" i="65" s="1"/>
  <c r="Y34" i="65"/>
  <c r="X34" i="65"/>
  <c r="V34" i="65"/>
  <c r="W34" i="65" s="1"/>
  <c r="X30" i="65"/>
  <c r="Y30" i="65" s="1"/>
  <c r="V30" i="65"/>
  <c r="W30" i="65" s="1"/>
  <c r="X29" i="65"/>
  <c r="Y29" i="65" s="1"/>
  <c r="V29" i="65"/>
  <c r="W29" i="65" s="1"/>
  <c r="X28" i="65"/>
  <c r="Y28" i="65" s="1"/>
  <c r="V28" i="65"/>
  <c r="W28" i="65" s="1"/>
  <c r="X27" i="65"/>
  <c r="Y27" i="65" s="1"/>
  <c r="V27" i="65"/>
  <c r="W27" i="65" s="1"/>
  <c r="X23" i="65"/>
  <c r="Y23" i="65" s="1"/>
  <c r="V23" i="65"/>
  <c r="W23" i="65" s="1"/>
  <c r="X25" i="65"/>
  <c r="Y25" i="65" s="1"/>
  <c r="W25" i="65"/>
  <c r="V25" i="65"/>
  <c r="X24" i="65"/>
  <c r="Y24" i="65" s="1"/>
  <c r="V24" i="65"/>
  <c r="W24" i="65" s="1"/>
  <c r="Y26" i="65"/>
  <c r="X26" i="65"/>
  <c r="V26" i="65"/>
  <c r="W26" i="65" s="1"/>
  <c r="X22" i="65"/>
  <c r="Y22" i="65" s="1"/>
  <c r="V22" i="65"/>
  <c r="W22" i="65" s="1"/>
  <c r="X21" i="65"/>
  <c r="Y21" i="65" s="1"/>
  <c r="V21" i="65"/>
  <c r="W21" i="65" s="1"/>
  <c r="X20" i="65"/>
  <c r="Y20" i="65" s="1"/>
  <c r="V20" i="65"/>
  <c r="W20" i="65" s="1"/>
  <c r="X18" i="65"/>
  <c r="Y18" i="65" s="1"/>
  <c r="V18" i="65"/>
  <c r="W18" i="65" s="1"/>
  <c r="X17" i="65"/>
  <c r="Y17" i="65" s="1"/>
  <c r="V17" i="65"/>
  <c r="W17" i="65" s="1"/>
  <c r="X19" i="65"/>
  <c r="Y19" i="65" s="1"/>
  <c r="W19" i="65"/>
  <c r="V19" i="65"/>
  <c r="X16" i="65"/>
  <c r="Y16" i="65" s="1"/>
  <c r="V16" i="65"/>
  <c r="W16" i="65" s="1"/>
  <c r="X24" i="64"/>
  <c r="Y24" i="64" s="1"/>
  <c r="V24" i="64"/>
  <c r="W24" i="64" s="1"/>
  <c r="X23" i="64"/>
  <c r="Y23" i="64" s="1"/>
  <c r="W23" i="64"/>
  <c r="V23" i="64"/>
  <c r="X22" i="64"/>
  <c r="Y22" i="64" s="1"/>
  <c r="V22" i="64"/>
  <c r="W22" i="64" s="1"/>
  <c r="X18" i="64"/>
  <c r="Y18" i="64" s="1"/>
  <c r="V18" i="64"/>
  <c r="W18" i="64" s="1"/>
  <c r="X21" i="64"/>
  <c r="Y21" i="64" s="1"/>
  <c r="V21" i="64"/>
  <c r="W21" i="64" s="1"/>
  <c r="X20" i="64"/>
  <c r="Y20" i="64" s="1"/>
  <c r="W20" i="64"/>
  <c r="V20" i="64"/>
  <c r="X19" i="64"/>
  <c r="Y19" i="64" s="1"/>
  <c r="V19" i="64"/>
  <c r="W19" i="64" s="1"/>
  <c r="X17" i="64"/>
  <c r="Y17" i="64" s="1"/>
  <c r="V17" i="64"/>
  <c r="W17" i="64" s="1"/>
  <c r="X16" i="64"/>
  <c r="Y16" i="64" s="1"/>
  <c r="V16" i="64"/>
  <c r="W16" i="64" s="1"/>
  <c r="X70" i="63"/>
  <c r="Y70" i="63" s="1"/>
  <c r="W70" i="63"/>
  <c r="Z70" i="63" s="1"/>
  <c r="V70" i="63"/>
  <c r="X66" i="63"/>
  <c r="Y66" i="63" s="1"/>
  <c r="V66" i="63"/>
  <c r="W66" i="63" s="1"/>
  <c r="Y62" i="63"/>
  <c r="X62" i="63"/>
  <c r="V62" i="63"/>
  <c r="W62" i="63" s="1"/>
  <c r="X65" i="63"/>
  <c r="Y65" i="63" s="1"/>
  <c r="V65" i="63"/>
  <c r="W65" i="63" s="1"/>
  <c r="Z65" i="63" s="1"/>
  <c r="X64" i="63"/>
  <c r="Y64" i="63" s="1"/>
  <c r="V64" i="63"/>
  <c r="W64" i="63" s="1"/>
  <c r="Z64" i="63" s="1"/>
  <c r="X69" i="63"/>
  <c r="Y69" i="63" s="1"/>
  <c r="V69" i="63"/>
  <c r="W69" i="63" s="1"/>
  <c r="X59" i="63"/>
  <c r="Y59" i="63" s="1"/>
  <c r="V59" i="63"/>
  <c r="W59" i="63" s="1"/>
  <c r="X68" i="63"/>
  <c r="Y68" i="63" s="1"/>
  <c r="V68" i="63"/>
  <c r="W68" i="63" s="1"/>
  <c r="X67" i="63"/>
  <c r="Y67" i="63" s="1"/>
  <c r="W67" i="63"/>
  <c r="V67" i="63"/>
  <c r="X63" i="63"/>
  <c r="Y63" i="63" s="1"/>
  <c r="V63" i="63"/>
  <c r="W63" i="63" s="1"/>
  <c r="Y57" i="63"/>
  <c r="X57" i="63"/>
  <c r="V57" i="63"/>
  <c r="W57" i="63" s="1"/>
  <c r="X61" i="63"/>
  <c r="Y61" i="63" s="1"/>
  <c r="V61" i="63"/>
  <c r="W61" i="63" s="1"/>
  <c r="X53" i="63"/>
  <c r="Y53" i="63" s="1"/>
  <c r="V53" i="63"/>
  <c r="W53" i="63" s="1"/>
  <c r="X60" i="63"/>
  <c r="Y60" i="63" s="1"/>
  <c r="V60" i="63"/>
  <c r="W60" i="63" s="1"/>
  <c r="X54" i="63"/>
  <c r="Y54" i="63" s="1"/>
  <c r="V54" i="63"/>
  <c r="W54" i="63" s="1"/>
  <c r="X58" i="63"/>
  <c r="Y58" i="63" s="1"/>
  <c r="V58" i="63"/>
  <c r="W58" i="63" s="1"/>
  <c r="X52" i="63"/>
  <c r="Y52" i="63" s="1"/>
  <c r="W52" i="63"/>
  <c r="V52" i="63"/>
  <c r="X50" i="63"/>
  <c r="Y50" i="63" s="1"/>
  <c r="V50" i="63"/>
  <c r="W50" i="63" s="1"/>
  <c r="Y43" i="63"/>
  <c r="X43" i="63"/>
  <c r="V43" i="63"/>
  <c r="W43" i="63" s="1"/>
  <c r="X56" i="63"/>
  <c r="Y56" i="63" s="1"/>
  <c r="V56" i="63"/>
  <c r="W56" i="63" s="1"/>
  <c r="X55" i="63"/>
  <c r="Y55" i="63" s="1"/>
  <c r="V55" i="63"/>
  <c r="W55" i="63" s="1"/>
  <c r="X37" i="63"/>
  <c r="Y37" i="63" s="1"/>
  <c r="V37" i="63"/>
  <c r="W37" i="63" s="1"/>
  <c r="X45" i="63"/>
  <c r="Y45" i="63" s="1"/>
  <c r="V45" i="63"/>
  <c r="W45" i="63" s="1"/>
  <c r="X41" i="63"/>
  <c r="Y41" i="63" s="1"/>
  <c r="V41" i="63"/>
  <c r="W41" i="63" s="1"/>
  <c r="X51" i="63"/>
  <c r="Y51" i="63" s="1"/>
  <c r="W51" i="63"/>
  <c r="V51" i="63"/>
  <c r="X39" i="63"/>
  <c r="Y39" i="63" s="1"/>
  <c r="V39" i="63"/>
  <c r="W39" i="63" s="1"/>
  <c r="Y40" i="63"/>
  <c r="X40" i="63"/>
  <c r="V40" i="63"/>
  <c r="W40" i="63" s="1"/>
  <c r="X49" i="63"/>
  <c r="Y49" i="63" s="1"/>
  <c r="V49" i="63"/>
  <c r="W49" i="63" s="1"/>
  <c r="X48" i="63"/>
  <c r="Y48" i="63" s="1"/>
  <c r="V48" i="63"/>
  <c r="W48" i="63" s="1"/>
  <c r="X47" i="63"/>
  <c r="Y47" i="63" s="1"/>
  <c r="V47" i="63"/>
  <c r="W47" i="63" s="1"/>
  <c r="X46" i="63"/>
  <c r="Y46" i="63" s="1"/>
  <c r="V46" i="63"/>
  <c r="W46" i="63" s="1"/>
  <c r="X44" i="63"/>
  <c r="Y44" i="63" s="1"/>
  <c r="V44" i="63"/>
  <c r="W44" i="63" s="1"/>
  <c r="X42" i="63"/>
  <c r="Y42" i="63" s="1"/>
  <c r="W42" i="63"/>
  <c r="V42" i="63"/>
  <c r="X35" i="63"/>
  <c r="Y35" i="63" s="1"/>
  <c r="V35" i="63"/>
  <c r="W35" i="63" s="1"/>
  <c r="Y33" i="63"/>
  <c r="X33" i="63"/>
  <c r="V33" i="63"/>
  <c r="W33" i="63" s="1"/>
  <c r="X38" i="63"/>
  <c r="Y38" i="63" s="1"/>
  <c r="V38" i="63"/>
  <c r="W38" i="63" s="1"/>
  <c r="X36" i="63"/>
  <c r="Y36" i="63" s="1"/>
  <c r="V36" i="63"/>
  <c r="W36" i="63" s="1"/>
  <c r="X32" i="63"/>
  <c r="Y32" i="63" s="1"/>
  <c r="V32" i="63"/>
  <c r="W32" i="63" s="1"/>
  <c r="X34" i="63"/>
  <c r="Y34" i="63" s="1"/>
  <c r="V34" i="63"/>
  <c r="W34" i="63" s="1"/>
  <c r="X28" i="63"/>
  <c r="Y28" i="63" s="1"/>
  <c r="V28" i="63"/>
  <c r="W28" i="63" s="1"/>
  <c r="X30" i="63"/>
  <c r="Y30" i="63" s="1"/>
  <c r="W30" i="63"/>
  <c r="V30" i="63"/>
  <c r="X31" i="63"/>
  <c r="Y31" i="63" s="1"/>
  <c r="V31" i="63"/>
  <c r="W31" i="63" s="1"/>
  <c r="Y29" i="63"/>
  <c r="X29" i="63"/>
  <c r="V29" i="63"/>
  <c r="W29" i="63" s="1"/>
  <c r="X26" i="63"/>
  <c r="Y26" i="63" s="1"/>
  <c r="V26" i="63"/>
  <c r="W26" i="63" s="1"/>
  <c r="X24" i="63"/>
  <c r="Y24" i="63" s="1"/>
  <c r="V24" i="63"/>
  <c r="W24" i="63" s="1"/>
  <c r="X23" i="63"/>
  <c r="Y23" i="63" s="1"/>
  <c r="V23" i="63"/>
  <c r="W23" i="63" s="1"/>
  <c r="X25" i="63"/>
  <c r="Y25" i="63" s="1"/>
  <c r="V25" i="63"/>
  <c r="W25" i="63" s="1"/>
  <c r="X27" i="63"/>
  <c r="Y27" i="63" s="1"/>
  <c r="V27" i="63"/>
  <c r="W27" i="63" s="1"/>
  <c r="X18" i="63"/>
  <c r="Y18" i="63" s="1"/>
  <c r="W18" i="63"/>
  <c r="V18" i="63"/>
  <c r="X21" i="63"/>
  <c r="Y21" i="63" s="1"/>
  <c r="V21" i="63"/>
  <c r="W21" i="63" s="1"/>
  <c r="Y19" i="63"/>
  <c r="X19" i="63"/>
  <c r="V19" i="63"/>
  <c r="W19" i="63" s="1"/>
  <c r="X20" i="63"/>
  <c r="Y20" i="63" s="1"/>
  <c r="V20" i="63"/>
  <c r="W20" i="63" s="1"/>
  <c r="X22" i="63"/>
  <c r="Y22" i="63" s="1"/>
  <c r="V22" i="63"/>
  <c r="W22" i="63" s="1"/>
  <c r="X17" i="63"/>
  <c r="Y17" i="63" s="1"/>
  <c r="V17" i="63"/>
  <c r="W17" i="63" s="1"/>
  <c r="X15" i="63"/>
  <c r="Y15" i="63" s="1"/>
  <c r="V15" i="63"/>
  <c r="W15" i="63" s="1"/>
  <c r="X22" i="62"/>
  <c r="Y22" i="62" s="1"/>
  <c r="V22" i="62"/>
  <c r="W22" i="62" s="1"/>
  <c r="Z22" i="62" s="1"/>
  <c r="X18" i="62"/>
  <c r="Y18" i="62" s="1"/>
  <c r="W18" i="62"/>
  <c r="V18" i="62"/>
  <c r="X21" i="62"/>
  <c r="Y21" i="62" s="1"/>
  <c r="V21" i="62"/>
  <c r="W21" i="62" s="1"/>
  <c r="X20" i="62"/>
  <c r="Y20" i="62" s="1"/>
  <c r="V20" i="62"/>
  <c r="W20" i="62" s="1"/>
  <c r="X19" i="62"/>
  <c r="Y19" i="62" s="1"/>
  <c r="V19" i="62"/>
  <c r="W19" i="62" s="1"/>
  <c r="X17" i="62"/>
  <c r="Y17" i="62" s="1"/>
  <c r="V17" i="62"/>
  <c r="W17" i="62" s="1"/>
  <c r="X16" i="62"/>
  <c r="Y16" i="62" s="1"/>
  <c r="V16" i="62"/>
  <c r="W16" i="62" s="1"/>
  <c r="X52" i="61"/>
  <c r="Y52" i="61" s="1"/>
  <c r="V52" i="61"/>
  <c r="W52" i="61" s="1"/>
  <c r="Z52" i="61" s="1"/>
  <c r="X60" i="61"/>
  <c r="Y60" i="61" s="1"/>
  <c r="V60" i="61"/>
  <c r="W60" i="61" s="1"/>
  <c r="X67" i="61"/>
  <c r="Y67" i="61" s="1"/>
  <c r="Z67" i="61" s="1"/>
  <c r="V67" i="61"/>
  <c r="W67" i="61" s="1"/>
  <c r="X68" i="61"/>
  <c r="Y68" i="61" s="1"/>
  <c r="V68" i="61"/>
  <c r="W68" i="61" s="1"/>
  <c r="X70" i="61"/>
  <c r="Y70" i="61" s="1"/>
  <c r="W70" i="61"/>
  <c r="V70" i="61"/>
  <c r="X82" i="61"/>
  <c r="Y82" i="61" s="1"/>
  <c r="V82" i="61"/>
  <c r="W82" i="61" s="1"/>
  <c r="Y81" i="61"/>
  <c r="X81" i="61"/>
  <c r="V81" i="61"/>
  <c r="W81" i="61" s="1"/>
  <c r="X69" i="61"/>
  <c r="Y69" i="61" s="1"/>
  <c r="V69" i="61"/>
  <c r="W69" i="61" s="1"/>
  <c r="X80" i="61"/>
  <c r="Y80" i="61" s="1"/>
  <c r="W80" i="61"/>
  <c r="V80" i="61"/>
  <c r="Y79" i="61"/>
  <c r="X79" i="61"/>
  <c r="V79" i="61"/>
  <c r="W79" i="61" s="1"/>
  <c r="X78" i="61"/>
  <c r="Y78" i="61" s="1"/>
  <c r="V78" i="61"/>
  <c r="W78" i="61" s="1"/>
  <c r="X77" i="61"/>
  <c r="Y77" i="61" s="1"/>
  <c r="V77" i="61"/>
  <c r="W77" i="61" s="1"/>
  <c r="X76" i="61"/>
  <c r="Y76" i="61" s="1"/>
  <c r="V76" i="61"/>
  <c r="W76" i="61" s="1"/>
  <c r="X75" i="61"/>
  <c r="Y75" i="61" s="1"/>
  <c r="V75" i="61"/>
  <c r="W75" i="61" s="1"/>
  <c r="X74" i="61"/>
  <c r="Y74" i="61" s="1"/>
  <c r="V74" i="61"/>
  <c r="W74" i="61" s="1"/>
  <c r="X73" i="61"/>
  <c r="Y73" i="61" s="1"/>
  <c r="V73" i="61"/>
  <c r="W73" i="61" s="1"/>
  <c r="X72" i="61"/>
  <c r="Y72" i="61" s="1"/>
  <c r="V72" i="61"/>
  <c r="W72" i="61" s="1"/>
  <c r="X58" i="61"/>
  <c r="Y58" i="61" s="1"/>
  <c r="V58" i="61"/>
  <c r="W58" i="61" s="1"/>
  <c r="Y71" i="61"/>
  <c r="X71" i="61"/>
  <c r="V71" i="61"/>
  <c r="W71" i="61" s="1"/>
  <c r="X66" i="61"/>
  <c r="Y66" i="61" s="1"/>
  <c r="V66" i="61"/>
  <c r="W66" i="61" s="1"/>
  <c r="X65" i="61"/>
  <c r="Y65" i="61" s="1"/>
  <c r="W65" i="61"/>
  <c r="V65" i="61"/>
  <c r="X53" i="61"/>
  <c r="Y53" i="61" s="1"/>
  <c r="V53" i="61"/>
  <c r="W53" i="61" s="1"/>
  <c r="Y64" i="61"/>
  <c r="X64" i="61"/>
  <c r="V64" i="61"/>
  <c r="W64" i="61" s="1"/>
  <c r="X63" i="61"/>
  <c r="Y63" i="61" s="1"/>
  <c r="V63" i="61"/>
  <c r="W63" i="61" s="1"/>
  <c r="X62" i="61"/>
  <c r="Y62" i="61" s="1"/>
  <c r="W62" i="61"/>
  <c r="V62" i="61"/>
  <c r="X61" i="61"/>
  <c r="Y61" i="61" s="1"/>
  <c r="V61" i="61"/>
  <c r="W61" i="61" s="1"/>
  <c r="X59" i="61"/>
  <c r="Y59" i="61" s="1"/>
  <c r="V59" i="61"/>
  <c r="W59" i="61" s="1"/>
  <c r="X57" i="61"/>
  <c r="Y57" i="61" s="1"/>
  <c r="V57" i="61"/>
  <c r="W57" i="61" s="1"/>
  <c r="X56" i="61"/>
  <c r="Y56" i="61" s="1"/>
  <c r="V56" i="61"/>
  <c r="W56" i="61" s="1"/>
  <c r="X43" i="61"/>
  <c r="Y43" i="61" s="1"/>
  <c r="V43" i="61"/>
  <c r="W43" i="61" s="1"/>
  <c r="X55" i="61"/>
  <c r="Y55" i="61" s="1"/>
  <c r="V55" i="61"/>
  <c r="W55" i="61" s="1"/>
  <c r="X44" i="61"/>
  <c r="Y44" i="61" s="1"/>
  <c r="V44" i="61"/>
  <c r="W44" i="61" s="1"/>
  <c r="X54" i="61"/>
  <c r="Y54" i="61" s="1"/>
  <c r="V54" i="61"/>
  <c r="W54" i="61" s="1"/>
  <c r="X47" i="61"/>
  <c r="Y47" i="61" s="1"/>
  <c r="V47" i="61"/>
  <c r="W47" i="61" s="1"/>
  <c r="Y40" i="61"/>
  <c r="X40" i="61"/>
  <c r="V40" i="61"/>
  <c r="W40" i="61" s="1"/>
  <c r="X51" i="61"/>
  <c r="Y51" i="61" s="1"/>
  <c r="V51" i="61"/>
  <c r="W51" i="61" s="1"/>
  <c r="X50" i="61"/>
  <c r="Y50" i="61" s="1"/>
  <c r="W50" i="61"/>
  <c r="V50" i="61"/>
  <c r="X36" i="61"/>
  <c r="Y36" i="61" s="1"/>
  <c r="V36" i="61"/>
  <c r="W36" i="61" s="1"/>
  <c r="Y49" i="61"/>
  <c r="X49" i="61"/>
  <c r="V49" i="61"/>
  <c r="W49" i="61" s="1"/>
  <c r="X39" i="61"/>
  <c r="Y39" i="61" s="1"/>
  <c r="V39" i="61"/>
  <c r="W39" i="61" s="1"/>
  <c r="X48" i="61"/>
  <c r="Y48" i="61" s="1"/>
  <c r="W48" i="61"/>
  <c r="V48" i="61"/>
  <c r="Y31" i="61"/>
  <c r="X31" i="61"/>
  <c r="V31" i="61"/>
  <c r="W31" i="61" s="1"/>
  <c r="X46" i="61"/>
  <c r="Y46" i="61" s="1"/>
  <c r="V46" i="61"/>
  <c r="W46" i="61" s="1"/>
  <c r="X45" i="61"/>
  <c r="Y45" i="61" s="1"/>
  <c r="V45" i="61"/>
  <c r="W45" i="61" s="1"/>
  <c r="X34" i="61"/>
  <c r="Y34" i="61" s="1"/>
  <c r="V34" i="61"/>
  <c r="W34" i="61" s="1"/>
  <c r="X27" i="61"/>
  <c r="Y27" i="61" s="1"/>
  <c r="V27" i="61"/>
  <c r="W27" i="61" s="1"/>
  <c r="X42" i="61"/>
  <c r="Y42" i="61" s="1"/>
  <c r="V42" i="61"/>
  <c r="W42" i="61" s="1"/>
  <c r="X41" i="61"/>
  <c r="Y41" i="61" s="1"/>
  <c r="W41" i="61"/>
  <c r="V41" i="61"/>
  <c r="X25" i="61"/>
  <c r="Y25" i="61" s="1"/>
  <c r="V25" i="61"/>
  <c r="W25" i="61" s="1"/>
  <c r="X29" i="61"/>
  <c r="Y29" i="61" s="1"/>
  <c r="V29" i="61"/>
  <c r="W29" i="61" s="1"/>
  <c r="X38" i="61"/>
  <c r="Y38" i="61" s="1"/>
  <c r="V38" i="61"/>
  <c r="W38" i="61" s="1"/>
  <c r="X37" i="61"/>
  <c r="Y37" i="61" s="1"/>
  <c r="V37" i="61"/>
  <c r="W37" i="61" s="1"/>
  <c r="X30" i="61"/>
  <c r="Y30" i="61" s="1"/>
  <c r="V30" i="61"/>
  <c r="W30" i="61" s="1"/>
  <c r="X35" i="61"/>
  <c r="Y35" i="61" s="1"/>
  <c r="V35" i="61"/>
  <c r="W35" i="61" s="1"/>
  <c r="Y26" i="61"/>
  <c r="X26" i="61"/>
  <c r="V26" i="61"/>
  <c r="W26" i="61" s="1"/>
  <c r="X28" i="61"/>
  <c r="Y28" i="61" s="1"/>
  <c r="V28" i="61"/>
  <c r="W28" i="61" s="1"/>
  <c r="X33" i="61"/>
  <c r="Y33" i="61" s="1"/>
  <c r="V33" i="61"/>
  <c r="W33" i="61" s="1"/>
  <c r="X32" i="61"/>
  <c r="Y32" i="61" s="1"/>
  <c r="V32" i="61"/>
  <c r="W32" i="61" s="1"/>
  <c r="X23" i="61"/>
  <c r="Y23" i="61" s="1"/>
  <c r="V23" i="61"/>
  <c r="W23" i="61" s="1"/>
  <c r="X22" i="61"/>
  <c r="Y22" i="61" s="1"/>
  <c r="V22" i="61"/>
  <c r="W22" i="61" s="1"/>
  <c r="X21" i="61"/>
  <c r="Y21" i="61" s="1"/>
  <c r="V21" i="61"/>
  <c r="W21" i="61" s="1"/>
  <c r="X20" i="61"/>
  <c r="Y20" i="61" s="1"/>
  <c r="V20" i="61"/>
  <c r="W20" i="61" s="1"/>
  <c r="X24" i="61"/>
  <c r="Y24" i="61" s="1"/>
  <c r="V24" i="61"/>
  <c r="W24" i="61" s="1"/>
  <c r="X19" i="61"/>
  <c r="Y19" i="61" s="1"/>
  <c r="W19" i="61"/>
  <c r="V19" i="61"/>
  <c r="X18" i="61"/>
  <c r="Y18" i="61" s="1"/>
  <c r="V18" i="61"/>
  <c r="W18" i="61" s="1"/>
  <c r="X17" i="61"/>
  <c r="Y17" i="61" s="1"/>
  <c r="V17" i="61"/>
  <c r="W17" i="61" s="1"/>
  <c r="X16" i="61"/>
  <c r="Y16" i="61" s="1"/>
  <c r="V16" i="61"/>
  <c r="W16" i="61" s="1"/>
  <c r="X33" i="57"/>
  <c r="Y33" i="57" s="1"/>
  <c r="V33" i="57"/>
  <c r="W33" i="57" s="1"/>
  <c r="X32" i="57"/>
  <c r="Y32" i="57" s="1"/>
  <c r="V32" i="57"/>
  <c r="W32" i="57" s="1"/>
  <c r="X31" i="57"/>
  <c r="Y31" i="57" s="1"/>
  <c r="V31" i="57"/>
  <c r="W31" i="57" s="1"/>
  <c r="X30" i="57"/>
  <c r="Y30" i="57" s="1"/>
  <c r="V30" i="57"/>
  <c r="W30" i="57" s="1"/>
  <c r="X29" i="57"/>
  <c r="Y29" i="57" s="1"/>
  <c r="V29" i="57"/>
  <c r="W29" i="57" s="1"/>
  <c r="X28" i="57"/>
  <c r="Y28" i="57" s="1"/>
  <c r="V28" i="57"/>
  <c r="W28" i="57" s="1"/>
  <c r="X27" i="57"/>
  <c r="Y27" i="57" s="1"/>
  <c r="V27" i="57"/>
  <c r="W27" i="57" s="1"/>
  <c r="X26" i="57"/>
  <c r="Y26" i="57" s="1"/>
  <c r="V26" i="57"/>
  <c r="W26" i="57" s="1"/>
  <c r="X25" i="57"/>
  <c r="Y25" i="57" s="1"/>
  <c r="V25" i="57"/>
  <c r="W25" i="57" s="1"/>
  <c r="X24" i="57"/>
  <c r="Y24" i="57" s="1"/>
  <c r="V24" i="57"/>
  <c r="W24" i="57" s="1"/>
  <c r="X23" i="57"/>
  <c r="Y23" i="57" s="1"/>
  <c r="V23" i="57"/>
  <c r="W23" i="57" s="1"/>
  <c r="X22" i="57"/>
  <c r="Y22" i="57" s="1"/>
  <c r="V22" i="57"/>
  <c r="W22" i="57" s="1"/>
  <c r="X21" i="57"/>
  <c r="Y21" i="57" s="1"/>
  <c r="V21" i="57"/>
  <c r="W21" i="57" s="1"/>
  <c r="X20" i="57"/>
  <c r="Y20" i="57" s="1"/>
  <c r="V20" i="57"/>
  <c r="W20" i="57" s="1"/>
  <c r="X19" i="57"/>
  <c r="Y19" i="57" s="1"/>
  <c r="V19" i="57"/>
  <c r="W19" i="57" s="1"/>
  <c r="X18" i="57"/>
  <c r="Y18" i="57" s="1"/>
  <c r="V18" i="57"/>
  <c r="W18" i="57" s="1"/>
  <c r="X16" i="57"/>
  <c r="Y16" i="57" s="1"/>
  <c r="V16" i="57"/>
  <c r="W16" i="57" s="1"/>
  <c r="X17" i="57"/>
  <c r="Y17" i="57" s="1"/>
  <c r="V17" i="57"/>
  <c r="W17" i="57" s="1"/>
  <c r="X53" i="1"/>
  <c r="Y53" i="1" s="1"/>
  <c r="V53" i="1"/>
  <c r="W53" i="1" s="1"/>
  <c r="Z53" i="1" s="1"/>
  <c r="X54" i="1"/>
  <c r="Y54" i="1" s="1"/>
  <c r="Z54" i="1" s="1"/>
  <c r="V54" i="1"/>
  <c r="W54" i="1" s="1"/>
  <c r="X48" i="1"/>
  <c r="Y48" i="1" s="1"/>
  <c r="V48" i="1"/>
  <c r="W48" i="1" s="1"/>
  <c r="Z48" i="1" s="1"/>
  <c r="X60" i="1"/>
  <c r="Y60" i="1" s="1"/>
  <c r="V60" i="1"/>
  <c r="W60" i="1" s="1"/>
  <c r="X59" i="1"/>
  <c r="Y59" i="1" s="1"/>
  <c r="V59" i="1"/>
  <c r="W59" i="1" s="1"/>
  <c r="X58" i="1"/>
  <c r="Y58" i="1" s="1"/>
  <c r="V58" i="1"/>
  <c r="W58" i="1" s="1"/>
  <c r="X57" i="1"/>
  <c r="Y57" i="1" s="1"/>
  <c r="V57" i="1"/>
  <c r="W57" i="1" s="1"/>
  <c r="X56" i="1"/>
  <c r="Y56" i="1" s="1"/>
  <c r="V56" i="1"/>
  <c r="W56" i="1" s="1"/>
  <c r="X55" i="1"/>
  <c r="Y55" i="1" s="1"/>
  <c r="V55" i="1"/>
  <c r="W55" i="1" s="1"/>
  <c r="X52" i="1"/>
  <c r="Y52" i="1" s="1"/>
  <c r="V52" i="1"/>
  <c r="W52" i="1" s="1"/>
  <c r="X51" i="1"/>
  <c r="Y51" i="1" s="1"/>
  <c r="V51" i="1"/>
  <c r="W51" i="1" s="1"/>
  <c r="X50" i="1"/>
  <c r="Y50" i="1" s="1"/>
  <c r="V50" i="1"/>
  <c r="W50" i="1" s="1"/>
  <c r="X34" i="1"/>
  <c r="Y34" i="1" s="1"/>
  <c r="V34" i="1"/>
  <c r="W34" i="1" s="1"/>
  <c r="X49" i="1"/>
  <c r="Y49" i="1" s="1"/>
  <c r="V49" i="1"/>
  <c r="W49" i="1" s="1"/>
  <c r="X47" i="1"/>
  <c r="Y47" i="1" s="1"/>
  <c r="V47" i="1"/>
  <c r="W47" i="1" s="1"/>
  <c r="X46" i="1"/>
  <c r="Y46" i="1" s="1"/>
  <c r="V46" i="1"/>
  <c r="W46" i="1" s="1"/>
  <c r="X45" i="1"/>
  <c r="Y45" i="1" s="1"/>
  <c r="V45" i="1"/>
  <c r="W45" i="1" s="1"/>
  <c r="X44" i="1"/>
  <c r="Y44" i="1" s="1"/>
  <c r="V44" i="1"/>
  <c r="W44" i="1" s="1"/>
  <c r="X43" i="1"/>
  <c r="Y43" i="1" s="1"/>
  <c r="V43" i="1"/>
  <c r="W43" i="1" s="1"/>
  <c r="X30" i="1"/>
  <c r="Y30" i="1" s="1"/>
  <c r="V30" i="1"/>
  <c r="W30" i="1" s="1"/>
  <c r="X42" i="1"/>
  <c r="Y42" i="1" s="1"/>
  <c r="V42" i="1"/>
  <c r="W42" i="1" s="1"/>
  <c r="X41" i="1"/>
  <c r="Y41" i="1" s="1"/>
  <c r="V41" i="1"/>
  <c r="W41" i="1" s="1"/>
  <c r="X40" i="1"/>
  <c r="Y40" i="1" s="1"/>
  <c r="V40" i="1"/>
  <c r="W40" i="1" s="1"/>
  <c r="X39" i="1"/>
  <c r="Y39" i="1" s="1"/>
  <c r="V39" i="1"/>
  <c r="W39" i="1" s="1"/>
  <c r="X38" i="1"/>
  <c r="Y38" i="1" s="1"/>
  <c r="V38" i="1"/>
  <c r="W38" i="1" s="1"/>
  <c r="X27" i="1"/>
  <c r="Y27" i="1" s="1"/>
  <c r="V27" i="1"/>
  <c r="W27" i="1" s="1"/>
  <c r="X22" i="1"/>
  <c r="Y22" i="1" s="1"/>
  <c r="V22" i="1"/>
  <c r="W22" i="1" s="1"/>
  <c r="X37" i="1"/>
  <c r="Y37" i="1" s="1"/>
  <c r="V37" i="1"/>
  <c r="W37" i="1" s="1"/>
  <c r="X36" i="1"/>
  <c r="Y36" i="1" s="1"/>
  <c r="V36" i="1"/>
  <c r="W36" i="1" s="1"/>
  <c r="X35" i="1"/>
  <c r="Y35" i="1" s="1"/>
  <c r="V35" i="1"/>
  <c r="W35" i="1" s="1"/>
  <c r="X28" i="1"/>
  <c r="Y28" i="1" s="1"/>
  <c r="V28" i="1"/>
  <c r="W28" i="1" s="1"/>
  <c r="X33" i="1"/>
  <c r="Y33" i="1" s="1"/>
  <c r="V33" i="1"/>
  <c r="W33" i="1" s="1"/>
  <c r="X32" i="1"/>
  <c r="Y32" i="1" s="1"/>
  <c r="V32" i="1"/>
  <c r="W32" i="1" s="1"/>
  <c r="X31" i="1"/>
  <c r="Y31" i="1" s="1"/>
  <c r="V31" i="1"/>
  <c r="W31" i="1" s="1"/>
  <c r="X26" i="1"/>
  <c r="Y26" i="1" s="1"/>
  <c r="V26" i="1"/>
  <c r="W26" i="1" s="1"/>
  <c r="X29" i="1"/>
  <c r="Y29" i="1" s="1"/>
  <c r="V29" i="1"/>
  <c r="W29" i="1" s="1"/>
  <c r="X25" i="1"/>
  <c r="Y25" i="1" s="1"/>
  <c r="V25" i="1"/>
  <c r="W25" i="1" s="1"/>
  <c r="X24" i="1"/>
  <c r="Y24" i="1" s="1"/>
  <c r="V24" i="1"/>
  <c r="W24" i="1" s="1"/>
  <c r="X23" i="1"/>
  <c r="Y23" i="1" s="1"/>
  <c r="V23" i="1"/>
  <c r="W23" i="1" s="1"/>
  <c r="X19" i="1"/>
  <c r="Y19" i="1" s="1"/>
  <c r="V19" i="1"/>
  <c r="W19" i="1" s="1"/>
  <c r="X18" i="1"/>
  <c r="Y18" i="1" s="1"/>
  <c r="V18" i="1"/>
  <c r="W18" i="1" s="1"/>
  <c r="X21" i="1"/>
  <c r="Y21" i="1" s="1"/>
  <c r="V21" i="1"/>
  <c r="W21" i="1" s="1"/>
  <c r="X17" i="1"/>
  <c r="Y17" i="1" s="1"/>
  <c r="V17" i="1"/>
  <c r="W17" i="1" s="1"/>
  <c r="X20" i="1"/>
  <c r="Y20" i="1" s="1"/>
  <c r="V20" i="1"/>
  <c r="W20" i="1" s="1"/>
  <c r="X16" i="1"/>
  <c r="Y16" i="1" s="1"/>
  <c r="V16" i="1"/>
  <c r="W16" i="1" s="1"/>
  <c r="Y41" i="58"/>
  <c r="Z41" i="58" s="1"/>
  <c r="W41" i="58"/>
  <c r="Y39" i="58"/>
  <c r="W39" i="58"/>
  <c r="Y33" i="58"/>
  <c r="Z33" i="58" s="1"/>
  <c r="W33" i="58"/>
  <c r="Y35" i="58"/>
  <c r="W35" i="58"/>
  <c r="E20" i="75"/>
  <c r="D20" i="75"/>
  <c r="E19" i="75"/>
  <c r="D19" i="75"/>
  <c r="E22" i="79"/>
  <c r="D22" i="79"/>
  <c r="E42" i="72"/>
  <c r="D42" i="72"/>
  <c r="E17" i="78"/>
  <c r="D17" i="78"/>
  <c r="E19" i="71"/>
  <c r="D19" i="71"/>
  <c r="E35" i="74"/>
  <c r="D35" i="74"/>
  <c r="E27" i="70"/>
  <c r="D27" i="70"/>
  <c r="E39" i="70"/>
  <c r="D39" i="70"/>
  <c r="E34" i="70"/>
  <c r="D34" i="70"/>
  <c r="E36" i="69"/>
  <c r="D36" i="69"/>
  <c r="E41" i="69"/>
  <c r="D41" i="69"/>
  <c r="E32" i="69"/>
  <c r="D32" i="69"/>
  <c r="E35" i="68"/>
  <c r="D35" i="68"/>
  <c r="E31" i="68"/>
  <c r="D31" i="68"/>
  <c r="U34" i="67"/>
  <c r="S34" i="67"/>
  <c r="E34" i="67"/>
  <c r="D34" i="67"/>
  <c r="E20" i="77"/>
  <c r="D20" i="77"/>
  <c r="E27" i="66"/>
  <c r="D27" i="66"/>
  <c r="E28" i="66"/>
  <c r="D28" i="66"/>
  <c r="E26" i="76"/>
  <c r="D26" i="76"/>
  <c r="E33" i="76"/>
  <c r="D33" i="76"/>
  <c r="E30" i="76"/>
  <c r="D30" i="76"/>
  <c r="E29" i="76"/>
  <c r="D29" i="76"/>
  <c r="E27" i="76"/>
  <c r="D27" i="76"/>
  <c r="E49" i="65"/>
  <c r="D49" i="65"/>
  <c r="E51" i="65"/>
  <c r="D51" i="65"/>
  <c r="E47" i="65"/>
  <c r="D47" i="65"/>
  <c r="E43" i="65"/>
  <c r="D43" i="65"/>
  <c r="E70" i="63"/>
  <c r="D70" i="63"/>
  <c r="E66" i="63"/>
  <c r="D66" i="63"/>
  <c r="E62" i="63"/>
  <c r="D62" i="63"/>
  <c r="E65" i="63"/>
  <c r="D65" i="63"/>
  <c r="E64" i="63"/>
  <c r="D64" i="63"/>
  <c r="E22" i="62"/>
  <c r="D22" i="62"/>
  <c r="E52" i="61"/>
  <c r="D52" i="61"/>
  <c r="E60" i="61"/>
  <c r="D60" i="61"/>
  <c r="E67" i="61"/>
  <c r="D67" i="61"/>
  <c r="E41" i="58"/>
  <c r="D41" i="58"/>
  <c r="E39" i="58"/>
  <c r="D39" i="58"/>
  <c r="E33" i="58"/>
  <c r="D33" i="58"/>
  <c r="E53" i="1"/>
  <c r="D53" i="1"/>
  <c r="E54" i="1"/>
  <c r="D54" i="1"/>
  <c r="E48" i="1"/>
  <c r="D48" i="1"/>
  <c r="Z42" i="72" l="1"/>
  <c r="Z34" i="70"/>
  <c r="Z32" i="69"/>
  <c r="Z34" i="67"/>
  <c r="Z43" i="65"/>
  <c r="Z62" i="63"/>
  <c r="Z39" i="58"/>
  <c r="Z22" i="79"/>
  <c r="Z16" i="73"/>
  <c r="Z17" i="78"/>
  <c r="Z19" i="71"/>
  <c r="Z35" i="74"/>
  <c r="Z27" i="70"/>
  <c r="Z39" i="70"/>
  <c r="Z41" i="69"/>
  <c r="Z35" i="68"/>
  <c r="Z31" i="68"/>
  <c r="Z20" i="77"/>
  <c r="Z27" i="66"/>
  <c r="Z28" i="66"/>
  <c r="Z49" i="65"/>
  <c r="Z66" i="63"/>
  <c r="Z60" i="61"/>
  <c r="J11" i="55" l="1"/>
  <c r="J10" i="55"/>
  <c r="J9" i="55"/>
  <c r="J8" i="55"/>
  <c r="J7" i="55"/>
  <c r="J6" i="55"/>
  <c r="J5" i="55"/>
  <c r="J4" i="55"/>
  <c r="J3" i="55"/>
  <c r="J2" i="55"/>
  <c r="H22" i="56"/>
  <c r="G22" i="56"/>
  <c r="I22" i="56" s="1"/>
  <c r="F22" i="56"/>
  <c r="E22" i="56"/>
  <c r="D22" i="56"/>
  <c r="C22" i="56"/>
  <c r="I21" i="56"/>
  <c r="H21" i="56"/>
  <c r="G21" i="56"/>
  <c r="F21" i="56"/>
  <c r="E21" i="56"/>
  <c r="D21" i="56"/>
  <c r="C21" i="56"/>
  <c r="H20" i="56"/>
  <c r="G20" i="56"/>
  <c r="I20" i="56" s="1"/>
  <c r="F20" i="56"/>
  <c r="E20" i="56"/>
  <c r="D20" i="56"/>
  <c r="C20" i="56"/>
  <c r="H19" i="56"/>
  <c r="G19" i="56"/>
  <c r="I19" i="56" s="1"/>
  <c r="F19" i="56"/>
  <c r="E19" i="56"/>
  <c r="D19" i="56"/>
  <c r="C19" i="56"/>
  <c r="H18" i="56"/>
  <c r="G18" i="56"/>
  <c r="F18" i="56"/>
  <c r="E18" i="56"/>
  <c r="D18" i="56"/>
  <c r="C18" i="56"/>
  <c r="V15" i="73" l="1"/>
  <c r="W15" i="73" s="1"/>
  <c r="X15" i="69"/>
  <c r="Y15" i="69" s="1"/>
  <c r="V15" i="69"/>
  <c r="W15" i="69" s="1"/>
  <c r="U18" i="75" l="1"/>
  <c r="U17" i="75"/>
  <c r="U16" i="75"/>
  <c r="J225" i="55"/>
  <c r="J224" i="55"/>
  <c r="J223" i="55"/>
  <c r="J222" i="55"/>
  <c r="J221" i="55"/>
  <c r="J220" i="55"/>
  <c r="J219" i="55"/>
  <c r="U21" i="79"/>
  <c r="U19" i="79"/>
  <c r="U20" i="79"/>
  <c r="U16" i="73"/>
  <c r="U41" i="72"/>
  <c r="S41" i="72"/>
  <c r="U40" i="72"/>
  <c r="S40" i="72"/>
  <c r="U39" i="72"/>
  <c r="S39" i="72"/>
  <c r="U38" i="72"/>
  <c r="S38" i="72"/>
  <c r="U37" i="72"/>
  <c r="S37" i="72"/>
  <c r="U36" i="72"/>
  <c r="S36" i="72"/>
  <c r="U35" i="72"/>
  <c r="S35" i="72"/>
  <c r="U34" i="72"/>
  <c r="S34" i="72"/>
  <c r="U33" i="72"/>
  <c r="S33" i="72"/>
  <c r="U32" i="72"/>
  <c r="S32" i="72"/>
  <c r="U31" i="72"/>
  <c r="S31" i="72"/>
  <c r="U30" i="72"/>
  <c r="S30" i="72"/>
  <c r="U24" i="72"/>
  <c r="S24" i="72"/>
  <c r="U29" i="72"/>
  <c r="S29" i="72"/>
  <c r="U28" i="72"/>
  <c r="S28" i="72"/>
  <c r="U27" i="72"/>
  <c r="S27" i="72"/>
  <c r="U23" i="72"/>
  <c r="S23" i="72"/>
  <c r="U26" i="72"/>
  <c r="S26" i="72"/>
  <c r="U22" i="72"/>
  <c r="S22" i="72"/>
  <c r="U25" i="72"/>
  <c r="S25" i="72"/>
  <c r="U21" i="72"/>
  <c r="S21" i="72"/>
  <c r="U19" i="72"/>
  <c r="S19" i="72"/>
  <c r="U20" i="72"/>
  <c r="S20" i="72"/>
  <c r="U17" i="72"/>
  <c r="S17" i="72"/>
  <c r="U18" i="72"/>
  <c r="S18" i="72"/>
  <c r="U16" i="72"/>
  <c r="S16" i="72"/>
  <c r="U20" i="78"/>
  <c r="S20" i="78"/>
  <c r="U19" i="78"/>
  <c r="S19" i="78"/>
  <c r="U18" i="78"/>
  <c r="S18" i="78"/>
  <c r="U16" i="78"/>
  <c r="S16" i="78"/>
  <c r="U20" i="71"/>
  <c r="S20" i="71"/>
  <c r="U17" i="71"/>
  <c r="S17" i="71"/>
  <c r="U15" i="71"/>
  <c r="S15" i="71"/>
  <c r="U18" i="71"/>
  <c r="S18" i="71"/>
  <c r="U37" i="74"/>
  <c r="S37" i="74"/>
  <c r="U31" i="74"/>
  <c r="S31" i="74"/>
  <c r="U36" i="74"/>
  <c r="S36" i="74"/>
  <c r="U34" i="74"/>
  <c r="S34" i="74"/>
  <c r="U25" i="74"/>
  <c r="S25" i="74"/>
  <c r="U33" i="74"/>
  <c r="S33" i="74"/>
  <c r="U32" i="74"/>
  <c r="S32" i="74"/>
  <c r="U30" i="74"/>
  <c r="S30" i="74"/>
  <c r="U29" i="74"/>
  <c r="S29" i="74"/>
  <c r="U28" i="74"/>
  <c r="S28" i="74"/>
  <c r="U27" i="74"/>
  <c r="S27" i="74"/>
  <c r="U24" i="74"/>
  <c r="S24" i="74"/>
  <c r="U26" i="74"/>
  <c r="S26" i="74"/>
  <c r="U23" i="74"/>
  <c r="S23" i="74"/>
  <c r="U18" i="74"/>
  <c r="S18" i="74"/>
  <c r="U21" i="74"/>
  <c r="S21" i="74"/>
  <c r="U22" i="74"/>
  <c r="S22" i="74"/>
  <c r="U20" i="74"/>
  <c r="S20" i="74"/>
  <c r="U17" i="74"/>
  <c r="S17" i="74"/>
  <c r="U19" i="74"/>
  <c r="S19" i="74"/>
  <c r="U16" i="74"/>
  <c r="S16" i="74"/>
  <c r="U38" i="70"/>
  <c r="S38" i="70"/>
  <c r="U37" i="70"/>
  <c r="S37" i="70"/>
  <c r="U36" i="70"/>
  <c r="S36" i="70"/>
  <c r="U35" i="70"/>
  <c r="S35" i="70"/>
  <c r="U33" i="70"/>
  <c r="S33" i="70"/>
  <c r="U32" i="70"/>
  <c r="S32" i="70"/>
  <c r="U28" i="70"/>
  <c r="S28" i="70"/>
  <c r="U31" i="70"/>
  <c r="S31" i="70"/>
  <c r="U23" i="70"/>
  <c r="S23" i="70"/>
  <c r="U30" i="70"/>
  <c r="S30" i="70"/>
  <c r="U25" i="70"/>
  <c r="S25" i="70"/>
  <c r="U29" i="70"/>
  <c r="S29" i="70"/>
  <c r="U26" i="70"/>
  <c r="S26" i="70"/>
  <c r="U18" i="70"/>
  <c r="S18" i="70"/>
  <c r="U24" i="70"/>
  <c r="S24" i="70"/>
  <c r="U22" i="70"/>
  <c r="S22" i="70"/>
  <c r="U20" i="70"/>
  <c r="S20" i="70"/>
  <c r="U16" i="70"/>
  <c r="S16" i="70"/>
  <c r="U21" i="70"/>
  <c r="S21" i="70"/>
  <c r="U19" i="70"/>
  <c r="S19" i="70"/>
  <c r="U15" i="70"/>
  <c r="S15" i="70"/>
  <c r="U29" i="69"/>
  <c r="S29" i="69"/>
  <c r="U40" i="69"/>
  <c r="S40" i="69"/>
  <c r="U39" i="69"/>
  <c r="S39" i="69"/>
  <c r="U38" i="69"/>
  <c r="S38" i="69"/>
  <c r="U37" i="69"/>
  <c r="S37" i="69"/>
  <c r="U26" i="69"/>
  <c r="S26" i="69"/>
  <c r="U35" i="69"/>
  <c r="S35" i="69"/>
  <c r="U34" i="69"/>
  <c r="S34" i="69"/>
  <c r="U33" i="69"/>
  <c r="S33" i="69"/>
  <c r="U31" i="69"/>
  <c r="S31" i="69"/>
  <c r="U30" i="69"/>
  <c r="S30" i="69"/>
  <c r="U28" i="69"/>
  <c r="S28" i="69"/>
  <c r="U27" i="69"/>
  <c r="S27" i="69"/>
  <c r="U24" i="69"/>
  <c r="S24" i="69"/>
  <c r="U23" i="69"/>
  <c r="S23" i="69"/>
  <c r="U16" i="69"/>
  <c r="S16" i="69"/>
  <c r="U17" i="69"/>
  <c r="S17" i="69"/>
  <c r="U21" i="69"/>
  <c r="S21" i="69"/>
  <c r="U22" i="69"/>
  <c r="S22" i="69"/>
  <c r="U20" i="69"/>
  <c r="S20" i="69"/>
  <c r="U25" i="69"/>
  <c r="S25" i="69"/>
  <c r="U19" i="69"/>
  <c r="S19" i="69"/>
  <c r="U18" i="69"/>
  <c r="S18" i="69"/>
  <c r="U22" i="68"/>
  <c r="S22" i="68"/>
  <c r="Z22" i="68" s="1"/>
  <c r="U40" i="68"/>
  <c r="S40" i="68"/>
  <c r="U39" i="68"/>
  <c r="S39" i="68"/>
  <c r="U38" i="68"/>
  <c r="S38" i="68"/>
  <c r="U37" i="68"/>
  <c r="S37" i="68"/>
  <c r="U36" i="68"/>
  <c r="S36" i="68"/>
  <c r="U34" i="68"/>
  <c r="S34" i="68"/>
  <c r="U33" i="68"/>
  <c r="S33" i="68"/>
  <c r="U28" i="68"/>
  <c r="S28" i="68"/>
  <c r="U32" i="68"/>
  <c r="S32" i="68"/>
  <c r="U30" i="68"/>
  <c r="S30" i="68"/>
  <c r="U27" i="68"/>
  <c r="S27" i="68"/>
  <c r="U29" i="68"/>
  <c r="S29" i="68"/>
  <c r="U21" i="68"/>
  <c r="S21" i="68"/>
  <c r="U24" i="68"/>
  <c r="S24" i="68"/>
  <c r="U23" i="68"/>
  <c r="S23" i="68"/>
  <c r="U19" i="68"/>
  <c r="S19" i="68"/>
  <c r="U26" i="68"/>
  <c r="S26" i="68"/>
  <c r="U25" i="68"/>
  <c r="S25" i="68"/>
  <c r="U20" i="68"/>
  <c r="S20" i="68"/>
  <c r="U18" i="68"/>
  <c r="S18" i="68"/>
  <c r="U17" i="68"/>
  <c r="S17" i="68"/>
  <c r="U15" i="68"/>
  <c r="S15" i="68"/>
  <c r="E22" i="68"/>
  <c r="D22" i="68"/>
  <c r="U33" i="67"/>
  <c r="S33" i="67"/>
  <c r="U32" i="67"/>
  <c r="S32" i="67"/>
  <c r="U31" i="67"/>
  <c r="S31" i="67"/>
  <c r="U30" i="67"/>
  <c r="S30" i="67"/>
  <c r="U29" i="67"/>
  <c r="S29" i="67"/>
  <c r="U20" i="67"/>
  <c r="S20" i="67"/>
  <c r="U28" i="67"/>
  <c r="S28" i="67"/>
  <c r="U27" i="67"/>
  <c r="S27" i="67"/>
  <c r="U26" i="67"/>
  <c r="S26" i="67"/>
  <c r="U25" i="67"/>
  <c r="S25" i="67"/>
  <c r="U24" i="67"/>
  <c r="S24" i="67"/>
  <c r="U23" i="67"/>
  <c r="S23" i="67"/>
  <c r="U22" i="67"/>
  <c r="S22" i="67"/>
  <c r="U19" i="67"/>
  <c r="S19" i="67"/>
  <c r="U17" i="67"/>
  <c r="S17" i="67"/>
  <c r="U21" i="67"/>
  <c r="S21" i="67"/>
  <c r="U18" i="67"/>
  <c r="S18" i="67"/>
  <c r="U16" i="67"/>
  <c r="S16" i="67"/>
  <c r="U21" i="77"/>
  <c r="S21" i="77"/>
  <c r="U19" i="77"/>
  <c r="S19" i="77"/>
  <c r="U23" i="77"/>
  <c r="S23" i="77"/>
  <c r="U22" i="77"/>
  <c r="S22" i="77"/>
  <c r="U18" i="77"/>
  <c r="S18" i="77"/>
  <c r="U17" i="77"/>
  <c r="S17" i="77"/>
  <c r="U15" i="77"/>
  <c r="S15" i="77"/>
  <c r="U29" i="66"/>
  <c r="S29" i="66"/>
  <c r="Z29" i="66" s="1"/>
  <c r="U33" i="66"/>
  <c r="S33" i="66"/>
  <c r="U32" i="66"/>
  <c r="S32" i="66"/>
  <c r="U31" i="66"/>
  <c r="S31" i="66"/>
  <c r="U30" i="66"/>
  <c r="S30" i="66"/>
  <c r="U23" i="66"/>
  <c r="S23" i="66"/>
  <c r="U25" i="66"/>
  <c r="S25" i="66"/>
  <c r="U24" i="66"/>
  <c r="S24" i="66"/>
  <c r="U26" i="66"/>
  <c r="S26" i="66"/>
  <c r="U21" i="66"/>
  <c r="S21" i="66"/>
  <c r="U20" i="66"/>
  <c r="S20" i="66"/>
  <c r="U22" i="66"/>
  <c r="S22" i="66"/>
  <c r="U19" i="66"/>
  <c r="S19" i="66"/>
  <c r="U18" i="66"/>
  <c r="S18" i="66"/>
  <c r="U16" i="66"/>
  <c r="S16" i="66"/>
  <c r="U17" i="66"/>
  <c r="S17" i="66"/>
  <c r="E29" i="66"/>
  <c r="D29" i="66"/>
  <c r="U32" i="76"/>
  <c r="S32" i="76"/>
  <c r="Z32" i="76" s="1"/>
  <c r="U31" i="76"/>
  <c r="S31" i="76"/>
  <c r="U24" i="76"/>
  <c r="S24" i="76"/>
  <c r="U25" i="76"/>
  <c r="S25" i="76"/>
  <c r="U28" i="76"/>
  <c r="S28" i="76"/>
  <c r="U23" i="76"/>
  <c r="S23" i="76"/>
  <c r="U22" i="76"/>
  <c r="S22" i="76"/>
  <c r="U20" i="76"/>
  <c r="S20" i="76"/>
  <c r="U19" i="76"/>
  <c r="S19" i="76"/>
  <c r="U21" i="76"/>
  <c r="S21" i="76"/>
  <c r="U17" i="76"/>
  <c r="S17" i="76"/>
  <c r="U18" i="76"/>
  <c r="S18" i="76"/>
  <c r="U16" i="76"/>
  <c r="S16" i="76"/>
  <c r="E32" i="76"/>
  <c r="D32" i="76"/>
  <c r="U39" i="65"/>
  <c r="S39" i="65"/>
  <c r="Z39" i="65" s="1"/>
  <c r="U55" i="65"/>
  <c r="S55" i="65"/>
  <c r="U54" i="65"/>
  <c r="S54" i="65"/>
  <c r="U53" i="65"/>
  <c r="S53" i="65"/>
  <c r="U52" i="65"/>
  <c r="S52" i="65"/>
  <c r="U50" i="65"/>
  <c r="S50" i="65"/>
  <c r="U48" i="65"/>
  <c r="S48" i="65"/>
  <c r="U40" i="65"/>
  <c r="S40" i="65"/>
  <c r="U46" i="65"/>
  <c r="S46" i="65"/>
  <c r="U37" i="65"/>
  <c r="S37" i="65"/>
  <c r="U45" i="65"/>
  <c r="S45" i="65"/>
  <c r="U36" i="65"/>
  <c r="S36" i="65"/>
  <c r="U44" i="65"/>
  <c r="S44" i="65"/>
  <c r="U30" i="65"/>
  <c r="S30" i="65"/>
  <c r="U29" i="65"/>
  <c r="S29" i="65"/>
  <c r="U42" i="65"/>
  <c r="S42" i="65"/>
  <c r="U41" i="65"/>
  <c r="S41" i="65"/>
  <c r="U33" i="65"/>
  <c r="S33" i="65"/>
  <c r="U32" i="65"/>
  <c r="S32" i="65"/>
  <c r="U38" i="65"/>
  <c r="S38" i="65"/>
  <c r="U31" i="65"/>
  <c r="S31" i="65"/>
  <c r="U27" i="65"/>
  <c r="S27" i="65"/>
  <c r="U35" i="65"/>
  <c r="S35" i="65"/>
  <c r="U34" i="65"/>
  <c r="S34" i="65"/>
  <c r="U28" i="65"/>
  <c r="S28" i="65"/>
  <c r="U25" i="65"/>
  <c r="S25" i="65"/>
  <c r="U18" i="65"/>
  <c r="S18" i="65"/>
  <c r="U26" i="65"/>
  <c r="S26" i="65"/>
  <c r="U22" i="65"/>
  <c r="S22" i="65"/>
  <c r="U20" i="65"/>
  <c r="S20" i="65"/>
  <c r="U23" i="65"/>
  <c r="S23" i="65"/>
  <c r="U21" i="65"/>
  <c r="S21" i="65"/>
  <c r="U24" i="65"/>
  <c r="S24" i="65"/>
  <c r="U17" i="65"/>
  <c r="S17" i="65"/>
  <c r="U19" i="65"/>
  <c r="S19" i="65"/>
  <c r="U16" i="65"/>
  <c r="S16" i="65"/>
  <c r="E39" i="65"/>
  <c r="D39" i="65"/>
  <c r="U24" i="64"/>
  <c r="S24" i="64"/>
  <c r="U23" i="64"/>
  <c r="S23" i="64"/>
  <c r="U21" i="64"/>
  <c r="S21" i="64"/>
  <c r="U22" i="64"/>
  <c r="S22" i="64"/>
  <c r="U20" i="64"/>
  <c r="S20" i="64"/>
  <c r="U19" i="64"/>
  <c r="S19" i="64"/>
  <c r="U18" i="64"/>
  <c r="S18" i="64"/>
  <c r="U16" i="64"/>
  <c r="S16" i="64"/>
  <c r="U17" i="64"/>
  <c r="S17" i="64"/>
  <c r="U57" i="63"/>
  <c r="S57" i="63"/>
  <c r="Z57" i="63" s="1"/>
  <c r="U53" i="63"/>
  <c r="S53" i="63"/>
  <c r="Z53" i="63" s="1"/>
  <c r="U69" i="63"/>
  <c r="S69" i="63"/>
  <c r="U59" i="63"/>
  <c r="S59" i="63"/>
  <c r="U68" i="63"/>
  <c r="S68" i="63"/>
  <c r="U67" i="63"/>
  <c r="S67" i="63"/>
  <c r="U63" i="63"/>
  <c r="S63" i="63"/>
  <c r="U43" i="63"/>
  <c r="S43" i="63"/>
  <c r="U40" i="63"/>
  <c r="S40" i="63"/>
  <c r="U52" i="63"/>
  <c r="S52" i="63"/>
  <c r="U61" i="63"/>
  <c r="S61" i="63"/>
  <c r="U56" i="63"/>
  <c r="S56" i="63"/>
  <c r="U45" i="63"/>
  <c r="S45" i="63"/>
  <c r="U51" i="63"/>
  <c r="S51" i="63"/>
  <c r="U60" i="63"/>
  <c r="S60" i="63"/>
  <c r="U54" i="63"/>
  <c r="S54" i="63"/>
  <c r="U58" i="63"/>
  <c r="S58" i="63"/>
  <c r="U50" i="63"/>
  <c r="S50" i="63"/>
  <c r="U55" i="63"/>
  <c r="S55" i="63"/>
  <c r="U37" i="63"/>
  <c r="S37" i="63"/>
  <c r="U47" i="63"/>
  <c r="S47" i="63"/>
  <c r="U41" i="63"/>
  <c r="S41" i="63"/>
  <c r="U39" i="63"/>
  <c r="S39" i="63"/>
  <c r="U35" i="63"/>
  <c r="S35" i="63"/>
  <c r="U33" i="63"/>
  <c r="S33" i="63"/>
  <c r="U49" i="63"/>
  <c r="S49" i="63"/>
  <c r="U48" i="63"/>
  <c r="S48" i="63"/>
  <c r="U32" i="63"/>
  <c r="S32" i="63"/>
  <c r="U46" i="63"/>
  <c r="S46" i="63"/>
  <c r="U44" i="63"/>
  <c r="S44" i="63"/>
  <c r="U42" i="63"/>
  <c r="S42" i="63"/>
  <c r="U36" i="63"/>
  <c r="S36" i="63"/>
  <c r="U30" i="63"/>
  <c r="S30" i="63"/>
  <c r="U28" i="63"/>
  <c r="S28" i="63"/>
  <c r="U34" i="63"/>
  <c r="S34" i="63"/>
  <c r="U31" i="63"/>
  <c r="S31" i="63"/>
  <c r="U24" i="63"/>
  <c r="S24" i="63"/>
  <c r="U26" i="63"/>
  <c r="S26" i="63"/>
  <c r="U29" i="63"/>
  <c r="S29" i="63"/>
  <c r="U25" i="63"/>
  <c r="S25" i="63"/>
  <c r="U38" i="63"/>
  <c r="S38" i="63"/>
  <c r="U23" i="63"/>
  <c r="S23" i="63"/>
  <c r="U18" i="63"/>
  <c r="S18" i="63"/>
  <c r="U27" i="63"/>
  <c r="S27" i="63"/>
  <c r="U22" i="63"/>
  <c r="S22" i="63"/>
  <c r="U19" i="63"/>
  <c r="S19" i="63"/>
  <c r="U15" i="63"/>
  <c r="S15" i="63"/>
  <c r="U21" i="63"/>
  <c r="S21" i="63"/>
  <c r="U17" i="63"/>
  <c r="S17" i="63"/>
  <c r="U16" i="63"/>
  <c r="S16" i="63"/>
  <c r="E57" i="63"/>
  <c r="D57" i="63"/>
  <c r="E53" i="63"/>
  <c r="D53" i="63"/>
  <c r="S15" i="58" l="1"/>
  <c r="S16" i="58"/>
  <c r="S17" i="58"/>
  <c r="S20" i="58"/>
  <c r="S23" i="58"/>
  <c r="S18" i="58"/>
  <c r="S22" i="58"/>
  <c r="S19" i="58"/>
  <c r="S21" i="58"/>
  <c r="S25" i="58"/>
  <c r="S26" i="58"/>
  <c r="S27" i="58"/>
  <c r="S28" i="58"/>
  <c r="S29" i="58"/>
  <c r="S30" i="58"/>
  <c r="S31" i="58"/>
  <c r="S32" i="58"/>
  <c r="S34" i="58"/>
  <c r="S36" i="58"/>
  <c r="S37" i="58"/>
  <c r="S38" i="58"/>
  <c r="S40" i="58"/>
  <c r="S42" i="58"/>
  <c r="S24" i="58"/>
  <c r="S43" i="58"/>
  <c r="S35" i="58"/>
  <c r="Z35" i="58" s="1"/>
  <c r="U35" i="58"/>
  <c r="U18" i="62"/>
  <c r="S18" i="62"/>
  <c r="U21" i="62"/>
  <c r="S21" i="62"/>
  <c r="U20" i="62"/>
  <c r="S20" i="62"/>
  <c r="U19" i="62"/>
  <c r="S19" i="62"/>
  <c r="U17" i="62"/>
  <c r="U16" i="62"/>
  <c r="U68" i="61"/>
  <c r="U70" i="61"/>
  <c r="E68" i="61"/>
  <c r="D68" i="61"/>
  <c r="E70" i="61"/>
  <c r="D70" i="61"/>
  <c r="U82" i="61"/>
  <c r="S82" i="61"/>
  <c r="U81" i="61"/>
  <c r="S81" i="61"/>
  <c r="U69" i="61"/>
  <c r="S69" i="61"/>
  <c r="U80" i="61"/>
  <c r="S80" i="61"/>
  <c r="U79" i="61"/>
  <c r="S79" i="61"/>
  <c r="U78" i="61"/>
  <c r="S78" i="61"/>
  <c r="U77" i="61"/>
  <c r="S77" i="61"/>
  <c r="U76" i="61"/>
  <c r="S76" i="61"/>
  <c r="U75" i="61"/>
  <c r="S75" i="61"/>
  <c r="U74" i="61"/>
  <c r="S74" i="61"/>
  <c r="U73" i="61"/>
  <c r="S73" i="61"/>
  <c r="U72" i="61"/>
  <c r="S72" i="61"/>
  <c r="U58" i="61"/>
  <c r="U71" i="61"/>
  <c r="S71" i="61"/>
  <c r="U66" i="61"/>
  <c r="S66" i="61"/>
  <c r="U65" i="61"/>
  <c r="S65" i="61"/>
  <c r="U36" i="61"/>
  <c r="U53" i="61"/>
  <c r="S53" i="61"/>
  <c r="U64" i="61"/>
  <c r="S64" i="61"/>
  <c r="U63" i="61"/>
  <c r="S63" i="61"/>
  <c r="U62" i="61"/>
  <c r="S62" i="61"/>
  <c r="U61" i="61"/>
  <c r="S61" i="61"/>
  <c r="U39" i="61"/>
  <c r="U25" i="61"/>
  <c r="U59" i="61"/>
  <c r="S59" i="61"/>
  <c r="U27" i="61"/>
  <c r="U57" i="61"/>
  <c r="S57" i="61"/>
  <c r="U56" i="61"/>
  <c r="S56" i="61"/>
  <c r="U34" i="61"/>
  <c r="U41" i="61"/>
  <c r="S41" i="61"/>
  <c r="U43" i="61"/>
  <c r="S43" i="61"/>
  <c r="U55" i="61"/>
  <c r="S55" i="61"/>
  <c r="U44" i="61"/>
  <c r="U54" i="61"/>
  <c r="S54" i="61"/>
  <c r="U47" i="61"/>
  <c r="U29" i="61"/>
  <c r="U40" i="61"/>
  <c r="S40" i="61"/>
  <c r="U30" i="61"/>
  <c r="U51" i="61"/>
  <c r="S51" i="61"/>
  <c r="U35" i="61"/>
  <c r="U50" i="61"/>
  <c r="S50" i="61"/>
  <c r="U37" i="61"/>
  <c r="U49" i="61"/>
  <c r="S49" i="61"/>
  <c r="U33" i="61"/>
  <c r="S33" i="61"/>
  <c r="U48" i="61"/>
  <c r="S48" i="61"/>
  <c r="U28" i="61"/>
  <c r="S28" i="61"/>
  <c r="U31" i="61"/>
  <c r="S31" i="61"/>
  <c r="U26" i="61"/>
  <c r="U46" i="61"/>
  <c r="S46" i="61"/>
  <c r="U45" i="61"/>
  <c r="S45" i="61"/>
  <c r="U42" i="61"/>
  <c r="S42" i="61"/>
  <c r="U38" i="61"/>
  <c r="U32" i="61"/>
  <c r="S32" i="61"/>
  <c r="U22" i="61"/>
  <c r="S22" i="61"/>
  <c r="U24" i="61"/>
  <c r="S24" i="61"/>
  <c r="U20" i="61"/>
  <c r="S20" i="61"/>
  <c r="U23" i="61"/>
  <c r="U21" i="61"/>
  <c r="U19" i="61"/>
  <c r="S19" i="61"/>
  <c r="U18" i="61"/>
  <c r="S18" i="61"/>
  <c r="U17" i="61"/>
  <c r="S17" i="61"/>
  <c r="U16" i="61"/>
  <c r="S16" i="61"/>
  <c r="U33" i="57"/>
  <c r="S33" i="57"/>
  <c r="U32" i="57"/>
  <c r="S32" i="57"/>
  <c r="U31" i="57"/>
  <c r="S31" i="57"/>
  <c r="U30" i="57"/>
  <c r="S30" i="57"/>
  <c r="U29" i="57"/>
  <c r="S29" i="57"/>
  <c r="U28" i="57"/>
  <c r="S28" i="57"/>
  <c r="U27" i="57"/>
  <c r="S27" i="57"/>
  <c r="U20" i="57"/>
  <c r="U26" i="57"/>
  <c r="S26" i="57"/>
  <c r="U25" i="57"/>
  <c r="S25" i="57"/>
  <c r="U22" i="57"/>
  <c r="U21" i="57"/>
  <c r="U24" i="57"/>
  <c r="S24" i="57"/>
  <c r="U19" i="57"/>
  <c r="U23" i="57"/>
  <c r="S23" i="57"/>
  <c r="U18" i="57"/>
  <c r="U15" i="57"/>
  <c r="U17" i="57"/>
  <c r="E35" i="58"/>
  <c r="D35" i="58"/>
  <c r="E50" i="1"/>
  <c r="D50" i="1"/>
  <c r="U50" i="1"/>
  <c r="S50" i="1"/>
  <c r="Z50" i="1" l="1"/>
  <c r="J218" i="55" l="1"/>
  <c r="J217" i="55"/>
  <c r="J216" i="55"/>
  <c r="J215" i="55"/>
  <c r="J214" i="55"/>
  <c r="J213" i="55"/>
  <c r="J212" i="55"/>
  <c r="J211" i="55"/>
  <c r="J210" i="55"/>
  <c r="J209" i="55"/>
  <c r="J208" i="55"/>
  <c r="J207" i="55"/>
  <c r="J206" i="55"/>
  <c r="J205" i="55"/>
  <c r="J204" i="55"/>
  <c r="J203" i="55"/>
  <c r="J202" i="55"/>
  <c r="J201" i="55"/>
  <c r="J200" i="55"/>
  <c r="J199" i="55"/>
  <c r="J198" i="55"/>
  <c r="J197" i="55"/>
  <c r="J196" i="55"/>
  <c r="J195" i="55"/>
  <c r="J194" i="55"/>
  <c r="J193" i="55"/>
  <c r="X15" i="61" s="1"/>
  <c r="Y15" i="61" s="1"/>
  <c r="J192" i="55"/>
  <c r="J191" i="55"/>
  <c r="J190" i="55"/>
  <c r="J189" i="55"/>
  <c r="J188" i="55"/>
  <c r="J187" i="55"/>
  <c r="J186" i="55"/>
  <c r="X15" i="57" s="1"/>
  <c r="Y15" i="57" s="1"/>
  <c r="J185" i="55"/>
  <c r="J184" i="55"/>
  <c r="J183" i="55"/>
  <c r="J182" i="55"/>
  <c r="J181" i="55"/>
  <c r="J180" i="55"/>
  <c r="J179" i="55"/>
  <c r="J178" i="55"/>
  <c r="J177" i="55"/>
  <c r="J176" i="55"/>
  <c r="J175" i="55"/>
  <c r="J174" i="55"/>
  <c r="J173" i="55"/>
  <c r="J172" i="55"/>
  <c r="J171" i="55"/>
  <c r="J170" i="55"/>
  <c r="J169" i="55"/>
  <c r="J168" i="55"/>
  <c r="X15" i="1" s="1"/>
  <c r="J167" i="55"/>
  <c r="J166" i="55"/>
  <c r="J165" i="55"/>
  <c r="X16" i="77" s="1"/>
  <c r="Y16" i="77" s="1"/>
  <c r="J164" i="55"/>
  <c r="J163" i="55"/>
  <c r="J162" i="55"/>
  <c r="J161" i="55"/>
  <c r="J160" i="55"/>
  <c r="J159" i="55"/>
  <c r="J158" i="55"/>
  <c r="J157" i="55"/>
  <c r="J156" i="55"/>
  <c r="J155" i="55"/>
  <c r="J154" i="55"/>
  <c r="J153" i="55"/>
  <c r="J152" i="55"/>
  <c r="J151" i="55"/>
  <c r="J150" i="55"/>
  <c r="J149" i="55"/>
  <c r="J148" i="55"/>
  <c r="J147" i="55"/>
  <c r="J146" i="55"/>
  <c r="J145" i="55"/>
  <c r="X15" i="66" s="1"/>
  <c r="Y15" i="66" s="1"/>
  <c r="J144" i="55"/>
  <c r="J143" i="55"/>
  <c r="J142" i="55"/>
  <c r="J141" i="55"/>
  <c r="J140" i="55"/>
  <c r="J139" i="55"/>
  <c r="J138" i="55"/>
  <c r="J137" i="55"/>
  <c r="J136" i="55"/>
  <c r="J135" i="55"/>
  <c r="J134" i="55"/>
  <c r="J133" i="55"/>
  <c r="J132" i="55"/>
  <c r="J131" i="55"/>
  <c r="J130" i="55"/>
  <c r="J129" i="55"/>
  <c r="X15" i="76" s="1"/>
  <c r="Y15" i="76" s="1"/>
  <c r="J128" i="55"/>
  <c r="J127" i="55"/>
  <c r="J126" i="55"/>
  <c r="J125" i="55"/>
  <c r="J124" i="55"/>
  <c r="J123" i="55"/>
  <c r="J122" i="55"/>
  <c r="J121" i="55"/>
  <c r="J120" i="55"/>
  <c r="J119" i="55"/>
  <c r="J118" i="55"/>
  <c r="J117" i="55"/>
  <c r="J116" i="55"/>
  <c r="J115" i="55"/>
  <c r="J114" i="55"/>
  <c r="J113" i="55"/>
  <c r="J112" i="55"/>
  <c r="J111" i="55"/>
  <c r="J110" i="55"/>
  <c r="J109" i="55"/>
  <c r="J108" i="55"/>
  <c r="J107" i="55"/>
  <c r="J106" i="55"/>
  <c r="J105" i="55"/>
  <c r="J104" i="55"/>
  <c r="J103" i="55"/>
  <c r="J102" i="55"/>
  <c r="J101" i="55"/>
  <c r="X15" i="65" s="1"/>
  <c r="Y15" i="65" s="1"/>
  <c r="J100" i="55"/>
  <c r="J99" i="55"/>
  <c r="X15" i="73" s="1"/>
  <c r="Y15" i="73" s="1"/>
  <c r="J98" i="55"/>
  <c r="J97" i="55"/>
  <c r="J96" i="55"/>
  <c r="X15" i="78" s="1"/>
  <c r="Y15" i="78" s="1"/>
  <c r="J95" i="55"/>
  <c r="J94" i="55"/>
  <c r="J93" i="55"/>
  <c r="J92" i="55"/>
  <c r="J91" i="55"/>
  <c r="X15" i="71" s="1"/>
  <c r="Y15" i="71" s="1"/>
  <c r="J90" i="55"/>
  <c r="J89" i="55"/>
  <c r="J88" i="55"/>
  <c r="J87" i="55"/>
  <c r="J86" i="55"/>
  <c r="J85" i="55"/>
  <c r="J84" i="55"/>
  <c r="J83" i="55"/>
  <c r="J82" i="55"/>
  <c r="J81" i="55"/>
  <c r="J80" i="55"/>
  <c r="J79" i="55"/>
  <c r="J78" i="55"/>
  <c r="J77" i="55"/>
  <c r="X15" i="74" s="1"/>
  <c r="Y15" i="74" s="1"/>
  <c r="J76" i="55"/>
  <c r="J75" i="55"/>
  <c r="J74" i="55"/>
  <c r="J73" i="55"/>
  <c r="J72" i="55"/>
  <c r="J71" i="55"/>
  <c r="J70" i="55"/>
  <c r="J69" i="55"/>
  <c r="J68" i="55"/>
  <c r="J67" i="55"/>
  <c r="J66" i="55"/>
  <c r="J65" i="55"/>
  <c r="X15" i="70" s="1"/>
  <c r="Y15" i="70" s="1"/>
  <c r="J64" i="55"/>
  <c r="J63" i="55"/>
  <c r="J62" i="55"/>
  <c r="J61" i="55"/>
  <c r="J60" i="55"/>
  <c r="J59" i="55"/>
  <c r="J58" i="55"/>
  <c r="J57" i="55"/>
  <c r="J56" i="55"/>
  <c r="J55" i="55"/>
  <c r="J54" i="55"/>
  <c r="J53" i="55"/>
  <c r="J52" i="55"/>
  <c r="J51" i="55"/>
  <c r="J50" i="55"/>
  <c r="J49" i="55"/>
  <c r="J48" i="55"/>
  <c r="J47" i="55"/>
  <c r="J46" i="55"/>
  <c r="J45" i="55"/>
  <c r="J44" i="55"/>
  <c r="J43" i="55"/>
  <c r="J42" i="55"/>
  <c r="J41" i="55"/>
  <c r="J40" i="55"/>
  <c r="J39" i="55"/>
  <c r="J38" i="55"/>
  <c r="X15" i="72" s="1"/>
  <c r="Y15" i="72" s="1"/>
  <c r="J37" i="55"/>
  <c r="J36" i="55"/>
  <c r="J35" i="55"/>
  <c r="J34" i="55"/>
  <c r="J33" i="55"/>
  <c r="J32" i="55"/>
  <c r="J31" i="55"/>
  <c r="J30" i="55"/>
  <c r="J29" i="55"/>
  <c r="J28" i="55"/>
  <c r="J27" i="55"/>
  <c r="J26" i="55"/>
  <c r="J25" i="55"/>
  <c r="J24" i="55"/>
  <c r="X16" i="68" s="1"/>
  <c r="Y16" i="68" s="1"/>
  <c r="J23" i="55"/>
  <c r="J22" i="55"/>
  <c r="J21" i="55"/>
  <c r="J20" i="55"/>
  <c r="J19" i="55"/>
  <c r="J18" i="55"/>
  <c r="J17" i="55"/>
  <c r="J16" i="55"/>
  <c r="J15" i="55"/>
  <c r="X15" i="67" s="1"/>
  <c r="Y15" i="67" s="1"/>
  <c r="J14" i="55"/>
  <c r="J13" i="55"/>
  <c r="J12" i="55"/>
  <c r="X15" i="79"/>
  <c r="Y15" i="79" s="1"/>
  <c r="J187" i="56"/>
  <c r="J186" i="56"/>
  <c r="J185" i="56"/>
  <c r="J184" i="56"/>
  <c r="J183" i="56"/>
  <c r="J182" i="56"/>
  <c r="J181" i="56"/>
  <c r="J180" i="56"/>
  <c r="J179" i="56"/>
  <c r="J178" i="56"/>
  <c r="J177" i="56"/>
  <c r="J176" i="56"/>
  <c r="V15" i="61" s="1"/>
  <c r="W15" i="61" s="1"/>
  <c r="J175" i="56"/>
  <c r="J174" i="56"/>
  <c r="J173" i="56"/>
  <c r="J172" i="56"/>
  <c r="J171" i="56"/>
  <c r="J170" i="56"/>
  <c r="J169" i="56"/>
  <c r="S19" i="1" s="1"/>
  <c r="J168" i="56"/>
  <c r="J167" i="56"/>
  <c r="J166" i="56"/>
  <c r="J165" i="56"/>
  <c r="S20" i="1" s="1"/>
  <c r="J164" i="56"/>
  <c r="J163" i="56"/>
  <c r="S16" i="73" s="1"/>
  <c r="J162" i="56"/>
  <c r="J161" i="56"/>
  <c r="J160" i="56"/>
  <c r="J159" i="56"/>
  <c r="S17" i="62" s="1"/>
  <c r="J158" i="56"/>
  <c r="S16" i="62" s="1"/>
  <c r="J157" i="56"/>
  <c r="J156" i="56"/>
  <c r="J155" i="56"/>
  <c r="S21" i="57" s="1"/>
  <c r="J154" i="56"/>
  <c r="S18" i="57" s="1"/>
  <c r="J153" i="56"/>
  <c r="S22" i="57" s="1"/>
  <c r="J152" i="56"/>
  <c r="S19" i="57" s="1"/>
  <c r="J151" i="56"/>
  <c r="S17" i="57" s="1"/>
  <c r="J150" i="56"/>
  <c r="S20" i="57" s="1"/>
  <c r="J149" i="56"/>
  <c r="S15" i="57" s="1"/>
  <c r="J148" i="56"/>
  <c r="J147" i="56"/>
  <c r="S58" i="61" s="1"/>
  <c r="J146" i="56"/>
  <c r="S38" i="61" s="1"/>
  <c r="J145" i="56"/>
  <c r="S36" i="61" s="1"/>
  <c r="J144" i="56"/>
  <c r="S39" i="61" s="1"/>
  <c r="J143" i="56"/>
  <c r="S68" i="61" s="1"/>
  <c r="Z68" i="61" s="1"/>
  <c r="J142" i="56"/>
  <c r="S26" i="61" s="1"/>
  <c r="J141" i="56"/>
  <c r="S70" i="61" s="1"/>
  <c r="Z70" i="61" s="1"/>
  <c r="J140" i="56"/>
  <c r="S47" i="61" s="1"/>
  <c r="J139" i="56"/>
  <c r="S23" i="61" s="1"/>
  <c r="J138" i="56"/>
  <c r="S29" i="61" s="1"/>
  <c r="J137" i="56"/>
  <c r="J136" i="56"/>
  <c r="S35" i="61" s="1"/>
  <c r="J135" i="56"/>
  <c r="S34" i="61" s="1"/>
  <c r="J134" i="56"/>
  <c r="S44" i="61" s="1"/>
  <c r="J133" i="56"/>
  <c r="S30" i="61" s="1"/>
  <c r="J132" i="56"/>
  <c r="S27" i="61" s="1"/>
  <c r="J131" i="56"/>
  <c r="S21" i="61" s="1"/>
  <c r="J130" i="56"/>
  <c r="S25" i="61" s="1"/>
  <c r="J129" i="56"/>
  <c r="J128" i="56"/>
  <c r="J127" i="56"/>
  <c r="J126" i="56"/>
  <c r="J125" i="56"/>
  <c r="J124" i="56"/>
  <c r="J123" i="56"/>
  <c r="V15" i="66" s="1"/>
  <c r="W15" i="66" s="1"/>
  <c r="J122" i="56"/>
  <c r="J121" i="56"/>
  <c r="J120" i="56"/>
  <c r="J119" i="56"/>
  <c r="J118" i="56"/>
  <c r="J117" i="56"/>
  <c r="J116" i="56"/>
  <c r="J115" i="56"/>
  <c r="J114" i="56"/>
  <c r="J113" i="56"/>
  <c r="V15" i="64" s="1"/>
  <c r="W15" i="64" s="1"/>
  <c r="J112" i="56"/>
  <c r="J111" i="56"/>
  <c r="J110" i="56"/>
  <c r="J109" i="56"/>
  <c r="J108" i="56"/>
  <c r="J107" i="56"/>
  <c r="J106" i="56"/>
  <c r="J105" i="56"/>
  <c r="J104" i="56"/>
  <c r="J103" i="56"/>
  <c r="J102" i="56"/>
  <c r="J101" i="56"/>
  <c r="J100" i="56"/>
  <c r="J99" i="56"/>
  <c r="J98" i="56"/>
  <c r="J97" i="56"/>
  <c r="J96" i="56"/>
  <c r="J95" i="56"/>
  <c r="J94" i="56"/>
  <c r="J93" i="56"/>
  <c r="J92" i="56"/>
  <c r="J91" i="56"/>
  <c r="J90" i="56"/>
  <c r="J89" i="56"/>
  <c r="J88" i="56"/>
  <c r="V15" i="65" s="1"/>
  <c r="W15" i="65" s="1"/>
  <c r="J87" i="56"/>
  <c r="J86" i="56"/>
  <c r="J85" i="56"/>
  <c r="J84" i="56"/>
  <c r="J83" i="56"/>
  <c r="J82" i="56"/>
  <c r="J81" i="56"/>
  <c r="V16" i="77" s="1"/>
  <c r="W16" i="77" s="1"/>
  <c r="J80" i="56"/>
  <c r="J79" i="56"/>
  <c r="J78" i="56"/>
  <c r="J77" i="56"/>
  <c r="J76" i="56"/>
  <c r="J75" i="56"/>
  <c r="J74" i="56"/>
  <c r="J73" i="56"/>
  <c r="J72" i="56"/>
  <c r="J71" i="56"/>
  <c r="J70" i="56"/>
  <c r="J69" i="56"/>
  <c r="J68" i="56"/>
  <c r="J67" i="56"/>
  <c r="J66" i="56"/>
  <c r="V15" i="76" s="1"/>
  <c r="W15" i="76" s="1"/>
  <c r="J65" i="56"/>
  <c r="J64" i="56"/>
  <c r="J63" i="56"/>
  <c r="J62" i="56"/>
  <c r="J61" i="56"/>
  <c r="J60" i="56"/>
  <c r="J59" i="56"/>
  <c r="J58" i="56"/>
  <c r="J57" i="56"/>
  <c r="J56" i="56"/>
  <c r="J55" i="56"/>
  <c r="J54" i="56"/>
  <c r="J53" i="56"/>
  <c r="J52" i="56"/>
  <c r="V15" i="74" s="1"/>
  <c r="W15" i="74" s="1"/>
  <c r="J51" i="56"/>
  <c r="J50" i="56"/>
  <c r="J49" i="56"/>
  <c r="J48" i="56"/>
  <c r="J47" i="56"/>
  <c r="J46" i="56"/>
  <c r="J45" i="56"/>
  <c r="J44" i="56"/>
  <c r="J43" i="56"/>
  <c r="J42" i="56"/>
  <c r="J41" i="56"/>
  <c r="J40" i="56"/>
  <c r="V15" i="70" s="1"/>
  <c r="W15" i="70" s="1"/>
  <c r="J39" i="56"/>
  <c r="J38" i="56"/>
  <c r="J37" i="56"/>
  <c r="J36" i="56"/>
  <c r="J35" i="56"/>
  <c r="J34" i="56"/>
  <c r="J33" i="56"/>
  <c r="J32" i="56"/>
  <c r="J31" i="56"/>
  <c r="J30" i="56"/>
  <c r="J29" i="56"/>
  <c r="J28" i="56"/>
  <c r="J27" i="56"/>
  <c r="J26" i="56"/>
  <c r="J25" i="56"/>
  <c r="J24" i="56"/>
  <c r="J23" i="56"/>
  <c r="J22" i="56"/>
  <c r="J21" i="56"/>
  <c r="J20" i="56"/>
  <c r="J19" i="56"/>
  <c r="V15" i="72" s="1"/>
  <c r="W15" i="72" s="1"/>
  <c r="J18" i="56"/>
  <c r="J17" i="56"/>
  <c r="J16" i="56"/>
  <c r="J15" i="56"/>
  <c r="J14" i="56"/>
  <c r="J13" i="56"/>
  <c r="J12" i="56"/>
  <c r="J11" i="56"/>
  <c r="J10" i="56"/>
  <c r="V16" i="68" s="1"/>
  <c r="W16" i="68" s="1"/>
  <c r="J9" i="56"/>
  <c r="J8" i="56"/>
  <c r="J7" i="56"/>
  <c r="J6" i="56"/>
  <c r="J5" i="56"/>
  <c r="J4" i="56"/>
  <c r="V15" i="67" s="1"/>
  <c r="W15" i="67" s="1"/>
  <c r="J3" i="56"/>
  <c r="S34" i="1"/>
  <c r="S60" i="1"/>
  <c r="S59" i="1"/>
  <c r="S58" i="1"/>
  <c r="S22" i="1"/>
  <c r="S57" i="1"/>
  <c r="S56" i="1"/>
  <c r="S55" i="1"/>
  <c r="S52" i="1"/>
  <c r="S51" i="1"/>
  <c r="S49" i="1"/>
  <c r="S47" i="1"/>
  <c r="S46" i="1"/>
  <c r="S45" i="1"/>
  <c r="S44" i="1"/>
  <c r="S43" i="1"/>
  <c r="S30" i="1"/>
  <c r="S42" i="1"/>
  <c r="S41" i="1"/>
  <c r="S40" i="1"/>
  <c r="S39" i="1"/>
  <c r="S26" i="1"/>
  <c r="S38" i="1"/>
  <c r="S27" i="1"/>
  <c r="S37" i="1"/>
  <c r="S36" i="1"/>
  <c r="S28" i="1"/>
  <c r="S35" i="1"/>
  <c r="S24" i="1"/>
  <c r="S33" i="1"/>
  <c r="S32" i="1"/>
  <c r="S31" i="1"/>
  <c r="S29" i="1"/>
  <c r="S25" i="1"/>
  <c r="S23" i="1"/>
  <c r="S17" i="1"/>
  <c r="S18" i="1"/>
  <c r="S16" i="1"/>
  <c r="S21" i="1"/>
  <c r="S15" i="64"/>
  <c r="U18" i="79"/>
  <c r="S15" i="73"/>
  <c r="U16" i="71"/>
  <c r="S16" i="71"/>
  <c r="S15" i="74"/>
  <c r="S17" i="70"/>
  <c r="U16" i="68"/>
  <c r="S16" i="68"/>
  <c r="S15" i="66"/>
  <c r="S37" i="61" l="1"/>
  <c r="V16" i="63"/>
  <c r="W16" i="63" s="1"/>
  <c r="U16" i="57"/>
  <c r="S16" i="57"/>
  <c r="U42" i="1" l="1"/>
  <c r="Q42" i="1"/>
  <c r="O42" i="1"/>
  <c r="Y31" i="58"/>
  <c r="W31" i="58"/>
  <c r="U31" i="58"/>
  <c r="Q31" i="58"/>
  <c r="O31" i="58"/>
  <c r="Y24" i="58"/>
  <c r="W24" i="58"/>
  <c r="U24" i="58"/>
  <c r="Q24" i="58"/>
  <c r="O24" i="58"/>
  <c r="Y34" i="58"/>
  <c r="W34" i="58"/>
  <c r="U34" i="58"/>
  <c r="Q34" i="58"/>
  <c r="O34" i="58"/>
  <c r="Y36" i="58"/>
  <c r="W36" i="58"/>
  <c r="U36" i="58"/>
  <c r="Q36" i="58"/>
  <c r="O36" i="58"/>
  <c r="Y25" i="58"/>
  <c r="W25" i="58"/>
  <c r="U25" i="58"/>
  <c r="Q25" i="58"/>
  <c r="O25" i="58"/>
  <c r="Y23" i="58"/>
  <c r="W23" i="58"/>
  <c r="U23" i="58"/>
  <c r="Q23" i="58"/>
  <c r="O23" i="58"/>
  <c r="Y30" i="58"/>
  <c r="W30" i="58"/>
  <c r="U30" i="58"/>
  <c r="Q30" i="58"/>
  <c r="O30" i="58"/>
  <c r="Y21" i="59"/>
  <c r="W21" i="59"/>
  <c r="U21" i="59"/>
  <c r="S21" i="59"/>
  <c r="Q21" i="59"/>
  <c r="O21" i="59"/>
  <c r="Z24" i="58" l="1"/>
  <c r="Z36" i="58"/>
  <c r="Z31" i="58"/>
  <c r="Z25" i="58"/>
  <c r="Z23" i="58"/>
  <c r="Z42" i="1"/>
  <c r="Z34" i="58"/>
  <c r="Z30" i="58"/>
  <c r="Z21" i="59"/>
  <c r="Q34" i="61" l="1"/>
  <c r="O34" i="61"/>
  <c r="Z34" i="61" s="1"/>
  <c r="Q62" i="61"/>
  <c r="O62" i="61"/>
  <c r="Z62" i="61" s="1"/>
  <c r="Q59" i="61"/>
  <c r="O59" i="61"/>
  <c r="Z59" i="61" s="1"/>
  <c r="Q27" i="61"/>
  <c r="O27" i="61"/>
  <c r="Z27" i="61" s="1"/>
  <c r="Q56" i="61"/>
  <c r="O56" i="61"/>
  <c r="Z56" i="61" s="1"/>
  <c r="Q54" i="61"/>
  <c r="O54" i="61"/>
  <c r="Z54" i="61" s="1"/>
  <c r="Q50" i="61"/>
  <c r="O50" i="61"/>
  <c r="Z50" i="61" s="1"/>
  <c r="Q32" i="61"/>
  <c r="O32" i="61"/>
  <c r="Z32" i="61" s="1"/>
  <c r="Q26" i="57"/>
  <c r="O26" i="57"/>
  <c r="Q29" i="57"/>
  <c r="O29" i="57"/>
  <c r="Q30" i="57"/>
  <c r="O30" i="57"/>
  <c r="Q25" i="57"/>
  <c r="O25" i="57"/>
  <c r="Q24" i="57"/>
  <c r="O24" i="57"/>
  <c r="U34" i="1"/>
  <c r="Q34" i="1"/>
  <c r="O34" i="1"/>
  <c r="U43" i="1"/>
  <c r="Q43" i="1"/>
  <c r="O43" i="1"/>
  <c r="U46" i="1"/>
  <c r="Q46" i="1"/>
  <c r="O46" i="1"/>
  <c r="U35" i="1"/>
  <c r="Q35" i="1"/>
  <c r="O35" i="1"/>
  <c r="U31" i="1"/>
  <c r="Q31" i="1"/>
  <c r="O31" i="1"/>
  <c r="U44" i="1"/>
  <c r="Q44" i="1"/>
  <c r="O44" i="1"/>
  <c r="U22" i="1"/>
  <c r="Q22" i="1"/>
  <c r="O22" i="1"/>
  <c r="U49" i="1"/>
  <c r="Q49" i="1"/>
  <c r="O49" i="1"/>
  <c r="U30" i="1"/>
  <c r="Q30" i="1"/>
  <c r="O30" i="1"/>
  <c r="U40" i="1"/>
  <c r="Q40" i="1"/>
  <c r="O40" i="1"/>
  <c r="U39" i="1"/>
  <c r="Q39" i="1"/>
  <c r="O39" i="1"/>
  <c r="U36" i="1"/>
  <c r="Q36" i="1"/>
  <c r="O36" i="1"/>
  <c r="U29" i="1"/>
  <c r="Q29" i="1"/>
  <c r="O29" i="1"/>
  <c r="Q21" i="62"/>
  <c r="Z21" i="62" s="1"/>
  <c r="Q19" i="62"/>
  <c r="Z19" i="62" s="1"/>
  <c r="Z46" i="1" l="1"/>
  <c r="Z44" i="1"/>
  <c r="Z43" i="1"/>
  <c r="Z34" i="1"/>
  <c r="Z35" i="1"/>
  <c r="Z31" i="1"/>
  <c r="Z26" i="57"/>
  <c r="Z29" i="57"/>
  <c r="Z30" i="57"/>
  <c r="Z25" i="57"/>
  <c r="Z24" i="57"/>
  <c r="Z36" i="1"/>
  <c r="Z39" i="1"/>
  <c r="Z22" i="1"/>
  <c r="Z49" i="1"/>
  <c r="Z30" i="1"/>
  <c r="Z40" i="1"/>
  <c r="Z29" i="1"/>
  <c r="Y36" i="80" l="1"/>
  <c r="U36" i="80"/>
  <c r="Q36" i="80"/>
  <c r="Z36" i="80" s="1"/>
  <c r="Y35" i="80"/>
  <c r="U35" i="80"/>
  <c r="Q35" i="80"/>
  <c r="Z35" i="80" s="1"/>
  <c r="Y34" i="80"/>
  <c r="U34" i="80"/>
  <c r="Q34" i="80"/>
  <c r="Z34" i="80" s="1"/>
  <c r="Y33" i="80"/>
  <c r="U33" i="80"/>
  <c r="Q33" i="80"/>
  <c r="Y32" i="80"/>
  <c r="U32" i="80"/>
  <c r="Q32" i="80"/>
  <c r="Z32" i="80" s="1"/>
  <c r="Y31" i="80"/>
  <c r="U31" i="80"/>
  <c r="Q31" i="80"/>
  <c r="Y30" i="80"/>
  <c r="U30" i="80"/>
  <c r="Q30" i="80"/>
  <c r="Z30" i="80" s="1"/>
  <c r="Y29" i="80"/>
  <c r="U29" i="80"/>
  <c r="Q29" i="80"/>
  <c r="Z29" i="80" s="1"/>
  <c r="Y28" i="80"/>
  <c r="U28" i="80"/>
  <c r="Q28" i="80"/>
  <c r="Z28" i="80" s="1"/>
  <c r="Y27" i="80"/>
  <c r="U27" i="80"/>
  <c r="Q27" i="80"/>
  <c r="Z27" i="80" s="1"/>
  <c r="Y26" i="80"/>
  <c r="U26" i="80"/>
  <c r="Q26" i="80"/>
  <c r="Z26" i="80" s="1"/>
  <c r="Y25" i="80"/>
  <c r="U25" i="80"/>
  <c r="Q25" i="80"/>
  <c r="Y24" i="80"/>
  <c r="U24" i="80"/>
  <c r="Q24" i="80"/>
  <c r="Z24" i="80" s="1"/>
  <c r="Y23" i="80"/>
  <c r="U23" i="80"/>
  <c r="Q23" i="80"/>
  <c r="Y22" i="80"/>
  <c r="U22" i="80"/>
  <c r="Q22" i="80"/>
  <c r="Z22" i="80" s="1"/>
  <c r="Y21" i="80"/>
  <c r="U21" i="80"/>
  <c r="Q21" i="80"/>
  <c r="Z21" i="80" s="1"/>
  <c r="Y20" i="80"/>
  <c r="U20" i="80"/>
  <c r="Q20" i="80"/>
  <c r="Z20" i="80" s="1"/>
  <c r="Y19" i="80"/>
  <c r="U19" i="80"/>
  <c r="Q19" i="80"/>
  <c r="Z19" i="80" s="1"/>
  <c r="Y18" i="80"/>
  <c r="U18" i="80"/>
  <c r="Q18" i="80"/>
  <c r="Z18" i="80" s="1"/>
  <c r="Y17" i="80"/>
  <c r="U17" i="80"/>
  <c r="Q17" i="80"/>
  <c r="Y16" i="80"/>
  <c r="U16" i="80"/>
  <c r="Q16" i="80"/>
  <c r="Z16" i="80" s="1"/>
  <c r="Q17" i="79"/>
  <c r="Q21" i="79"/>
  <c r="Z21" i="79" s="1"/>
  <c r="Q16" i="79"/>
  <c r="Q19" i="79"/>
  <c r="Z19" i="79" s="1"/>
  <c r="Q20" i="79"/>
  <c r="Z20" i="79" s="1"/>
  <c r="Q15" i="79"/>
  <c r="Q28" i="72"/>
  <c r="Z28" i="72" s="1"/>
  <c r="Q41" i="72"/>
  <c r="Z41" i="72" s="1"/>
  <c r="Q40" i="72"/>
  <c r="Z40" i="72" s="1"/>
  <c r="Q39" i="72"/>
  <c r="Z39" i="72" s="1"/>
  <c r="Q38" i="72"/>
  <c r="Z38" i="72" s="1"/>
  <c r="Q37" i="72"/>
  <c r="Z37" i="72" s="1"/>
  <c r="Q36" i="72"/>
  <c r="Z36" i="72" s="1"/>
  <c r="Q35" i="72"/>
  <c r="Z35" i="72" s="1"/>
  <c r="Q34" i="72"/>
  <c r="Z34" i="72" s="1"/>
  <c r="Q33" i="72"/>
  <c r="Z33" i="72" s="1"/>
  <c r="Q32" i="72"/>
  <c r="Z32" i="72" s="1"/>
  <c r="Q31" i="72"/>
  <c r="Z31" i="72" s="1"/>
  <c r="Q30" i="72"/>
  <c r="Z30" i="72" s="1"/>
  <c r="Q24" i="72"/>
  <c r="Z24" i="72" s="1"/>
  <c r="Q29" i="72"/>
  <c r="Z29" i="72" s="1"/>
  <c r="Q27" i="72"/>
  <c r="Z27" i="72" s="1"/>
  <c r="Q17" i="72"/>
  <c r="Z17" i="72" s="1"/>
  <c r="Q23" i="72"/>
  <c r="Z23" i="72" s="1"/>
  <c r="Q19" i="72"/>
  <c r="Z19" i="72" s="1"/>
  <c r="Q26" i="72"/>
  <c r="Z26" i="72" s="1"/>
  <c r="Q21" i="72"/>
  <c r="Z21" i="72" s="1"/>
  <c r="Q18" i="72"/>
  <c r="Z18" i="72" s="1"/>
  <c r="Q15" i="72"/>
  <c r="Q20" i="78"/>
  <c r="Z20" i="78" s="1"/>
  <c r="Q19" i="78"/>
  <c r="Z19" i="78" s="1"/>
  <c r="Q18" i="78"/>
  <c r="Z18" i="78" s="1"/>
  <c r="Q16" i="78"/>
  <c r="Z16" i="78" s="1"/>
  <c r="Q20" i="71"/>
  <c r="Z20" i="71" s="1"/>
  <c r="Q17" i="71"/>
  <c r="Z17" i="71" s="1"/>
  <c r="Q18" i="71"/>
  <c r="Z18" i="71" s="1"/>
  <c r="Q29" i="74"/>
  <c r="Z29" i="74" s="1"/>
  <c r="Q37" i="74"/>
  <c r="Z37" i="74" s="1"/>
  <c r="Q31" i="74"/>
  <c r="Z31" i="74" s="1"/>
  <c r="Q36" i="74"/>
  <c r="Z36" i="74" s="1"/>
  <c r="Q34" i="74"/>
  <c r="Z34" i="74" s="1"/>
  <c r="Q33" i="74"/>
  <c r="Z33" i="74" s="1"/>
  <c r="Q32" i="74"/>
  <c r="Z32" i="74" s="1"/>
  <c r="Q30" i="74"/>
  <c r="Z30" i="74" s="1"/>
  <c r="Q28" i="74"/>
  <c r="Z28" i="74" s="1"/>
  <c r="Q18" i="74"/>
  <c r="Z18" i="74" s="1"/>
  <c r="Q27" i="74"/>
  <c r="Z27" i="74" s="1"/>
  <c r="Q24" i="74"/>
  <c r="Z24" i="74" s="1"/>
  <c r="Q26" i="74"/>
  <c r="Z26" i="74" s="1"/>
  <c r="Q19" i="74"/>
  <c r="Z19" i="74" s="1"/>
  <c r="Q23" i="74"/>
  <c r="Z23" i="74" s="1"/>
  <c r="Q17" i="74"/>
  <c r="Z17" i="74" s="1"/>
  <c r="Q22" i="74"/>
  <c r="Z22" i="74" s="1"/>
  <c r="Q16" i="74"/>
  <c r="Z16" i="74" s="1"/>
  <c r="Q31" i="70"/>
  <c r="Z31" i="70" s="1"/>
  <c r="Q32" i="70"/>
  <c r="Z32" i="70" s="1"/>
  <c r="Q18" i="70"/>
  <c r="Z18" i="70" s="1"/>
  <c r="Q38" i="70"/>
  <c r="Z38" i="70" s="1"/>
  <c r="Q37" i="70"/>
  <c r="Z37" i="70" s="1"/>
  <c r="Q33" i="70"/>
  <c r="Z33" i="70" s="1"/>
  <c r="Q36" i="70"/>
  <c r="Z36" i="70" s="1"/>
  <c r="Q35" i="70"/>
  <c r="Z35" i="70" s="1"/>
  <c r="Q30" i="70"/>
  <c r="Z30" i="70" s="1"/>
  <c r="Q28" i="70"/>
  <c r="Z28" i="70" s="1"/>
  <c r="Q24" i="70"/>
  <c r="Z24" i="70" s="1"/>
  <c r="Q21" i="70"/>
  <c r="Z21" i="70" s="1"/>
  <c r="Q25" i="70"/>
  <c r="Z25" i="70" s="1"/>
  <c r="Q29" i="70"/>
  <c r="Z29" i="70" s="1"/>
  <c r="Q26" i="70"/>
  <c r="Z26" i="70" s="1"/>
  <c r="Q19" i="70"/>
  <c r="Z19" i="70" s="1"/>
  <c r="Q15" i="70"/>
  <c r="Q20" i="70"/>
  <c r="Z20" i="70" s="1"/>
  <c r="Q16" i="70"/>
  <c r="Z16" i="70" s="1"/>
  <c r="Q29" i="69"/>
  <c r="Z29" i="69" s="1"/>
  <c r="Q33" i="69"/>
  <c r="Z33" i="69" s="1"/>
  <c r="Q40" i="69"/>
  <c r="Z40" i="69" s="1"/>
  <c r="Q39" i="69"/>
  <c r="Z39" i="69" s="1"/>
  <c r="Q38" i="69"/>
  <c r="Z38" i="69" s="1"/>
  <c r="Q37" i="69"/>
  <c r="Z37" i="69" s="1"/>
  <c r="Q31" i="69"/>
  <c r="Z31" i="69" s="1"/>
  <c r="Q16" i="69"/>
  <c r="Z16" i="69" s="1"/>
  <c r="Q35" i="69"/>
  <c r="Z35" i="69" s="1"/>
  <c r="Q34" i="69"/>
  <c r="Z34" i="69" s="1"/>
  <c r="Q23" i="69"/>
  <c r="Z23" i="69" s="1"/>
  <c r="Q30" i="69"/>
  <c r="Z30" i="69" s="1"/>
  <c r="Q17" i="69"/>
  <c r="Z17" i="69" s="1"/>
  <c r="Q28" i="69"/>
  <c r="Z28" i="69" s="1"/>
  <c r="Q27" i="69"/>
  <c r="Z27" i="69" s="1"/>
  <c r="Q24" i="69"/>
  <c r="Z24" i="69" s="1"/>
  <c r="Q25" i="69"/>
  <c r="Z25" i="69" s="1"/>
  <c r="Q20" i="69"/>
  <c r="Z20" i="69" s="1"/>
  <c r="Q19" i="69"/>
  <c r="Z19" i="69" s="1"/>
  <c r="Q18" i="69"/>
  <c r="Z18" i="69" s="1"/>
  <c r="Q40" i="68"/>
  <c r="Z40" i="68" s="1"/>
  <c r="Q39" i="68"/>
  <c r="Z39" i="68" s="1"/>
  <c r="Q38" i="68"/>
  <c r="Z38" i="68" s="1"/>
  <c r="Q37" i="68"/>
  <c r="Z37" i="68" s="1"/>
  <c r="Q36" i="68"/>
  <c r="Z36" i="68" s="1"/>
  <c r="Q33" i="68"/>
  <c r="Z33" i="68" s="1"/>
  <c r="Q28" i="68"/>
  <c r="Z28" i="68" s="1"/>
  <c r="Q23" i="68"/>
  <c r="Z23" i="68" s="1"/>
  <c r="Q32" i="68"/>
  <c r="Z32" i="68" s="1"/>
  <c r="Q30" i="68"/>
  <c r="Z30" i="68" s="1"/>
  <c r="Q27" i="68"/>
  <c r="Z27" i="68" s="1"/>
  <c r="Q29" i="68"/>
  <c r="Z29" i="68" s="1"/>
  <c r="Q19" i="68"/>
  <c r="Z19" i="68" s="1"/>
  <c r="Q25" i="68"/>
  <c r="Z25" i="68" s="1"/>
  <c r="Q21" i="68"/>
  <c r="Z21" i="68" s="1"/>
  <c r="Q15" i="68"/>
  <c r="Z15" i="68" s="1"/>
  <c r="Q20" i="68"/>
  <c r="Z20" i="68" s="1"/>
  <c r="Q18" i="68"/>
  <c r="Z18" i="68" s="1"/>
  <c r="Q17" i="68"/>
  <c r="Z17" i="68" s="1"/>
  <c r="Q26" i="67"/>
  <c r="Z26" i="67" s="1"/>
  <c r="Q24" i="67"/>
  <c r="Z24" i="67" s="1"/>
  <c r="Q30" i="67"/>
  <c r="Z30" i="67" s="1"/>
  <c r="Q31" i="67"/>
  <c r="Q29" i="67"/>
  <c r="Q20" i="67"/>
  <c r="Q28" i="67"/>
  <c r="Q27" i="67"/>
  <c r="Q25" i="67"/>
  <c r="Q23" i="67"/>
  <c r="Q17" i="67"/>
  <c r="Q22" i="67"/>
  <c r="Q19" i="67"/>
  <c r="Q18" i="67"/>
  <c r="Q21" i="67"/>
  <c r="Q16" i="67"/>
  <c r="Q21" i="77"/>
  <c r="Q19" i="77"/>
  <c r="Q23" i="77"/>
  <c r="Q22" i="77"/>
  <c r="Q18" i="77"/>
  <c r="Q16" i="77"/>
  <c r="Q15" i="77"/>
  <c r="Q33" i="66"/>
  <c r="Q32" i="66"/>
  <c r="Q31" i="66"/>
  <c r="Q30" i="66"/>
  <c r="Q23" i="66"/>
  <c r="Q25" i="66"/>
  <c r="Q24" i="66"/>
  <c r="Q26" i="66"/>
  <c r="Q21" i="66"/>
  <c r="Q20" i="66"/>
  <c r="Q22" i="66"/>
  <c r="Q19" i="66"/>
  <c r="Q18" i="66"/>
  <c r="Q17" i="66"/>
  <c r="Q16" i="66"/>
  <c r="Q24" i="76"/>
  <c r="O24" i="76"/>
  <c r="Z24" i="76" s="1"/>
  <c r="Q28" i="76"/>
  <c r="O28" i="76"/>
  <c r="Z28" i="76" s="1"/>
  <c r="Q23" i="76"/>
  <c r="O23" i="76"/>
  <c r="Z23" i="76" s="1"/>
  <c r="Q31" i="76"/>
  <c r="O31" i="76"/>
  <c r="Z31" i="76" s="1"/>
  <c r="Q25" i="76"/>
  <c r="O25" i="76"/>
  <c r="Z25" i="76" s="1"/>
  <c r="Q19" i="76"/>
  <c r="O19" i="76"/>
  <c r="Z19" i="76" s="1"/>
  <c r="Q22" i="76"/>
  <c r="O22" i="76"/>
  <c r="Z22" i="76" s="1"/>
  <c r="Q20" i="76"/>
  <c r="O20" i="76"/>
  <c r="Z20" i="76" s="1"/>
  <c r="Q17" i="76"/>
  <c r="O17" i="76"/>
  <c r="Z17" i="76" s="1"/>
  <c r="Q18" i="76"/>
  <c r="O18" i="76"/>
  <c r="Z18" i="76" s="1"/>
  <c r="Q21" i="76"/>
  <c r="O21" i="76"/>
  <c r="Z21" i="76" s="1"/>
  <c r="Q15" i="76"/>
  <c r="O15" i="76"/>
  <c r="Q55" i="63"/>
  <c r="O55" i="63"/>
  <c r="Z55" i="63" s="1"/>
  <c r="Q38" i="63"/>
  <c r="O38" i="63"/>
  <c r="Z38" i="63" s="1"/>
  <c r="Q36" i="65"/>
  <c r="Z36" i="65" s="1"/>
  <c r="Q55" i="65"/>
  <c r="Z55" i="65" s="1"/>
  <c r="Q41" i="65"/>
  <c r="Z41" i="65" s="1"/>
  <c r="Q54" i="65"/>
  <c r="Q37" i="65"/>
  <c r="Q53" i="65"/>
  <c r="Q30" i="65"/>
  <c r="Q52" i="65"/>
  <c r="Q50" i="65"/>
  <c r="Q48" i="65"/>
  <c r="Q40" i="65"/>
  <c r="Q46" i="65"/>
  <c r="Q45" i="65"/>
  <c r="Q44" i="65"/>
  <c r="Q34" i="65"/>
  <c r="Q35" i="65"/>
  <c r="Q29" i="65"/>
  <c r="Q42" i="65"/>
  <c r="Q33" i="65"/>
  <c r="Q28" i="65"/>
  <c r="Q32" i="65"/>
  <c r="Q25" i="65"/>
  <c r="Q38" i="65"/>
  <c r="Q31" i="65"/>
  <c r="Q27" i="65"/>
  <c r="Q26" i="65"/>
  <c r="Q22" i="65"/>
  <c r="Q20" i="65"/>
  <c r="Q23" i="65"/>
  <c r="Q21" i="65"/>
  <c r="Q24" i="65"/>
  <c r="Q18" i="65"/>
  <c r="Q19" i="65"/>
  <c r="Q17" i="65"/>
  <c r="Q16" i="65"/>
  <c r="Q24" i="64"/>
  <c r="Q23" i="64"/>
  <c r="Q19" i="64"/>
  <c r="Q17" i="64"/>
  <c r="Q21" i="64"/>
  <c r="Q22" i="64"/>
  <c r="Q20" i="64"/>
  <c r="Q18" i="64"/>
  <c r="Q16" i="64"/>
  <c r="Q45" i="63"/>
  <c r="Q69" i="63"/>
  <c r="Q59" i="63"/>
  <c r="Q68" i="63"/>
  <c r="Q67" i="63"/>
  <c r="Q63" i="63"/>
  <c r="Q43" i="63"/>
  <c r="Q40" i="63"/>
  <c r="Q52" i="63"/>
  <c r="Q61" i="63"/>
  <c r="Q56" i="63"/>
  <c r="Q51" i="63"/>
  <c r="Q60" i="63"/>
  <c r="Q35" i="63"/>
  <c r="Q54" i="63"/>
  <c r="Q33" i="63"/>
  <c r="Q39" i="63"/>
  <c r="Q58" i="63"/>
  <c r="Q24" i="63"/>
  <c r="Q48" i="63"/>
  <c r="Q28" i="63"/>
  <c r="Q50" i="63"/>
  <c r="Q37" i="63"/>
  <c r="Q47" i="63"/>
  <c r="Q36" i="63"/>
  <c r="Q42" i="63"/>
  <c r="Q34" i="63"/>
  <c r="Q31" i="63"/>
  <c r="Q41" i="63"/>
  <c r="Q26" i="63"/>
  <c r="Q49" i="63"/>
  <c r="Q25" i="63"/>
  <c r="Q29" i="63"/>
  <c r="Q32" i="63"/>
  <c r="Q46" i="63"/>
  <c r="Q44" i="63"/>
  <c r="Q30" i="63"/>
  <c r="Q23" i="63"/>
  <c r="Q18" i="63"/>
  <c r="Q15" i="63"/>
  <c r="Q27" i="63"/>
  <c r="Q19" i="63"/>
  <c r="Q17" i="63"/>
  <c r="Q22" i="63"/>
  <c r="Q21" i="63"/>
  <c r="Q16" i="63"/>
  <c r="E28" i="72"/>
  <c r="D28" i="72"/>
  <c r="E25" i="74"/>
  <c r="D25" i="74"/>
  <c r="E29" i="74"/>
  <c r="D29" i="74"/>
  <c r="E37" i="74"/>
  <c r="D37" i="74"/>
  <c r="E31" i="70"/>
  <c r="D31" i="70"/>
  <c r="E32" i="70"/>
  <c r="D32" i="70"/>
  <c r="E18" i="70"/>
  <c r="D18" i="70"/>
  <c r="E29" i="69"/>
  <c r="D29" i="69"/>
  <c r="E26" i="69"/>
  <c r="D26" i="69"/>
  <c r="E33" i="69"/>
  <c r="D33" i="69"/>
  <c r="E34" i="68"/>
  <c r="D34" i="68"/>
  <c r="E33" i="67"/>
  <c r="D33" i="67"/>
  <c r="E26" i="67"/>
  <c r="D26" i="67"/>
  <c r="E24" i="67"/>
  <c r="D24" i="67"/>
  <c r="E32" i="67"/>
  <c r="D32" i="67"/>
  <c r="E30" i="67"/>
  <c r="D30" i="67"/>
  <c r="E24" i="76"/>
  <c r="D24" i="76"/>
  <c r="E28" i="76"/>
  <c r="D28" i="76"/>
  <c r="E23" i="76"/>
  <c r="D23" i="76"/>
  <c r="E41" i="65"/>
  <c r="D41" i="65"/>
  <c r="E55" i="63"/>
  <c r="D55" i="63"/>
  <c r="E38" i="63"/>
  <c r="D38" i="63"/>
  <c r="E36" i="65"/>
  <c r="D36" i="65"/>
  <c r="E55" i="65"/>
  <c r="D55" i="65"/>
  <c r="Z15" i="70" l="1"/>
  <c r="Z17" i="80"/>
  <c r="Z25" i="80"/>
  <c r="Z33" i="80"/>
  <c r="Z23" i="80"/>
  <c r="Z31" i="80"/>
  <c r="N15" i="73" l="1"/>
  <c r="N15" i="74"/>
  <c r="Q33" i="67" l="1"/>
  <c r="Z33" i="67" s="1"/>
  <c r="O20" i="67" l="1"/>
  <c r="Z20" i="67" s="1"/>
  <c r="O17" i="67"/>
  <c r="Z17" i="67" s="1"/>
  <c r="O27" i="67"/>
  <c r="Z27" i="67" s="1"/>
  <c r="O31" i="67"/>
  <c r="Z31" i="67" s="1"/>
  <c r="O29" i="67"/>
  <c r="Z29" i="67" s="1"/>
  <c r="O19" i="67"/>
  <c r="Z19" i="67" s="1"/>
  <c r="O21" i="67"/>
  <c r="Z21" i="67" s="1"/>
  <c r="O28" i="67"/>
  <c r="Z28" i="67" s="1"/>
  <c r="O25" i="67"/>
  <c r="Z25" i="67" s="1"/>
  <c r="O18" i="67"/>
  <c r="Z18" i="67" s="1"/>
  <c r="O23" i="67"/>
  <c r="Z23" i="67" s="1"/>
  <c r="O16" i="67"/>
  <c r="Z16" i="67" s="1"/>
  <c r="O22" i="67"/>
  <c r="Z22" i="67" s="1"/>
  <c r="Q17" i="75"/>
  <c r="Z17" i="75" s="1"/>
  <c r="Q18" i="75"/>
  <c r="Z18" i="75" s="1"/>
  <c r="Q15" i="75"/>
  <c r="Q16" i="73"/>
  <c r="Q16" i="72"/>
  <c r="Z16" i="72" s="1"/>
  <c r="O21" i="77"/>
  <c r="Z21" i="77" s="1"/>
  <c r="O22" i="77"/>
  <c r="Z22" i="77" s="1"/>
  <c r="O19" i="77"/>
  <c r="Z19" i="77" s="1"/>
  <c r="O23" i="77"/>
  <c r="Z23" i="77" s="1"/>
  <c r="O18" i="77"/>
  <c r="Z18" i="77" s="1"/>
  <c r="O15" i="77"/>
  <c r="Z15" i="77" s="1"/>
  <c r="O16" i="77"/>
  <c r="J251" i="56"/>
  <c r="V15" i="79" s="1"/>
  <c r="W15" i="79" s="1"/>
  <c r="J252" i="56"/>
  <c r="J253" i="56"/>
  <c r="J254" i="56"/>
  <c r="J255" i="56"/>
  <c r="J256" i="56"/>
  <c r="J257" i="56"/>
  <c r="J258" i="56"/>
  <c r="J259" i="56"/>
  <c r="J260" i="56"/>
  <c r="J261" i="56"/>
  <c r="J262" i="56"/>
  <c r="J263" i="56"/>
  <c r="J264" i="56"/>
  <c r="J265" i="56"/>
  <c r="O54" i="65"/>
  <c r="Z54" i="65" s="1"/>
  <c r="O52" i="65"/>
  <c r="Z52" i="65" s="1"/>
  <c r="O40" i="65"/>
  <c r="Z40" i="65" s="1"/>
  <c r="O35" i="65"/>
  <c r="Z35" i="65" s="1"/>
  <c r="O37" i="65"/>
  <c r="Z37" i="65" s="1"/>
  <c r="O48" i="65"/>
  <c r="Z48" i="65" s="1"/>
  <c r="O45" i="65"/>
  <c r="Z45" i="65" s="1"/>
  <c r="O50" i="65"/>
  <c r="Z50" i="65" s="1"/>
  <c r="O53" i="65"/>
  <c r="Z53" i="65" s="1"/>
  <c r="O30" i="65"/>
  <c r="Z30" i="65" s="1"/>
  <c r="O33" i="65"/>
  <c r="Z33" i="65" s="1"/>
  <c r="O42" i="65"/>
  <c r="Z42" i="65" s="1"/>
  <c r="O29" i="65"/>
  <c r="Z29" i="65" s="1"/>
  <c r="O28" i="65"/>
  <c r="Z28" i="65" s="1"/>
  <c r="O46" i="65"/>
  <c r="Z46" i="65" s="1"/>
  <c r="O27" i="65"/>
  <c r="Z27" i="65" s="1"/>
  <c r="O32" i="65"/>
  <c r="Z32" i="65" s="1"/>
  <c r="O38" i="65"/>
  <c r="Z38" i="65" s="1"/>
  <c r="O31" i="65"/>
  <c r="Z31" i="65" s="1"/>
  <c r="O25" i="65"/>
  <c r="Z25" i="65" s="1"/>
  <c r="O44" i="65"/>
  <c r="Z44" i="65" s="1"/>
  <c r="O34" i="65"/>
  <c r="Z34" i="65" s="1"/>
  <c r="O22" i="65"/>
  <c r="Z22" i="65" s="1"/>
  <c r="O26" i="65"/>
  <c r="Z26" i="65" s="1"/>
  <c r="O21" i="65"/>
  <c r="Z21" i="65" s="1"/>
  <c r="O23" i="65"/>
  <c r="Z23" i="65" s="1"/>
  <c r="O24" i="65"/>
  <c r="Z24" i="65" s="1"/>
  <c r="O18" i="65"/>
  <c r="Z18" i="65" s="1"/>
  <c r="O17" i="65"/>
  <c r="Z17" i="65" s="1"/>
  <c r="O19" i="65"/>
  <c r="Z19" i="65" s="1"/>
  <c r="O16" i="65"/>
  <c r="Z16" i="65" s="1"/>
  <c r="O20" i="65"/>
  <c r="Z20" i="65" s="1"/>
  <c r="O23" i="64"/>
  <c r="Z23" i="64" s="1"/>
  <c r="O24" i="64"/>
  <c r="Z24" i="64" s="1"/>
  <c r="O17" i="64"/>
  <c r="Z17" i="64" s="1"/>
  <c r="O22" i="64"/>
  <c r="Z22" i="64" s="1"/>
  <c r="O19" i="64"/>
  <c r="Z19" i="64" s="1"/>
  <c r="O21" i="64"/>
  <c r="Z21" i="64" s="1"/>
  <c r="O18" i="64"/>
  <c r="Z18" i="64" s="1"/>
  <c r="O20" i="64"/>
  <c r="Z20" i="64" s="1"/>
  <c r="O16" i="64"/>
  <c r="Z16" i="64" s="1"/>
  <c r="O39" i="63"/>
  <c r="Z39" i="63" s="1"/>
  <c r="O61" i="63"/>
  <c r="Z61" i="63" s="1"/>
  <c r="O37" i="63"/>
  <c r="Z37" i="63" s="1"/>
  <c r="O67" i="63"/>
  <c r="Z67" i="63" s="1"/>
  <c r="O51" i="63"/>
  <c r="Z51" i="63" s="1"/>
  <c r="O40" i="63"/>
  <c r="Z40" i="63" s="1"/>
  <c r="O35" i="63"/>
  <c r="Z35" i="63" s="1"/>
  <c r="O45" i="63"/>
  <c r="Z45" i="63" s="1"/>
  <c r="O69" i="63"/>
  <c r="Z69" i="63" s="1"/>
  <c r="O43" i="63"/>
  <c r="Z43" i="63" s="1"/>
  <c r="O24" i="63"/>
  <c r="Z24" i="63" s="1"/>
  <c r="O59" i="63"/>
  <c r="Z59" i="63" s="1"/>
  <c r="O68" i="63"/>
  <c r="Z68" i="63" s="1"/>
  <c r="O28" i="63"/>
  <c r="Z28" i="63" s="1"/>
  <c r="O16" i="63"/>
  <c r="O31" i="63"/>
  <c r="Z31" i="63" s="1"/>
  <c r="O63" i="63"/>
  <c r="Z63" i="63" s="1"/>
  <c r="O33" i="63"/>
  <c r="Z33" i="63" s="1"/>
  <c r="O46" i="63"/>
  <c r="Z46" i="63" s="1"/>
  <c r="O52" i="63"/>
  <c r="Z52" i="63" s="1"/>
  <c r="O48" i="63"/>
  <c r="Z48" i="63" s="1"/>
  <c r="O58" i="63"/>
  <c r="Z58" i="63" s="1"/>
  <c r="O56" i="63"/>
  <c r="Z56" i="63" s="1"/>
  <c r="O36" i="63"/>
  <c r="Z36" i="63" s="1"/>
  <c r="O60" i="63"/>
  <c r="Z60" i="63" s="1"/>
  <c r="O50" i="63"/>
  <c r="Z50" i="63" s="1"/>
  <c r="O47" i="63"/>
  <c r="Z47" i="63" s="1"/>
  <c r="O41" i="63"/>
  <c r="Z41" i="63" s="1"/>
  <c r="O54" i="63"/>
  <c r="Z54" i="63" s="1"/>
  <c r="O49" i="63"/>
  <c r="Z49" i="63" s="1"/>
  <c r="O42" i="63"/>
  <c r="Z42" i="63" s="1"/>
  <c r="O17" i="63"/>
  <c r="Z17" i="63" s="1"/>
  <c r="O34" i="63"/>
  <c r="Z34" i="63" s="1"/>
  <c r="O44" i="63"/>
  <c r="Z44" i="63" s="1"/>
  <c r="O15" i="63"/>
  <c r="Z15" i="63" s="1"/>
  <c r="O25" i="63"/>
  <c r="Z25" i="63" s="1"/>
  <c r="O26" i="63"/>
  <c r="Z26" i="63" s="1"/>
  <c r="O29" i="63"/>
  <c r="Z29" i="63" s="1"/>
  <c r="O32" i="63"/>
  <c r="Z32" i="63" s="1"/>
  <c r="O22" i="63"/>
  <c r="Z22" i="63" s="1"/>
  <c r="O23" i="63"/>
  <c r="Z23" i="63" s="1"/>
  <c r="O30" i="63"/>
  <c r="Z30" i="63" s="1"/>
  <c r="O19" i="63"/>
  <c r="Z19" i="63" s="1"/>
  <c r="O27" i="63"/>
  <c r="Z27" i="63" s="1"/>
  <c r="O21" i="63"/>
  <c r="Z21" i="63" s="1"/>
  <c r="O18" i="63"/>
  <c r="Z18" i="63" s="1"/>
  <c r="Q17" i="62"/>
  <c r="O17" i="62"/>
  <c r="Z17" i="62" s="1"/>
  <c r="Q16" i="62"/>
  <c r="O16" i="62"/>
  <c r="Z16" i="62" s="1"/>
  <c r="Q18" i="62"/>
  <c r="O18" i="62"/>
  <c r="Z18" i="62" s="1"/>
  <c r="Q20" i="62"/>
  <c r="O20" i="62"/>
  <c r="Z20" i="62" s="1"/>
  <c r="Q42" i="61"/>
  <c r="O42" i="61"/>
  <c r="Z42" i="61" s="1"/>
  <c r="Q75" i="61"/>
  <c r="O75" i="61"/>
  <c r="Q74" i="61"/>
  <c r="O74" i="61"/>
  <c r="Z74" i="61" s="1"/>
  <c r="Q82" i="61"/>
  <c r="O82" i="61"/>
  <c r="Q81" i="61"/>
  <c r="O81" i="61"/>
  <c r="Z81" i="61" s="1"/>
  <c r="Q76" i="61"/>
  <c r="O76" i="61"/>
  <c r="Q71" i="61"/>
  <c r="O71" i="61"/>
  <c r="Z71" i="61" s="1"/>
  <c r="Q77" i="61"/>
  <c r="O77" i="61"/>
  <c r="Q73" i="61"/>
  <c r="O73" i="61"/>
  <c r="Z73" i="61" s="1"/>
  <c r="Q30" i="61"/>
  <c r="O30" i="61"/>
  <c r="Q44" i="61"/>
  <c r="O44" i="61"/>
  <c r="Z44" i="61" s="1"/>
  <c r="Q41" i="61"/>
  <c r="O41" i="61"/>
  <c r="Z41" i="61" s="1"/>
  <c r="Q24" i="61"/>
  <c r="O24" i="61"/>
  <c r="Z24" i="61" s="1"/>
  <c r="Q69" i="61"/>
  <c r="O69" i="61"/>
  <c r="Z69" i="61" s="1"/>
  <c r="Q25" i="61"/>
  <c r="O25" i="61"/>
  <c r="Z25" i="61" s="1"/>
  <c r="Q80" i="61"/>
  <c r="O80" i="61"/>
  <c r="Z80" i="61" s="1"/>
  <c r="Q78" i="61"/>
  <c r="O78" i="61"/>
  <c r="Z78" i="61" s="1"/>
  <c r="Q72" i="61"/>
  <c r="O72" i="61"/>
  <c r="Z72" i="61" s="1"/>
  <c r="Q36" i="61"/>
  <c r="O36" i="61"/>
  <c r="Z36" i="61" s="1"/>
  <c r="Q58" i="61"/>
  <c r="O58" i="61"/>
  <c r="Z58" i="61" s="1"/>
  <c r="Q79" i="61"/>
  <c r="O79" i="61"/>
  <c r="Z79" i="61" s="1"/>
  <c r="Q43" i="61"/>
  <c r="O43" i="61"/>
  <c r="Z43" i="61" s="1"/>
  <c r="Q63" i="61"/>
  <c r="O63" i="61"/>
  <c r="Z63" i="61" s="1"/>
  <c r="Q61" i="61"/>
  <c r="O61" i="61"/>
  <c r="Z61" i="61" s="1"/>
  <c r="Q40" i="61"/>
  <c r="O40" i="61"/>
  <c r="Z40" i="61" s="1"/>
  <c r="Q26" i="61"/>
  <c r="O26" i="61"/>
  <c r="Z26" i="61" s="1"/>
  <c r="Q64" i="61"/>
  <c r="O64" i="61"/>
  <c r="Z64" i="61" s="1"/>
  <c r="Q31" i="61"/>
  <c r="O31" i="61"/>
  <c r="Z31" i="61" s="1"/>
  <c r="Q66" i="61"/>
  <c r="O66" i="61"/>
  <c r="Z66" i="61" s="1"/>
  <c r="Q65" i="61"/>
  <c r="O65" i="61"/>
  <c r="Z65" i="61" s="1"/>
  <c r="Q55" i="61"/>
  <c r="O55" i="61"/>
  <c r="Z55" i="61" s="1"/>
  <c r="Q51" i="61"/>
  <c r="O51" i="61"/>
  <c r="Z51" i="61" s="1"/>
  <c r="Q39" i="61"/>
  <c r="O39" i="61"/>
  <c r="Z39" i="61" s="1"/>
  <c r="Q53" i="61"/>
  <c r="O53" i="61"/>
  <c r="Z53" i="61" s="1"/>
  <c r="Q29" i="61"/>
  <c r="O29" i="61"/>
  <c r="Z29" i="61" s="1"/>
  <c r="Q47" i="61"/>
  <c r="O47" i="61"/>
  <c r="Z47" i="61" s="1"/>
  <c r="Q35" i="61"/>
  <c r="O35" i="61"/>
  <c r="Z35" i="61" s="1"/>
  <c r="Q28" i="61"/>
  <c r="O28" i="61"/>
  <c r="Z28" i="61" s="1"/>
  <c r="Q20" i="61"/>
  <c r="O20" i="61"/>
  <c r="Z20" i="61" s="1"/>
  <c r="Q37" i="61"/>
  <c r="O37" i="61"/>
  <c r="Z37" i="61" s="1"/>
  <c r="Q48" i="61"/>
  <c r="O48" i="61"/>
  <c r="Z48" i="61" s="1"/>
  <c r="Q22" i="61"/>
  <c r="O22" i="61"/>
  <c r="Z22" i="61" s="1"/>
  <c r="Q23" i="61"/>
  <c r="O23" i="61"/>
  <c r="Z23" i="61" s="1"/>
  <c r="Q21" i="61"/>
  <c r="O21" i="61"/>
  <c r="Z21" i="61" s="1"/>
  <c r="Q38" i="61"/>
  <c r="O38" i="61"/>
  <c r="Z38" i="61" s="1"/>
  <c r="Q33" i="61"/>
  <c r="O33" i="61"/>
  <c r="Z33" i="61" s="1"/>
  <c r="Q45" i="61"/>
  <c r="O45" i="61"/>
  <c r="Z45" i="61" s="1"/>
  <c r="Q57" i="61"/>
  <c r="O57" i="61"/>
  <c r="Z57" i="61" s="1"/>
  <c r="Q49" i="61"/>
  <c r="O49" i="61"/>
  <c r="Z49" i="61" s="1"/>
  <c r="Q46" i="61"/>
  <c r="O46" i="61"/>
  <c r="Z46" i="61" s="1"/>
  <c r="Q19" i="61"/>
  <c r="O19" i="61"/>
  <c r="Z19" i="61" s="1"/>
  <c r="Q17" i="61"/>
  <c r="O17" i="61"/>
  <c r="Z17" i="61" s="1"/>
  <c r="Q15" i="61"/>
  <c r="O15" i="61"/>
  <c r="Q16" i="61"/>
  <c r="O16" i="61"/>
  <c r="Z16" i="61" s="1"/>
  <c r="Y32" i="58"/>
  <c r="W32" i="58"/>
  <c r="U32" i="58"/>
  <c r="Q32" i="58"/>
  <c r="O32" i="58"/>
  <c r="Y38" i="58"/>
  <c r="W38" i="58"/>
  <c r="U38" i="58"/>
  <c r="Q38" i="58"/>
  <c r="O38" i="58"/>
  <c r="Y37" i="58"/>
  <c r="W37" i="58"/>
  <c r="U37" i="58"/>
  <c r="Q37" i="58"/>
  <c r="O37" i="58"/>
  <c r="Y18" i="58"/>
  <c r="W18" i="58"/>
  <c r="U18" i="58"/>
  <c r="Q18" i="58"/>
  <c r="O18" i="58"/>
  <c r="Y43" i="58"/>
  <c r="W43" i="58"/>
  <c r="U43" i="58"/>
  <c r="Q43" i="58"/>
  <c r="O43" i="58"/>
  <c r="Y42" i="58"/>
  <c r="W42" i="58"/>
  <c r="U42" i="58"/>
  <c r="Q42" i="58"/>
  <c r="O42" i="58"/>
  <c r="Y40" i="58"/>
  <c r="W40" i="58"/>
  <c r="U40" i="58"/>
  <c r="Q40" i="58"/>
  <c r="O40" i="58"/>
  <c r="Y26" i="58"/>
  <c r="W26" i="58"/>
  <c r="U26" i="58"/>
  <c r="Q26" i="58"/>
  <c r="O26" i="58"/>
  <c r="Y27" i="58"/>
  <c r="W27" i="58"/>
  <c r="U27" i="58"/>
  <c r="Q27" i="58"/>
  <c r="O27" i="58"/>
  <c r="Y21" i="58"/>
  <c r="W21" i="58"/>
  <c r="U21" i="58"/>
  <c r="Q21" i="58"/>
  <c r="O21" i="58"/>
  <c r="Y20" i="58"/>
  <c r="W20" i="58"/>
  <c r="U20" i="58"/>
  <c r="Q20" i="58"/>
  <c r="O20" i="58"/>
  <c r="Y29" i="58"/>
  <c r="W29" i="58"/>
  <c r="U29" i="58"/>
  <c r="Q29" i="58"/>
  <c r="O29" i="58"/>
  <c r="Y22" i="58"/>
  <c r="W22" i="58"/>
  <c r="U22" i="58"/>
  <c r="Q22" i="58"/>
  <c r="O22" i="58"/>
  <c r="Y28" i="58"/>
  <c r="W28" i="58"/>
  <c r="U28" i="58"/>
  <c r="Q28" i="58"/>
  <c r="O28" i="58"/>
  <c r="Y17" i="58"/>
  <c r="W17" i="58"/>
  <c r="U17" i="58"/>
  <c r="Q17" i="58"/>
  <c r="O17" i="58"/>
  <c r="Y19" i="58"/>
  <c r="W19" i="58"/>
  <c r="U19" i="58"/>
  <c r="Q19" i="58"/>
  <c r="O19" i="58"/>
  <c r="Y16" i="58"/>
  <c r="W16" i="58"/>
  <c r="U16" i="58"/>
  <c r="Q16" i="58"/>
  <c r="O16" i="58"/>
  <c r="Y17" i="59"/>
  <c r="W17" i="59"/>
  <c r="U17" i="59"/>
  <c r="S17" i="59"/>
  <c r="Q17" i="59"/>
  <c r="O17" i="59"/>
  <c r="Y15" i="59"/>
  <c r="W15" i="59"/>
  <c r="U15" i="59"/>
  <c r="S15" i="59"/>
  <c r="Q15" i="59"/>
  <c r="O15" i="59"/>
  <c r="Y23" i="59"/>
  <c r="W23" i="59"/>
  <c r="U23" i="59"/>
  <c r="S23" i="59"/>
  <c r="Q23" i="59"/>
  <c r="O23" i="59"/>
  <c r="Y19" i="59"/>
  <c r="W19" i="59"/>
  <c r="U19" i="59"/>
  <c r="S19" i="59"/>
  <c r="Q19" i="59"/>
  <c r="O19" i="59"/>
  <c r="Y16" i="59"/>
  <c r="W16" i="59"/>
  <c r="U16" i="59"/>
  <c r="S16" i="59"/>
  <c r="Q16" i="59"/>
  <c r="O16" i="59"/>
  <c r="Y24" i="59"/>
  <c r="W24" i="59"/>
  <c r="U24" i="59"/>
  <c r="S24" i="59"/>
  <c r="Q24" i="59"/>
  <c r="O24" i="59"/>
  <c r="Y18" i="59"/>
  <c r="W18" i="59"/>
  <c r="U18" i="59"/>
  <c r="S18" i="59"/>
  <c r="Q18" i="59"/>
  <c r="O18" i="59"/>
  <c r="Y22" i="59"/>
  <c r="W22" i="59"/>
  <c r="U22" i="59"/>
  <c r="S22" i="59"/>
  <c r="Q22" i="59"/>
  <c r="O22" i="59"/>
  <c r="M17" i="59"/>
  <c r="M15" i="59"/>
  <c r="K17" i="59"/>
  <c r="K15" i="59"/>
  <c r="K23" i="59"/>
  <c r="K19" i="59"/>
  <c r="K16" i="59"/>
  <c r="K24" i="59"/>
  <c r="K18" i="59"/>
  <c r="K22" i="59"/>
  <c r="M32" i="58"/>
  <c r="M38" i="58"/>
  <c r="M37" i="58"/>
  <c r="M18" i="58"/>
  <c r="M43" i="58"/>
  <c r="M42" i="58"/>
  <c r="M40" i="58"/>
  <c r="M26" i="58"/>
  <c r="M27" i="58"/>
  <c r="M21" i="58"/>
  <c r="M20" i="58"/>
  <c r="M29" i="58"/>
  <c r="M22" i="58"/>
  <c r="M28" i="58"/>
  <c r="M17" i="58"/>
  <c r="M19" i="58"/>
  <c r="M16" i="58"/>
  <c r="K32" i="58"/>
  <c r="K38" i="58"/>
  <c r="K37" i="58"/>
  <c r="K18" i="58"/>
  <c r="K43" i="58"/>
  <c r="K42" i="58"/>
  <c r="K40" i="58"/>
  <c r="K26" i="58"/>
  <c r="K27" i="58"/>
  <c r="K21" i="58"/>
  <c r="K20" i="58"/>
  <c r="K29" i="58"/>
  <c r="K22" i="58"/>
  <c r="K28" i="58"/>
  <c r="K17" i="58"/>
  <c r="K19" i="58"/>
  <c r="K16" i="58"/>
  <c r="Q19" i="57"/>
  <c r="O19" i="57"/>
  <c r="Q20" i="57"/>
  <c r="O20" i="57"/>
  <c r="Q17" i="57"/>
  <c r="O17" i="57"/>
  <c r="Q33" i="57"/>
  <c r="O33" i="57"/>
  <c r="Q32" i="57"/>
  <c r="O32" i="57"/>
  <c r="Q22" i="57"/>
  <c r="O22" i="57"/>
  <c r="Q21" i="57"/>
  <c r="O21" i="57"/>
  <c r="Q31" i="57"/>
  <c r="O31" i="57"/>
  <c r="Q18" i="57"/>
  <c r="O18" i="57"/>
  <c r="Q23" i="57"/>
  <c r="O23" i="57"/>
  <c r="Q28" i="57"/>
  <c r="O28" i="57"/>
  <c r="Q27" i="57"/>
  <c r="O27" i="57"/>
  <c r="Q16" i="57"/>
  <c r="O16" i="57"/>
  <c r="O24" i="66"/>
  <c r="Z24" i="66" s="1"/>
  <c r="O31" i="66"/>
  <c r="Z31" i="66" s="1"/>
  <c r="O26" i="66"/>
  <c r="Z26" i="66" s="1"/>
  <c r="O33" i="66"/>
  <c r="Z33" i="66" s="1"/>
  <c r="O30" i="66"/>
  <c r="Z30" i="66" s="1"/>
  <c r="O32" i="66"/>
  <c r="Z32" i="66" s="1"/>
  <c r="O23" i="66"/>
  <c r="Z23" i="66" s="1"/>
  <c r="O25" i="66"/>
  <c r="Z25" i="66" s="1"/>
  <c r="O21" i="66"/>
  <c r="Z21" i="66" s="1"/>
  <c r="O22" i="66"/>
  <c r="Z22" i="66" s="1"/>
  <c r="O18" i="66"/>
  <c r="Z18" i="66" s="1"/>
  <c r="O20" i="66"/>
  <c r="Z20" i="66" s="1"/>
  <c r="O19" i="66"/>
  <c r="Z19" i="66" s="1"/>
  <c r="O16" i="66"/>
  <c r="Z16" i="66" s="1"/>
  <c r="O17" i="66"/>
  <c r="Z17" i="66" s="1"/>
  <c r="Z30" i="61" l="1"/>
  <c r="Z77" i="61"/>
  <c r="Z76" i="61"/>
  <c r="Z82" i="61"/>
  <c r="Z75" i="61"/>
  <c r="Z17" i="59"/>
  <c r="Z31" i="57"/>
  <c r="Z32" i="57"/>
  <c r="Z27" i="57"/>
  <c r="Z15" i="59"/>
  <c r="Z16" i="57"/>
  <c r="Z33" i="57"/>
  <c r="Z22" i="57"/>
  <c r="Z18" i="58"/>
  <c r="Z37" i="58"/>
  <c r="Z38" i="58"/>
  <c r="Z32" i="58"/>
  <c r="Z28" i="57"/>
  <c r="U55" i="1" l="1"/>
  <c r="Q55" i="1"/>
  <c r="O55" i="1"/>
  <c r="U51" i="1"/>
  <c r="Q51" i="1"/>
  <c r="O51" i="1"/>
  <c r="U57" i="1"/>
  <c r="Q57" i="1"/>
  <c r="O57" i="1"/>
  <c r="U56" i="1"/>
  <c r="Q56" i="1"/>
  <c r="O56" i="1"/>
  <c r="U60" i="1"/>
  <c r="Q60" i="1"/>
  <c r="O60" i="1"/>
  <c r="U24" i="1"/>
  <c r="Q24" i="1"/>
  <c r="O24" i="1"/>
  <c r="U33" i="1"/>
  <c r="Q33" i="1"/>
  <c r="O33" i="1"/>
  <c r="U37" i="1"/>
  <c r="Q37" i="1"/>
  <c r="O37" i="1"/>
  <c r="U20" i="1"/>
  <c r="Q20" i="1"/>
  <c r="O20" i="1"/>
  <c r="U59" i="1"/>
  <c r="Q59" i="1"/>
  <c r="O59" i="1"/>
  <c r="U58" i="1"/>
  <c r="Q58" i="1"/>
  <c r="O58" i="1"/>
  <c r="U41" i="1"/>
  <c r="Q41" i="1"/>
  <c r="O41" i="1"/>
  <c r="U38" i="1"/>
  <c r="Q38" i="1"/>
  <c r="O38" i="1"/>
  <c r="U52" i="1"/>
  <c r="Q52" i="1"/>
  <c r="O52" i="1"/>
  <c r="U26" i="1"/>
  <c r="Q26" i="1"/>
  <c r="O26" i="1"/>
  <c r="U25" i="1"/>
  <c r="Q25" i="1"/>
  <c r="O25" i="1"/>
  <c r="U28" i="1"/>
  <c r="Q28" i="1"/>
  <c r="O28" i="1"/>
  <c r="U47" i="1"/>
  <c r="Q47" i="1"/>
  <c r="O47" i="1"/>
  <c r="U17" i="1"/>
  <c r="Q17" i="1"/>
  <c r="O17" i="1"/>
  <c r="U45" i="1"/>
  <c r="Q45" i="1"/>
  <c r="O45" i="1"/>
  <c r="U18" i="1"/>
  <c r="Q18" i="1"/>
  <c r="O18" i="1"/>
  <c r="U32" i="1"/>
  <c r="Q32" i="1"/>
  <c r="O32" i="1"/>
  <c r="U23" i="1"/>
  <c r="Q23" i="1"/>
  <c r="O23" i="1"/>
  <c r="U16" i="1"/>
  <c r="Q16" i="1"/>
  <c r="O16" i="1"/>
  <c r="U27" i="1"/>
  <c r="Q27" i="1"/>
  <c r="O27" i="1"/>
  <c r="U19" i="1"/>
  <c r="Q19" i="1"/>
  <c r="O19" i="1"/>
  <c r="U21" i="1"/>
  <c r="Q21" i="1"/>
  <c r="O21" i="1"/>
  <c r="E36" i="80"/>
  <c r="D36" i="80"/>
  <c r="E24" i="80"/>
  <c r="D24" i="80"/>
  <c r="E23" i="80"/>
  <c r="D23" i="80"/>
  <c r="E35" i="80"/>
  <c r="D35" i="80"/>
  <c r="E17" i="75"/>
  <c r="D17" i="75"/>
  <c r="E18" i="75"/>
  <c r="D18" i="75"/>
  <c r="E16" i="79"/>
  <c r="D16" i="79"/>
  <c r="E15" i="79"/>
  <c r="D15" i="79"/>
  <c r="E20" i="79"/>
  <c r="D20" i="79"/>
  <c r="E16" i="73"/>
  <c r="D16" i="73"/>
  <c r="E41" i="72"/>
  <c r="D41" i="72"/>
  <c r="E22" i="72"/>
  <c r="D22" i="72"/>
  <c r="E30" i="72"/>
  <c r="D30" i="72"/>
  <c r="E40" i="72"/>
  <c r="D40" i="72"/>
  <c r="E19" i="72"/>
  <c r="D19" i="72"/>
  <c r="E16" i="78"/>
  <c r="D16" i="78"/>
  <c r="E18" i="78"/>
  <c r="D18" i="78"/>
  <c r="E20" i="78"/>
  <c r="D20" i="78"/>
  <c r="E15" i="71"/>
  <c r="D15" i="71"/>
  <c r="E34" i="74"/>
  <c r="D34" i="74"/>
  <c r="E30" i="74"/>
  <c r="D30" i="74"/>
  <c r="E33" i="74"/>
  <c r="D33" i="74"/>
  <c r="E28" i="74"/>
  <c r="D28" i="74"/>
  <c r="E34" i="69"/>
  <c r="D34" i="69"/>
  <c r="E17" i="69"/>
  <c r="D17" i="69"/>
  <c r="E30" i="69"/>
  <c r="D30" i="69"/>
  <c r="E25" i="69"/>
  <c r="D25" i="69"/>
  <c r="E37" i="69"/>
  <c r="D37" i="69"/>
  <c r="E33" i="68"/>
  <c r="D33" i="68"/>
  <c r="E36" i="68"/>
  <c r="D36" i="68"/>
  <c r="E38" i="68"/>
  <c r="D38" i="68"/>
  <c r="E25" i="68"/>
  <c r="D25" i="68"/>
  <c r="E23" i="68"/>
  <c r="D23" i="68"/>
  <c r="E29" i="68"/>
  <c r="D29" i="68"/>
  <c r="E24" i="68"/>
  <c r="D24" i="68"/>
  <c r="E20" i="67"/>
  <c r="D20" i="67"/>
  <c r="E17" i="67"/>
  <c r="D17" i="67"/>
  <c r="E27" i="67"/>
  <c r="D27" i="67"/>
  <c r="E21" i="77"/>
  <c r="D21" i="77"/>
  <c r="E22" i="77"/>
  <c r="D22" i="77"/>
  <c r="E19" i="77"/>
  <c r="D19" i="77"/>
  <c r="E23" i="77"/>
  <c r="D23" i="77"/>
  <c r="E24" i="66"/>
  <c r="D24" i="66"/>
  <c r="E31" i="66"/>
  <c r="D31" i="66"/>
  <c r="E26" i="66"/>
  <c r="D26" i="66"/>
  <c r="E33" i="66"/>
  <c r="D33" i="66"/>
  <c r="E30" i="66"/>
  <c r="D30" i="66"/>
  <c r="E32" i="66"/>
  <c r="D32" i="66"/>
  <c r="E25" i="76"/>
  <c r="D25" i="76"/>
  <c r="E22" i="76"/>
  <c r="D22" i="76"/>
  <c r="E31" i="76"/>
  <c r="D31" i="76"/>
  <c r="E20" i="76"/>
  <c r="D20" i="76"/>
  <c r="E54" i="65"/>
  <c r="D54" i="65"/>
  <c r="E52" i="65"/>
  <c r="D52" i="65"/>
  <c r="E40" i="65"/>
  <c r="D40" i="65"/>
  <c r="E35" i="65"/>
  <c r="D35" i="65"/>
  <c r="E37" i="65"/>
  <c r="D37" i="65"/>
  <c r="E48" i="65"/>
  <c r="D48" i="65"/>
  <c r="E45" i="65"/>
  <c r="D45" i="65"/>
  <c r="E50" i="65"/>
  <c r="D50" i="65"/>
  <c r="E53" i="65"/>
  <c r="D53" i="65"/>
  <c r="E23" i="64"/>
  <c r="D23" i="64"/>
  <c r="E39" i="63"/>
  <c r="D39" i="63"/>
  <c r="E61" i="63"/>
  <c r="D61" i="63"/>
  <c r="E37" i="63"/>
  <c r="D37" i="63"/>
  <c r="E67" i="63"/>
  <c r="D67" i="63"/>
  <c r="E51" i="63"/>
  <c r="D51" i="63"/>
  <c r="E40" i="63"/>
  <c r="D40" i="63"/>
  <c r="E35" i="63"/>
  <c r="D35" i="63"/>
  <c r="E45" i="63"/>
  <c r="D45" i="63"/>
  <c r="Z52" i="1" l="1"/>
  <c r="Z58" i="1"/>
  <c r="Z45" i="1"/>
  <c r="Z47" i="1"/>
  <c r="Z59" i="1"/>
  <c r="Z38" i="1"/>
  <c r="M23" i="59"/>
  <c r="I23" i="59"/>
  <c r="G23" i="59"/>
  <c r="O15" i="1"/>
  <c r="Q15" i="1"/>
  <c r="Y15" i="1"/>
  <c r="Z23" i="59" l="1"/>
  <c r="E18" i="80"/>
  <c r="D18" i="80"/>
  <c r="E34" i="80"/>
  <c r="D34" i="80"/>
  <c r="E20" i="80"/>
  <c r="D20" i="80"/>
  <c r="E25" i="80"/>
  <c r="D25" i="80"/>
  <c r="E21" i="80"/>
  <c r="D21" i="80"/>
  <c r="E22" i="80"/>
  <c r="D22" i="80"/>
  <c r="E33" i="80"/>
  <c r="D33" i="80"/>
  <c r="E17" i="80"/>
  <c r="D17" i="80"/>
  <c r="Y15" i="80"/>
  <c r="U15" i="80"/>
  <c r="Q15" i="80"/>
  <c r="E15" i="80"/>
  <c r="D15" i="80"/>
  <c r="E16" i="80"/>
  <c r="D16" i="80"/>
  <c r="E32" i="80"/>
  <c r="D32" i="80"/>
  <c r="E31" i="80"/>
  <c r="D31" i="80"/>
  <c r="E26" i="80"/>
  <c r="D26" i="80"/>
  <c r="E30" i="80"/>
  <c r="D30" i="80"/>
  <c r="E28" i="80"/>
  <c r="D28" i="80"/>
  <c r="E29" i="80"/>
  <c r="D29" i="80"/>
  <c r="E19" i="80"/>
  <c r="D19" i="80"/>
  <c r="E27" i="80"/>
  <c r="D27" i="80"/>
  <c r="E17" i="71"/>
  <c r="D17" i="71"/>
  <c r="E20" i="71"/>
  <c r="D20" i="71"/>
  <c r="E32" i="74"/>
  <c r="D32" i="74"/>
  <c r="E31" i="74"/>
  <c r="D31" i="74"/>
  <c r="E21" i="74"/>
  <c r="D21" i="74"/>
  <c r="E38" i="70"/>
  <c r="D38" i="70"/>
  <c r="E16" i="70"/>
  <c r="D16" i="70"/>
  <c r="E37" i="70"/>
  <c r="D37" i="70"/>
  <c r="E33" i="70"/>
  <c r="D33" i="70"/>
  <c r="E24" i="69"/>
  <c r="D24" i="69"/>
  <c r="E35" i="69"/>
  <c r="D35" i="69"/>
  <c r="E26" i="68"/>
  <c r="D26" i="68"/>
  <c r="E32" i="68"/>
  <c r="D32" i="68"/>
  <c r="E19" i="68"/>
  <c r="D19" i="68"/>
  <c r="E23" i="65"/>
  <c r="D23" i="65"/>
  <c r="E31" i="65"/>
  <c r="D31" i="65"/>
  <c r="E38" i="65"/>
  <c r="D38" i="65"/>
  <c r="E24" i="64"/>
  <c r="D24" i="64"/>
  <c r="E19" i="64"/>
  <c r="D19" i="64"/>
  <c r="E54" i="63"/>
  <c r="D54" i="63"/>
  <c r="E60" i="63"/>
  <c r="D60" i="63"/>
  <c r="E58" i="63"/>
  <c r="D58" i="63"/>
  <c r="E23" i="63"/>
  <c r="D23" i="63"/>
  <c r="E32" i="63"/>
  <c r="D32" i="63"/>
  <c r="M19" i="59"/>
  <c r="I19" i="59"/>
  <c r="G19" i="59"/>
  <c r="I40" i="58"/>
  <c r="G40" i="58"/>
  <c r="I21" i="58"/>
  <c r="G21" i="58"/>
  <c r="I26" i="58"/>
  <c r="G26" i="58"/>
  <c r="Z19" i="59" l="1"/>
  <c r="Z26" i="58"/>
  <c r="Z21" i="58"/>
  <c r="Z40" i="58"/>
  <c r="M16" i="59" l="1"/>
  <c r="I16" i="59"/>
  <c r="G16" i="59"/>
  <c r="Y20" i="59"/>
  <c r="W20" i="59"/>
  <c r="U20" i="59"/>
  <c r="S20" i="59"/>
  <c r="Q20" i="59"/>
  <c r="O20" i="59"/>
  <c r="M20" i="59"/>
  <c r="K20" i="59"/>
  <c r="I20" i="59"/>
  <c r="G20" i="59"/>
  <c r="M24" i="59"/>
  <c r="I24" i="59"/>
  <c r="G24" i="59"/>
  <c r="E21" i="79"/>
  <c r="D21" i="79"/>
  <c r="E19" i="79"/>
  <c r="D19" i="79"/>
  <c r="E17" i="79"/>
  <c r="D17" i="79"/>
  <c r="Q18" i="79"/>
  <c r="Z18" i="79" s="1"/>
  <c r="E18" i="79"/>
  <c r="D18" i="79"/>
  <c r="E19" i="78"/>
  <c r="D19" i="78"/>
  <c r="E15" i="78"/>
  <c r="D15" i="78"/>
  <c r="E16" i="67"/>
  <c r="D16" i="67"/>
  <c r="E18" i="77"/>
  <c r="D18" i="77"/>
  <c r="O17" i="77"/>
  <c r="E17" i="77"/>
  <c r="D17" i="77"/>
  <c r="E16" i="77"/>
  <c r="D16" i="77"/>
  <c r="E15" i="77"/>
  <c r="D15" i="77"/>
  <c r="E15" i="76"/>
  <c r="D15" i="76"/>
  <c r="Q16" i="76"/>
  <c r="O16" i="76"/>
  <c r="E16" i="76"/>
  <c r="D16" i="76"/>
  <c r="E18" i="76"/>
  <c r="D18" i="76"/>
  <c r="E17" i="76"/>
  <c r="D17" i="76"/>
  <c r="E21" i="76"/>
  <c r="D21" i="76"/>
  <c r="E19" i="76"/>
  <c r="D19" i="76"/>
  <c r="Z16" i="76" l="1"/>
  <c r="Z24" i="59"/>
  <c r="Z16" i="59"/>
  <c r="Z20" i="59"/>
  <c r="M18" i="59" l="1"/>
  <c r="I18" i="59"/>
  <c r="G18" i="59"/>
  <c r="M22" i="59"/>
  <c r="I22" i="59"/>
  <c r="G22" i="59"/>
  <c r="I29" i="58"/>
  <c r="G29" i="58"/>
  <c r="I19" i="58"/>
  <c r="G19" i="58"/>
  <c r="I20" i="58"/>
  <c r="G20" i="58"/>
  <c r="I42" i="58"/>
  <c r="G42" i="58"/>
  <c r="I22" i="58"/>
  <c r="G22" i="58"/>
  <c r="Z22" i="58" s="1"/>
  <c r="I28" i="58"/>
  <c r="G28" i="58"/>
  <c r="I16" i="58"/>
  <c r="G16" i="58"/>
  <c r="Z16" i="58" s="1"/>
  <c r="I43" i="58"/>
  <c r="G43" i="58"/>
  <c r="I17" i="58"/>
  <c r="G17" i="58"/>
  <c r="Z17" i="58" s="1"/>
  <c r="I27" i="58"/>
  <c r="G27" i="58"/>
  <c r="Y15" i="58"/>
  <c r="W15" i="58"/>
  <c r="U15" i="58"/>
  <c r="Q15" i="58"/>
  <c r="O15" i="58"/>
  <c r="M15" i="58"/>
  <c r="K15" i="58"/>
  <c r="I15" i="58"/>
  <c r="G15" i="58"/>
  <c r="E28" i="67"/>
  <c r="D28" i="67"/>
  <c r="E23" i="67"/>
  <c r="D23" i="67"/>
  <c r="J250" i="56"/>
  <c r="J249" i="56"/>
  <c r="J248" i="56"/>
  <c r="J247" i="56"/>
  <c r="J246" i="56"/>
  <c r="J245" i="56"/>
  <c r="J244" i="56"/>
  <c r="J243" i="56"/>
  <c r="J242" i="56"/>
  <c r="J241" i="56"/>
  <c r="J240" i="56"/>
  <c r="J239" i="56"/>
  <c r="J238" i="56"/>
  <c r="J237" i="56"/>
  <c r="J236" i="56"/>
  <c r="J235" i="56"/>
  <c r="J234" i="56"/>
  <c r="J233" i="56"/>
  <c r="J232" i="56"/>
  <c r="J231" i="56"/>
  <c r="J230" i="56"/>
  <c r="V15" i="1" s="1"/>
  <c r="W15" i="1" s="1"/>
  <c r="J229" i="56"/>
  <c r="J228" i="56"/>
  <c r="J227" i="56"/>
  <c r="J226" i="56"/>
  <c r="V15" i="78" s="1"/>
  <c r="W15" i="78" s="1"/>
  <c r="J225" i="56"/>
  <c r="J224" i="56"/>
  <c r="J223" i="56"/>
  <c r="N16" i="71" s="1"/>
  <c r="J222" i="56"/>
  <c r="V15" i="71" s="1"/>
  <c r="W15" i="71" s="1"/>
  <c r="J221" i="56"/>
  <c r="J220" i="56"/>
  <c r="J219" i="56"/>
  <c r="J218" i="56"/>
  <c r="J217" i="56"/>
  <c r="V15" i="62" s="1"/>
  <c r="W15" i="62" s="1"/>
  <c r="J216" i="56"/>
  <c r="J215" i="56"/>
  <c r="J214" i="56"/>
  <c r="J213" i="56"/>
  <c r="J212" i="56"/>
  <c r="J211" i="56"/>
  <c r="J210" i="56"/>
  <c r="V15" i="57" s="1"/>
  <c r="W15" i="57" s="1"/>
  <c r="J209" i="56"/>
  <c r="J208" i="56"/>
  <c r="J207" i="56"/>
  <c r="J206" i="56"/>
  <c r="J205" i="56"/>
  <c r="J204" i="56"/>
  <c r="J203" i="56"/>
  <c r="J202" i="56"/>
  <c r="J201" i="56"/>
  <c r="J200" i="56"/>
  <c r="J199" i="56"/>
  <c r="J198" i="56"/>
  <c r="J197" i="56"/>
  <c r="J196" i="56"/>
  <c r="J195" i="56"/>
  <c r="J194" i="56"/>
  <c r="J193" i="56"/>
  <c r="J192" i="56"/>
  <c r="J191" i="56"/>
  <c r="J190" i="56"/>
  <c r="J189" i="56"/>
  <c r="J188" i="56"/>
  <c r="S15" i="1"/>
  <c r="S15" i="78"/>
  <c r="S15" i="62"/>
  <c r="S15" i="61"/>
  <c r="S15" i="72"/>
  <c r="S15" i="69"/>
  <c r="Z21" i="57"/>
  <c r="Z18" i="57"/>
  <c r="Z19" i="57"/>
  <c r="Z23" i="57"/>
  <c r="Z20" i="57"/>
  <c r="Z17" i="57"/>
  <c r="S15" i="65"/>
  <c r="S16" i="77"/>
  <c r="J2" i="56"/>
  <c r="S15" i="76" s="1"/>
  <c r="Z20" i="58" l="1"/>
  <c r="Z29" i="58"/>
  <c r="Z19" i="58"/>
  <c r="S15" i="67"/>
  <c r="S20" i="63"/>
  <c r="Z27" i="58"/>
  <c r="Z43" i="58"/>
  <c r="Z28" i="58"/>
  <c r="Z42" i="58"/>
  <c r="N17" i="70"/>
  <c r="N16" i="68"/>
  <c r="N15" i="65"/>
  <c r="N15" i="69"/>
  <c r="N15" i="78"/>
  <c r="N16" i="72"/>
  <c r="Z22" i="59"/>
  <c r="Z18" i="59"/>
  <c r="Z15" i="58"/>
  <c r="O15" i="66" l="1"/>
  <c r="Q16" i="75"/>
  <c r="Z16" i="75" s="1"/>
  <c r="E15" i="75"/>
  <c r="D15" i="75"/>
  <c r="E16" i="75"/>
  <c r="D16" i="75"/>
  <c r="E15" i="73"/>
  <c r="D15" i="73"/>
  <c r="E39" i="72"/>
  <c r="D39" i="72"/>
  <c r="E26" i="72"/>
  <c r="D26" i="72"/>
  <c r="E25" i="72"/>
  <c r="D25" i="72"/>
  <c r="E17" i="72"/>
  <c r="D17" i="72"/>
  <c r="E38" i="72"/>
  <c r="D38" i="72"/>
  <c r="E18" i="72"/>
  <c r="D18" i="72"/>
  <c r="E24" i="72"/>
  <c r="D24" i="72"/>
  <c r="E15" i="72"/>
  <c r="D15" i="72"/>
  <c r="E35" i="72"/>
  <c r="D35" i="72"/>
  <c r="E32" i="72"/>
  <c r="D32" i="72"/>
  <c r="E37" i="72"/>
  <c r="D37" i="72"/>
  <c r="E34" i="72"/>
  <c r="D34" i="72"/>
  <c r="E20" i="72"/>
  <c r="D20" i="72"/>
  <c r="E29" i="72"/>
  <c r="D29" i="72"/>
  <c r="E36" i="72"/>
  <c r="D36" i="72"/>
  <c r="E31" i="72"/>
  <c r="D31" i="72"/>
  <c r="E27" i="72"/>
  <c r="D27" i="72"/>
  <c r="E16" i="72"/>
  <c r="D16" i="72"/>
  <c r="E33" i="72"/>
  <c r="D33" i="72"/>
  <c r="E23" i="72"/>
  <c r="D23" i="72"/>
  <c r="E16" i="71"/>
  <c r="D16" i="71"/>
  <c r="E19" i="74"/>
  <c r="D19" i="74"/>
  <c r="E15" i="74"/>
  <c r="D15" i="74"/>
  <c r="E17" i="74"/>
  <c r="D17" i="74"/>
  <c r="E24" i="74"/>
  <c r="D24" i="74"/>
  <c r="E16" i="74"/>
  <c r="D16" i="74"/>
  <c r="E23" i="74"/>
  <c r="D23" i="74"/>
  <c r="E21" i="70"/>
  <c r="D21" i="70"/>
  <c r="E29" i="70"/>
  <c r="D29" i="70"/>
  <c r="E30" i="70"/>
  <c r="D30" i="70"/>
  <c r="E24" i="70"/>
  <c r="D24" i="70"/>
  <c r="E20" i="70"/>
  <c r="D20" i="70"/>
  <c r="E19" i="70"/>
  <c r="D19" i="70"/>
  <c r="E25" i="70"/>
  <c r="D25" i="70"/>
  <c r="E23" i="70"/>
  <c r="D23" i="70"/>
  <c r="E28" i="70"/>
  <c r="D28" i="70"/>
  <c r="E17" i="70"/>
  <c r="D17" i="70"/>
  <c r="E22" i="70"/>
  <c r="D22" i="70"/>
  <c r="E15" i="68"/>
  <c r="E27" i="68"/>
  <c r="E40" i="68"/>
  <c r="E37" i="68"/>
  <c r="E18" i="68"/>
  <c r="E39" i="68"/>
  <c r="E30" i="68"/>
  <c r="E17" i="68"/>
  <c r="E21" i="68"/>
  <c r="E16" i="68"/>
  <c r="E28" i="68"/>
  <c r="D15" i="68"/>
  <c r="D27" i="68"/>
  <c r="D40" i="68"/>
  <c r="D37" i="68"/>
  <c r="D18" i="68"/>
  <c r="D39" i="68"/>
  <c r="D30" i="68"/>
  <c r="D17" i="68"/>
  <c r="D21" i="68"/>
  <c r="D16" i="68"/>
  <c r="D28" i="68"/>
  <c r="O15" i="65" l="1"/>
  <c r="O20" i="63"/>
  <c r="Q15" i="62"/>
  <c r="Q18" i="61"/>
  <c r="O18" i="61"/>
  <c r="Z18" i="61" s="1"/>
  <c r="J407" i="55"/>
  <c r="J406" i="55"/>
  <c r="J405" i="55"/>
  <c r="J404" i="55"/>
  <c r="J403" i="55"/>
  <c r="J402" i="55"/>
  <c r="J401" i="55"/>
  <c r="J400" i="55"/>
  <c r="J399" i="55"/>
  <c r="J398" i="55"/>
  <c r="J397" i="55"/>
  <c r="J396" i="55"/>
  <c r="J395" i="55"/>
  <c r="J394" i="55"/>
  <c r="J393" i="55"/>
  <c r="J392" i="55"/>
  <c r="J391" i="55"/>
  <c r="J390" i="55"/>
  <c r="J389" i="55"/>
  <c r="J388" i="55"/>
  <c r="J387" i="55"/>
  <c r="J386" i="55"/>
  <c r="J385" i="55"/>
  <c r="J384" i="55"/>
  <c r="J383" i="55"/>
  <c r="J382" i="55"/>
  <c r="J381" i="55"/>
  <c r="J380" i="55"/>
  <c r="J379" i="55"/>
  <c r="J378" i="55"/>
  <c r="J377" i="55"/>
  <c r="J376" i="55"/>
  <c r="J375" i="55"/>
  <c r="J374" i="55"/>
  <c r="J373" i="55"/>
  <c r="J372" i="55"/>
  <c r="J371" i="55"/>
  <c r="J370" i="55"/>
  <c r="J369" i="55"/>
  <c r="J368" i="55"/>
  <c r="J367" i="55"/>
  <c r="J366" i="55"/>
  <c r="J365" i="55"/>
  <c r="J364" i="55"/>
  <c r="J363" i="55"/>
  <c r="J362" i="55"/>
  <c r="J361" i="55"/>
  <c r="J360" i="55"/>
  <c r="J359" i="55"/>
  <c r="J358" i="55"/>
  <c r="J357" i="55"/>
  <c r="J356" i="55"/>
  <c r="J355" i="55"/>
  <c r="J354" i="55"/>
  <c r="J353" i="55"/>
  <c r="J352" i="55"/>
  <c r="J351" i="55"/>
  <c r="J350" i="55"/>
  <c r="J349" i="55"/>
  <c r="J348" i="55"/>
  <c r="J347" i="55"/>
  <c r="J346" i="55"/>
  <c r="J345" i="55"/>
  <c r="J344" i="55"/>
  <c r="J343" i="55"/>
  <c r="J342" i="55"/>
  <c r="J341" i="55"/>
  <c r="J340" i="55"/>
  <c r="J339" i="55"/>
  <c r="J338" i="55"/>
  <c r="J337" i="55"/>
  <c r="J336" i="55"/>
  <c r="J335" i="55"/>
  <c r="J334" i="55"/>
  <c r="J333" i="55"/>
  <c r="J332" i="55"/>
  <c r="J331" i="55"/>
  <c r="J330" i="55"/>
  <c r="J329" i="55"/>
  <c r="J328" i="55"/>
  <c r="J327" i="55"/>
  <c r="J326" i="55"/>
  <c r="J325" i="55"/>
  <c r="J324" i="55"/>
  <c r="J323" i="55"/>
  <c r="J322" i="55"/>
  <c r="J321" i="55"/>
  <c r="J320" i="55"/>
  <c r="J319" i="55"/>
  <c r="J318" i="55"/>
  <c r="J317" i="55"/>
  <c r="J316" i="55"/>
  <c r="J315" i="55"/>
  <c r="J314" i="55"/>
  <c r="J313" i="55"/>
  <c r="J312" i="55"/>
  <c r="J311" i="55"/>
  <c r="J310" i="55"/>
  <c r="J309" i="55"/>
  <c r="J308" i="55"/>
  <c r="J307" i="55"/>
  <c r="J306" i="55"/>
  <c r="J305" i="55"/>
  <c r="J304" i="55"/>
  <c r="Q21" i="69"/>
  <c r="Z21" i="69" s="1"/>
  <c r="Q22" i="69"/>
  <c r="Z22" i="69" s="1"/>
  <c r="J303" i="55"/>
  <c r="J302" i="55"/>
  <c r="J301" i="55"/>
  <c r="J300" i="55"/>
  <c r="J299" i="55"/>
  <c r="J298" i="55"/>
  <c r="J297" i="55"/>
  <c r="J296" i="55"/>
  <c r="J295" i="55"/>
  <c r="J294" i="55"/>
  <c r="J293" i="55"/>
  <c r="J292" i="55"/>
  <c r="J291" i="55"/>
  <c r="J290" i="55"/>
  <c r="J289" i="55"/>
  <c r="J288" i="55"/>
  <c r="J287" i="55"/>
  <c r="J286" i="55"/>
  <c r="J285" i="55"/>
  <c r="J284" i="55"/>
  <c r="J283" i="55"/>
  <c r="J282" i="55"/>
  <c r="J281" i="55"/>
  <c r="J280" i="55"/>
  <c r="J279" i="55"/>
  <c r="J278" i="55"/>
  <c r="J277" i="55"/>
  <c r="J276" i="55"/>
  <c r="J275" i="55"/>
  <c r="J274" i="55"/>
  <c r="X15" i="64" s="1"/>
  <c r="Y15" i="64" s="1"/>
  <c r="J273" i="55"/>
  <c r="J272" i="55"/>
  <c r="J271" i="55"/>
  <c r="J270" i="55"/>
  <c r="J269" i="55"/>
  <c r="J268" i="55"/>
  <c r="J267" i="55"/>
  <c r="J266" i="55"/>
  <c r="J265" i="55"/>
  <c r="J264" i="55"/>
  <c r="J263" i="55"/>
  <c r="J262" i="55"/>
  <c r="J261" i="55"/>
  <c r="J260" i="55"/>
  <c r="J259" i="55"/>
  <c r="J258" i="55"/>
  <c r="J257" i="55"/>
  <c r="J256" i="55"/>
  <c r="J255" i="55"/>
  <c r="J254" i="55"/>
  <c r="J253" i="55"/>
  <c r="J252" i="55"/>
  <c r="J251" i="55"/>
  <c r="J250" i="55"/>
  <c r="J249" i="55"/>
  <c r="J248" i="55"/>
  <c r="J247" i="55"/>
  <c r="J246" i="55"/>
  <c r="J245" i="55"/>
  <c r="J244" i="55"/>
  <c r="J243" i="55"/>
  <c r="J242" i="55"/>
  <c r="J241" i="55"/>
  <c r="J240" i="55"/>
  <c r="J239" i="55"/>
  <c r="J238" i="55"/>
  <c r="J237" i="55"/>
  <c r="X16" i="63" s="1"/>
  <c r="Y16" i="63" s="1"/>
  <c r="Z16" i="63" s="1"/>
  <c r="J236" i="55"/>
  <c r="J235" i="55"/>
  <c r="J234" i="55"/>
  <c r="J233" i="55"/>
  <c r="J232" i="55"/>
  <c r="J231" i="55"/>
  <c r="J230" i="55"/>
  <c r="J229" i="55"/>
  <c r="J228" i="55"/>
  <c r="X15" i="62" s="1"/>
  <c r="Y15" i="62" s="1"/>
  <c r="J227" i="55"/>
  <c r="J226" i="55"/>
  <c r="U16" i="79"/>
  <c r="Z16" i="79" s="1"/>
  <c r="U17" i="79"/>
  <c r="Z17" i="79" s="1"/>
  <c r="U15" i="79"/>
  <c r="Z15" i="79" s="1"/>
  <c r="U15" i="75"/>
  <c r="U15" i="62"/>
  <c r="Z60" i="1"/>
  <c r="Z27" i="1"/>
  <c r="Z56" i="1"/>
  <c r="Z26" i="1"/>
  <c r="Z55" i="1"/>
  <c r="Z32" i="1"/>
  <c r="Z51" i="1"/>
  <c r="Z28" i="1"/>
  <c r="Z25" i="1"/>
  <c r="Z23" i="1"/>
  <c r="Z33" i="1"/>
  <c r="Z19" i="1"/>
  <c r="Z21" i="1"/>
  <c r="Z37" i="1"/>
  <c r="Z20" i="1"/>
  <c r="Q20" i="63"/>
  <c r="U15" i="1"/>
  <c r="Q15" i="66"/>
  <c r="U16" i="77"/>
  <c r="Z16" i="77" s="1"/>
  <c r="U15" i="66"/>
  <c r="Q15" i="65"/>
  <c r="U15" i="76"/>
  <c r="Z15" i="76" s="1"/>
  <c r="Q15" i="78"/>
  <c r="Q21" i="74"/>
  <c r="Z21" i="74" s="1"/>
  <c r="Q25" i="74"/>
  <c r="Z25" i="74" s="1"/>
  <c r="Q20" i="74"/>
  <c r="Z20" i="74" s="1"/>
  <c r="Q15" i="71"/>
  <c r="Z15" i="71" s="1"/>
  <c r="U15" i="65"/>
  <c r="Q17" i="70"/>
  <c r="Z17" i="70" s="1"/>
  <c r="Q22" i="70"/>
  <c r="Z22" i="70" s="1"/>
  <c r="Q23" i="70"/>
  <c r="Z23" i="70" s="1"/>
  <c r="U15" i="73"/>
  <c r="U15" i="78"/>
  <c r="U17" i="70"/>
  <c r="Q15" i="69"/>
  <c r="Q22" i="72"/>
  <c r="Z22" i="72" s="1"/>
  <c r="Q25" i="72"/>
  <c r="Z25" i="72" s="1"/>
  <c r="Q20" i="72"/>
  <c r="Z20" i="72" s="1"/>
  <c r="Q24" i="68"/>
  <c r="Z24" i="68" s="1"/>
  <c r="Q34" i="68"/>
  <c r="Z34" i="68" s="1"/>
  <c r="Q32" i="67"/>
  <c r="Z32" i="67" s="1"/>
  <c r="Z57" i="1" l="1"/>
  <c r="U15" i="61"/>
  <c r="Z15" i="61" s="1"/>
  <c r="Z17" i="1"/>
  <c r="U15" i="64"/>
  <c r="Z18" i="1"/>
  <c r="U20" i="63"/>
  <c r="Z20" i="63" s="1"/>
  <c r="Z15" i="1"/>
  <c r="Q26" i="69"/>
  <c r="Z26" i="69" s="1"/>
  <c r="U15" i="74"/>
  <c r="Q26" i="68"/>
  <c r="Z26" i="68" s="1"/>
  <c r="U15" i="69"/>
  <c r="Z15" i="69" s="1"/>
  <c r="Q16" i="68"/>
  <c r="U15" i="72"/>
  <c r="Z15" i="72" s="1"/>
  <c r="Q17" i="77"/>
  <c r="Z17" i="77" s="1"/>
  <c r="Z15" i="80"/>
  <c r="Z41" i="1"/>
  <c r="Z24" i="1"/>
  <c r="Z16" i="1"/>
  <c r="Z15" i="66"/>
  <c r="Z15" i="78"/>
  <c r="E21" i="67" l="1"/>
  <c r="D21" i="67"/>
  <c r="E31" i="67"/>
  <c r="D31" i="67"/>
  <c r="E21" i="65"/>
  <c r="D21" i="65"/>
  <c r="E23" i="66" l="1"/>
  <c r="D23" i="66"/>
  <c r="E15" i="66"/>
  <c r="D15" i="66"/>
  <c r="E22" i="66"/>
  <c r="D22" i="66"/>
  <c r="E18" i="66"/>
  <c r="D18" i="66"/>
  <c r="Q15" i="74" l="1"/>
  <c r="E19" i="63" l="1"/>
  <c r="D19" i="63"/>
  <c r="O15" i="57" l="1"/>
  <c r="E26" i="74" l="1"/>
  <c r="D26" i="74"/>
  <c r="E36" i="74"/>
  <c r="D36" i="74"/>
  <c r="E22" i="74"/>
  <c r="D22" i="74"/>
  <c r="E20" i="74"/>
  <c r="D20" i="74"/>
  <c r="E18" i="74"/>
  <c r="D18" i="74"/>
  <c r="E27" i="74"/>
  <c r="D27" i="74"/>
  <c r="Z15" i="74" l="1"/>
  <c r="U15" i="67" l="1"/>
  <c r="X15" i="75"/>
  <c r="Y15" i="75" s="1"/>
  <c r="Z15" i="75" s="1"/>
  <c r="E21" i="72"/>
  <c r="D21" i="72"/>
  <c r="E18" i="71"/>
  <c r="D18" i="71"/>
  <c r="E15" i="70"/>
  <c r="D15" i="70"/>
  <c r="E36" i="70"/>
  <c r="D36" i="70"/>
  <c r="E26" i="70"/>
  <c r="D26" i="70"/>
  <c r="E35" i="70"/>
  <c r="D35" i="70"/>
  <c r="E22" i="69"/>
  <c r="D22" i="69"/>
  <c r="E19" i="69"/>
  <c r="D19" i="69"/>
  <c r="E38" i="69"/>
  <c r="D38" i="69"/>
  <c r="E15" i="69"/>
  <c r="D15" i="69"/>
  <c r="E20" i="69"/>
  <c r="D20" i="69"/>
  <c r="E40" i="69"/>
  <c r="D40" i="69"/>
  <c r="E23" i="69"/>
  <c r="D23" i="69"/>
  <c r="E18" i="69"/>
  <c r="D18" i="69"/>
  <c r="E27" i="69"/>
  <c r="D27" i="69"/>
  <c r="E39" i="69"/>
  <c r="D39" i="69"/>
  <c r="E16" i="69"/>
  <c r="D16" i="69"/>
  <c r="E28" i="69"/>
  <c r="D28" i="69"/>
  <c r="E21" i="69"/>
  <c r="D21" i="69"/>
  <c r="E31" i="69"/>
  <c r="D31" i="69"/>
  <c r="E20" i="68"/>
  <c r="D20" i="68"/>
  <c r="E29" i="67"/>
  <c r="D29" i="67"/>
  <c r="E22" i="67"/>
  <c r="D22" i="67"/>
  <c r="E18" i="67"/>
  <c r="D18" i="67"/>
  <c r="E19" i="67"/>
  <c r="D19" i="67"/>
  <c r="E25" i="67"/>
  <c r="D25" i="67"/>
  <c r="O15" i="67"/>
  <c r="E15" i="67"/>
  <c r="D15" i="67"/>
  <c r="E17" i="66"/>
  <c r="D17" i="66"/>
  <c r="E21" i="66"/>
  <c r="D21" i="66"/>
  <c r="E19" i="66"/>
  <c r="D19" i="66"/>
  <c r="E16" i="66"/>
  <c r="D16" i="66"/>
  <c r="E25" i="66"/>
  <c r="D25" i="66"/>
  <c r="E20" i="66"/>
  <c r="D20" i="66"/>
  <c r="E26" i="65"/>
  <c r="D26" i="65"/>
  <c r="E27" i="65"/>
  <c r="D27" i="65"/>
  <c r="E30" i="65"/>
  <c r="D30" i="65"/>
  <c r="E29" i="65"/>
  <c r="D29" i="65"/>
  <c r="E25" i="65"/>
  <c r="D25" i="65"/>
  <c r="E19" i="65"/>
  <c r="D19" i="65"/>
  <c r="E44" i="65"/>
  <c r="D44" i="65"/>
  <c r="E24" i="65"/>
  <c r="D24" i="65"/>
  <c r="E33" i="65"/>
  <c r="D33" i="65"/>
  <c r="E18" i="65"/>
  <c r="D18" i="65"/>
  <c r="E46" i="65"/>
  <c r="D46" i="65"/>
  <c r="E22" i="65"/>
  <c r="D22" i="65"/>
  <c r="E20" i="65"/>
  <c r="D20" i="65"/>
  <c r="E32" i="65"/>
  <c r="D32" i="65"/>
  <c r="E15" i="65"/>
  <c r="D15" i="65"/>
  <c r="E17" i="65"/>
  <c r="D17" i="65"/>
  <c r="E34" i="65"/>
  <c r="D34" i="65"/>
  <c r="E16" i="65"/>
  <c r="D16" i="65"/>
  <c r="E28" i="65"/>
  <c r="D28" i="65"/>
  <c r="E42" i="65"/>
  <c r="D42" i="65"/>
  <c r="E16" i="64"/>
  <c r="D16" i="64"/>
  <c r="E20" i="64"/>
  <c r="D20" i="64"/>
  <c r="E17" i="64"/>
  <c r="D17" i="64"/>
  <c r="E15" i="64"/>
  <c r="D15" i="64"/>
  <c r="E18" i="64"/>
  <c r="D18" i="64"/>
  <c r="E21" i="64"/>
  <c r="D21" i="64"/>
  <c r="E22" i="64"/>
  <c r="D22" i="64"/>
  <c r="E52" i="63"/>
  <c r="D52" i="63"/>
  <c r="E26" i="63"/>
  <c r="D26" i="63"/>
  <c r="E22" i="63"/>
  <c r="D22" i="63"/>
  <c r="E20" i="63"/>
  <c r="D20" i="63"/>
  <c r="E49" i="63"/>
  <c r="D49" i="63"/>
  <c r="E42" i="63"/>
  <c r="D42" i="63"/>
  <c r="E63" i="63"/>
  <c r="D63" i="63"/>
  <c r="E36" i="63"/>
  <c r="D36" i="63"/>
  <c r="E17" i="63"/>
  <c r="D17" i="63"/>
  <c r="E30" i="63"/>
  <c r="D30" i="63"/>
  <c r="E47" i="63"/>
  <c r="D47" i="63"/>
  <c r="E33" i="63"/>
  <c r="D33" i="63"/>
  <c r="E50" i="63"/>
  <c r="D50" i="63"/>
  <c r="E41" i="63"/>
  <c r="D41" i="63"/>
  <c r="E56" i="63"/>
  <c r="D56" i="63"/>
  <c r="E68" i="63"/>
  <c r="D68" i="63"/>
  <c r="E69" i="63"/>
  <c r="D69" i="63"/>
  <c r="E29" i="63"/>
  <c r="D29" i="63"/>
  <c r="E43" i="63"/>
  <c r="D43" i="63"/>
  <c r="E27" i="63"/>
  <c r="D27" i="63"/>
  <c r="E18" i="63"/>
  <c r="D18" i="63"/>
  <c r="E25" i="63"/>
  <c r="D25" i="63"/>
  <c r="E24" i="63"/>
  <c r="D24" i="63"/>
  <c r="E44" i="63"/>
  <c r="D44" i="63"/>
  <c r="E15" i="63"/>
  <c r="D15" i="63"/>
  <c r="E31" i="63"/>
  <c r="D31" i="63"/>
  <c r="E59" i="63"/>
  <c r="D59" i="63"/>
  <c r="E28" i="63"/>
  <c r="D28" i="63"/>
  <c r="E46" i="63"/>
  <c r="D46" i="63"/>
  <c r="E48" i="63"/>
  <c r="D48" i="63"/>
  <c r="E21" i="63"/>
  <c r="D21" i="63"/>
  <c r="E34" i="63"/>
  <c r="D34" i="63"/>
  <c r="E16" i="63"/>
  <c r="D16" i="63"/>
  <c r="Q15" i="57"/>
  <c r="Q15" i="67" l="1"/>
  <c r="Q15" i="73"/>
  <c r="Z15" i="73" s="1"/>
  <c r="Q16" i="71"/>
  <c r="Z16" i="71" s="1"/>
  <c r="Q15" i="64"/>
  <c r="Z15" i="57"/>
  <c r="O15" i="64"/>
  <c r="O15" i="62"/>
  <c r="Z15" i="67" l="1"/>
  <c r="Z15" i="62"/>
  <c r="Z16" i="68"/>
  <c r="Z15" i="65"/>
  <c r="Z15" i="64"/>
</calcChain>
</file>

<file path=xl/sharedStrings.xml><?xml version="1.0" encoding="utf-8"?>
<sst xmlns="http://schemas.openxmlformats.org/spreadsheetml/2006/main" count="7414" uniqueCount="1458">
  <si>
    <t>POSICION</t>
  </si>
  <si>
    <t>ACTUAL</t>
  </si>
  <si>
    <t>ANTERIOR</t>
  </si>
  <si>
    <t>NO</t>
  </si>
  <si>
    <t>NOMBRE</t>
  </si>
  <si>
    <t>EQUIPO</t>
  </si>
  <si>
    <t/>
  </si>
  <si>
    <t xml:space="preserve">CCDR CARTAGO </t>
  </si>
  <si>
    <t>ELITE</t>
  </si>
  <si>
    <t>ECC CICLO COREA BIKE</t>
  </si>
  <si>
    <t>C-C-D-R- SAN JOSÉ</t>
  </si>
  <si>
    <t>MONTERO Juan Pablo</t>
  </si>
  <si>
    <t>GORGONA Keivin</t>
  </si>
  <si>
    <t xml:space="preserve">MORA  Fabricio </t>
  </si>
  <si>
    <t>ECHANDI Felipe</t>
  </si>
  <si>
    <t>ARAYA Isaac Andres</t>
  </si>
  <si>
    <t>MURILLO Cristopher</t>
  </si>
  <si>
    <t>CASCANTE Pablo Cesar</t>
  </si>
  <si>
    <t>FONSECA  Rosmy Andres</t>
  </si>
  <si>
    <t xml:space="preserve">MASIS  Brandon </t>
  </si>
  <si>
    <t>CAMBRONERO Alejandro</t>
  </si>
  <si>
    <t xml:space="preserve">NUÑEZ  Andres </t>
  </si>
  <si>
    <t>GOÑI Andres</t>
  </si>
  <si>
    <t>SANTA CRUZ BIKE</t>
  </si>
  <si>
    <t>ACIR- SAN RAMÓN</t>
  </si>
  <si>
    <t>POWERCYCLING</t>
  </si>
  <si>
    <t xml:space="preserve">QUESADA  Yeicoth </t>
  </si>
  <si>
    <t xml:space="preserve">BADILLA  Sebastian </t>
  </si>
  <si>
    <t>GONZALEZ Ernesto</t>
  </si>
  <si>
    <t>SALAZAR Santiago</t>
  </si>
  <si>
    <t>MATAMOROS José David</t>
  </si>
  <si>
    <t xml:space="preserve">GONZÁLEZ Andrey </t>
  </si>
  <si>
    <t>ACUÑA Marvin</t>
  </si>
  <si>
    <t>ASOCIACION DE CICLISMO BARVA</t>
  </si>
  <si>
    <t>AMPM</t>
  </si>
  <si>
    <t>AM PM NITIDOS</t>
  </si>
  <si>
    <t>INFANTIL</t>
  </si>
  <si>
    <t>pre juvenil masculino</t>
  </si>
  <si>
    <t>ciudad  colon</t>
  </si>
  <si>
    <t>JUVE MASC</t>
  </si>
  <si>
    <t>master a</t>
  </si>
  <si>
    <t>master b</t>
  </si>
  <si>
    <t>sub 23</t>
  </si>
  <si>
    <t>POS XCC</t>
  </si>
  <si>
    <t>PTOS XCC</t>
  </si>
  <si>
    <t>POS XCO</t>
  </si>
  <si>
    <t>PTOS XCO</t>
  </si>
  <si>
    <t>TOTAL PUNTOS</t>
  </si>
  <si>
    <t>UCI ID</t>
  </si>
  <si>
    <t>CATEGORIA</t>
  </si>
  <si>
    <t>ELITE MASCULINO (19+)</t>
  </si>
  <si>
    <t>ELITE FEMENINO (19+)</t>
  </si>
  <si>
    <t>JUVENIL MASCULINO (17-18)</t>
  </si>
  <si>
    <t>JUVENIL FEMENINO (17-18)</t>
  </si>
  <si>
    <t>PREJUVENIL MASCULINO (15-16)</t>
  </si>
  <si>
    <t>PREJUVENIL FEMENINO (15-16)</t>
  </si>
  <si>
    <t>INFANTIL MASCULINO (13-14)</t>
  </si>
  <si>
    <t>INFANTIL FEMENINO (13-14)</t>
  </si>
  <si>
    <t>MASTER A MASCULINO (30-34)</t>
  </si>
  <si>
    <t>MASTER B MASCULINO (35-39)</t>
  </si>
  <si>
    <t>OPEN (18+)</t>
  </si>
  <si>
    <t>MASTER A (30-34)</t>
  </si>
  <si>
    <t>MASTER B (35-39)</t>
  </si>
  <si>
    <t>CCDR CARTAGO</t>
  </si>
  <si>
    <t>CCDR SANTA ANA</t>
  </si>
  <si>
    <t>CODEA</t>
  </si>
  <si>
    <t xml:space="preserve"> </t>
  </si>
  <si>
    <t>SUB23 FEMENINO (19-22)</t>
  </si>
  <si>
    <t>SUB23 MASCULINO (19-22)</t>
  </si>
  <si>
    <t>DUROS COMO ROCA</t>
  </si>
  <si>
    <t xml:space="preserve">INDEPENDIENTE </t>
  </si>
  <si>
    <t xml:space="preserve">CODEA ALAJUELA </t>
  </si>
  <si>
    <t>MASTER C MASCULINO (40-44)</t>
  </si>
  <si>
    <t>RUBI Luis</t>
  </si>
  <si>
    <t>Posición</t>
  </si>
  <si>
    <t>Número</t>
  </si>
  <si>
    <t>Nombre</t>
  </si>
  <si>
    <t>Equipo</t>
  </si>
  <si>
    <t>Tiempo</t>
  </si>
  <si>
    <t>Secuencia</t>
  </si>
  <si>
    <t>Diferencia</t>
  </si>
  <si>
    <t>ELITE FEMENINO</t>
  </si>
  <si>
    <t>MASTER C (40-44)</t>
  </si>
  <si>
    <t>OPEN</t>
  </si>
  <si>
    <t xml:space="preserve">CCDR PARAÍSO </t>
  </si>
  <si>
    <t xml:space="preserve">CCDR DESAMPARADOS </t>
  </si>
  <si>
    <t xml:space="preserve">DESAMPARADOS </t>
  </si>
  <si>
    <t>CORTES Jerry</t>
  </si>
  <si>
    <t>LIZANO Federico</t>
  </si>
  <si>
    <t>TEAM LIZANO HERRA</t>
  </si>
  <si>
    <t>MASTER D MASCULINO (45-49)</t>
  </si>
  <si>
    <t>MASTER E MASCULINO (50+)</t>
  </si>
  <si>
    <t>OPEN FEMENINO (18+)</t>
  </si>
  <si>
    <t>MASTER E (50+)</t>
  </si>
  <si>
    <t>OPEN FEMENINO</t>
  </si>
  <si>
    <t>PAIS</t>
  </si>
  <si>
    <t>Planilla I Fecha CDF</t>
  </si>
  <si>
    <t>Planilla II Fecha Oikoumene</t>
  </si>
  <si>
    <t>MASTER D (45-49)</t>
  </si>
  <si>
    <t>Planilla III Fecha Ujarras</t>
  </si>
  <si>
    <t>BOBBYS CYCLING TEAM</t>
  </si>
  <si>
    <t xml:space="preserve">TURRIALBA </t>
  </si>
  <si>
    <t>E-BIKE MASCULINO</t>
  </si>
  <si>
    <t>CRC</t>
  </si>
  <si>
    <t xml:space="preserve"> -2 LAP</t>
  </si>
  <si>
    <t>DNF</t>
  </si>
  <si>
    <t>DNS</t>
  </si>
  <si>
    <t xml:space="preserve"> -1 LAP</t>
  </si>
  <si>
    <t>ARIAS Kibeth</t>
  </si>
  <si>
    <t>TURRIALBA</t>
  </si>
  <si>
    <t xml:space="preserve">TEAM INNOVABIKES-SKOLER </t>
  </si>
  <si>
    <t>GONZALEZ Raymond</t>
  </si>
  <si>
    <t xml:space="preserve">ACISA SARAPIQUÍ </t>
  </si>
  <si>
    <t xml:space="preserve">CICLISMO BELÉN </t>
  </si>
  <si>
    <t xml:space="preserve">COLONO BIKE STATION KOLBI </t>
  </si>
  <si>
    <t>SCOTT SHIMANO CYCLING TEAM</t>
  </si>
  <si>
    <t>ACISA</t>
  </si>
  <si>
    <t>CODEA ALAJUELA</t>
  </si>
  <si>
    <t xml:space="preserve">SANABRIA  Carlos Alonso </t>
  </si>
  <si>
    <t>HERRERA Elber</t>
  </si>
  <si>
    <t>EL SEMAANI Jean Paul</t>
  </si>
  <si>
    <t xml:space="preserve">TOMATERO </t>
  </si>
  <si>
    <t xml:space="preserve">AUTOTRONICA ARAYA </t>
  </si>
  <si>
    <t>HERRERA Jeffrey</t>
  </si>
  <si>
    <t>TEAM CORECO/MOMENTUM SPORTS</t>
  </si>
  <si>
    <t>NA</t>
  </si>
  <si>
    <t>RODRÍGUEZ Luis Angel</t>
  </si>
  <si>
    <t>SOLANO Cristian</t>
  </si>
  <si>
    <t>INDEPENDIENTE</t>
  </si>
  <si>
    <t xml:space="preserve">CCDRESCAZU </t>
  </si>
  <si>
    <t xml:space="preserve">CCDR SAN JOSÉ </t>
  </si>
  <si>
    <t xml:space="preserve">CCDR SANTA CRUZ </t>
  </si>
  <si>
    <t>CDR CERVANTES</t>
  </si>
  <si>
    <t xml:space="preserve">CCDR ESCAZÚ </t>
  </si>
  <si>
    <t>CCDR MATINA CICLO SALAS BATAN</t>
  </si>
  <si>
    <t>CCDRESCAZU</t>
  </si>
  <si>
    <t xml:space="preserve">INDIVIDUAL </t>
  </si>
  <si>
    <t>CCDR LIMÓN</t>
  </si>
  <si>
    <t xml:space="preserve">NUMU COACHING </t>
  </si>
  <si>
    <t xml:space="preserve">DESAMPARADOS BIKE CAFÉ </t>
  </si>
  <si>
    <t xml:space="preserve">NAVARRO  Damon </t>
  </si>
  <si>
    <t xml:space="preserve">SÁNCHEZ  Steven </t>
  </si>
  <si>
    <t xml:space="preserve">BIKE BROS CYCLING </t>
  </si>
  <si>
    <t>RAMIREZ Federico</t>
  </si>
  <si>
    <t>MENESES  Mario Alfredo</t>
  </si>
  <si>
    <t xml:space="preserve">VILLALOBOS  Steven </t>
  </si>
  <si>
    <t>GONZALEZ Jose Alejandro</t>
  </si>
  <si>
    <t xml:space="preserve">ARAYA  Pablo </t>
  </si>
  <si>
    <t xml:space="preserve">MENESES Rolando </t>
  </si>
  <si>
    <t>TREK</t>
  </si>
  <si>
    <t xml:space="preserve">AUTOS SALAS </t>
  </si>
  <si>
    <t>VALVERDE William</t>
  </si>
  <si>
    <t>TEAM CQ.PZ</t>
  </si>
  <si>
    <t xml:space="preserve">ESPINOZA  Cristel </t>
  </si>
  <si>
    <t>AGUILAR Jonathan*</t>
  </si>
  <si>
    <t xml:space="preserve">ACISA SARAPIQUI </t>
  </si>
  <si>
    <t>NOSOTROS DOTA</t>
  </si>
  <si>
    <t>MARIN Daniel</t>
  </si>
  <si>
    <t xml:space="preserve">CAMPOS Diego Alberto </t>
  </si>
  <si>
    <t xml:space="preserve">TEAM CQ.PZ </t>
  </si>
  <si>
    <t xml:space="preserve">CICLO VICTOR VARGAS </t>
  </si>
  <si>
    <t>LORIA Dilcen</t>
  </si>
  <si>
    <t>MENESES Jose</t>
  </si>
  <si>
    <t>PREINFANTIL MASCULINO (11-12)</t>
  </si>
  <si>
    <t>PREINFANTIL FEMENINO (11-12)</t>
  </si>
  <si>
    <t>MASTER A FEMENINO (30-39)</t>
  </si>
  <si>
    <t>MASTER B FEMENINO (40+)</t>
  </si>
  <si>
    <t>PESO PLUMA MASCULINO</t>
  </si>
  <si>
    <t>PESO PLUMA</t>
  </si>
  <si>
    <t xml:space="preserve">HERRERA  Carlos </t>
  </si>
  <si>
    <t xml:space="preserve">PEDREGAL 7C ECONOMY </t>
  </si>
  <si>
    <t>MENDEZ Jared*</t>
  </si>
  <si>
    <t>CICLO VÍCTOR VARGAS / BIKESTORE TREK</t>
  </si>
  <si>
    <t>GONZÁLEZ  Adriano*</t>
  </si>
  <si>
    <t>VARGAS Steven Andres</t>
  </si>
  <si>
    <t>MEGAMO MANZATÉ LA SELVA</t>
  </si>
  <si>
    <t>ALVARADO Armando*</t>
  </si>
  <si>
    <t xml:space="preserve">CCDR DESAMPARADOS BIKE CAFÉ </t>
  </si>
  <si>
    <t>MANZA TÉ LA SELVA SCOTT</t>
  </si>
  <si>
    <t>MADRIGAL  Adriano*</t>
  </si>
  <si>
    <t>RAABE  Fabricio*</t>
  </si>
  <si>
    <t>HIDALGO  Stefano*</t>
  </si>
  <si>
    <t>TORRES Kevin*</t>
  </si>
  <si>
    <t>CAMPOS Haswel*</t>
  </si>
  <si>
    <t>VARGAS  Ismael Felipe*</t>
  </si>
  <si>
    <t xml:space="preserve">7C ECONOMIC HYUNDAI </t>
  </si>
  <si>
    <t>AZOFEIFA Daniel*</t>
  </si>
  <si>
    <t>BOBBYS CICLING TEAM</t>
  </si>
  <si>
    <t>MORA Kendall*</t>
  </si>
  <si>
    <t>CODEA-HDZ TEAM</t>
  </si>
  <si>
    <t>ASTUA Kyvan</t>
  </si>
  <si>
    <t>TEAM FKV KOCHIS</t>
  </si>
  <si>
    <t>ROJAS Alejandro*</t>
  </si>
  <si>
    <t>MENESES Sebastian*</t>
  </si>
  <si>
    <t>MANZATE LA SELVA SCOTT</t>
  </si>
  <si>
    <t>ROJAS Adriana</t>
  </si>
  <si>
    <t>CBZ- DEKRA</t>
  </si>
  <si>
    <t>ASFALTOS CBZ - DEKRA - SECNET</t>
  </si>
  <si>
    <t xml:space="preserve">MENA  Milagro </t>
  </si>
  <si>
    <t>AVILA  Melisa*</t>
  </si>
  <si>
    <t>MANZATÉ LA SELVA NOVARIX</t>
  </si>
  <si>
    <t>MARTINEZ Daniela</t>
  </si>
  <si>
    <t>MONTES Naidelyn*</t>
  </si>
  <si>
    <t>ALVARADO  Elizabeth*</t>
  </si>
  <si>
    <t xml:space="preserve">SANTA ANA </t>
  </si>
  <si>
    <t>VARGAS Naomy*</t>
  </si>
  <si>
    <t>NÚÑEZ  Alison*</t>
  </si>
  <si>
    <t>RAHILLY Denise*</t>
  </si>
  <si>
    <t>GOMEZ Yailin*</t>
  </si>
  <si>
    <t xml:space="preserve">QUIRÓS  Neythan Yariel </t>
  </si>
  <si>
    <t>NARANJO Didier</t>
  </si>
  <si>
    <t xml:space="preserve">ACUÑA  Alejandro </t>
  </si>
  <si>
    <t>TEAM INNOVABIKES-SKOLER</t>
  </si>
  <si>
    <t>ULATE Joshua*</t>
  </si>
  <si>
    <t xml:space="preserve">MECATRONICS / MCT COMPONENTS  </t>
  </si>
  <si>
    <t>BERMUDEZ Diego Andres*</t>
  </si>
  <si>
    <t>PEÑA  Anthony*</t>
  </si>
  <si>
    <t>FALCON Fernando*</t>
  </si>
  <si>
    <t>PORRAS Santiago*</t>
  </si>
  <si>
    <t>RODRIGUEZ José Pablo*</t>
  </si>
  <si>
    <t xml:space="preserve">RODRIGUEZ  Lenny Jeffrey </t>
  </si>
  <si>
    <t xml:space="preserve">BOLAÑOS  Justin </t>
  </si>
  <si>
    <t xml:space="preserve">DESAMPARADOS BIKE CAFE </t>
  </si>
  <si>
    <t>THOMAS  Dominick*</t>
  </si>
  <si>
    <t>PIEDRA  Fabián*</t>
  </si>
  <si>
    <t>UMAÑA  Devis*</t>
  </si>
  <si>
    <t xml:space="preserve">CCDR DESAMPARADOS BIKE CAFE </t>
  </si>
  <si>
    <t xml:space="preserve">JIMÉNEZ  Samuel </t>
  </si>
  <si>
    <t xml:space="preserve">DESAMPARA BIKI CAFÉ </t>
  </si>
  <si>
    <t xml:space="preserve">SOLANO  Dilan </t>
  </si>
  <si>
    <t xml:space="preserve">AGUILAR  Mauro </t>
  </si>
  <si>
    <t xml:space="preserve">CHINCHILLA  Yeilan </t>
  </si>
  <si>
    <t>WESTRA  Seyo*</t>
  </si>
  <si>
    <t>GAMBOA  Elian*</t>
  </si>
  <si>
    <t>QUESADA Jerald De Jesus*</t>
  </si>
  <si>
    <t>CASTILLO Edwan*</t>
  </si>
  <si>
    <t>ESC GUIDO /CCDRL</t>
  </si>
  <si>
    <t>MURILLO  Sebastian*</t>
  </si>
  <si>
    <t>FERNANDEZ Jose Eduardo</t>
  </si>
  <si>
    <t>CCDR TURRIALBA</t>
  </si>
  <si>
    <t xml:space="preserve">MANZANARES  Leandro </t>
  </si>
  <si>
    <t>NUÑEZ Axell*</t>
  </si>
  <si>
    <t>SANTA ANA</t>
  </si>
  <si>
    <t>MENESES  Cesar*</t>
  </si>
  <si>
    <t xml:space="preserve">VEGA  Santiago </t>
  </si>
  <si>
    <t>CCDR DE NARANJO</t>
  </si>
  <si>
    <t xml:space="preserve">JACKSON Bruce </t>
  </si>
  <si>
    <t>LEIVA  Jean Carlo*</t>
  </si>
  <si>
    <t>BARBOZA  Mathias*</t>
  </si>
  <si>
    <t>OROZCO  Aaron Felipe*</t>
  </si>
  <si>
    <t>CAMPOS Matias Alejandro</t>
  </si>
  <si>
    <t>PZ CICLYNG TEAM</t>
  </si>
  <si>
    <t>FONSECA Dianey</t>
  </si>
  <si>
    <t xml:space="preserve">NINGUNO </t>
  </si>
  <si>
    <t xml:space="preserve">SOJO  Joshua Samir </t>
  </si>
  <si>
    <t>TEAM COSTA FRUT - GIANT- AC MARRIOTT BELEN / CODEA</t>
  </si>
  <si>
    <t>CASASOLA Steven Mauricio</t>
  </si>
  <si>
    <t>BRIONES Gedmelheintch Aichlan*</t>
  </si>
  <si>
    <t>CDDR GUACIMO</t>
  </si>
  <si>
    <t>RODRÍGUEZ Axel</t>
  </si>
  <si>
    <t xml:space="preserve">ARAYA  Luis </t>
  </si>
  <si>
    <t>CRUZ  Alejandro*</t>
  </si>
  <si>
    <t xml:space="preserve">EPIC BIKE CENTER MEDIA LUNA </t>
  </si>
  <si>
    <t>CORDERO  Adriano*</t>
  </si>
  <si>
    <t>GOMEZ  Allan</t>
  </si>
  <si>
    <t>MARCHENA  Ethan*</t>
  </si>
  <si>
    <t>CORRALES Isaac</t>
  </si>
  <si>
    <t xml:space="preserve">MADRIGAL Maidelyn De Los Angeles  </t>
  </si>
  <si>
    <t>ZÁRATE  Nazareth*</t>
  </si>
  <si>
    <t>BARQUERO  Brenda*</t>
  </si>
  <si>
    <t xml:space="preserve">BUENOS AIRES </t>
  </si>
  <si>
    <t>ALVARADO  Jimena*</t>
  </si>
  <si>
    <t xml:space="preserve">GARCÍA  Miguel </t>
  </si>
  <si>
    <t>CAMPOS  Isaac Eduardo*</t>
  </si>
  <si>
    <t>HERNANDEZ Walter David*</t>
  </si>
  <si>
    <t>RODRÍGUEZ  Esteban*</t>
  </si>
  <si>
    <t xml:space="preserve">SPACE SCENSE-FERROCA-SST CONSULTORES - CCDR SANTA CRUZ </t>
  </si>
  <si>
    <t>BRICEÑO  Mike Josué*</t>
  </si>
  <si>
    <t>CCDR SANTA CRUZ/TEAM COSTA FRUT</t>
  </si>
  <si>
    <t xml:space="preserve">VARELA  Mathias </t>
  </si>
  <si>
    <t>ARIAS Daniel*</t>
  </si>
  <si>
    <t>HERRERO Josué*</t>
  </si>
  <si>
    <t>HERNÁNDEZ  Felipe</t>
  </si>
  <si>
    <t xml:space="preserve">SEGURA Thomas </t>
  </si>
  <si>
    <t>SABALLOS  Joshua</t>
  </si>
  <si>
    <t>CICLISMO BELEN</t>
  </si>
  <si>
    <t>VARGAS  Saul*</t>
  </si>
  <si>
    <t>ARIAS  Daniel*</t>
  </si>
  <si>
    <t>HERRERO  Josué*</t>
  </si>
  <si>
    <t xml:space="preserve">MALDONADO  Franco </t>
  </si>
  <si>
    <t xml:space="preserve">CHAVES  Emanuel </t>
  </si>
  <si>
    <t>MOYA  Santiago*</t>
  </si>
  <si>
    <t>CAMPOS  Moisés*</t>
  </si>
  <si>
    <t>GARITA  Damián*</t>
  </si>
  <si>
    <t xml:space="preserve">C.C.D.R SAN JOSÉ </t>
  </si>
  <si>
    <t xml:space="preserve">SUNSIN  Eithan </t>
  </si>
  <si>
    <t xml:space="preserve">AGUILAR  Luciano </t>
  </si>
  <si>
    <t xml:space="preserve">CCDR GUACIMO </t>
  </si>
  <si>
    <t>DUARTE Luis Andrés*</t>
  </si>
  <si>
    <t>ESCUELA GUIDO BLANCO CCDR LIBERIA</t>
  </si>
  <si>
    <t xml:space="preserve">CRUZ  Denzell </t>
  </si>
  <si>
    <t xml:space="preserve">ESCUELA GUIDO BLANCO CCDR LIBERIA </t>
  </si>
  <si>
    <t>ALVAREZ Mateo*</t>
  </si>
  <si>
    <t>C.C.D.R. ESCAZU</t>
  </si>
  <si>
    <t>ALFARO Emmanuel</t>
  </si>
  <si>
    <t>MEDINA Anders Uriel</t>
  </si>
  <si>
    <t>ACUÑA Felipe</t>
  </si>
  <si>
    <t>CISNEROS Ian Felipe*</t>
  </si>
  <si>
    <t>TEAM CQ PZ</t>
  </si>
  <si>
    <t>RAMÍREZ Adrian</t>
  </si>
  <si>
    <t xml:space="preserve">CASTRO Juandavid </t>
  </si>
  <si>
    <t xml:space="preserve">PRENDAS  Santiago </t>
  </si>
  <si>
    <t xml:space="preserve">CCDRCARTAGO </t>
  </si>
  <si>
    <t>SEGURA Isaac*</t>
  </si>
  <si>
    <t xml:space="preserve">SOTO  Sebastian </t>
  </si>
  <si>
    <t xml:space="preserve">CODEA </t>
  </si>
  <si>
    <t>SOLIS  Santiago*</t>
  </si>
  <si>
    <t xml:space="preserve">CCDRZ ZARCERO </t>
  </si>
  <si>
    <t>BARRANTES  Thomas*</t>
  </si>
  <si>
    <t>ASOC. CICLISTICA GRIEGA</t>
  </si>
  <si>
    <t xml:space="preserve">ALFARO  Yahel </t>
  </si>
  <si>
    <t xml:space="preserve">CCDR GUÁCIMO </t>
  </si>
  <si>
    <t xml:space="preserve">CORRALES  Billy </t>
  </si>
  <si>
    <t>PICADO Emiliano</t>
  </si>
  <si>
    <t>DONDE LANDA</t>
  </si>
  <si>
    <t>BRENES Tayron Fabián*</t>
  </si>
  <si>
    <t>GUEVARA Esteban*</t>
  </si>
  <si>
    <t>JIMENEZ Briana</t>
  </si>
  <si>
    <t>CASTRO  Camila</t>
  </si>
  <si>
    <t>ALFARO María Isabella*</t>
  </si>
  <si>
    <t>SOLÍS  Nathalia Fabiana*</t>
  </si>
  <si>
    <t xml:space="preserve">CODEA POWER KIDS </t>
  </si>
  <si>
    <t xml:space="preserve">OVIEDO Camíla </t>
  </si>
  <si>
    <t xml:space="preserve">LIZANO Nicole </t>
  </si>
  <si>
    <t>AZOFEIFA Sofia*</t>
  </si>
  <si>
    <t>CÉSPEDES  Isabella Jazlene*</t>
  </si>
  <si>
    <t xml:space="preserve">SKALA/ CCDR MONTEVERDE </t>
  </si>
  <si>
    <t xml:space="preserve">PÉREZ  Alexa </t>
  </si>
  <si>
    <t xml:space="preserve">CICLISMO TURRIALBA </t>
  </si>
  <si>
    <t>DURAN Emanuel</t>
  </si>
  <si>
    <t>Anual</t>
  </si>
  <si>
    <t xml:space="preserve">ARCE Mathew </t>
  </si>
  <si>
    <t>CAMPOS Angelo Samuel*</t>
  </si>
  <si>
    <t>BONILLA  Keyshmer*</t>
  </si>
  <si>
    <t xml:space="preserve">CORDERO  Iker Mattias </t>
  </si>
  <si>
    <t>PZ CYCLING TEAM</t>
  </si>
  <si>
    <t>CASTILLO  Santiago*</t>
  </si>
  <si>
    <t xml:space="preserve"> 1017171656840</t>
  </si>
  <si>
    <t xml:space="preserve">MARÍN  Isaac </t>
  </si>
  <si>
    <t xml:space="preserve">BONILLA  Mattew </t>
  </si>
  <si>
    <t xml:space="preserve"> 101716561133</t>
  </si>
  <si>
    <t>VILLALOBOS  Mathias</t>
  </si>
  <si>
    <t xml:space="preserve">RODRÍGUEZ  Joaquín </t>
  </si>
  <si>
    <t xml:space="preserve">VASQUEZ  Yariel </t>
  </si>
  <si>
    <t xml:space="preserve">SANDI  Derek Ivan </t>
  </si>
  <si>
    <t xml:space="preserve">GUTIERREZ Simao </t>
  </si>
  <si>
    <t xml:space="preserve">JEREZ Gabriel </t>
  </si>
  <si>
    <t>CCDR LIBERIA</t>
  </si>
  <si>
    <t>ARAYA  Samuel</t>
  </si>
  <si>
    <t>MATA  Antuan*</t>
  </si>
  <si>
    <t>ARAYA Alejandro</t>
  </si>
  <si>
    <t>VALVERDE  Liam</t>
  </si>
  <si>
    <t xml:space="preserve">CCDR TURRIALBA </t>
  </si>
  <si>
    <t>RUIZ Randy</t>
  </si>
  <si>
    <t xml:space="preserve">CCDR SANTA CRUZ / FISH BIKE TOURS TAMARINDO </t>
  </si>
  <si>
    <t>MORERA  Derrick</t>
  </si>
  <si>
    <t>Xx</t>
  </si>
  <si>
    <t>RAMIREZ David</t>
  </si>
  <si>
    <t>FERNÁNDEZ  Heyfy</t>
  </si>
  <si>
    <t>PÉREZ  Keileb*</t>
  </si>
  <si>
    <t>GARCIA  Dany</t>
  </si>
  <si>
    <t xml:space="preserve">CALDERÓN  Ariana </t>
  </si>
  <si>
    <t xml:space="preserve">TORRES Camila Del Pilar </t>
  </si>
  <si>
    <t>MARCHENA  Shelly Yuliana</t>
  </si>
  <si>
    <t>CRUZ Monica*</t>
  </si>
  <si>
    <t>NÚÑEZ  Ashly*</t>
  </si>
  <si>
    <t xml:space="preserve">CORTES  Maríam </t>
  </si>
  <si>
    <t>GUERRERO  Mariangel*</t>
  </si>
  <si>
    <t>PIZARRO  Keysi</t>
  </si>
  <si>
    <t>MUÑOZ Amy</t>
  </si>
  <si>
    <t>VILLALOBOS  Jimena*</t>
  </si>
  <si>
    <t xml:space="preserve">ACISA </t>
  </si>
  <si>
    <t xml:space="preserve">ARAYA Emiliano </t>
  </si>
  <si>
    <t>CERDAS  Isaac*</t>
  </si>
  <si>
    <t xml:space="preserve">SOJO Nathan </t>
  </si>
  <si>
    <t>HUNTER Ian*</t>
  </si>
  <si>
    <t xml:space="preserve">CESPEDES  Santiago </t>
  </si>
  <si>
    <t xml:space="preserve">ACCIPAL PALMARES </t>
  </si>
  <si>
    <t>CÉSPEDES  Anthony Luan*</t>
  </si>
  <si>
    <t>MONTEALEGRE Maria Paula</t>
  </si>
  <si>
    <t>CCDR SANTA CRUZ</t>
  </si>
  <si>
    <t>HERNÁNDEZ  Maripaz*</t>
  </si>
  <si>
    <t>SANTA ANA  / HDZ TEAM</t>
  </si>
  <si>
    <t xml:space="preserve">MORA  Valentina </t>
  </si>
  <si>
    <t>JIMÉNEZ  Mia</t>
  </si>
  <si>
    <t xml:space="preserve">MARTÍNEZ Andrés </t>
  </si>
  <si>
    <t xml:space="preserve">ALPÍZAR  Roberto </t>
  </si>
  <si>
    <t xml:space="preserve">GOCHA CYCLING TEAM </t>
  </si>
  <si>
    <t xml:space="preserve">ZÚÑIGA  Sergio </t>
  </si>
  <si>
    <t>VEINTE24</t>
  </si>
  <si>
    <t>CALDERON Edwin</t>
  </si>
  <si>
    <t xml:space="preserve">RIVERA Bryan </t>
  </si>
  <si>
    <t>CICLO JUAN VIÑAS</t>
  </si>
  <si>
    <t xml:space="preserve">CHAVO MECHANICS </t>
  </si>
  <si>
    <t xml:space="preserve">MORALES Allan  </t>
  </si>
  <si>
    <t>TEAM INNOVABIKES</t>
  </si>
  <si>
    <t>GOCHA CYCLING TEAM</t>
  </si>
  <si>
    <t xml:space="preserve">MORENO  Carlos </t>
  </si>
  <si>
    <t>SEGURA Luis Diego</t>
  </si>
  <si>
    <t>AUTOPAMA - COLYPRO - CLETEROS BATAAN</t>
  </si>
  <si>
    <t xml:space="preserve">RAMÍREZ  Federico </t>
  </si>
  <si>
    <t>SEVEN CARD</t>
  </si>
  <si>
    <t xml:space="preserve">RAMIREZ  Cristian </t>
  </si>
  <si>
    <t xml:space="preserve">TEAM RAMIREZ REPAUT </t>
  </si>
  <si>
    <t>ADNBIKESCR</t>
  </si>
  <si>
    <t>ALBERTO Luis</t>
  </si>
  <si>
    <t xml:space="preserve">ESC GUIDO </t>
  </si>
  <si>
    <t>BARRANTES Richard</t>
  </si>
  <si>
    <t xml:space="preserve">CICLO JUAN VIÑAS-COLYPRO </t>
  </si>
  <si>
    <t xml:space="preserve">MOLINA Hairo </t>
  </si>
  <si>
    <t>FERNANDEZ Marco</t>
  </si>
  <si>
    <t>CMS- TRANSPORTEGRUPOEYAN-ROMABIKES</t>
  </si>
  <si>
    <t>MORERA  Oscar</t>
  </si>
  <si>
    <t>GRUPO 86- MAXXIS-GU ENERGY</t>
  </si>
  <si>
    <t>BUF, DRASANVI, ECOTIENDA...</t>
  </si>
  <si>
    <t xml:space="preserve">VASQUEZ  Michael </t>
  </si>
  <si>
    <t xml:space="preserve">RODRÍGUEZ  Julián </t>
  </si>
  <si>
    <t xml:space="preserve">BELÉN TEAM </t>
  </si>
  <si>
    <t xml:space="preserve">SOJO Luis Miguel </t>
  </si>
  <si>
    <t xml:space="preserve">COLYPRO </t>
  </si>
  <si>
    <t>RODRÍGUEZ Rodolfo</t>
  </si>
  <si>
    <t xml:space="preserve">TEAM CQ-PZ </t>
  </si>
  <si>
    <t>HATOVIEJO - MOMIA TS</t>
  </si>
  <si>
    <t>CHACON Gonzalo</t>
  </si>
  <si>
    <t>TEAM GOCHA</t>
  </si>
  <si>
    <t>ZUÑIGA Douglas</t>
  </si>
  <si>
    <t>GAVIA88</t>
  </si>
  <si>
    <t>FERNANDEZ Raul</t>
  </si>
  <si>
    <t xml:space="preserve">CALLE NIÑO SANO </t>
  </si>
  <si>
    <t>ACUÑA Luis</t>
  </si>
  <si>
    <t>AZOFEIFA Guillermo</t>
  </si>
  <si>
    <t>LOTUS</t>
  </si>
  <si>
    <t>AZOFEIFA Marcos</t>
  </si>
  <si>
    <t xml:space="preserve">RECIO  Rodrigo </t>
  </si>
  <si>
    <t>CÓRDOBA  Juan José</t>
  </si>
  <si>
    <t xml:space="preserve">KBCT - IMPORTADORA SALAZAR </t>
  </si>
  <si>
    <t xml:space="preserve">GARCÍA  Jorge </t>
  </si>
  <si>
    <t>WATIOS CYCLING PERFORMANCE</t>
  </si>
  <si>
    <t xml:space="preserve">CAMPOS  Eduardo </t>
  </si>
  <si>
    <t>CAMPOS Sergio</t>
  </si>
  <si>
    <t xml:space="preserve">EL GATO MECANICO </t>
  </si>
  <si>
    <t xml:space="preserve">ARCE  Alberth Antonio </t>
  </si>
  <si>
    <t xml:space="preserve">CARVAJAL Jonathan </t>
  </si>
  <si>
    <t xml:space="preserve">TENORIO  Carlos </t>
  </si>
  <si>
    <t>ACISA SARAPIQUI</t>
  </si>
  <si>
    <t>PESSOA Pablo</t>
  </si>
  <si>
    <t>ROBLES Cesar</t>
  </si>
  <si>
    <t>CRS80</t>
  </si>
  <si>
    <t>SUAREZ  Christian</t>
  </si>
  <si>
    <t>GAVIA 88</t>
  </si>
  <si>
    <t xml:space="preserve">VÁSQUEZ  Ricardo </t>
  </si>
  <si>
    <t>Pendiente</t>
  </si>
  <si>
    <t>CH TRAINING</t>
  </si>
  <si>
    <t xml:space="preserve">VEGA  Oldemar </t>
  </si>
  <si>
    <t>VEGAS TEAM POAS</t>
  </si>
  <si>
    <t>UREÑA  Edgar</t>
  </si>
  <si>
    <t>BELTRAN  Pablo</t>
  </si>
  <si>
    <t>BELPOWER RUGATI</t>
  </si>
  <si>
    <t xml:space="preserve">BERMÚDEZ  Guillermo </t>
  </si>
  <si>
    <t>VARGAS Gustavo</t>
  </si>
  <si>
    <t>BRENES Mario</t>
  </si>
  <si>
    <t>BDRIFT MOTORSPORT NUTRITION</t>
  </si>
  <si>
    <t>PORRAS  Guillermo</t>
  </si>
  <si>
    <t>BERMUDEZ  Guillermo</t>
  </si>
  <si>
    <t>MARÍN  Alonso</t>
  </si>
  <si>
    <t xml:space="preserve">CRUZ Eddy Antonio </t>
  </si>
  <si>
    <t>MUEBLES CRUZ</t>
  </si>
  <si>
    <t>SOLIS Marco</t>
  </si>
  <si>
    <t>MUÑOZ German</t>
  </si>
  <si>
    <t xml:space="preserve">MONGE Freizer </t>
  </si>
  <si>
    <t xml:space="preserve">HOTEL WYNDHAM GARDEN - MENSAJERÍA M.A - JAVA </t>
  </si>
  <si>
    <t>ROJAS Melvin</t>
  </si>
  <si>
    <t>CASTRO  Martin</t>
  </si>
  <si>
    <t xml:space="preserve">CCSOLDADURAS19 </t>
  </si>
  <si>
    <t>FISIONORTE-QUESADAJONATHAN.CYCLING</t>
  </si>
  <si>
    <t>TEAM RRS-FR-ACADEMIA AR</t>
  </si>
  <si>
    <t>CAMPOS Marvin</t>
  </si>
  <si>
    <t>BELEN TEAM</t>
  </si>
  <si>
    <t xml:space="preserve">SALAS  Mauricio </t>
  </si>
  <si>
    <t xml:space="preserve">FERNÁNDEZ  José Luis </t>
  </si>
  <si>
    <t>LUCART</t>
  </si>
  <si>
    <t xml:space="preserve">CAMPOS Luis Javier </t>
  </si>
  <si>
    <t>NUMU COACHING</t>
  </si>
  <si>
    <t>PARAÍSO-GRUPETA DE LAS 5AM</t>
  </si>
  <si>
    <t xml:space="preserve">JIMÉNEZ  Nelson </t>
  </si>
  <si>
    <t xml:space="preserve">LOYOLA MTB </t>
  </si>
  <si>
    <t>ZÚÑIGA  Laura</t>
  </si>
  <si>
    <t xml:space="preserve">HERNÁNDEZ  Yuliana </t>
  </si>
  <si>
    <t xml:space="preserve">SAPPHIRE TABA CYCLING TEAM </t>
  </si>
  <si>
    <t xml:space="preserve">ALFARO Ana Semiramis </t>
  </si>
  <si>
    <t>INFINITY - ONE TWO CYCLING - GAVIA88</t>
  </si>
  <si>
    <t xml:space="preserve">BADILLA  Valeria </t>
  </si>
  <si>
    <t xml:space="preserve">FISIOSANA </t>
  </si>
  <si>
    <t>FISIONORTE/ QUESADAJONATHAN.CYCLING</t>
  </si>
  <si>
    <t>VARGAS Laura</t>
  </si>
  <si>
    <t>MORA Esteban</t>
  </si>
  <si>
    <t>BIKE BROS CYCLING</t>
  </si>
  <si>
    <t>RIVERA Jack Dany</t>
  </si>
  <si>
    <t>VEINTE24 CYCLING</t>
  </si>
  <si>
    <t>BARRANTES  Lenin Juran</t>
  </si>
  <si>
    <t>CUBILLO Yuster</t>
  </si>
  <si>
    <t>Xxxx</t>
  </si>
  <si>
    <t xml:space="preserve">CCDR MATINA CICLO SALAS BATAN </t>
  </si>
  <si>
    <t>MENA Juan Carlos</t>
  </si>
  <si>
    <t>ALFARO  Jonathan Alberto</t>
  </si>
  <si>
    <t>QUECA</t>
  </si>
  <si>
    <t xml:space="preserve">SANTANA  Jesús </t>
  </si>
  <si>
    <t xml:space="preserve">ACISA CCDR SARAPIQUI </t>
  </si>
  <si>
    <t>SANDI Kendall</t>
  </si>
  <si>
    <t>POWERCYCLING STORE</t>
  </si>
  <si>
    <t>ROJAS Gonzalo</t>
  </si>
  <si>
    <t>TALENTTEC</t>
  </si>
  <si>
    <t>SALAS  Randall</t>
  </si>
  <si>
    <t>QUIROS  John</t>
  </si>
  <si>
    <t xml:space="preserve">JQ_ CICLO SALAS BATAN </t>
  </si>
  <si>
    <t>SIBAJA Jean Carlo</t>
  </si>
  <si>
    <t>VCC - STYM</t>
  </si>
  <si>
    <t xml:space="preserve">CALVO  Gabriel Andres </t>
  </si>
  <si>
    <t xml:space="preserve">CDR TURRIALBA </t>
  </si>
  <si>
    <t xml:space="preserve">QUIRÓS  Arturo </t>
  </si>
  <si>
    <t>ASOCIACIÓN VQ CARTAGO</t>
  </si>
  <si>
    <t xml:space="preserve">BRENES Cristopher </t>
  </si>
  <si>
    <t xml:space="preserve">ZAMORA  José David </t>
  </si>
  <si>
    <t>GUTIERREZ  Daniel</t>
  </si>
  <si>
    <t>CHAVES Jose</t>
  </si>
  <si>
    <t xml:space="preserve">MÉNDEZ  Miguel Alonso </t>
  </si>
  <si>
    <t xml:space="preserve">KOKOS MECHANIC </t>
  </si>
  <si>
    <t>TRETTI Caterina</t>
  </si>
  <si>
    <t>LEIVA Kenneth</t>
  </si>
  <si>
    <t xml:space="preserve">MORA Leonardo </t>
  </si>
  <si>
    <t xml:space="preserve">GALERÍA DEPORTIVA </t>
  </si>
  <si>
    <t xml:space="preserve">JIMÉNEZ  Roylan </t>
  </si>
  <si>
    <t>TALLER ROY</t>
  </si>
  <si>
    <t xml:space="preserve">MATA  Jefrey Alexander </t>
  </si>
  <si>
    <t>GRUPETA 5AM</t>
  </si>
  <si>
    <t>GUZMAN Aaaron</t>
  </si>
  <si>
    <t>GUZMÁN Alex</t>
  </si>
  <si>
    <t>CYCLO CROSS MASCULINO</t>
  </si>
  <si>
    <t xml:space="preserve">DOBLES  Christopher </t>
  </si>
  <si>
    <t>CONGELADOS ADIS /OKAPI DRINKS/PROTUBE /TODO CR</t>
  </si>
  <si>
    <t>REDONDO Mevin</t>
  </si>
  <si>
    <t>BEST PC</t>
  </si>
  <si>
    <t>MONGE Andres</t>
  </si>
  <si>
    <t>SANDI Hector</t>
  </si>
  <si>
    <t xml:space="preserve">COLYPRO/ANDARIEG@S </t>
  </si>
  <si>
    <t>JIMENEZ Carlos Eduardo</t>
  </si>
  <si>
    <t>BIKEWAY/ADAMAGRO</t>
  </si>
  <si>
    <t xml:space="preserve">BOLAÑOS Jean Carlo </t>
  </si>
  <si>
    <t xml:space="preserve">TEAM BIKE CENTER COSTA RICA </t>
  </si>
  <si>
    <t xml:space="preserve">MEZA Alexander </t>
  </si>
  <si>
    <t xml:space="preserve">AGENCIADAGRO </t>
  </si>
  <si>
    <t>POS CX</t>
  </si>
  <si>
    <t>PTOS CX</t>
  </si>
  <si>
    <t>PRIMERA FECHA OROSI</t>
  </si>
  <si>
    <t>SEGUNDA FECHA DESAMPARADOS</t>
  </si>
  <si>
    <t>LOPEZ Luis Enrique</t>
  </si>
  <si>
    <t>PEDREGAL 7C</t>
  </si>
  <si>
    <t>10092456037</t>
  </si>
  <si>
    <t>RAMÍREZ  Joseph</t>
  </si>
  <si>
    <t xml:space="preserve">FONSECA  Andrey </t>
  </si>
  <si>
    <t>TEAM INNOVABIKES SKOLER</t>
  </si>
  <si>
    <t>CICLO VÍCTOR VARGAS | BIKESTORE TREK</t>
  </si>
  <si>
    <t>GONZÁLEZ  Adriano *</t>
  </si>
  <si>
    <t>VARGAS Steven Andrres</t>
  </si>
  <si>
    <t>RAMIREZ Federico.</t>
  </si>
  <si>
    <t>VARGAS  José David *</t>
  </si>
  <si>
    <t>RAABE  Fabricio *</t>
  </si>
  <si>
    <t>TEAM HC</t>
  </si>
  <si>
    <t>MORA Kendall *</t>
  </si>
  <si>
    <t xml:space="preserve">BALTODANO Jeremy </t>
  </si>
  <si>
    <t>CAMACHO  Jeancarlo *</t>
  </si>
  <si>
    <t>ALFARO Jeison*</t>
  </si>
  <si>
    <t xml:space="preserve">QUINTERO  Jose Carmelo </t>
  </si>
  <si>
    <t xml:space="preserve">BIKE RIDE SIQUIRRES </t>
  </si>
  <si>
    <t>HIDALGO  Isaac*</t>
  </si>
  <si>
    <t>TEAM COSTAFRUT GIANT AC MARRIOT</t>
  </si>
  <si>
    <t xml:space="preserve">ASTUA Kyvan </t>
  </si>
  <si>
    <t xml:space="preserve">VARGAS Kenneth </t>
  </si>
  <si>
    <t>MATINA</t>
  </si>
  <si>
    <t xml:space="preserve">CBZ ASFALTOS - DEKRA - SECNET </t>
  </si>
  <si>
    <t>GARCÍA  Isabel *</t>
  </si>
  <si>
    <t>GARCÍA  Marisol *</t>
  </si>
  <si>
    <t>ZELEDÓN  Gabriela</t>
  </si>
  <si>
    <t>ALVARADO  Elizabeth *</t>
  </si>
  <si>
    <t>NUÑEZ  Alison *</t>
  </si>
  <si>
    <t xml:space="preserve">NARANJO  Didier </t>
  </si>
  <si>
    <t>MECATRONICS / MCT COMPONENTS</t>
  </si>
  <si>
    <t>MANZANARES  Leandro</t>
  </si>
  <si>
    <t>BARBOZA  Mathias *</t>
  </si>
  <si>
    <t>LEIVA  Jean Carlo *</t>
  </si>
  <si>
    <t xml:space="preserve">OROZCO  Aaron Felipe* </t>
  </si>
  <si>
    <t>SOJO  Joshua Samir</t>
  </si>
  <si>
    <t>CODEA COSTA FRUT</t>
  </si>
  <si>
    <t xml:space="preserve">MURILLO Sebastian* </t>
  </si>
  <si>
    <t xml:space="preserve">CASASOLA  Steven </t>
  </si>
  <si>
    <t xml:space="preserve">NO TENGO </t>
  </si>
  <si>
    <t xml:space="preserve">DESAMPARADOS BIKI CAFÉ </t>
  </si>
  <si>
    <t>VEGA Santiago</t>
  </si>
  <si>
    <t>CAMPOS Matias</t>
  </si>
  <si>
    <t>THOMAS  Dominick *</t>
  </si>
  <si>
    <t xml:space="preserve">COMITÉ DE SANTA ANA </t>
  </si>
  <si>
    <t>QUESADA  Jerald Jesus*</t>
  </si>
  <si>
    <t xml:space="preserve">PIEDRA  Fabián* </t>
  </si>
  <si>
    <t xml:space="preserve">PEÑA  Anthony* </t>
  </si>
  <si>
    <t xml:space="preserve">MENESES  Cesar* </t>
  </si>
  <si>
    <t xml:space="preserve">BRIONES  Gedmelheintch* </t>
  </si>
  <si>
    <t xml:space="preserve">FALCÓN  Fernando* </t>
  </si>
  <si>
    <t xml:space="preserve">GAMBOA  Elian* </t>
  </si>
  <si>
    <t>RODRÍGUEZ José Pablo*</t>
  </si>
  <si>
    <t>CICLISMO BELÉN</t>
  </si>
  <si>
    <t xml:space="preserve">UMAÑA  Devis* </t>
  </si>
  <si>
    <t>WESTRA  Seyo *</t>
  </si>
  <si>
    <t>CASTILLO  Edwan*</t>
  </si>
  <si>
    <t>ESC GUIDO BLANCO/CCDRL</t>
  </si>
  <si>
    <t xml:space="preserve">EPIC BIKE CENTER </t>
  </si>
  <si>
    <t xml:space="preserve">VQ ATHLETIC </t>
  </si>
  <si>
    <t xml:space="preserve">AGUILAR  Valentino* </t>
  </si>
  <si>
    <t>CAMPOS  Emmanuel *</t>
  </si>
  <si>
    <t xml:space="preserve">CCDR DE NARANJO </t>
  </si>
  <si>
    <t xml:space="preserve">CAMPOS  Kevin Andrey </t>
  </si>
  <si>
    <t>LIRA  Axel *</t>
  </si>
  <si>
    <t>DISTRIBUIDORA CRUZ TECNOCFORES CCDR POCOCI</t>
  </si>
  <si>
    <t>FERNÁNDEZ  Caled*</t>
  </si>
  <si>
    <t>DISTRIBUIDORA CRUZ TECNOFORES CCDR POCOCÍ</t>
  </si>
  <si>
    <t xml:space="preserve">VASQUEZ  Cristóbal* </t>
  </si>
  <si>
    <t xml:space="preserve">MARTINEZ  Alejandro* </t>
  </si>
  <si>
    <t xml:space="preserve">GARRO  Sergio* </t>
  </si>
  <si>
    <t xml:space="preserve">  DISTRIBUIDORA CRUZ TECNOCFORES CCDR POCOCI</t>
  </si>
  <si>
    <t>GAMBOA Yeirel*</t>
  </si>
  <si>
    <t>TEAM CRUZ DISTRIBUIDORA CRUZ CCDR POCOCI</t>
  </si>
  <si>
    <t>VILLALOBOS  Yohel*</t>
  </si>
  <si>
    <t xml:space="preserve">FERVISA LLISA BIOMED </t>
  </si>
  <si>
    <t>BOLANOS Jean Carlo</t>
  </si>
  <si>
    <t xml:space="preserve">TEAM BIKECENTER CR/ CICLISMO BELEN </t>
  </si>
  <si>
    <t xml:space="preserve">MADRIGAL  Maidelyn De Los Angeles </t>
  </si>
  <si>
    <t xml:space="preserve">ZÁRATE  Nazareth* </t>
  </si>
  <si>
    <t xml:space="preserve">BARQUERO  Brenda* </t>
  </si>
  <si>
    <t xml:space="preserve">CCDR BUENOS AIRES </t>
  </si>
  <si>
    <t xml:space="preserve">RIVERA Leonor* </t>
  </si>
  <si>
    <t xml:space="preserve">CAMPOS   Isaac Eduardo* </t>
  </si>
  <si>
    <t>RODRÍGUEZ  Marcelo*</t>
  </si>
  <si>
    <t xml:space="preserve">FERROCA </t>
  </si>
  <si>
    <t>CRUZ Denzell</t>
  </si>
  <si>
    <t>ESCUELA GUIDO BLANCO/CCDRL</t>
  </si>
  <si>
    <t xml:space="preserve">ALFARO Emmanuel </t>
  </si>
  <si>
    <t>BRICEÑO  Mike Josue*</t>
  </si>
  <si>
    <t xml:space="preserve">CCDR SANTA CRUZ/TEAM COSTA FRUT </t>
  </si>
  <si>
    <t xml:space="preserve">HERRERO Josué* </t>
  </si>
  <si>
    <t>SOTO  Sebastián</t>
  </si>
  <si>
    <t>ARIAS  Daniel *</t>
  </si>
  <si>
    <t xml:space="preserve">SABALLOS  Joshua </t>
  </si>
  <si>
    <t xml:space="preserve">CISNEROS Ian Felipe* </t>
  </si>
  <si>
    <t>BARRANTES  Thomas *</t>
  </si>
  <si>
    <t xml:space="preserve">ASOC. CICLISTICA GRIEGA </t>
  </si>
  <si>
    <t xml:space="preserve">SUNSIN Eithan </t>
  </si>
  <si>
    <t>MOYA  Santiago *</t>
  </si>
  <si>
    <t>CAMPOS  Moisés *</t>
  </si>
  <si>
    <t xml:space="preserve">PICADO  Emiliano </t>
  </si>
  <si>
    <t xml:space="preserve">DONDE LANDA </t>
  </si>
  <si>
    <t>DUARTE  Luis Andrés *</t>
  </si>
  <si>
    <t>ALVAREZ  Mateo*</t>
  </si>
  <si>
    <t>C.C.D.R.ESCAZU</t>
  </si>
  <si>
    <t>MEDINA Anders</t>
  </si>
  <si>
    <t xml:space="preserve">RAMÍREZ  Adrián </t>
  </si>
  <si>
    <t>BETHEL, MOANA, EDUS , ZARCERO</t>
  </si>
  <si>
    <t>ZUMBADO Yaikel</t>
  </si>
  <si>
    <t>RODRIGUEZ  Dylan*</t>
  </si>
  <si>
    <t xml:space="preserve">SKALA/CCDR MONTEVERDE </t>
  </si>
  <si>
    <t xml:space="preserve">VARGAS  David </t>
  </si>
  <si>
    <t>ACOSTA  Jakob</t>
  </si>
  <si>
    <t>CCDR</t>
  </si>
  <si>
    <t xml:space="preserve">MONGE Mathias* </t>
  </si>
  <si>
    <t xml:space="preserve">NUÑEZ  Lorenzo </t>
  </si>
  <si>
    <t>CCDR SAN JOSÉ</t>
  </si>
  <si>
    <t>SALAZAR Adriel*</t>
  </si>
  <si>
    <t>FERNÁNDEZ Sebastián*</t>
  </si>
  <si>
    <t xml:space="preserve">LIZANO  Nicole </t>
  </si>
  <si>
    <t xml:space="preserve">CCDR SANTA ANA </t>
  </si>
  <si>
    <t xml:space="preserve">OVIEDO  Camila </t>
  </si>
  <si>
    <t xml:space="preserve">CÉSPEDES  Isabella* </t>
  </si>
  <si>
    <t>ALFARO Isabella*</t>
  </si>
  <si>
    <t>SOLIS Nathalia *</t>
  </si>
  <si>
    <t>GUTIÉRREZ  Gaele Sofía*</t>
  </si>
  <si>
    <t>CCDR SANTA CRUZ, INVERSIONES GS</t>
  </si>
  <si>
    <t xml:space="preserve">SANDI Derek Ivan </t>
  </si>
  <si>
    <t xml:space="preserve">CORDERO Iker Mattias </t>
  </si>
  <si>
    <t>ARCE Mathew</t>
  </si>
  <si>
    <t xml:space="preserve">DURÁN  Emanuel </t>
  </si>
  <si>
    <t xml:space="preserve">RAMÍREZ  David </t>
  </si>
  <si>
    <t xml:space="preserve">GARCÍA  Danny Armando  </t>
  </si>
  <si>
    <t xml:space="preserve">ROES CENTELA </t>
  </si>
  <si>
    <t xml:space="preserve">MARÍN  Isaac José </t>
  </si>
  <si>
    <t xml:space="preserve">CAMPOS Samuel </t>
  </si>
  <si>
    <t xml:space="preserve">MORERA Derrick </t>
  </si>
  <si>
    <t>CCDR MATINA- CICLO SALAS BATAN</t>
  </si>
  <si>
    <t xml:space="preserve">BONILLA  Keyshmer </t>
  </si>
  <si>
    <t>FERNÁNDEZ  Heydan</t>
  </si>
  <si>
    <t>GUTIERREZ  Jose Simao</t>
  </si>
  <si>
    <t>MATA  Antuan *</t>
  </si>
  <si>
    <t xml:space="preserve">CASTILLO  Santiago* </t>
  </si>
  <si>
    <t>ARAYA Samuel</t>
  </si>
  <si>
    <t>ARAYA Alejandro*</t>
  </si>
  <si>
    <t>BONILLA  Mattew</t>
  </si>
  <si>
    <t xml:space="preserve">VILLALOBOS  Mathias </t>
  </si>
  <si>
    <t>FERNÁNDEZ  Owen Mathias *</t>
  </si>
  <si>
    <t>VELOZ CYCLING</t>
  </si>
  <si>
    <t xml:space="preserve">QUIRÓS  Alejandro Martín </t>
  </si>
  <si>
    <t>HERRERAZ´Z TEAM - ANIMO PARQ</t>
  </si>
  <si>
    <t>QUIROZ  Leyser Noel *</t>
  </si>
  <si>
    <t>ACIPAL CMS</t>
  </si>
  <si>
    <t>CALDERON Jaden</t>
  </si>
  <si>
    <t>CCDRSANJOSE</t>
  </si>
  <si>
    <t xml:space="preserve">MOLINA  Bayron </t>
  </si>
  <si>
    <t xml:space="preserve">EQUIPO DE CICLISMO CCDR SAN JOSÉ </t>
  </si>
  <si>
    <t>GARRO Andrey</t>
  </si>
  <si>
    <t xml:space="preserve">SALAS  Santiago </t>
  </si>
  <si>
    <t>CCDR SAN JOSE</t>
  </si>
  <si>
    <t>QUESADA  Juan Diego*</t>
  </si>
  <si>
    <t>POWER CYCLING</t>
  </si>
  <si>
    <t>CARMONA Ian Josue</t>
  </si>
  <si>
    <t>pendiente</t>
  </si>
  <si>
    <t xml:space="preserve">MORA  David </t>
  </si>
  <si>
    <t>MARCHENA  Shelly</t>
  </si>
  <si>
    <t>CORTES  Mariam</t>
  </si>
  <si>
    <t xml:space="preserve">PIZARRO  Keysi </t>
  </si>
  <si>
    <t>VILLALOBOS  Jimena *</t>
  </si>
  <si>
    <t>HERNANDEZ  Isabella *</t>
  </si>
  <si>
    <t xml:space="preserve">ESCUELITA GUIDO BLANCO </t>
  </si>
  <si>
    <t xml:space="preserve">ALVARADO  Elena </t>
  </si>
  <si>
    <t xml:space="preserve">ESCUELITA GUIDO BLANCO LIBERIA </t>
  </si>
  <si>
    <t>RODRIGUEZ Sara*</t>
  </si>
  <si>
    <t>FRM</t>
  </si>
  <si>
    <t xml:space="preserve">ARAYA Sharon María </t>
  </si>
  <si>
    <t>DIAZ  Elisa Alejandra*</t>
  </si>
  <si>
    <t xml:space="preserve">ZÚÑIGA  María Fernanda </t>
  </si>
  <si>
    <t>CESPEDES  Santiago</t>
  </si>
  <si>
    <t>ACCIPAL CMS</t>
  </si>
  <si>
    <t xml:space="preserve">CÉSPEDES  Anthony* </t>
  </si>
  <si>
    <t xml:space="preserve">ARAYA  Emiliano </t>
  </si>
  <si>
    <t>CCDR SANTA CRUZ, TEAM COSTA FRUT</t>
  </si>
  <si>
    <t>CERDAS Isaac*</t>
  </si>
  <si>
    <t>FLORES Eytham*</t>
  </si>
  <si>
    <t>PERSONAL</t>
  </si>
  <si>
    <t>ARAYA Ian Adrian*</t>
  </si>
  <si>
    <t xml:space="preserve">FREER  Isaac* </t>
  </si>
  <si>
    <t>SOLÍS  1. Sebastián *</t>
  </si>
  <si>
    <t>MONTEALEGRE María Paula</t>
  </si>
  <si>
    <t>CCDR-SANTA CRUZ</t>
  </si>
  <si>
    <t>HERNÁNDEZ  Maripaz *</t>
  </si>
  <si>
    <t>SANTA ANA / HDZ TEAM</t>
  </si>
  <si>
    <t xml:space="preserve">MORA Valentina </t>
  </si>
  <si>
    <t>HERNANDEZ  Fiorella *</t>
  </si>
  <si>
    <t>PIZARRO  Shailene *</t>
  </si>
  <si>
    <t xml:space="preserve">FERNÁNDEZ  Brihana </t>
  </si>
  <si>
    <t xml:space="preserve">ZÚÑIGA  Mariangel </t>
  </si>
  <si>
    <t>MARTÍNEZ Andrés</t>
  </si>
  <si>
    <t xml:space="preserve">MORALES  Allan </t>
  </si>
  <si>
    <t xml:space="preserve">TEAM GOCHA </t>
  </si>
  <si>
    <t>ARIAS  Kibeth</t>
  </si>
  <si>
    <t>CAMPOS Diego</t>
  </si>
  <si>
    <t xml:space="preserve">GAMBOA  Francisco </t>
  </si>
  <si>
    <t>ARTAVIA Enrique</t>
  </si>
  <si>
    <t>DELGADO  Alfredo</t>
  </si>
  <si>
    <t xml:space="preserve">MOLINA  Hairo </t>
  </si>
  <si>
    <t>TEAM CQ-PZ</t>
  </si>
  <si>
    <t>MORERA Oscar</t>
  </si>
  <si>
    <t xml:space="preserve">TEAM GOCHA-MAXXIS-GU ENERGY </t>
  </si>
  <si>
    <t>QUIROS John</t>
  </si>
  <si>
    <t>CCDR MATINA_ CICLO SALAS BATAN</t>
  </si>
  <si>
    <t>MOLINA Felipe</t>
  </si>
  <si>
    <t>BRAND LIFT - VIDA VERDE CBD</t>
  </si>
  <si>
    <t xml:space="preserve">GAMBOA  Andrés </t>
  </si>
  <si>
    <t>SANABRIA Kenneth</t>
  </si>
  <si>
    <t>TREK BIKE STORE</t>
  </si>
  <si>
    <t xml:space="preserve">SÁNCHEZ  Daniel Jesús </t>
  </si>
  <si>
    <t>FONSECA Roy</t>
  </si>
  <si>
    <t>GRUPETA DE LAS 5AM</t>
  </si>
  <si>
    <t>COLYPRO - AUTOPAMA- CLETEROS BATAAN</t>
  </si>
  <si>
    <t>AZOFEIFA  Marcos</t>
  </si>
  <si>
    <t xml:space="preserve">GARCIA Jorge </t>
  </si>
  <si>
    <t>FERNÁNDEZ Raúl</t>
  </si>
  <si>
    <t xml:space="preserve">CAMPOS  Eduardo Alberto </t>
  </si>
  <si>
    <t>HERNANDEZ Patricio</t>
  </si>
  <si>
    <t>VEINTE24 CYCLING TEAM</t>
  </si>
  <si>
    <t>LOPEZ Jose</t>
  </si>
  <si>
    <t>VILLALTA Carlos</t>
  </si>
  <si>
    <t>MENDEZ  Diego</t>
  </si>
  <si>
    <t>UT</t>
  </si>
  <si>
    <t>UBAU Randall</t>
  </si>
  <si>
    <t>VIVÉLO</t>
  </si>
  <si>
    <t xml:space="preserve">ARCE  Alberth </t>
  </si>
  <si>
    <t>VEGA Oldemar</t>
  </si>
  <si>
    <t>MARIN Alonso</t>
  </si>
  <si>
    <t>CARVAJAL Jonathan</t>
  </si>
  <si>
    <t xml:space="preserve">UREÑA  Edgar </t>
  </si>
  <si>
    <t>BDRIFT-MOTORSPORTNUTRITION</t>
  </si>
  <si>
    <t xml:space="preserve">VASQUEZ  Ricardo </t>
  </si>
  <si>
    <t xml:space="preserve">CH TRAINING </t>
  </si>
  <si>
    <t xml:space="preserve">SUÁREZ  Christian </t>
  </si>
  <si>
    <t>BELTRAN Pablo</t>
  </si>
  <si>
    <t>BELPOWER RUGATI PINARES</t>
  </si>
  <si>
    <t xml:space="preserve">SALAS Mauricio </t>
  </si>
  <si>
    <t xml:space="preserve">RODRÍGUEZ  Luis Angel </t>
  </si>
  <si>
    <t xml:space="preserve">JONATHAN QUESADA TRAINING/ FISIO NORTE </t>
  </si>
  <si>
    <t xml:space="preserve">SOLANO Cristian </t>
  </si>
  <si>
    <t>HOTEL WHYNDAN GARDEN - MENSAJERÍA M-A BICICLETA JAVA</t>
  </si>
  <si>
    <t>CAMPOS Luis Javier</t>
  </si>
  <si>
    <t xml:space="preserve">CASTRO  Martín </t>
  </si>
  <si>
    <t>CCSOLDADURAS.</t>
  </si>
  <si>
    <t>VARGAS Dennis</t>
  </si>
  <si>
    <t>X3ME/SPECIALIZED</t>
  </si>
  <si>
    <t xml:space="preserve">HERRERA  Gustavo </t>
  </si>
  <si>
    <t>DRIN TIN</t>
  </si>
  <si>
    <t xml:space="preserve">ULLOA  Warner </t>
  </si>
  <si>
    <t xml:space="preserve">PÉREZ  Javier </t>
  </si>
  <si>
    <t>CNERGY</t>
  </si>
  <si>
    <t>HERNÁNDEZ Yuliana</t>
  </si>
  <si>
    <t>SAPPHIRE TABA CYCLING TEAM</t>
  </si>
  <si>
    <t>ZÚÑIGA Laura</t>
  </si>
  <si>
    <t xml:space="preserve">VEINTE24 </t>
  </si>
  <si>
    <t>GONZALEZ  Alejandra</t>
  </si>
  <si>
    <t xml:space="preserve">LORÍA Dilcen </t>
  </si>
  <si>
    <t>FISIONORTE/QUESADAJONATHAN.CYCLING</t>
  </si>
  <si>
    <t>FERNÁNDEZ  Sindy</t>
  </si>
  <si>
    <t xml:space="preserve">VELOZ CYCLING - CICLO BOUTIQUE ROES - COLYPRO </t>
  </si>
  <si>
    <t>MORA  Odexinia</t>
  </si>
  <si>
    <t xml:space="preserve">ALVARADO  Lisbeth </t>
  </si>
  <si>
    <t>STYM X VIVELO</t>
  </si>
  <si>
    <t>SANDÍ Kendall</t>
  </si>
  <si>
    <t xml:space="preserve">TEAM POWERCYCLING </t>
  </si>
  <si>
    <t>RIVERA  Jackdanny</t>
  </si>
  <si>
    <t xml:space="preserve">VEINTE24 CYCLING </t>
  </si>
  <si>
    <t xml:space="preserve">MENA Juan Carlos </t>
  </si>
  <si>
    <t>GOCHA CYCLINGTEAM</t>
  </si>
  <si>
    <t xml:space="preserve">MARIN Daniel </t>
  </si>
  <si>
    <t>SALAS Randall</t>
  </si>
  <si>
    <t xml:space="preserve"> CORREDOR INDIVIDUAL </t>
  </si>
  <si>
    <t xml:space="preserve">OCAMPO  Yalí </t>
  </si>
  <si>
    <t xml:space="preserve">TEAM BELSCO </t>
  </si>
  <si>
    <t xml:space="preserve">TRETTI  Caterina </t>
  </si>
  <si>
    <t>SOLÍS  Thania Daniela</t>
  </si>
  <si>
    <t>CISNEROS Cristofer</t>
  </si>
  <si>
    <t xml:space="preserve">ALFARO  Dany </t>
  </si>
  <si>
    <t>SERVICIO AUTOMOTRIZ DANY</t>
  </si>
  <si>
    <t>VARGAS Omar</t>
  </si>
  <si>
    <t>ACM-EL COMI CASI ENDURERO</t>
  </si>
  <si>
    <t>GUZMAN Alex Jesus</t>
  </si>
  <si>
    <t xml:space="preserve">TENORIO  Carlos Alberto </t>
  </si>
  <si>
    <t>E-BIKE FEMENINO</t>
  </si>
  <si>
    <t xml:space="preserve">DOBLES  Chisthpher </t>
  </si>
  <si>
    <t xml:space="preserve">CONGELADOS ADIS / PROTUBE /OKAPI DRINKS / TODO CR </t>
  </si>
  <si>
    <t>VARGAS Efren</t>
  </si>
  <si>
    <t xml:space="preserve">CHAVES  Luis </t>
  </si>
  <si>
    <t xml:space="preserve">ESC CIC GUIDO BLANCO </t>
  </si>
  <si>
    <t>JIMENEZ Jefry</t>
  </si>
  <si>
    <t>TEAM A+</t>
  </si>
  <si>
    <t>0</t>
  </si>
  <si>
    <t xml:space="preserve">NOSOTROS DOTA - PASION MX </t>
  </si>
  <si>
    <t>TEAM INNOVABIKES SKOLER UH</t>
  </si>
  <si>
    <t>MORA Juan Manuel</t>
  </si>
  <si>
    <t>N/A</t>
  </si>
  <si>
    <t>SANDOVAL  Alberto</t>
  </si>
  <si>
    <t>ALGO RITMO DEVELOMET</t>
  </si>
  <si>
    <t>CALDERÓN  Edwin</t>
  </si>
  <si>
    <t>CAPOS MOBI BIKE TEAM</t>
  </si>
  <si>
    <t xml:space="preserve">ALPIZAR Roberto </t>
  </si>
  <si>
    <t>CAMPOS  Diego</t>
  </si>
  <si>
    <t>BENAVIDES  Kenneth</t>
  </si>
  <si>
    <t>ALFARO Jonathan</t>
  </si>
  <si>
    <t>EQUIPO QUECA</t>
  </si>
  <si>
    <t>SUAREZ Ariel</t>
  </si>
  <si>
    <t>MCT CYCLING TEAM</t>
  </si>
  <si>
    <t>RAMÍREZ  Federico</t>
  </si>
  <si>
    <t xml:space="preserve">SEVEN CARD WILLIER </t>
  </si>
  <si>
    <t>MOLINA  Hairo</t>
  </si>
  <si>
    <t>BUF, DRASANVI, ECOTIENDA</t>
  </si>
  <si>
    <t>RODRÍGUEZ  Julián</t>
  </si>
  <si>
    <t>ARIAS Adrian</t>
  </si>
  <si>
    <t xml:space="preserve">QUIROS John </t>
  </si>
  <si>
    <t xml:space="preserve">CCDR MATINA-CICLO SALAS BATAAN </t>
  </si>
  <si>
    <t>MENESES  Jose</t>
  </si>
  <si>
    <t xml:space="preserve">STYM </t>
  </si>
  <si>
    <t>ZAMORA  Jose David</t>
  </si>
  <si>
    <t xml:space="preserve">SANDI Kendall </t>
  </si>
  <si>
    <t xml:space="preserve">POWERCYCLING </t>
  </si>
  <si>
    <t xml:space="preserve">NUMUCOACHING </t>
  </si>
  <si>
    <t xml:space="preserve">RIVERA  Jackdanny </t>
  </si>
  <si>
    <t>ARAYA Bryan</t>
  </si>
  <si>
    <t>BPT/ CYCLINGLAB</t>
  </si>
  <si>
    <t>BRENES Cristopher</t>
  </si>
  <si>
    <t>SARAPIQUI</t>
  </si>
  <si>
    <t>CHACÓN  Gonzalo</t>
  </si>
  <si>
    <t xml:space="preserve">MÉNDEZ Diego </t>
  </si>
  <si>
    <t>ULTIMATE TEAM</t>
  </si>
  <si>
    <t>GARCIA Jorge</t>
  </si>
  <si>
    <t>PEREZ Hector</t>
  </si>
  <si>
    <t>GW ERCO SPORTFITNESS</t>
  </si>
  <si>
    <t>LORIA Luis</t>
  </si>
  <si>
    <t>ASOCIACIÓN PURISCAL</t>
  </si>
  <si>
    <t xml:space="preserve">VILLALTA Carlos </t>
  </si>
  <si>
    <t>MCT</t>
  </si>
  <si>
    <t>RAMIREZ Luis</t>
  </si>
  <si>
    <t>GONZALEZ  Victor</t>
  </si>
  <si>
    <t>EPIC BIKE ATENAS</t>
  </si>
  <si>
    <t xml:space="preserve">GÓMEZ  José Antonio </t>
  </si>
  <si>
    <t xml:space="preserve">BPT </t>
  </si>
  <si>
    <t>ARAYA  Ronald</t>
  </si>
  <si>
    <t xml:space="preserve">X3ME XTREME </t>
  </si>
  <si>
    <t>PORRAS Guillermo</t>
  </si>
  <si>
    <t>BERMUDEZ Guillermo</t>
  </si>
  <si>
    <t>ARCE  Alberth</t>
  </si>
  <si>
    <t xml:space="preserve">GONZALEZ  Alejandra </t>
  </si>
  <si>
    <t xml:space="preserve">MUÑOZ Germán </t>
  </si>
  <si>
    <t xml:space="preserve">JONATHAN QUESADA TRAINING/FISIO NORTE </t>
  </si>
  <si>
    <t>GONZALEZ Alejandro</t>
  </si>
  <si>
    <t>S/E</t>
  </si>
  <si>
    <t>MONGE  Freizer</t>
  </si>
  <si>
    <t xml:space="preserve">HOTEL WHYNDAN GARDEN -MENSAJERIA M-A BICICLETA JAVA </t>
  </si>
  <si>
    <t>MORA Alexander Alfredo</t>
  </si>
  <si>
    <t>TEAM CORECO / MOMENTUM SPORTS</t>
  </si>
  <si>
    <t>CAMPOS  Luis Javier</t>
  </si>
  <si>
    <t>DELGADO Angelo</t>
  </si>
  <si>
    <t>7EIGHT7 PROJECT</t>
  </si>
  <si>
    <t>LORIA  Dilcen</t>
  </si>
  <si>
    <t>FISIONORTE / QUESADACYCLING</t>
  </si>
  <si>
    <t>VALVERDE Liam</t>
  </si>
  <si>
    <t>CARBALLO Abraham</t>
  </si>
  <si>
    <t>BIKERS RACING TEAM</t>
  </si>
  <si>
    <t xml:space="preserve">TEAM ARCE </t>
  </si>
  <si>
    <t>SANDI Derek Ivan</t>
  </si>
  <si>
    <t xml:space="preserve">GARCÍA  Danny Armando </t>
  </si>
  <si>
    <t xml:space="preserve">ROES/COMITÉ CANTONAL ZARCERO </t>
  </si>
  <si>
    <t>MORERA Derrick</t>
  </si>
  <si>
    <t>CCDR MATINA-CICLO SALAS BATAAN</t>
  </si>
  <si>
    <t>CAMPOS  Angelo Samuel*</t>
  </si>
  <si>
    <t xml:space="preserve">TEAMCQ </t>
  </si>
  <si>
    <t xml:space="preserve">GARRO Andrey </t>
  </si>
  <si>
    <t>RAMÍREZ  David</t>
  </si>
  <si>
    <t>RODRIGUEZ  Damian</t>
  </si>
  <si>
    <t>JEREZ Gabriel</t>
  </si>
  <si>
    <t>10157013577</t>
  </si>
  <si>
    <t>CCDR LIBERIA TEAM COSTA FRUT</t>
  </si>
  <si>
    <t>BONILLA Keyshmer*</t>
  </si>
  <si>
    <t xml:space="preserve">ARAYA Samuel </t>
  </si>
  <si>
    <t xml:space="preserve">ROJAS Pedro </t>
  </si>
  <si>
    <t xml:space="preserve">TORRES  Camila Del Pilar </t>
  </si>
  <si>
    <t xml:space="preserve">MARCHENA  Shelly </t>
  </si>
  <si>
    <t>NUÑEZ Ashly*</t>
  </si>
  <si>
    <t xml:space="preserve">SANTA ANA / HDZ TEAM </t>
  </si>
  <si>
    <t>PAREDES  Miguel</t>
  </si>
  <si>
    <t xml:space="preserve">ASTRANOVA BIKE HOUSE TREK </t>
  </si>
  <si>
    <t>CARBALLO Bryan*</t>
  </si>
  <si>
    <t>CCDR ESCAZU</t>
  </si>
  <si>
    <t xml:space="preserve">SPACE SCENSE-FERROCA-SST CONSULTORES </t>
  </si>
  <si>
    <t>CRUZ Denzell Alberto</t>
  </si>
  <si>
    <t xml:space="preserve">SOTO  Sebastián </t>
  </si>
  <si>
    <t>BRICEÑO Mike Josue*</t>
  </si>
  <si>
    <t>RODRÍGUEZ  Dylan Fabian*</t>
  </si>
  <si>
    <t xml:space="preserve">CCDR MONTEVERDE/ SKALA </t>
  </si>
  <si>
    <t xml:space="preserve">VARELA Mathias </t>
  </si>
  <si>
    <t>FERNÁNDEZ  Sebastián*</t>
  </si>
  <si>
    <t xml:space="preserve">ASOCIACIÓN CICLISTICA DE TURRIALBA </t>
  </si>
  <si>
    <t>GUIDO BLANCO-CCDRLIBERIA</t>
  </si>
  <si>
    <t xml:space="preserve">ZUMBADO  Yaikel </t>
  </si>
  <si>
    <t>CISNEROS  Ian Felipe*</t>
  </si>
  <si>
    <t xml:space="preserve">TEAM CQ PZ </t>
  </si>
  <si>
    <t>CAMPOS  Isaac*</t>
  </si>
  <si>
    <t xml:space="preserve">COLONO </t>
  </si>
  <si>
    <t>ALVAREZ  Mateo Armando*</t>
  </si>
  <si>
    <t>CCDRE ESCAZU</t>
  </si>
  <si>
    <t xml:space="preserve">SKALA MONTEVERDE/CCDR MONTEVERDE </t>
  </si>
  <si>
    <t>SOLIS Nathalia*</t>
  </si>
  <si>
    <t xml:space="preserve">LIZANO  Nicole Daniela </t>
  </si>
  <si>
    <t xml:space="preserve">PZ CYCLING TEAM </t>
  </si>
  <si>
    <t xml:space="preserve">MARQUES  José Gabriel </t>
  </si>
  <si>
    <t xml:space="preserve">COD RACING </t>
  </si>
  <si>
    <t>ELITE MASCULINO (23+)</t>
  </si>
  <si>
    <t>BOTERO Jhonnatan</t>
  </si>
  <si>
    <t>AGUILAR Ivan</t>
  </si>
  <si>
    <t>REGULUS 333</t>
  </si>
  <si>
    <t>LÓPEZ Luis Enrique</t>
  </si>
  <si>
    <t xml:space="preserve">BEDOYA Jeronimo </t>
  </si>
  <si>
    <t xml:space="preserve">RAMÍREZ  Joseph </t>
  </si>
  <si>
    <t xml:space="preserve">MONTOYA  Paolo </t>
  </si>
  <si>
    <t xml:space="preserve">CICLO VÍCTOR VARGAS </t>
  </si>
  <si>
    <t>FARNWORTH  Landon</t>
  </si>
  <si>
    <t xml:space="preserve">UNATTACHED </t>
  </si>
  <si>
    <t xml:space="preserve">SOLÍS  Keiron </t>
  </si>
  <si>
    <t xml:space="preserve">PEDREGAL - 7C </t>
  </si>
  <si>
    <t>SAN MARTIN Maximiliano*</t>
  </si>
  <si>
    <t>ER CICLISMO CHILE.</t>
  </si>
  <si>
    <t>TAILLEFER Tristan*</t>
  </si>
  <si>
    <t>PIVOT OTE CONTINENTAL</t>
  </si>
  <si>
    <t>DUVAL Mathis*</t>
  </si>
  <si>
    <t>SIBOIRE QUIROULE</t>
  </si>
  <si>
    <t>VARGAS  José David*</t>
  </si>
  <si>
    <t>HIDALGO Stefano*</t>
  </si>
  <si>
    <t>MORA  Kendall*</t>
  </si>
  <si>
    <t xml:space="preserve">1000 FPS- ZONA INFINITO SPORT </t>
  </si>
  <si>
    <t>BRUNELLE Alix*</t>
  </si>
  <si>
    <t>RODRIGUEZ Angel*</t>
  </si>
  <si>
    <t>CASTILLO  Alejandro*</t>
  </si>
  <si>
    <t>LUNA  José Carlos*</t>
  </si>
  <si>
    <t xml:space="preserve">MI BICLA </t>
  </si>
  <si>
    <t>GOULÃO  Raiza</t>
  </si>
  <si>
    <t xml:space="preserve">SQUADRA OGGI </t>
  </si>
  <si>
    <t>ELITE FEMENINO (23+)</t>
  </si>
  <si>
    <t>RODRÍGUEZ Suheily</t>
  </si>
  <si>
    <t>SINTESIS DEVELOPMENT TEAM</t>
  </si>
  <si>
    <t>SALVINI Giuliana</t>
  </si>
  <si>
    <t>RAMIREZ Coral Marie</t>
  </si>
  <si>
    <t>CBZ ASFALTOS- DEKRA- MAXXIS</t>
  </si>
  <si>
    <t xml:space="preserve">ASFALTOS CBZ/ DEKRA/ SECNET </t>
  </si>
  <si>
    <t>RODRIGUEZ Erika</t>
  </si>
  <si>
    <t>MASSI</t>
  </si>
  <si>
    <t xml:space="preserve">ZELEDÓN  Gabriela </t>
  </si>
  <si>
    <t>GARCÍA  Isabel*</t>
  </si>
  <si>
    <t>GARCÍA  Marisol*</t>
  </si>
  <si>
    <t>WESTER Isabela Katerina*</t>
  </si>
  <si>
    <t>DONOVAN RACING</t>
  </si>
  <si>
    <t>NUÑEZ  Alison*</t>
  </si>
  <si>
    <t>DESAMPARADOS BIKE CAFÉ FAST&amp;UP</t>
  </si>
  <si>
    <t>QUINTERO Santiago</t>
  </si>
  <si>
    <t xml:space="preserve">DE JESÚS  Yandel </t>
  </si>
  <si>
    <t xml:space="preserve">SPORTSCIENCE RACING &amp; DEVELOPMENT TEAM </t>
  </si>
  <si>
    <t>CODEA DE ALAJUELA</t>
  </si>
  <si>
    <t>MURILLO Sebastian*</t>
  </si>
  <si>
    <t>CASASOLA  Steven</t>
  </si>
  <si>
    <t xml:space="preserve">CAMPOS Matías </t>
  </si>
  <si>
    <t>QUINTO Gabriel Jheremi*</t>
  </si>
  <si>
    <t>GIANT PERÚ SIN FRONTERAS</t>
  </si>
  <si>
    <t>FONSECA  Dianey</t>
  </si>
  <si>
    <t>AGUILAR  Valentino*</t>
  </si>
  <si>
    <t>FALCÓN  Fernando*</t>
  </si>
  <si>
    <t xml:space="preserve">BOLAÑOS  Jean Carlo </t>
  </si>
  <si>
    <t xml:space="preserve">CICLISMO BELÉN/ TEAM BIKE CENTER </t>
  </si>
  <si>
    <t>O'NEAL Kypton*</t>
  </si>
  <si>
    <t>RODRIGUEZ Jose Pablo*</t>
  </si>
  <si>
    <t>CAMPOS Kevin Andrey</t>
  </si>
  <si>
    <t>ALPIZAR  Alejandro*</t>
  </si>
  <si>
    <t>CODEA ALAJUELA - CICLO EPIC</t>
  </si>
  <si>
    <t>DICKENS Matthew*</t>
  </si>
  <si>
    <t>DIRT CAMP RACING</t>
  </si>
  <si>
    <t xml:space="preserve">CICLISMO BELÉN  </t>
  </si>
  <si>
    <t>CAMPOS Emmanuel*</t>
  </si>
  <si>
    <t>SOTO Cristian*</t>
  </si>
  <si>
    <t>MARIN  Sebastián*</t>
  </si>
  <si>
    <t xml:space="preserve">GAVIRIA  Daniela </t>
  </si>
  <si>
    <t>LEDGARD  Alice</t>
  </si>
  <si>
    <t xml:space="preserve">MADRIGAL  Maidelyn </t>
  </si>
  <si>
    <t>RIVERA  Leonor Fernanda*</t>
  </si>
  <si>
    <t>ARAYA  Emiliano</t>
  </si>
  <si>
    <t>FLORES  Eytham*</t>
  </si>
  <si>
    <t>HERRERA Mathias*</t>
  </si>
  <si>
    <t>CASTRO Lucas*</t>
  </si>
  <si>
    <t>ESCGB/CCDRL</t>
  </si>
  <si>
    <t>CARVAJAL Saúl Alonso*</t>
  </si>
  <si>
    <t>CLETA BOUTIQUE/ UT</t>
  </si>
  <si>
    <t>Planilla III Fecha Adventure Park</t>
  </si>
  <si>
    <t>1*</t>
  </si>
  <si>
    <t>2*</t>
  </si>
  <si>
    <t>14*</t>
  </si>
  <si>
    <t>3*</t>
  </si>
  <si>
    <t>4*</t>
  </si>
  <si>
    <t>5*</t>
  </si>
  <si>
    <t>6*</t>
  </si>
  <si>
    <t>7*</t>
  </si>
  <si>
    <t>8*</t>
  </si>
  <si>
    <t>9*</t>
  </si>
  <si>
    <t>10*</t>
  </si>
  <si>
    <t>11*</t>
  </si>
  <si>
    <t>12*</t>
  </si>
  <si>
    <t>13*</t>
  </si>
  <si>
    <t>21*</t>
  </si>
  <si>
    <t>22*</t>
  </si>
  <si>
    <t>23*</t>
  </si>
  <si>
    <t>24*</t>
  </si>
  <si>
    <t>25*</t>
  </si>
  <si>
    <t>26*</t>
  </si>
  <si>
    <t>27*</t>
  </si>
  <si>
    <t>28*</t>
  </si>
  <si>
    <t>29*</t>
  </si>
  <si>
    <t>30*</t>
  </si>
  <si>
    <t>31*</t>
  </si>
  <si>
    <t>32*</t>
  </si>
  <si>
    <t>33*</t>
  </si>
  <si>
    <t>34*</t>
  </si>
  <si>
    <t>35*</t>
  </si>
  <si>
    <t>36*</t>
  </si>
  <si>
    <t>81*</t>
  </si>
  <si>
    <t>82*</t>
  </si>
  <si>
    <t>89*</t>
  </si>
  <si>
    <t>83*</t>
  </si>
  <si>
    <t>84*</t>
  </si>
  <si>
    <t>85*</t>
  </si>
  <si>
    <t>86*</t>
  </si>
  <si>
    <t>87*</t>
  </si>
  <si>
    <t>88*</t>
  </si>
  <si>
    <t>91*</t>
  </si>
  <si>
    <t>92*</t>
  </si>
  <si>
    <t>93*</t>
  </si>
  <si>
    <t>94*</t>
  </si>
  <si>
    <t>101*</t>
  </si>
  <si>
    <t>102*</t>
  </si>
  <si>
    <t>103*</t>
  </si>
  <si>
    <t>104*</t>
  </si>
  <si>
    <t>105*</t>
  </si>
  <si>
    <t>106*</t>
  </si>
  <si>
    <t>107*</t>
  </si>
  <si>
    <t>108*</t>
  </si>
  <si>
    <t>109*</t>
  </si>
  <si>
    <t>110*</t>
  </si>
  <si>
    <t>111*</t>
  </si>
  <si>
    <t>112*</t>
  </si>
  <si>
    <t>113*</t>
  </si>
  <si>
    <t>114*</t>
  </si>
  <si>
    <t>115*</t>
  </si>
  <si>
    <t>116*</t>
  </si>
  <si>
    <t>117*</t>
  </si>
  <si>
    <t>118*</t>
  </si>
  <si>
    <t>119*</t>
  </si>
  <si>
    <t>120*</t>
  </si>
  <si>
    <t>121*</t>
  </si>
  <si>
    <t>122*</t>
  </si>
  <si>
    <t>123*</t>
  </si>
  <si>
    <t>124*</t>
  </si>
  <si>
    <t>125*</t>
  </si>
  <si>
    <t>126*</t>
  </si>
  <si>
    <t>127*</t>
  </si>
  <si>
    <t>261*</t>
  </si>
  <si>
    <t>262*</t>
  </si>
  <si>
    <t>263*</t>
  </si>
  <si>
    <t>264*</t>
  </si>
  <si>
    <t>265*</t>
  </si>
  <si>
    <t>GEN2RISE</t>
  </si>
  <si>
    <t>WESTER Isabella Katerina</t>
  </si>
  <si>
    <t xml:space="preserve">         5 -  &gt; 18 y 19 julio                                                                                 6 - &gt; 12 y 13 setiembre                                                                                                                  7 - &gt; 31 Oct y 01 Nov</t>
  </si>
  <si>
    <t xml:space="preserve">         1 - Finca Grupo Orosi &gt;21 y 22 febrero                   2 - Parque La Libertad Desamparados &gt; 28 y 29 marzo                   3 - Adventure Park &gt; 16 y 17 mayo                            4 - Finca La Hisopa San Pedro de Turrubares  &gt; 13 y 14 junio</t>
  </si>
  <si>
    <t>CCDR SANTA CRUZ- TEAM COSTA FRUT</t>
  </si>
  <si>
    <t>TEAM ARCE</t>
  </si>
  <si>
    <t>HERRERA  Mathias*</t>
  </si>
  <si>
    <t>FREER Isaac*</t>
  </si>
  <si>
    <t>DESAMPARADOS BIKE CAFE</t>
  </si>
  <si>
    <t xml:space="preserve">SOLIS Sebastian </t>
  </si>
  <si>
    <t xml:space="preserve"> -3 LAP</t>
  </si>
  <si>
    <t>HERNÁNDEZ  Mateo</t>
  </si>
  <si>
    <t>CCDR-SANTA CRUZ/TEAM COSTAFRUT</t>
  </si>
  <si>
    <t xml:space="preserve">HDZTEAM/ SANTA ANA </t>
  </si>
  <si>
    <t>CODEA/E-VEGATRAINER</t>
  </si>
  <si>
    <t>SANDI  Derek Ivan</t>
  </si>
  <si>
    <t>BETEL/MOANA/PIZZA EDUS/PRODUCTOS CECI.</t>
  </si>
  <si>
    <t>CCDR LIBERIA COSTA FRUT</t>
  </si>
  <si>
    <t xml:space="preserve">RODRIGUEZ  Damian </t>
  </si>
  <si>
    <t xml:space="preserve">GUTIERREZ  Simao </t>
  </si>
  <si>
    <t xml:space="preserve">ROJAS  Pedro Saúl </t>
  </si>
  <si>
    <t>CASTRO  Camil</t>
  </si>
  <si>
    <t xml:space="preserve">CCDR MATINA CICLO SALAS BATAAN </t>
  </si>
  <si>
    <t>QUESADA Juan Diego*</t>
  </si>
  <si>
    <t>POWER KIDS</t>
  </si>
  <si>
    <t>CALDERON  Jaden</t>
  </si>
  <si>
    <t>CASTRO Camila</t>
  </si>
  <si>
    <t>SOLÍS  Nathalia*</t>
  </si>
  <si>
    <t>CODEA ALAJUELA POWER KIDS</t>
  </si>
  <si>
    <t>OVIEDO Camila</t>
  </si>
  <si>
    <t xml:space="preserve">CICLISMO BELEN </t>
  </si>
  <si>
    <t>TORRES Camila</t>
  </si>
  <si>
    <t xml:space="preserve">DESAMPARADOS BIKE CAFÉ FAST &amp; UP </t>
  </si>
  <si>
    <t>MORA Keren*</t>
  </si>
  <si>
    <t>COMITE CANTONAL DE DEPORTES SAN JOSE</t>
  </si>
  <si>
    <t>CAMPOS Isaac Eduardo*</t>
  </si>
  <si>
    <t>TEAM COLONO BIKESTATION KOLBI</t>
  </si>
  <si>
    <t xml:space="preserve">SABALLO  Joshua </t>
  </si>
  <si>
    <t xml:space="preserve">ESPACE SCENSE-FERROCA-SST CONSULTORES </t>
  </si>
  <si>
    <t>ACUÑA  Felipe</t>
  </si>
  <si>
    <t>CCDR NARANJO</t>
  </si>
  <si>
    <t xml:space="preserve">SOTO Sebastián </t>
  </si>
  <si>
    <t>BRICEÑO Mike Josué*</t>
  </si>
  <si>
    <t xml:space="preserve">TEAM COSTA FRUT/CCDR SANTA CRUZ </t>
  </si>
  <si>
    <t>SEGURA Thomas</t>
  </si>
  <si>
    <t>VARELA Mathias</t>
  </si>
  <si>
    <t xml:space="preserve">ACOSTA  Jakob </t>
  </si>
  <si>
    <t>RODRÍGUEZ  Dylan*</t>
  </si>
  <si>
    <t>TRANSPORTES DYGEMA</t>
  </si>
  <si>
    <t xml:space="preserve">MEDINA Anders </t>
  </si>
  <si>
    <t>MALDONADO  Franco</t>
  </si>
  <si>
    <t xml:space="preserve">ESCUELA GUIDO BLANCO CCDRLIBERIA </t>
  </si>
  <si>
    <t xml:space="preserve">SALAS Matías </t>
  </si>
  <si>
    <t>C.C.D.R.E. ESCAZU</t>
  </si>
  <si>
    <t xml:space="preserve"> -4 LAP</t>
  </si>
  <si>
    <t>MOLINA Hairo</t>
  </si>
  <si>
    <t xml:space="preserve">BARRANTES Richard </t>
  </si>
  <si>
    <t>BOBBYS CYCLNG TEAM</t>
  </si>
  <si>
    <t xml:space="preserve">MÉNDEZ  Diego </t>
  </si>
  <si>
    <t>ULTIMATE</t>
  </si>
  <si>
    <t>LOTUS TEAM</t>
  </si>
  <si>
    <t xml:space="preserve">EPIC BIKE ATENAS </t>
  </si>
  <si>
    <t xml:space="preserve">PESSOA Pablo </t>
  </si>
  <si>
    <t xml:space="preserve">JQUESADA CYCLING/FISIO NORTE </t>
  </si>
  <si>
    <t>TEAM CORECO/MOMENTUM SPORT</t>
  </si>
  <si>
    <t>STICKTOYOURMINDSET - STYM</t>
  </si>
  <si>
    <t xml:space="preserve">SANDÍ  Kendall </t>
  </si>
  <si>
    <t>TEAM POWERCYCLING</t>
  </si>
  <si>
    <t>MORENO  Carlos</t>
  </si>
  <si>
    <t xml:space="preserve">QUIRÓS  Neythan </t>
  </si>
  <si>
    <t>INFINITY BIKE CENTER</t>
  </si>
  <si>
    <t>CAMPOS  Matías</t>
  </si>
  <si>
    <t xml:space="preserve">GOMEZ  Allan </t>
  </si>
  <si>
    <t xml:space="preserve">CCDR CARTAGO VQ ATHLETIC </t>
  </si>
  <si>
    <t xml:space="preserve">CCDR ESCAZU </t>
  </si>
  <si>
    <t>CRUZ Alejandro*</t>
  </si>
  <si>
    <t>CODEA ALAJUELA EPIC BIKE CENTER</t>
  </si>
  <si>
    <t>ARAYA Luis</t>
  </si>
  <si>
    <t>BOLAÑOS  Justin</t>
  </si>
  <si>
    <t>NUÑEZ  Axell*</t>
  </si>
  <si>
    <t>CASASOLA Steven</t>
  </si>
  <si>
    <t>SÁNCHEZ  Bruce</t>
  </si>
  <si>
    <t xml:space="preserve"> -5 LAP</t>
  </si>
  <si>
    <t>GUILLEN  Samuel</t>
  </si>
  <si>
    <t xml:space="preserve">DESAMPARADOS BIKE CAFE FAST UP </t>
  </si>
  <si>
    <t xml:space="preserve"> CODEA COSTA FRUT</t>
  </si>
  <si>
    <t xml:space="preserve">AZFALTOS BCZ- DEKRA- MAXXIS </t>
  </si>
  <si>
    <t xml:space="preserve">DESAMPARADOS FAST&amp; UP </t>
  </si>
  <si>
    <t xml:space="preserve">MADRIGAL   Maidelyn </t>
  </si>
  <si>
    <t>CCDR BUENOS AIRES</t>
  </si>
  <si>
    <t>FISIONORTE / QUESADAJONATHAN.CYCLING</t>
  </si>
  <si>
    <t xml:space="preserve">SOLÍS  Thania Daniela </t>
  </si>
  <si>
    <t>MEGAMO MANZATE LA SELVA</t>
  </si>
  <si>
    <t>PEDREGAL - 7C</t>
  </si>
  <si>
    <t>TEAM HC FERRETERÍA AGUILAR</t>
  </si>
  <si>
    <t>ALVARADO  Armando*</t>
  </si>
  <si>
    <t xml:space="preserve"> -7 LAP</t>
  </si>
  <si>
    <t xml:space="preserve">GONZÁLEZ  Raymond </t>
  </si>
  <si>
    <t>CICLO VÍCTOR VARGAS</t>
  </si>
  <si>
    <t xml:space="preserve">GUZMAN  Aaron </t>
  </si>
  <si>
    <t>GUZMAN Alex</t>
  </si>
  <si>
    <t xml:space="preserve">ALFARO Dany </t>
  </si>
  <si>
    <t>SERVICIO AUTOMOTRIZ  NEO CICLYNG</t>
  </si>
  <si>
    <t>JIMÉNEZ  Roylan</t>
  </si>
  <si>
    <t xml:space="preserve">SKALA-TRI-CYC TALLER ROY </t>
  </si>
  <si>
    <t>ANCM-COMI CASI ENDURERO</t>
  </si>
  <si>
    <t xml:space="preserve">CCRR ESCAZÚ </t>
  </si>
  <si>
    <t>DURAN Allan</t>
  </si>
  <si>
    <t xml:space="preserve">GARCIA  Jorge </t>
  </si>
  <si>
    <t xml:space="preserve">BEMEUDEZ Guillermo </t>
  </si>
  <si>
    <t>ARCE Alberth</t>
  </si>
  <si>
    <t xml:space="preserve">UT- CLETA BOUTIQUE </t>
  </si>
  <si>
    <t xml:space="preserve">ARCE  Mathew </t>
  </si>
  <si>
    <t>PIZARRO  Shailene*</t>
  </si>
  <si>
    <t>ARAYA  Roberto*</t>
  </si>
  <si>
    <t>PORTUGUÉS  Mathias*</t>
  </si>
  <si>
    <t>BARBOZA Mathias*</t>
  </si>
  <si>
    <t xml:space="preserve"> LEIVA  Jean Carlo*</t>
  </si>
  <si>
    <t>Planilla IV Fecha Finca La Hisopa</t>
  </si>
  <si>
    <t>MARTINEZ Andres</t>
  </si>
  <si>
    <t>*</t>
  </si>
  <si>
    <t xml:space="preserve">MENESES  Mario Alfredo </t>
  </si>
  <si>
    <t xml:space="preserve">ADNBIKESCR </t>
  </si>
  <si>
    <t>CHAVARRIA Henry</t>
  </si>
  <si>
    <t>*10144174316</t>
  </si>
  <si>
    <t>TEAM GOCHA-MAXXIS-GRUPO 86</t>
  </si>
  <si>
    <t>BUFF, DRASANVI, ECOTIENDA.</t>
  </si>
  <si>
    <t xml:space="preserve">MENDEZ  Diego </t>
  </si>
  <si>
    <t xml:space="preserve">ULTIMATE </t>
  </si>
  <si>
    <t xml:space="preserve">CAMPOS  Sergio </t>
  </si>
  <si>
    <t xml:space="preserve">SPOT DETAIL FACTORY TEAM </t>
  </si>
  <si>
    <t>GARCÍA Jorge</t>
  </si>
  <si>
    <t xml:space="preserve">GRUPETA DE LAS 5AM </t>
  </si>
  <si>
    <t>VALERIO Walter</t>
  </si>
  <si>
    <t>FISH AND CHIPS</t>
  </si>
  <si>
    <t>HATOVIEMO - MOMIA TS</t>
  </si>
  <si>
    <t>*10124200400</t>
  </si>
  <si>
    <t>FERANANDEZ Raul</t>
  </si>
  <si>
    <t xml:space="preserve">MENDOZA  Marcos Vinicio </t>
  </si>
  <si>
    <t xml:space="preserve">PROFE REMO TRAINING CLUB </t>
  </si>
  <si>
    <t>UREÑA  Edhar</t>
  </si>
  <si>
    <t>COLYPRO</t>
  </si>
  <si>
    <t xml:space="preserve">QUIROS Victor Hugo </t>
  </si>
  <si>
    <t xml:space="preserve">VEGABIKES </t>
  </si>
  <si>
    <t>BRENES  Mario</t>
  </si>
  <si>
    <t>BDRIFTMOTORSPORTNUTRITION</t>
  </si>
  <si>
    <t>VÁSQUEZ  Ricardo</t>
  </si>
  <si>
    <t xml:space="preserve">CH TRAINIG </t>
  </si>
  <si>
    <t>LD</t>
  </si>
  <si>
    <t xml:space="preserve">BELTRAN  Pablo </t>
  </si>
  <si>
    <t>BELPOWER</t>
  </si>
  <si>
    <t xml:space="preserve">MENESES Paulo </t>
  </si>
  <si>
    <t>UNIFORMAX</t>
  </si>
  <si>
    <t>*10061990660</t>
  </si>
  <si>
    <t>JONATHAN.CYCLING/FISIO NORTE</t>
  </si>
  <si>
    <t xml:space="preserve">CAMPOS  Marvin </t>
  </si>
  <si>
    <t>VALVERDE Wiliiam</t>
  </si>
  <si>
    <t>MENESES Rolando</t>
  </si>
  <si>
    <t>CCSOLDADURAS BIORACER CR</t>
  </si>
  <si>
    <t xml:space="preserve">PENTÁCOLO  Gennaro </t>
  </si>
  <si>
    <t xml:space="preserve">CICLO PENTA BIKE </t>
  </si>
  <si>
    <t>HOTEL WHYNDAN - MENSAJERÍA M.A.,JAVA</t>
  </si>
  <si>
    <t xml:space="preserve">ACCIPAL CMS </t>
  </si>
  <si>
    <t xml:space="preserve">CCDR SANTA CRUZ/ TEAM COSTA FRUT </t>
  </si>
  <si>
    <t>GÓMEZ  James</t>
  </si>
  <si>
    <t xml:space="preserve">SKALA MONTEVERDE/ CCDR MONTEVERDE </t>
  </si>
  <si>
    <t>FLORES  Eythan*</t>
  </si>
  <si>
    <t>*LD</t>
  </si>
  <si>
    <t>MARIN Santiago*</t>
  </si>
  <si>
    <t>SOTO TRAINING -CCDR LIBERIA</t>
  </si>
  <si>
    <t>SOJO Nathan</t>
  </si>
  <si>
    <t xml:space="preserve">TRIATLÓN TURRIALBA </t>
  </si>
  <si>
    <t xml:space="preserve">BENAVIDES Emiliano </t>
  </si>
  <si>
    <t xml:space="preserve">SOTO-TRAINING-CCDR LIBERIA </t>
  </si>
  <si>
    <t>*10151394247</t>
  </si>
  <si>
    <t>DESAMPARADOS BIKE CAFÉ</t>
  </si>
  <si>
    <t xml:space="preserve">MONTERO Santiago </t>
  </si>
  <si>
    <t>SOLIS Sebastian*</t>
  </si>
  <si>
    <t>DESAMPARADOS</t>
  </si>
  <si>
    <t>MARÍN  Abigail</t>
  </si>
  <si>
    <t>CCDRSJ</t>
  </si>
  <si>
    <t xml:space="preserve">CODEA/ E-VEGA TRAINER </t>
  </si>
  <si>
    <t>ASOCIACIÓN CICLÍSTICA TURRIALBEÑA</t>
  </si>
  <si>
    <t xml:space="preserve"> *</t>
  </si>
  <si>
    <t>CORDERO  Iker Mattias</t>
  </si>
  <si>
    <t xml:space="preserve">SOLIS  Alvaro </t>
  </si>
  <si>
    <t>VILLALOBOS Mathias</t>
  </si>
  <si>
    <t xml:space="preserve">SALAS Santiago </t>
  </si>
  <si>
    <t>GUTIERREZ Simao</t>
  </si>
  <si>
    <t>RUBI Ian*</t>
  </si>
  <si>
    <t>BONILLA  Mattew Andres</t>
  </si>
  <si>
    <t xml:space="preserve">DURAN  Emanuel </t>
  </si>
  <si>
    <t>ZARCERO BETEL MOANA EDUS PROD CECI</t>
  </si>
  <si>
    <t>CASTRO Camil</t>
  </si>
  <si>
    <t>ROJAS Pedro</t>
  </si>
  <si>
    <t>AZOFEIFA  Sofia*</t>
  </si>
  <si>
    <t>LIZANO Nicole Daniela</t>
  </si>
  <si>
    <t>SOLIS Nathalia Fabiana*</t>
  </si>
  <si>
    <t xml:space="preserve">CCDR ALAJUELA </t>
  </si>
  <si>
    <t>*10171339063</t>
  </si>
  <si>
    <t>GUTIÉRREZ  Gaele Sofia*</t>
  </si>
  <si>
    <t>CCDR SANTA CRUZ NUMU</t>
  </si>
  <si>
    <t>CASTILLO Mariana</t>
  </si>
  <si>
    <t>MUÑOZ  Amy</t>
  </si>
  <si>
    <t>ALVARADO Luciana*</t>
  </si>
  <si>
    <t>AYG MANTENIMIENTOS</t>
  </si>
  <si>
    <t>MORA  Keren*</t>
  </si>
  <si>
    <t>TEAM- TIERNITICOS- ELKY FERRETERÍA- BIORACER</t>
  </si>
  <si>
    <t>SABALLO Joshua</t>
  </si>
  <si>
    <t xml:space="preserve">ACUÑA  Felipe </t>
  </si>
  <si>
    <t>*10120480953</t>
  </si>
  <si>
    <t>CCDR ESCAZÚ</t>
  </si>
  <si>
    <t>HERNÁNDEZ  Walter David*</t>
  </si>
  <si>
    <t>AGUILAR Luciano</t>
  </si>
  <si>
    <t xml:space="preserve">ASOCIACIÓN CICLISTICA TURRIALBA </t>
  </si>
  <si>
    <t>*10155992956</t>
  </si>
  <si>
    <t>SOTO Sebastian</t>
  </si>
  <si>
    <t xml:space="preserve">504930380 930380 </t>
  </si>
  <si>
    <t>RODRÍGUEZ Dylan Fabian*</t>
  </si>
  <si>
    <t xml:space="preserve">SEGURA  Thomas </t>
  </si>
  <si>
    <t xml:space="preserve">RAMIREZ  Adrián </t>
  </si>
  <si>
    <t>RODRIGUEZ Esteban Marcelo*</t>
  </si>
  <si>
    <t>ALVAREZ Deyler*</t>
  </si>
  <si>
    <t>HERNANDEZ Felipe</t>
  </si>
  <si>
    <t>BELÉN</t>
  </si>
  <si>
    <t>VARGAS Saul*</t>
  </si>
  <si>
    <t>GUEVARA Esteban Mauricio*</t>
  </si>
  <si>
    <t xml:space="preserve">CUBERO Sebastián </t>
  </si>
  <si>
    <t>PIZARRO  Jose Alejandro*</t>
  </si>
  <si>
    <t xml:space="preserve">SALAS  Matías </t>
  </si>
  <si>
    <t>GUIDO  Sebastián Manuel*</t>
  </si>
  <si>
    <t>101 765 360 41</t>
  </si>
  <si>
    <t xml:space="preserve">NARANJO Didier </t>
  </si>
  <si>
    <t>MORA Jeferson*</t>
  </si>
  <si>
    <t>INFINITY BIKE CENTER-CCDR DE ANRANJO</t>
  </si>
  <si>
    <t xml:space="preserve">GÓMEZ  Allan </t>
  </si>
  <si>
    <t>MURILLO Sebastián*</t>
  </si>
  <si>
    <t xml:space="preserve">CAMPOS Matias </t>
  </si>
  <si>
    <t xml:space="preserve">CODEA ALAJUELA EPIC BIKE </t>
  </si>
  <si>
    <t>ARAYA  Luis</t>
  </si>
  <si>
    <t>*10164526027</t>
  </si>
  <si>
    <t>RODRIGUEZ  Jose Pablo*</t>
  </si>
  <si>
    <t>PEREIRA Keiner*</t>
  </si>
  <si>
    <t>*10104119376</t>
  </si>
  <si>
    <t>TEAM TIERNITICOS-ELKY FERRETERÍA BIORACER</t>
  </si>
  <si>
    <t>THOMAS Dominick*</t>
  </si>
  <si>
    <t xml:space="preserve">CCDR DESAMPARADOS BINE CAFÉ </t>
  </si>
  <si>
    <t xml:space="preserve">CASASOLA Steven </t>
  </si>
  <si>
    <t>FERNANDEZ  Jose Eduardo</t>
  </si>
  <si>
    <t>MARCHENA Ethan Daniel*</t>
  </si>
  <si>
    <t xml:space="preserve">VARGAS  Justin </t>
  </si>
  <si>
    <t xml:space="preserve">SÁNCHEZ  Bruce </t>
  </si>
  <si>
    <t xml:space="preserve">RODRIGUEZ  Lenny </t>
  </si>
  <si>
    <t>GUILLEN Samuel</t>
  </si>
  <si>
    <t>MECATRONICS/ MCT COMPONENTS</t>
  </si>
  <si>
    <t xml:space="preserve">ASFALTOS CBZ / DEKRA / MAXXIS </t>
  </si>
  <si>
    <t>ROJAS  Adriana</t>
  </si>
  <si>
    <t xml:space="preserve">ASFALTOS CBZ- DEKRA- MAXXIS </t>
  </si>
  <si>
    <t xml:space="preserve">MADRIGAL  Maidelyn  </t>
  </si>
  <si>
    <t>RIVERA  Leonor*</t>
  </si>
  <si>
    <t xml:space="preserve">CLETA BOUTIQUE </t>
  </si>
  <si>
    <t>FISIOSANA - VEINTE24</t>
  </si>
  <si>
    <t>FISIONORTE/ JONATHANQUESADA.CYCLING</t>
  </si>
  <si>
    <t>DURÁN Anny</t>
  </si>
  <si>
    <t>PEDREGAL -7C</t>
  </si>
  <si>
    <t>HERRERA  Carlos</t>
  </si>
  <si>
    <t>TEAM HC-FERRETERÍA AGUILAR</t>
  </si>
  <si>
    <t>ROJAS Juan Diego*</t>
  </si>
  <si>
    <t>GUTIÉRREZ Carlos Daniel*</t>
  </si>
  <si>
    <t>GUZMAN Aaron</t>
  </si>
  <si>
    <t>TENORIO Carlos</t>
  </si>
  <si>
    <t>ASISA SARAPIQUI</t>
  </si>
  <si>
    <t>GUZMÁN  Alex</t>
  </si>
  <si>
    <t>CALDERON Gerardo</t>
  </si>
  <si>
    <t>CAMEL 4X4</t>
  </si>
  <si>
    <t xml:space="preserve">HERRERA  Miguel </t>
  </si>
  <si>
    <t>CHURUCA SA.</t>
  </si>
  <si>
    <t>ALFARO  Dany</t>
  </si>
  <si>
    <t xml:space="preserve">SERVICIO AUTOMOTRIZ NEO CICLYNG </t>
  </si>
  <si>
    <t>ANCM EL COMI CASI ENDURERO</t>
  </si>
  <si>
    <t>JIMÉNEZ  Royland</t>
  </si>
  <si>
    <t xml:space="preserve">SKALA-TRI-CYC/ CICLO FOFO /TALLER ROY </t>
  </si>
  <si>
    <t>CALDERON Alejandro</t>
  </si>
  <si>
    <t>EL PALIDAZO CYCLING CLUB</t>
  </si>
  <si>
    <t xml:space="preserve">CAMPOS  Diego </t>
  </si>
  <si>
    <t xml:space="preserve">DELGADO  Alfredo </t>
  </si>
  <si>
    <t>CAPOS MOBY BIKE TEAM</t>
  </si>
  <si>
    <t>VEGA  Jose Andres</t>
  </si>
  <si>
    <t xml:space="preserve">FERNÁNDEZ  Marco </t>
  </si>
  <si>
    <t>CMS- TRANSPORTE GRUPO EYAN- ROMA BIKES</t>
  </si>
  <si>
    <t>STYM</t>
  </si>
  <si>
    <t xml:space="preserve">GAMBOA  Jose Daniel </t>
  </si>
  <si>
    <t>MANTENIMIENTO GABRE</t>
  </si>
  <si>
    <t>RAMÍREZ  Luis</t>
  </si>
  <si>
    <t>CASTRO Felipe</t>
  </si>
  <si>
    <t>BLANCO  Edward</t>
  </si>
  <si>
    <t>*10109578254</t>
  </si>
  <si>
    <t xml:space="preserve">A+TEAM </t>
  </si>
  <si>
    <t>GUERRERO Arlette</t>
  </si>
  <si>
    <t>MMR SPORTIVSTORE</t>
  </si>
  <si>
    <t>SEGURA  Francisco Javier</t>
  </si>
  <si>
    <t xml:space="preserve">COMITÉ DE DEPORTES DE ACOSTA </t>
  </si>
  <si>
    <t>HERNÁNDEZ  Axel Steve*</t>
  </si>
  <si>
    <t>COMITÉ DE DEPORTES ACOSTA</t>
  </si>
  <si>
    <t xml:space="preserve">ALVARADO  Julián </t>
  </si>
  <si>
    <t xml:space="preserve">MONTEVERDE </t>
  </si>
  <si>
    <t>FERNÁNDEZ  Fabricio Alberto*</t>
  </si>
  <si>
    <t>CAMPOS  Janail Emmanuel*</t>
  </si>
  <si>
    <t xml:space="preserve">CCDR NARANJO </t>
  </si>
  <si>
    <t>CALVO Fiorella</t>
  </si>
  <si>
    <t xml:space="preserve">ASOCIACIÓN CICLISTICA GRECIA </t>
  </si>
  <si>
    <t xml:space="preserve">CASTRO  Carlos Isaac </t>
  </si>
  <si>
    <t>Planilla V Fecha Oikoumene</t>
  </si>
  <si>
    <t xml:space="preserve">QUIRÓS  John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</si>
</sst>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:ss;@"/>
    <numFmt numFmtId="165" formatCode="[$-140A]General"/>
  </numFmts>
  <fonts count="32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b/>
      <sz val="14"/>
      <color indexed="30"/>
      <name val="Arial"/>
      <family val="2"/>
    </font>
    <font>
      <sz val="8"/>
      <name val="Calibri"/>
      <family val="2"/>
    </font>
    <font>
      <sz val="9"/>
      <name val="Arial"/>
      <family val="2"/>
    </font>
    <font>
      <sz val="8"/>
      <name val="Arial"/>
      <family val="2"/>
    </font>
    <font>
      <sz val="10"/>
      <color rgb="FF000000"/>
      <name val="Arial1"/>
    </font>
    <font>
      <sz val="10"/>
      <color rgb="FF000000"/>
      <name val="Times New Roman"/>
      <family val="1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indexed="8"/>
      <name val="Arial"/>
      <family val="2"/>
    </font>
    <font>
      <b/>
      <sz val="20"/>
      <name val="Arial"/>
      <family val="2"/>
    </font>
    <font>
      <sz val="11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Times New Roman"/>
      <family val="1"/>
    </font>
    <font>
      <sz val="10"/>
      <color indexed="9"/>
      <name val="Arial"/>
      <family val="2"/>
    </font>
    <font>
      <sz val="10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5" fontId="10" fillId="0" borderId="0" applyBorder="0" applyProtection="0"/>
    <xf numFmtId="0" fontId="11" fillId="0" borderId="0"/>
    <xf numFmtId="0" fontId="4" fillId="0" borderId="0"/>
    <xf numFmtId="0" fontId="24" fillId="0" borderId="0"/>
  </cellStyleXfs>
  <cellXfs count="13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64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wrapText="1"/>
    </xf>
    <xf numFmtId="1" fontId="14" fillId="0" borderId="0" xfId="0" applyNumberFormat="1" applyFont="1" applyAlignment="1">
      <alignment horizontal="center" shrinkToFit="1"/>
    </xf>
    <xf numFmtId="0" fontId="13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0" xfId="0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2" applyFont="1" applyAlignment="1">
      <alignment wrapText="1"/>
    </xf>
    <xf numFmtId="0" fontId="18" fillId="0" borderId="7" xfId="2" applyFont="1" applyBorder="1"/>
    <xf numFmtId="0" fontId="5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9" fillId="0" borderId="0" xfId="0" applyFont="1" applyAlignment="1">
      <alignment horizontal="center"/>
    </xf>
    <xf numFmtId="1" fontId="18" fillId="0" borderId="0" xfId="2" applyNumberFormat="1" applyFont="1" applyAlignment="1">
      <alignment horizontal="center" shrinkToFit="1"/>
    </xf>
    <xf numFmtId="0" fontId="9" fillId="0" borderId="0" xfId="0" applyFont="1" applyAlignment="1">
      <alignment horizontal="left" vertical="top" wrapText="1" indent="1"/>
    </xf>
    <xf numFmtId="0" fontId="21" fillId="0" borderId="0" xfId="0" applyFont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5" fillId="2" borderId="0" xfId="0" applyFont="1" applyFill="1"/>
    <xf numFmtId="0" fontId="0" fillId="2" borderId="0" xfId="0" applyFill="1"/>
    <xf numFmtId="0" fontId="0" fillId="2" borderId="0" xfId="0" applyFill="1" applyAlignment="1">
      <alignment horizontal="left"/>
    </xf>
    <xf numFmtId="0" fontId="13" fillId="0" borderId="0" xfId="0" applyFont="1"/>
    <xf numFmtId="0" fontId="3" fillId="0" borderId="7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0" fillId="3" borderId="0" xfId="0" applyFill="1"/>
    <xf numFmtId="0" fontId="4" fillId="0" borderId="0" xfId="0" applyFont="1" applyAlignment="1">
      <alignment horizontal="left" wrapText="1"/>
    </xf>
    <xf numFmtId="0" fontId="13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center" wrapText="1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16" fillId="0" borderId="0" xfId="0" applyFont="1" applyAlignment="1">
      <alignment wrapText="1"/>
    </xf>
    <xf numFmtId="0" fontId="26" fillId="0" borderId="0" xfId="0" applyFont="1" applyAlignment="1">
      <alignment horizontal="center"/>
    </xf>
    <xf numFmtId="0" fontId="18" fillId="0" borderId="0" xfId="2" applyFont="1"/>
    <xf numFmtId="0" fontId="4" fillId="0" borderId="0" xfId="0" applyFont="1" applyAlignment="1">
      <alignment horizontal="left"/>
    </xf>
    <xf numFmtId="0" fontId="14" fillId="0" borderId="0" xfId="0" applyFont="1" applyAlignment="1">
      <alignment horizontal="left" wrapText="1"/>
    </xf>
    <xf numFmtId="0" fontId="27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  <xf numFmtId="0" fontId="18" fillId="0" borderId="0" xfId="2" applyFont="1" applyAlignment="1">
      <alignment horizontal="left"/>
    </xf>
    <xf numFmtId="0" fontId="28" fillId="4" borderId="0" xfId="0" applyFont="1" applyFill="1" applyAlignment="1">
      <alignment horizontal="center"/>
    </xf>
    <xf numFmtId="0" fontId="18" fillId="0" borderId="0" xfId="2" applyFont="1" applyBorder="1"/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" fontId="2" fillId="5" borderId="0" xfId="0" applyNumberFormat="1" applyFont="1" applyFill="1" applyAlignment="1">
      <alignment horizontal="center" vertical="center" wrapText="1"/>
    </xf>
    <xf numFmtId="1" fontId="2" fillId="5" borderId="0" xfId="0" applyNumberFormat="1" applyFont="1" applyFill="1" applyAlignment="1">
      <alignment horizontal="left" vertical="center" wrapText="1"/>
    </xf>
    <xf numFmtId="1" fontId="2" fillId="5" borderId="7" xfId="0" applyNumberFormat="1" applyFont="1" applyFill="1" applyBorder="1" applyAlignment="1">
      <alignment horizontal="left" vertical="center" wrapText="1"/>
    </xf>
    <xf numFmtId="1" fontId="2" fillId="5" borderId="0" xfId="0" applyNumberFormat="1" applyFont="1" applyFill="1" applyAlignment="1">
      <alignment horizontal="center" wrapText="1"/>
    </xf>
    <xf numFmtId="1" fontId="2" fillId="5" borderId="7" xfId="0" applyNumberFormat="1" applyFont="1" applyFill="1" applyBorder="1" applyAlignment="1">
      <alignment horizontal="center" wrapText="1"/>
    </xf>
    <xf numFmtId="1" fontId="2" fillId="5" borderId="8" xfId="0" applyNumberFormat="1" applyFont="1" applyFill="1" applyBorder="1" applyAlignment="1">
      <alignment horizontal="center" wrapText="1"/>
    </xf>
    <xf numFmtId="0" fontId="23" fillId="5" borderId="0" xfId="0" applyFont="1" applyFill="1" applyAlignment="1">
      <alignment horizontal="center"/>
    </xf>
    <xf numFmtId="0" fontId="28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164" fontId="4" fillId="0" borderId="0" xfId="0" applyNumberFormat="1" applyFont="1" applyAlignment="1">
      <alignment horizontal="center"/>
    </xf>
    <xf numFmtId="0" fontId="29" fillId="0" borderId="0" xfId="2" applyFont="1" applyAlignment="1">
      <alignment horizontal="center"/>
    </xf>
    <xf numFmtId="1" fontId="29" fillId="0" borderId="0" xfId="2" applyNumberFormat="1" applyFont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7" xfId="0" applyFont="1" applyFill="1" applyBorder="1" applyAlignment="1">
      <alignment horizontal="center"/>
    </xf>
    <xf numFmtId="1" fontId="2" fillId="6" borderId="0" xfId="0" applyNumberFormat="1" applyFont="1" applyFill="1" applyAlignment="1">
      <alignment horizontal="center" vertical="center" wrapText="1"/>
    </xf>
    <xf numFmtId="1" fontId="2" fillId="6" borderId="0" xfId="0" applyNumberFormat="1" applyFont="1" applyFill="1" applyAlignment="1">
      <alignment horizontal="left" vertical="center" wrapText="1"/>
    </xf>
    <xf numFmtId="1" fontId="2" fillId="6" borderId="7" xfId="0" applyNumberFormat="1" applyFont="1" applyFill="1" applyBorder="1" applyAlignment="1">
      <alignment horizontal="left" vertical="center" wrapText="1"/>
    </xf>
    <xf numFmtId="1" fontId="2" fillId="6" borderId="0" xfId="0" applyNumberFormat="1" applyFont="1" applyFill="1" applyAlignment="1">
      <alignment horizontal="center" wrapText="1"/>
    </xf>
    <xf numFmtId="1" fontId="2" fillId="6" borderId="7" xfId="0" applyNumberFormat="1" applyFont="1" applyFill="1" applyBorder="1" applyAlignment="1">
      <alignment horizontal="center" wrapText="1"/>
    </xf>
    <xf numFmtId="1" fontId="2" fillId="6" borderId="8" xfId="0" applyNumberFormat="1" applyFont="1" applyFill="1" applyBorder="1" applyAlignment="1">
      <alignment horizontal="center" wrapText="1"/>
    </xf>
    <xf numFmtId="0" fontId="23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left"/>
    </xf>
    <xf numFmtId="0" fontId="17" fillId="0" borderId="0" xfId="0" applyFont="1" applyAlignment="1">
      <alignment wrapText="1"/>
    </xf>
    <xf numFmtId="49" fontId="17" fillId="0" borderId="0" xfId="0" applyNumberFormat="1" applyFont="1" applyAlignment="1">
      <alignment horizontal="left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left" wrapText="1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24" fillId="0" borderId="0" xfId="2" applyFont="1" applyAlignment="1">
      <alignment horizontal="center"/>
    </xf>
    <xf numFmtId="1" fontId="24" fillId="0" borderId="0" xfId="2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0" fontId="30" fillId="0" borderId="0" xfId="0" applyFont="1" applyAlignment="1">
      <alignment horizontal="center"/>
    </xf>
    <xf numFmtId="0" fontId="17" fillId="0" borderId="0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0" fillId="0" borderId="0" xfId="0" applyFont="1"/>
    <xf numFmtId="0" fontId="0" fillId="0" borderId="0" xfId="0" applyFont="1" applyAlignment="1">
      <alignment horizontal="left"/>
    </xf>
    <xf numFmtId="164" fontId="0" fillId="0" borderId="0" xfId="0" applyNumberFormat="1" applyFont="1" applyAlignment="1">
      <alignment horizontal="center"/>
    </xf>
    <xf numFmtId="0" fontId="21" fillId="0" borderId="0" xfId="0" applyFont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Alignment="1">
      <alignment horizontal="center"/>
    </xf>
    <xf numFmtId="0" fontId="31" fillId="0" borderId="0" xfId="0" applyFont="1" applyFill="1" applyAlignment="1">
      <alignment horizontal="center"/>
    </xf>
    <xf numFmtId="1" fontId="2" fillId="5" borderId="8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5" borderId="0" xfId="0" applyFont="1" applyFill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1" fontId="2" fillId="6" borderId="8" xfId="0" applyNumberFormat="1" applyFont="1" applyFill="1" applyBorder="1" applyAlignment="1">
      <alignment horizontal="center" vertical="center" wrapText="1"/>
    </xf>
    <xf numFmtId="0" fontId="3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22" fillId="0" borderId="0" xfId="0" applyFont="1" applyAlignment="1">
      <alignment horizontal="center" wrapText="1"/>
    </xf>
  </cellXfs>
  <cellStyles count="5">
    <cellStyle name="Excel Built-in Normal" xfId="1"/>
    <cellStyle name="Normal" xfId="0" builtinId="0"/>
    <cellStyle name="Normal 2" xfId="2"/>
    <cellStyle name="Normal 3" xfId="3"/>
    <cellStyle name="Normal 4" xfId="4"/>
  </cellStyles>
  <dxfs count="5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194029</xdr:colOff>
      <xdr:row>1</xdr:row>
      <xdr:rowOff>16582</xdr:rowOff>
    </xdr:from>
    <xdr:to>
      <xdr:col>24</xdr:col>
      <xdr:colOff>526807</xdr:colOff>
      <xdr:row>7</xdr:row>
      <xdr:rowOff>254706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54251" y="200026"/>
          <a:ext cx="1355834" cy="1338791"/>
        </a:xfrm>
        <a:prstGeom prst="rect">
          <a:avLst/>
        </a:prstGeom>
      </xdr:spPr>
    </xdr:pic>
    <xdr:clientData/>
  </xdr:twoCellAnchor>
  <xdr:twoCellAnchor editAs="oneCell">
    <xdr:from>
      <xdr:col>5</xdr:col>
      <xdr:colOff>68037</xdr:colOff>
      <xdr:row>0</xdr:row>
      <xdr:rowOff>0</xdr:rowOff>
    </xdr:from>
    <xdr:to>
      <xdr:col>11</xdr:col>
      <xdr:colOff>204107</xdr:colOff>
      <xdr:row>4</xdr:row>
      <xdr:rowOff>76190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34894" y="0"/>
          <a:ext cx="3129642" cy="838190"/>
        </a:xfrm>
        <a:prstGeom prst="rect">
          <a:avLst/>
        </a:prstGeom>
      </xdr:spPr>
    </xdr:pic>
    <xdr:clientData/>
  </xdr:twoCellAnchor>
  <xdr:twoCellAnchor>
    <xdr:from>
      <xdr:col>4</xdr:col>
      <xdr:colOff>1387928</xdr:colOff>
      <xdr:row>4</xdr:row>
      <xdr:rowOff>2</xdr:rowOff>
    </xdr:from>
    <xdr:to>
      <xdr:col>14</xdr:col>
      <xdr:colOff>442763</xdr:colOff>
      <xdr:row>6</xdr:row>
      <xdr:rowOff>176895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510892" y="762002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27215</xdr:colOff>
      <xdr:row>1</xdr:row>
      <xdr:rowOff>98512</xdr:rowOff>
    </xdr:from>
    <xdr:to>
      <xdr:col>2</xdr:col>
      <xdr:colOff>312965</xdr:colOff>
      <xdr:row>7</xdr:row>
      <xdr:rowOff>136525</xdr:rowOff>
    </xdr:to>
    <xdr:pic>
      <xdr:nvPicPr>
        <xdr:cNvPr id="6" name="Imagen 5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572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136070</xdr:colOff>
      <xdr:row>63</xdr:row>
      <xdr:rowOff>493064</xdr:rowOff>
    </xdr:from>
    <xdr:to>
      <xdr:col>25</xdr:col>
      <xdr:colOff>148430</xdr:colOff>
      <xdr:row>63</xdr:row>
      <xdr:rowOff>916397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96356" y="10848100"/>
          <a:ext cx="2475253" cy="423333"/>
        </a:xfrm>
        <a:prstGeom prst="rect">
          <a:avLst/>
        </a:prstGeom>
      </xdr:spPr>
    </xdr:pic>
    <xdr:clientData/>
  </xdr:twoCellAnchor>
  <xdr:twoCellAnchor editAs="oneCell">
    <xdr:from>
      <xdr:col>15</xdr:col>
      <xdr:colOff>273655</xdr:colOff>
      <xdr:row>62</xdr:row>
      <xdr:rowOff>115666</xdr:rowOff>
    </xdr:from>
    <xdr:to>
      <xdr:col>17</xdr:col>
      <xdr:colOff>369516</xdr:colOff>
      <xdr:row>63</xdr:row>
      <xdr:rowOff>647016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66298" y="10280202"/>
          <a:ext cx="1061968" cy="721850"/>
        </a:xfrm>
        <a:prstGeom prst="rect">
          <a:avLst/>
        </a:prstGeom>
      </xdr:spPr>
    </xdr:pic>
    <xdr:clientData/>
  </xdr:twoCellAnchor>
  <xdr:twoCellAnchor editAs="oneCell">
    <xdr:from>
      <xdr:col>4</xdr:col>
      <xdr:colOff>735918</xdr:colOff>
      <xdr:row>63</xdr:row>
      <xdr:rowOff>666588</xdr:rowOff>
    </xdr:from>
    <xdr:to>
      <xdr:col>4</xdr:col>
      <xdr:colOff>2225523</xdr:colOff>
      <xdr:row>63</xdr:row>
      <xdr:rowOff>1012332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58882" y="11021624"/>
          <a:ext cx="1489605" cy="345744"/>
        </a:xfrm>
        <a:prstGeom prst="rect">
          <a:avLst/>
        </a:prstGeom>
      </xdr:spPr>
    </xdr:pic>
    <xdr:clientData/>
  </xdr:twoCellAnchor>
  <xdr:twoCellAnchor editAs="oneCell">
    <xdr:from>
      <xdr:col>9</xdr:col>
      <xdr:colOff>411238</xdr:colOff>
      <xdr:row>63</xdr:row>
      <xdr:rowOff>460546</xdr:rowOff>
    </xdr:from>
    <xdr:to>
      <xdr:col>14</xdr:col>
      <xdr:colOff>75595</xdr:colOff>
      <xdr:row>63</xdr:row>
      <xdr:rowOff>1108746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05559" y="10815582"/>
          <a:ext cx="2032000" cy="648200"/>
        </a:xfrm>
        <a:prstGeom prst="rect">
          <a:avLst/>
        </a:prstGeom>
      </xdr:spPr>
    </xdr:pic>
    <xdr:clientData/>
  </xdr:twoCellAnchor>
  <xdr:twoCellAnchor editAs="oneCell">
    <xdr:from>
      <xdr:col>4</xdr:col>
      <xdr:colOff>2722340</xdr:colOff>
      <xdr:row>62</xdr:row>
      <xdr:rowOff>171754</xdr:rowOff>
    </xdr:from>
    <xdr:to>
      <xdr:col>8</xdr:col>
      <xdr:colOff>460633</xdr:colOff>
      <xdr:row>63</xdr:row>
      <xdr:rowOff>557247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45304" y="10336290"/>
          <a:ext cx="2078972" cy="575993"/>
        </a:xfrm>
        <a:prstGeom prst="rect">
          <a:avLst/>
        </a:prstGeom>
      </xdr:spPr>
    </xdr:pic>
    <xdr:clientData/>
  </xdr:twoCellAnchor>
  <xdr:twoCellAnchor editAs="oneCell">
    <xdr:from>
      <xdr:col>0</xdr:col>
      <xdr:colOff>639536</xdr:colOff>
      <xdr:row>63</xdr:row>
      <xdr:rowOff>317197</xdr:rowOff>
    </xdr:from>
    <xdr:to>
      <xdr:col>3</xdr:col>
      <xdr:colOff>31750</xdr:colOff>
      <xdr:row>63</xdr:row>
      <xdr:rowOff>1038500</xdr:rowOff>
    </xdr:to>
    <xdr:pic>
      <xdr:nvPicPr>
        <xdr:cNvPr id="18" name="Imagen 17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9536" y="10672233"/>
          <a:ext cx="1555750" cy="721303"/>
        </a:xfrm>
        <a:prstGeom prst="rect">
          <a:avLst/>
        </a:prstGeom>
      </xdr:spPr>
    </xdr:pic>
    <xdr:clientData/>
  </xdr:twoCellAnchor>
  <xdr:twoCellAnchor editAs="oneCell">
    <xdr:from>
      <xdr:col>3</xdr:col>
      <xdr:colOff>947959</xdr:colOff>
      <xdr:row>62</xdr:row>
      <xdr:rowOff>163285</xdr:rowOff>
    </xdr:from>
    <xdr:to>
      <xdr:col>4</xdr:col>
      <xdr:colOff>99784</xdr:colOff>
      <xdr:row>63</xdr:row>
      <xdr:rowOff>688074</xdr:rowOff>
    </xdr:to>
    <xdr:pic>
      <xdr:nvPicPr>
        <xdr:cNvPr id="19" name="Imagen 18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11495" y="10327821"/>
          <a:ext cx="1111253" cy="7152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328086</xdr:colOff>
      <xdr:row>0</xdr:row>
      <xdr:rowOff>164749</xdr:rowOff>
    </xdr:from>
    <xdr:to>
      <xdr:col>25</xdr:col>
      <xdr:colOff>130186</xdr:colOff>
      <xdr:row>7</xdr:row>
      <xdr:rowOff>219429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80030" y="164749"/>
          <a:ext cx="1355834" cy="1338791"/>
        </a:xfrm>
        <a:prstGeom prst="rect">
          <a:avLst/>
        </a:prstGeom>
      </xdr:spPr>
    </xdr:pic>
    <xdr:clientData/>
  </xdr:twoCellAnchor>
  <xdr:twoCellAnchor editAs="oneCell">
    <xdr:from>
      <xdr:col>5</xdr:col>
      <xdr:colOff>163287</xdr:colOff>
      <xdr:row>0</xdr:row>
      <xdr:rowOff>0</xdr:rowOff>
    </xdr:from>
    <xdr:to>
      <xdr:col>11</xdr:col>
      <xdr:colOff>217715</xdr:colOff>
      <xdr:row>4</xdr:row>
      <xdr:rowOff>76190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30144" y="0"/>
          <a:ext cx="3129642" cy="838190"/>
        </a:xfrm>
        <a:prstGeom prst="rect">
          <a:avLst/>
        </a:prstGeom>
      </xdr:spPr>
    </xdr:pic>
    <xdr:clientData/>
  </xdr:twoCellAnchor>
  <xdr:twoCellAnchor>
    <xdr:from>
      <xdr:col>4</xdr:col>
      <xdr:colOff>1483178</xdr:colOff>
      <xdr:row>4</xdr:row>
      <xdr:rowOff>2</xdr:rowOff>
    </xdr:from>
    <xdr:to>
      <xdr:col>14</xdr:col>
      <xdr:colOff>456370</xdr:colOff>
      <xdr:row>6</xdr:row>
      <xdr:rowOff>176895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606142" y="762002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122465</xdr:colOff>
      <xdr:row>1</xdr:row>
      <xdr:rowOff>98512</xdr:rowOff>
    </xdr:from>
    <xdr:to>
      <xdr:col>2</xdr:col>
      <xdr:colOff>408215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822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598714</xdr:colOff>
      <xdr:row>47</xdr:row>
      <xdr:rowOff>27214</xdr:rowOff>
    </xdr:from>
    <xdr:to>
      <xdr:col>19</xdr:col>
      <xdr:colOff>258766</xdr:colOff>
      <xdr:row>47</xdr:row>
      <xdr:rowOff>808373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2250" y="8763000"/>
          <a:ext cx="11403016" cy="7811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292808</xdr:colOff>
      <xdr:row>1</xdr:row>
      <xdr:rowOff>9527</xdr:rowOff>
    </xdr:from>
    <xdr:to>
      <xdr:col>24</xdr:col>
      <xdr:colOff>520811</xdr:colOff>
      <xdr:row>7</xdr:row>
      <xdr:rowOff>247651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53030" y="192971"/>
          <a:ext cx="1355834" cy="1338791"/>
        </a:xfrm>
        <a:prstGeom prst="rect">
          <a:avLst/>
        </a:prstGeom>
      </xdr:spPr>
    </xdr:pic>
    <xdr:clientData/>
  </xdr:twoCellAnchor>
  <xdr:twoCellAnchor editAs="oneCell">
    <xdr:from>
      <xdr:col>6</xdr:col>
      <xdr:colOff>68036</xdr:colOff>
      <xdr:row>0</xdr:row>
      <xdr:rowOff>68035</xdr:rowOff>
    </xdr:from>
    <xdr:to>
      <xdr:col>12</xdr:col>
      <xdr:colOff>13606</xdr:colOff>
      <xdr:row>4</xdr:row>
      <xdr:rowOff>144225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6893" y="68035"/>
          <a:ext cx="3129642" cy="838190"/>
        </a:xfrm>
        <a:prstGeom prst="rect">
          <a:avLst/>
        </a:prstGeom>
      </xdr:spPr>
    </xdr:pic>
    <xdr:clientData/>
  </xdr:twoCellAnchor>
  <xdr:twoCellAnchor>
    <xdr:from>
      <xdr:col>4</xdr:col>
      <xdr:colOff>1564820</xdr:colOff>
      <xdr:row>4</xdr:row>
      <xdr:rowOff>27216</xdr:rowOff>
    </xdr:from>
    <xdr:to>
      <xdr:col>15</xdr:col>
      <xdr:colOff>157013</xdr:colOff>
      <xdr:row>7</xdr:row>
      <xdr:rowOff>13609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891891" y="789216"/>
          <a:ext cx="6770086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0</xdr:col>
      <xdr:colOff>231321</xdr:colOff>
      <xdr:row>1</xdr:row>
      <xdr:rowOff>98512</xdr:rowOff>
    </xdr:from>
    <xdr:to>
      <xdr:col>1</xdr:col>
      <xdr:colOff>734786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321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163285</xdr:colOff>
      <xdr:row>36</xdr:row>
      <xdr:rowOff>244929</xdr:rowOff>
    </xdr:from>
    <xdr:to>
      <xdr:col>20</xdr:col>
      <xdr:colOff>383978</xdr:colOff>
      <xdr:row>36</xdr:row>
      <xdr:rowOff>1251857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3642" y="7728858"/>
          <a:ext cx="14698693" cy="10069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292807</xdr:colOff>
      <xdr:row>1</xdr:row>
      <xdr:rowOff>44805</xdr:rowOff>
    </xdr:from>
    <xdr:to>
      <xdr:col>24</xdr:col>
      <xdr:colOff>177557</xdr:colOff>
      <xdr:row>7</xdr:row>
      <xdr:rowOff>282929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00251" y="228249"/>
          <a:ext cx="1355834" cy="1338791"/>
        </a:xfrm>
        <a:prstGeom prst="rect">
          <a:avLst/>
        </a:prstGeom>
      </xdr:spPr>
    </xdr:pic>
    <xdr:clientData/>
  </xdr:twoCellAnchor>
  <xdr:twoCellAnchor editAs="oneCell">
    <xdr:from>
      <xdr:col>5</xdr:col>
      <xdr:colOff>122465</xdr:colOff>
      <xdr:row>0</xdr:row>
      <xdr:rowOff>0</xdr:rowOff>
    </xdr:from>
    <xdr:to>
      <xdr:col>11</xdr:col>
      <xdr:colOff>258535</xdr:colOff>
      <xdr:row>4</xdr:row>
      <xdr:rowOff>76190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4572" y="0"/>
          <a:ext cx="3129642" cy="838190"/>
        </a:xfrm>
        <a:prstGeom prst="rect">
          <a:avLst/>
        </a:prstGeom>
      </xdr:spPr>
    </xdr:pic>
    <xdr:clientData/>
  </xdr:twoCellAnchor>
  <xdr:twoCellAnchor>
    <xdr:from>
      <xdr:col>4</xdr:col>
      <xdr:colOff>1442356</xdr:colOff>
      <xdr:row>4</xdr:row>
      <xdr:rowOff>2</xdr:rowOff>
    </xdr:from>
    <xdr:to>
      <xdr:col>14</xdr:col>
      <xdr:colOff>497191</xdr:colOff>
      <xdr:row>6</xdr:row>
      <xdr:rowOff>176895</xdr:rowOff>
    </xdr:to>
    <xdr:sp macro="" textlink="">
      <xdr:nvSpPr>
        <xdr:cNvPr id="5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660570" y="762002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176893</xdr:colOff>
      <xdr:row>1</xdr:row>
      <xdr:rowOff>98512</xdr:rowOff>
    </xdr:from>
    <xdr:to>
      <xdr:col>2</xdr:col>
      <xdr:colOff>462643</xdr:colOff>
      <xdr:row>7</xdr:row>
      <xdr:rowOff>136525</xdr:rowOff>
    </xdr:to>
    <xdr:pic>
      <xdr:nvPicPr>
        <xdr:cNvPr id="6" name="Imagen 5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27214</xdr:colOff>
      <xdr:row>27</xdr:row>
      <xdr:rowOff>54429</xdr:rowOff>
    </xdr:from>
    <xdr:to>
      <xdr:col>24</xdr:col>
      <xdr:colOff>16586</xdr:colOff>
      <xdr:row>27</xdr:row>
      <xdr:rowOff>1061357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5643" y="5973536"/>
          <a:ext cx="14698693" cy="100692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95252</xdr:colOff>
      <xdr:row>0</xdr:row>
      <xdr:rowOff>171804</xdr:rowOff>
    </xdr:from>
    <xdr:to>
      <xdr:col>24</xdr:col>
      <xdr:colOff>428029</xdr:colOff>
      <xdr:row>7</xdr:row>
      <xdr:rowOff>226484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5474" y="171804"/>
          <a:ext cx="1355834" cy="1338791"/>
        </a:xfrm>
        <a:prstGeom prst="rect">
          <a:avLst/>
        </a:prstGeom>
      </xdr:spPr>
    </xdr:pic>
    <xdr:clientData/>
  </xdr:twoCellAnchor>
  <xdr:twoCellAnchor editAs="oneCell">
    <xdr:from>
      <xdr:col>5</xdr:col>
      <xdr:colOff>122465</xdr:colOff>
      <xdr:row>0</xdr:row>
      <xdr:rowOff>13607</xdr:rowOff>
    </xdr:from>
    <xdr:to>
      <xdr:col>11</xdr:col>
      <xdr:colOff>258536</xdr:colOff>
      <xdr:row>4</xdr:row>
      <xdr:rowOff>89797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9322" y="13607"/>
          <a:ext cx="3129642" cy="838190"/>
        </a:xfrm>
        <a:prstGeom prst="rect">
          <a:avLst/>
        </a:prstGeom>
      </xdr:spPr>
    </xdr:pic>
    <xdr:clientData/>
  </xdr:twoCellAnchor>
  <xdr:twoCellAnchor editAs="oneCell">
    <xdr:from>
      <xdr:col>1</xdr:col>
      <xdr:colOff>81643</xdr:colOff>
      <xdr:row>1</xdr:row>
      <xdr:rowOff>112119</xdr:rowOff>
    </xdr:from>
    <xdr:to>
      <xdr:col>2</xdr:col>
      <xdr:colOff>367393</xdr:colOff>
      <xdr:row>7</xdr:row>
      <xdr:rowOff>150132</xdr:rowOff>
    </xdr:to>
    <xdr:pic>
      <xdr:nvPicPr>
        <xdr:cNvPr id="6" name="Imagen 5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2619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1265464</xdr:colOff>
      <xdr:row>4</xdr:row>
      <xdr:rowOff>0</xdr:rowOff>
    </xdr:from>
    <xdr:to>
      <xdr:col>14</xdr:col>
      <xdr:colOff>320299</xdr:colOff>
      <xdr:row>6</xdr:row>
      <xdr:rowOff>176893</xdr:rowOff>
    </xdr:to>
    <xdr:sp macro="" textlink="">
      <xdr:nvSpPr>
        <xdr:cNvPr id="8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919107" y="762000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830036</xdr:colOff>
      <xdr:row>85</xdr:row>
      <xdr:rowOff>149679</xdr:rowOff>
    </xdr:from>
    <xdr:to>
      <xdr:col>22</xdr:col>
      <xdr:colOff>452015</xdr:colOff>
      <xdr:row>85</xdr:row>
      <xdr:rowOff>1156607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0393" y="17961429"/>
          <a:ext cx="14698693" cy="100692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130530</xdr:colOff>
      <xdr:row>1</xdr:row>
      <xdr:rowOff>30694</xdr:rowOff>
    </xdr:from>
    <xdr:to>
      <xdr:col>24</xdr:col>
      <xdr:colOff>463308</xdr:colOff>
      <xdr:row>7</xdr:row>
      <xdr:rowOff>268818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90752" y="214138"/>
          <a:ext cx="1355834" cy="1338791"/>
        </a:xfrm>
        <a:prstGeom prst="rect">
          <a:avLst/>
        </a:prstGeom>
      </xdr:spPr>
    </xdr:pic>
    <xdr:clientData/>
  </xdr:twoCellAnchor>
  <xdr:twoCellAnchor editAs="oneCell">
    <xdr:from>
      <xdr:col>5</xdr:col>
      <xdr:colOff>204108</xdr:colOff>
      <xdr:row>0</xdr:row>
      <xdr:rowOff>0</xdr:rowOff>
    </xdr:from>
    <xdr:to>
      <xdr:col>11</xdr:col>
      <xdr:colOff>340178</xdr:colOff>
      <xdr:row>4</xdr:row>
      <xdr:rowOff>76190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0965" y="0"/>
          <a:ext cx="3129642" cy="838190"/>
        </a:xfrm>
        <a:prstGeom prst="rect">
          <a:avLst/>
        </a:prstGeom>
      </xdr:spPr>
    </xdr:pic>
    <xdr:clientData/>
  </xdr:twoCellAnchor>
  <xdr:twoCellAnchor>
    <xdr:from>
      <xdr:col>4</xdr:col>
      <xdr:colOff>1514474</xdr:colOff>
      <xdr:row>4</xdr:row>
      <xdr:rowOff>2</xdr:rowOff>
    </xdr:from>
    <xdr:to>
      <xdr:col>15</xdr:col>
      <xdr:colOff>48155</xdr:colOff>
      <xdr:row>6</xdr:row>
      <xdr:rowOff>176895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637438" y="762002"/>
          <a:ext cx="6303360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163286</xdr:colOff>
      <xdr:row>1</xdr:row>
      <xdr:rowOff>98512</xdr:rowOff>
    </xdr:from>
    <xdr:to>
      <xdr:col>2</xdr:col>
      <xdr:colOff>449036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643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54428</xdr:colOff>
      <xdr:row>25</xdr:row>
      <xdr:rowOff>204107</xdr:rowOff>
    </xdr:from>
    <xdr:to>
      <xdr:col>23</xdr:col>
      <xdr:colOff>84621</xdr:colOff>
      <xdr:row>25</xdr:row>
      <xdr:rowOff>1211035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2857" y="5497286"/>
          <a:ext cx="14698693" cy="10069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215196</xdr:colOff>
      <xdr:row>1</xdr:row>
      <xdr:rowOff>37749</xdr:rowOff>
    </xdr:from>
    <xdr:to>
      <xdr:col>25</xdr:col>
      <xdr:colOff>17295</xdr:colOff>
      <xdr:row>7</xdr:row>
      <xdr:rowOff>275873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75418" y="221193"/>
          <a:ext cx="1355834" cy="1338791"/>
        </a:xfrm>
        <a:prstGeom prst="rect">
          <a:avLst/>
        </a:prstGeom>
      </xdr:spPr>
    </xdr:pic>
    <xdr:clientData/>
  </xdr:twoCellAnchor>
  <xdr:twoCellAnchor editAs="oneCell">
    <xdr:from>
      <xdr:col>5</xdr:col>
      <xdr:colOff>95251</xdr:colOff>
      <xdr:row>0</xdr:row>
      <xdr:rowOff>0</xdr:rowOff>
    </xdr:from>
    <xdr:to>
      <xdr:col>11</xdr:col>
      <xdr:colOff>231322</xdr:colOff>
      <xdr:row>4</xdr:row>
      <xdr:rowOff>76190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2108" y="0"/>
          <a:ext cx="3129642" cy="838190"/>
        </a:xfrm>
        <a:prstGeom prst="rect">
          <a:avLst/>
        </a:prstGeom>
      </xdr:spPr>
    </xdr:pic>
    <xdr:clientData/>
  </xdr:twoCellAnchor>
  <xdr:twoCellAnchor>
    <xdr:from>
      <xdr:col>4</xdr:col>
      <xdr:colOff>1405617</xdr:colOff>
      <xdr:row>4</xdr:row>
      <xdr:rowOff>2</xdr:rowOff>
    </xdr:from>
    <xdr:to>
      <xdr:col>14</xdr:col>
      <xdr:colOff>469977</xdr:colOff>
      <xdr:row>6</xdr:row>
      <xdr:rowOff>176895</xdr:rowOff>
    </xdr:to>
    <xdr:sp macro="" textlink="">
      <xdr:nvSpPr>
        <xdr:cNvPr id="5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528581" y="762002"/>
          <a:ext cx="6303360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54429</xdr:colOff>
      <xdr:row>1</xdr:row>
      <xdr:rowOff>98512</xdr:rowOff>
    </xdr:from>
    <xdr:to>
      <xdr:col>2</xdr:col>
      <xdr:colOff>340179</xdr:colOff>
      <xdr:row>7</xdr:row>
      <xdr:rowOff>136525</xdr:rowOff>
    </xdr:to>
    <xdr:pic>
      <xdr:nvPicPr>
        <xdr:cNvPr id="6" name="Imagen 5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786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843643</xdr:colOff>
      <xdr:row>73</xdr:row>
      <xdr:rowOff>122464</xdr:rowOff>
    </xdr:from>
    <xdr:to>
      <xdr:col>23</xdr:col>
      <xdr:colOff>220693</xdr:colOff>
      <xdr:row>73</xdr:row>
      <xdr:rowOff>1129392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" y="16369393"/>
          <a:ext cx="14698693" cy="100692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186973</xdr:colOff>
      <xdr:row>1</xdr:row>
      <xdr:rowOff>58915</xdr:rowOff>
    </xdr:from>
    <xdr:to>
      <xdr:col>24</xdr:col>
      <xdr:colOff>519751</xdr:colOff>
      <xdr:row>7</xdr:row>
      <xdr:rowOff>297039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47195" y="242359"/>
          <a:ext cx="1355834" cy="1338791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231322</xdr:colOff>
      <xdr:row>0</xdr:row>
      <xdr:rowOff>0</xdr:rowOff>
    </xdr:from>
    <xdr:to>
      <xdr:col>11</xdr:col>
      <xdr:colOff>367392</xdr:colOff>
      <xdr:row>4</xdr:row>
      <xdr:rowOff>76190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8179" y="0"/>
          <a:ext cx="3129642" cy="838190"/>
        </a:xfrm>
        <a:prstGeom prst="rect">
          <a:avLst/>
        </a:prstGeom>
      </xdr:spPr>
    </xdr:pic>
    <xdr:clientData/>
  </xdr:twoCellAnchor>
  <xdr:twoCellAnchor>
    <xdr:from>
      <xdr:col>4</xdr:col>
      <xdr:colOff>1551213</xdr:colOff>
      <xdr:row>4</xdr:row>
      <xdr:rowOff>2</xdr:rowOff>
    </xdr:from>
    <xdr:to>
      <xdr:col>15</xdr:col>
      <xdr:colOff>75369</xdr:colOff>
      <xdr:row>6</xdr:row>
      <xdr:rowOff>176895</xdr:rowOff>
    </xdr:to>
    <xdr:sp macro="" textlink="">
      <xdr:nvSpPr>
        <xdr:cNvPr id="5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674177" y="762002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190500</xdr:colOff>
      <xdr:row>1</xdr:row>
      <xdr:rowOff>98512</xdr:rowOff>
    </xdr:from>
    <xdr:to>
      <xdr:col>2</xdr:col>
      <xdr:colOff>476250</xdr:colOff>
      <xdr:row>7</xdr:row>
      <xdr:rowOff>136525</xdr:rowOff>
    </xdr:to>
    <xdr:pic>
      <xdr:nvPicPr>
        <xdr:cNvPr id="6" name="Imagen 5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57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802821</xdr:colOff>
      <xdr:row>27</xdr:row>
      <xdr:rowOff>163286</xdr:rowOff>
    </xdr:from>
    <xdr:to>
      <xdr:col>23</xdr:col>
      <xdr:colOff>424800</xdr:colOff>
      <xdr:row>27</xdr:row>
      <xdr:rowOff>1170214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3178" y="7334250"/>
          <a:ext cx="14698693" cy="100692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186973</xdr:colOff>
      <xdr:row>1</xdr:row>
      <xdr:rowOff>58915</xdr:rowOff>
    </xdr:from>
    <xdr:to>
      <xdr:col>24</xdr:col>
      <xdr:colOff>519751</xdr:colOff>
      <xdr:row>7</xdr:row>
      <xdr:rowOff>297039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8023" y="243065"/>
          <a:ext cx="1355128" cy="1343024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231322</xdr:colOff>
      <xdr:row>0</xdr:row>
      <xdr:rowOff>0</xdr:rowOff>
    </xdr:from>
    <xdr:to>
      <xdr:col>11</xdr:col>
      <xdr:colOff>367392</xdr:colOff>
      <xdr:row>4</xdr:row>
      <xdr:rowOff>76190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8179" y="0"/>
          <a:ext cx="3129642" cy="838190"/>
        </a:xfrm>
        <a:prstGeom prst="rect">
          <a:avLst/>
        </a:prstGeom>
      </xdr:spPr>
    </xdr:pic>
    <xdr:clientData/>
  </xdr:twoCellAnchor>
  <xdr:twoCellAnchor>
    <xdr:from>
      <xdr:col>4</xdr:col>
      <xdr:colOff>1551213</xdr:colOff>
      <xdr:row>4</xdr:row>
      <xdr:rowOff>2</xdr:rowOff>
    </xdr:from>
    <xdr:to>
      <xdr:col>15</xdr:col>
      <xdr:colOff>75369</xdr:colOff>
      <xdr:row>6</xdr:row>
      <xdr:rowOff>176895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674177" y="762002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190500</xdr:colOff>
      <xdr:row>1</xdr:row>
      <xdr:rowOff>98512</xdr:rowOff>
    </xdr:from>
    <xdr:to>
      <xdr:col>2</xdr:col>
      <xdr:colOff>476250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57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367394</xdr:colOff>
      <xdr:row>57</xdr:row>
      <xdr:rowOff>163285</xdr:rowOff>
    </xdr:from>
    <xdr:to>
      <xdr:col>22</xdr:col>
      <xdr:colOff>520051</xdr:colOff>
      <xdr:row>58</xdr:row>
      <xdr:rowOff>979713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1" y="13715999"/>
          <a:ext cx="14698693" cy="100692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186973</xdr:colOff>
      <xdr:row>1</xdr:row>
      <xdr:rowOff>58915</xdr:rowOff>
    </xdr:from>
    <xdr:to>
      <xdr:col>24</xdr:col>
      <xdr:colOff>519751</xdr:colOff>
      <xdr:row>7</xdr:row>
      <xdr:rowOff>297039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93623" y="249415"/>
          <a:ext cx="1285278" cy="1381124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231322</xdr:colOff>
      <xdr:row>0</xdr:row>
      <xdr:rowOff>0</xdr:rowOff>
    </xdr:from>
    <xdr:to>
      <xdr:col>11</xdr:col>
      <xdr:colOff>367392</xdr:colOff>
      <xdr:row>4</xdr:row>
      <xdr:rowOff>76190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4097" y="0"/>
          <a:ext cx="3088820" cy="838190"/>
        </a:xfrm>
        <a:prstGeom prst="rect">
          <a:avLst/>
        </a:prstGeom>
      </xdr:spPr>
    </xdr:pic>
    <xdr:clientData/>
  </xdr:twoCellAnchor>
  <xdr:twoCellAnchor>
    <xdr:from>
      <xdr:col>4</xdr:col>
      <xdr:colOff>1551213</xdr:colOff>
      <xdr:row>4</xdr:row>
      <xdr:rowOff>2</xdr:rowOff>
    </xdr:from>
    <xdr:to>
      <xdr:col>15</xdr:col>
      <xdr:colOff>75369</xdr:colOff>
      <xdr:row>6</xdr:row>
      <xdr:rowOff>176895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675538" y="762002"/>
          <a:ext cx="6220356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190500</xdr:colOff>
      <xdr:row>1</xdr:row>
      <xdr:rowOff>98512</xdr:rowOff>
    </xdr:from>
    <xdr:to>
      <xdr:col>2</xdr:col>
      <xdr:colOff>476250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289012"/>
          <a:ext cx="1181100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802821</xdr:colOff>
      <xdr:row>36</xdr:row>
      <xdr:rowOff>176893</xdr:rowOff>
    </xdr:from>
    <xdr:to>
      <xdr:col>23</xdr:col>
      <xdr:colOff>424800</xdr:colOff>
      <xdr:row>36</xdr:row>
      <xdr:rowOff>1183821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3178" y="6096000"/>
          <a:ext cx="14698693" cy="100692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186973</xdr:colOff>
      <xdr:row>1</xdr:row>
      <xdr:rowOff>58915</xdr:rowOff>
    </xdr:from>
    <xdr:to>
      <xdr:col>24</xdr:col>
      <xdr:colOff>519751</xdr:colOff>
      <xdr:row>7</xdr:row>
      <xdr:rowOff>297039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8023" y="243065"/>
          <a:ext cx="1355128" cy="1343024"/>
        </a:xfrm>
        <a:prstGeom prst="rect">
          <a:avLst/>
        </a:prstGeom>
      </xdr:spPr>
    </xdr:pic>
    <xdr:clientData/>
  </xdr:twoCellAnchor>
  <xdr:twoCellAnchor editAs="oneCell">
    <xdr:from>
      <xdr:col>5</xdr:col>
      <xdr:colOff>136072</xdr:colOff>
      <xdr:row>0</xdr:row>
      <xdr:rowOff>13607</xdr:rowOff>
    </xdr:from>
    <xdr:to>
      <xdr:col>11</xdr:col>
      <xdr:colOff>272142</xdr:colOff>
      <xdr:row>4</xdr:row>
      <xdr:rowOff>89797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02929" y="13607"/>
          <a:ext cx="3129642" cy="838190"/>
        </a:xfrm>
        <a:prstGeom prst="rect">
          <a:avLst/>
        </a:prstGeom>
      </xdr:spPr>
    </xdr:pic>
    <xdr:clientData/>
  </xdr:twoCellAnchor>
  <xdr:twoCellAnchor>
    <xdr:from>
      <xdr:col>4</xdr:col>
      <xdr:colOff>1455963</xdr:colOff>
      <xdr:row>4</xdr:row>
      <xdr:rowOff>13609</xdr:rowOff>
    </xdr:from>
    <xdr:to>
      <xdr:col>14</xdr:col>
      <xdr:colOff>510798</xdr:colOff>
      <xdr:row>7</xdr:row>
      <xdr:rowOff>2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578927" y="775609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95250</xdr:colOff>
      <xdr:row>1</xdr:row>
      <xdr:rowOff>112119</xdr:rowOff>
    </xdr:from>
    <xdr:to>
      <xdr:col>2</xdr:col>
      <xdr:colOff>381000</xdr:colOff>
      <xdr:row>7</xdr:row>
      <xdr:rowOff>150132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607" y="302619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653143</xdr:colOff>
      <xdr:row>36</xdr:row>
      <xdr:rowOff>136071</xdr:rowOff>
    </xdr:from>
    <xdr:to>
      <xdr:col>23</xdr:col>
      <xdr:colOff>275122</xdr:colOff>
      <xdr:row>36</xdr:row>
      <xdr:rowOff>1142999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500" y="6994071"/>
          <a:ext cx="14698693" cy="100692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186973</xdr:colOff>
      <xdr:row>1</xdr:row>
      <xdr:rowOff>58915</xdr:rowOff>
    </xdr:from>
    <xdr:to>
      <xdr:col>24</xdr:col>
      <xdr:colOff>519751</xdr:colOff>
      <xdr:row>7</xdr:row>
      <xdr:rowOff>297039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93623" y="249415"/>
          <a:ext cx="1285278" cy="1381124"/>
        </a:xfrm>
        <a:prstGeom prst="rect">
          <a:avLst/>
        </a:prstGeom>
      </xdr:spPr>
    </xdr:pic>
    <xdr:clientData/>
  </xdr:twoCellAnchor>
  <xdr:twoCellAnchor editAs="oneCell">
    <xdr:from>
      <xdr:col>5</xdr:col>
      <xdr:colOff>136072</xdr:colOff>
      <xdr:row>0</xdr:row>
      <xdr:rowOff>13607</xdr:rowOff>
    </xdr:from>
    <xdr:to>
      <xdr:col>11</xdr:col>
      <xdr:colOff>272142</xdr:colOff>
      <xdr:row>4</xdr:row>
      <xdr:rowOff>89797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98847" y="13607"/>
          <a:ext cx="3088820" cy="838190"/>
        </a:xfrm>
        <a:prstGeom prst="rect">
          <a:avLst/>
        </a:prstGeom>
      </xdr:spPr>
    </xdr:pic>
    <xdr:clientData/>
  </xdr:twoCellAnchor>
  <xdr:twoCellAnchor>
    <xdr:from>
      <xdr:col>4</xdr:col>
      <xdr:colOff>1455963</xdr:colOff>
      <xdr:row>4</xdr:row>
      <xdr:rowOff>13609</xdr:rowOff>
    </xdr:from>
    <xdr:to>
      <xdr:col>14</xdr:col>
      <xdr:colOff>510798</xdr:colOff>
      <xdr:row>7</xdr:row>
      <xdr:rowOff>2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580288" y="775609"/>
          <a:ext cx="6227160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95250</xdr:colOff>
      <xdr:row>1</xdr:row>
      <xdr:rowOff>112119</xdr:rowOff>
    </xdr:from>
    <xdr:to>
      <xdr:col>2</xdr:col>
      <xdr:colOff>381000</xdr:colOff>
      <xdr:row>7</xdr:row>
      <xdr:rowOff>150132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302619"/>
          <a:ext cx="1181100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775607</xdr:colOff>
      <xdr:row>26</xdr:row>
      <xdr:rowOff>149679</xdr:rowOff>
    </xdr:from>
    <xdr:to>
      <xdr:col>23</xdr:col>
      <xdr:colOff>397586</xdr:colOff>
      <xdr:row>26</xdr:row>
      <xdr:rowOff>1156607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5964" y="5129893"/>
          <a:ext cx="14698693" cy="100692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186973</xdr:colOff>
      <xdr:row>1</xdr:row>
      <xdr:rowOff>58915</xdr:rowOff>
    </xdr:from>
    <xdr:to>
      <xdr:col>24</xdr:col>
      <xdr:colOff>519751</xdr:colOff>
      <xdr:row>7</xdr:row>
      <xdr:rowOff>297039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8023" y="243065"/>
          <a:ext cx="1355128" cy="1343024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231323</xdr:colOff>
      <xdr:row>0</xdr:row>
      <xdr:rowOff>0</xdr:rowOff>
    </xdr:from>
    <xdr:to>
      <xdr:col>11</xdr:col>
      <xdr:colOff>367393</xdr:colOff>
      <xdr:row>4</xdr:row>
      <xdr:rowOff>76190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8180" y="0"/>
          <a:ext cx="3129642" cy="838190"/>
        </a:xfrm>
        <a:prstGeom prst="rect">
          <a:avLst/>
        </a:prstGeom>
      </xdr:spPr>
    </xdr:pic>
    <xdr:clientData/>
  </xdr:twoCellAnchor>
  <xdr:twoCellAnchor>
    <xdr:from>
      <xdr:col>4</xdr:col>
      <xdr:colOff>1551214</xdr:colOff>
      <xdr:row>4</xdr:row>
      <xdr:rowOff>2</xdr:rowOff>
    </xdr:from>
    <xdr:to>
      <xdr:col>15</xdr:col>
      <xdr:colOff>75370</xdr:colOff>
      <xdr:row>6</xdr:row>
      <xdr:rowOff>176895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674178" y="762002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190501</xdr:colOff>
      <xdr:row>1</xdr:row>
      <xdr:rowOff>98512</xdr:rowOff>
    </xdr:from>
    <xdr:to>
      <xdr:col>2</xdr:col>
      <xdr:colOff>476251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58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748393</xdr:colOff>
      <xdr:row>37</xdr:row>
      <xdr:rowOff>108858</xdr:rowOff>
    </xdr:from>
    <xdr:to>
      <xdr:col>23</xdr:col>
      <xdr:colOff>383979</xdr:colOff>
      <xdr:row>37</xdr:row>
      <xdr:rowOff>1115786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0" y="7279822"/>
          <a:ext cx="14698693" cy="100692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186973</xdr:colOff>
      <xdr:row>1</xdr:row>
      <xdr:rowOff>58915</xdr:rowOff>
    </xdr:from>
    <xdr:to>
      <xdr:col>24</xdr:col>
      <xdr:colOff>519751</xdr:colOff>
      <xdr:row>7</xdr:row>
      <xdr:rowOff>297039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8023" y="243065"/>
          <a:ext cx="1355128" cy="1343024"/>
        </a:xfrm>
        <a:prstGeom prst="rect">
          <a:avLst/>
        </a:prstGeom>
      </xdr:spPr>
    </xdr:pic>
    <xdr:clientData/>
  </xdr:twoCellAnchor>
  <xdr:twoCellAnchor editAs="oneCell">
    <xdr:from>
      <xdr:col>5</xdr:col>
      <xdr:colOff>408215</xdr:colOff>
      <xdr:row>0</xdr:row>
      <xdr:rowOff>0</xdr:rowOff>
    </xdr:from>
    <xdr:to>
      <xdr:col>12</xdr:col>
      <xdr:colOff>108857</xdr:colOff>
      <xdr:row>4</xdr:row>
      <xdr:rowOff>76190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75072" y="0"/>
          <a:ext cx="3129642" cy="838190"/>
        </a:xfrm>
        <a:prstGeom prst="rect">
          <a:avLst/>
        </a:prstGeom>
      </xdr:spPr>
    </xdr:pic>
    <xdr:clientData/>
  </xdr:twoCellAnchor>
  <xdr:twoCellAnchor>
    <xdr:from>
      <xdr:col>4</xdr:col>
      <xdr:colOff>1718581</xdr:colOff>
      <xdr:row>4</xdr:row>
      <xdr:rowOff>2</xdr:rowOff>
    </xdr:from>
    <xdr:to>
      <xdr:col>15</xdr:col>
      <xdr:colOff>252262</xdr:colOff>
      <xdr:row>6</xdr:row>
      <xdr:rowOff>176895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841545" y="762002"/>
          <a:ext cx="6303360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367393</xdr:colOff>
      <xdr:row>1</xdr:row>
      <xdr:rowOff>98512</xdr:rowOff>
    </xdr:from>
    <xdr:to>
      <xdr:col>3</xdr:col>
      <xdr:colOff>68036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775607</xdr:colOff>
      <xdr:row>43</xdr:row>
      <xdr:rowOff>81643</xdr:rowOff>
    </xdr:from>
    <xdr:to>
      <xdr:col>23</xdr:col>
      <xdr:colOff>397586</xdr:colOff>
      <xdr:row>43</xdr:row>
      <xdr:rowOff>1088571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5964" y="9443357"/>
          <a:ext cx="14698693" cy="100692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186973</xdr:colOff>
      <xdr:row>1</xdr:row>
      <xdr:rowOff>58915</xdr:rowOff>
    </xdr:from>
    <xdr:to>
      <xdr:col>24</xdr:col>
      <xdr:colOff>519751</xdr:colOff>
      <xdr:row>7</xdr:row>
      <xdr:rowOff>297039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8023" y="243065"/>
          <a:ext cx="1355128" cy="1343024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231322</xdr:colOff>
      <xdr:row>0</xdr:row>
      <xdr:rowOff>0</xdr:rowOff>
    </xdr:from>
    <xdr:to>
      <xdr:col>11</xdr:col>
      <xdr:colOff>367392</xdr:colOff>
      <xdr:row>4</xdr:row>
      <xdr:rowOff>76190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8179" y="0"/>
          <a:ext cx="3129642" cy="838190"/>
        </a:xfrm>
        <a:prstGeom prst="rect">
          <a:avLst/>
        </a:prstGeom>
      </xdr:spPr>
    </xdr:pic>
    <xdr:clientData/>
  </xdr:twoCellAnchor>
  <xdr:twoCellAnchor>
    <xdr:from>
      <xdr:col>4</xdr:col>
      <xdr:colOff>1551213</xdr:colOff>
      <xdr:row>4</xdr:row>
      <xdr:rowOff>2</xdr:rowOff>
    </xdr:from>
    <xdr:to>
      <xdr:col>15</xdr:col>
      <xdr:colOff>75369</xdr:colOff>
      <xdr:row>6</xdr:row>
      <xdr:rowOff>176895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674177" y="762002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190500</xdr:colOff>
      <xdr:row>1</xdr:row>
      <xdr:rowOff>98512</xdr:rowOff>
    </xdr:from>
    <xdr:to>
      <xdr:col>2</xdr:col>
      <xdr:colOff>476250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57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598714</xdr:colOff>
      <xdr:row>44</xdr:row>
      <xdr:rowOff>176893</xdr:rowOff>
    </xdr:from>
    <xdr:to>
      <xdr:col>23</xdr:col>
      <xdr:colOff>220693</xdr:colOff>
      <xdr:row>44</xdr:row>
      <xdr:rowOff>1183821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9071" y="9225643"/>
          <a:ext cx="14698693" cy="100692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186973</xdr:colOff>
      <xdr:row>1</xdr:row>
      <xdr:rowOff>58915</xdr:rowOff>
    </xdr:from>
    <xdr:to>
      <xdr:col>24</xdr:col>
      <xdr:colOff>519751</xdr:colOff>
      <xdr:row>7</xdr:row>
      <xdr:rowOff>297039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8023" y="243065"/>
          <a:ext cx="1355128" cy="134302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299358</xdr:colOff>
      <xdr:row>0</xdr:row>
      <xdr:rowOff>0</xdr:rowOff>
    </xdr:from>
    <xdr:to>
      <xdr:col>12</xdr:col>
      <xdr:colOff>0</xdr:colOff>
      <xdr:row>4</xdr:row>
      <xdr:rowOff>76190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66215" y="0"/>
          <a:ext cx="3129642" cy="838190"/>
        </a:xfrm>
        <a:prstGeom prst="rect">
          <a:avLst/>
        </a:prstGeom>
      </xdr:spPr>
    </xdr:pic>
    <xdr:clientData/>
  </xdr:twoCellAnchor>
  <xdr:twoCellAnchor>
    <xdr:from>
      <xdr:col>4</xdr:col>
      <xdr:colOff>1619249</xdr:colOff>
      <xdr:row>4</xdr:row>
      <xdr:rowOff>2</xdr:rowOff>
    </xdr:from>
    <xdr:to>
      <xdr:col>15</xdr:col>
      <xdr:colOff>143405</xdr:colOff>
      <xdr:row>6</xdr:row>
      <xdr:rowOff>176895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742213" y="762002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258536</xdr:colOff>
      <xdr:row>1</xdr:row>
      <xdr:rowOff>98512</xdr:rowOff>
    </xdr:from>
    <xdr:to>
      <xdr:col>2</xdr:col>
      <xdr:colOff>544286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893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707572</xdr:colOff>
      <xdr:row>42</xdr:row>
      <xdr:rowOff>176893</xdr:rowOff>
    </xdr:from>
    <xdr:to>
      <xdr:col>23</xdr:col>
      <xdr:colOff>329551</xdr:colOff>
      <xdr:row>42</xdr:row>
      <xdr:rowOff>1183821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7929" y="9851572"/>
          <a:ext cx="14698693" cy="100692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186973</xdr:colOff>
      <xdr:row>1</xdr:row>
      <xdr:rowOff>58915</xdr:rowOff>
    </xdr:from>
    <xdr:to>
      <xdr:col>24</xdr:col>
      <xdr:colOff>519751</xdr:colOff>
      <xdr:row>7</xdr:row>
      <xdr:rowOff>297039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1673" y="243065"/>
          <a:ext cx="1355128" cy="1343024"/>
        </a:xfrm>
        <a:prstGeom prst="rect">
          <a:avLst/>
        </a:prstGeom>
      </xdr:spPr>
    </xdr:pic>
    <xdr:clientData/>
  </xdr:twoCellAnchor>
  <xdr:twoCellAnchor editAs="oneCell">
    <xdr:from>
      <xdr:col>5</xdr:col>
      <xdr:colOff>217715</xdr:colOff>
      <xdr:row>0</xdr:row>
      <xdr:rowOff>0</xdr:rowOff>
    </xdr:from>
    <xdr:to>
      <xdr:col>11</xdr:col>
      <xdr:colOff>353785</xdr:colOff>
      <xdr:row>4</xdr:row>
      <xdr:rowOff>76190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4572" y="0"/>
          <a:ext cx="3129642" cy="838190"/>
        </a:xfrm>
        <a:prstGeom prst="rect">
          <a:avLst/>
        </a:prstGeom>
      </xdr:spPr>
    </xdr:pic>
    <xdr:clientData/>
  </xdr:twoCellAnchor>
  <xdr:twoCellAnchor>
    <xdr:from>
      <xdr:col>4</xdr:col>
      <xdr:colOff>1528081</xdr:colOff>
      <xdr:row>4</xdr:row>
      <xdr:rowOff>2</xdr:rowOff>
    </xdr:from>
    <xdr:to>
      <xdr:col>15</xdr:col>
      <xdr:colOff>61762</xdr:colOff>
      <xdr:row>6</xdr:row>
      <xdr:rowOff>176895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651045" y="762002"/>
          <a:ext cx="6303360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176893</xdr:colOff>
      <xdr:row>1</xdr:row>
      <xdr:rowOff>98512</xdr:rowOff>
    </xdr:from>
    <xdr:to>
      <xdr:col>2</xdr:col>
      <xdr:colOff>462643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312965</xdr:colOff>
      <xdr:row>40</xdr:row>
      <xdr:rowOff>163286</xdr:rowOff>
    </xdr:from>
    <xdr:to>
      <xdr:col>22</xdr:col>
      <xdr:colOff>465622</xdr:colOff>
      <xdr:row>40</xdr:row>
      <xdr:rowOff>1170214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3322" y="9212036"/>
          <a:ext cx="14698693" cy="100692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186973</xdr:colOff>
      <xdr:row>1</xdr:row>
      <xdr:rowOff>58915</xdr:rowOff>
    </xdr:from>
    <xdr:to>
      <xdr:col>24</xdr:col>
      <xdr:colOff>519751</xdr:colOff>
      <xdr:row>7</xdr:row>
      <xdr:rowOff>297039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8023" y="243065"/>
          <a:ext cx="1355128" cy="1343024"/>
        </a:xfrm>
        <a:prstGeom prst="rect">
          <a:avLst/>
        </a:prstGeom>
      </xdr:spPr>
    </xdr:pic>
    <xdr:clientData/>
  </xdr:twoCellAnchor>
  <xdr:twoCellAnchor editAs="oneCell">
    <xdr:from>
      <xdr:col>5</xdr:col>
      <xdr:colOff>217716</xdr:colOff>
      <xdr:row>0</xdr:row>
      <xdr:rowOff>0</xdr:rowOff>
    </xdr:from>
    <xdr:to>
      <xdr:col>11</xdr:col>
      <xdr:colOff>353786</xdr:colOff>
      <xdr:row>4</xdr:row>
      <xdr:rowOff>76190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4573" y="0"/>
          <a:ext cx="3129642" cy="838190"/>
        </a:xfrm>
        <a:prstGeom prst="rect">
          <a:avLst/>
        </a:prstGeom>
      </xdr:spPr>
    </xdr:pic>
    <xdr:clientData/>
  </xdr:twoCellAnchor>
  <xdr:twoCellAnchor>
    <xdr:from>
      <xdr:col>4</xdr:col>
      <xdr:colOff>1537607</xdr:colOff>
      <xdr:row>4</xdr:row>
      <xdr:rowOff>2</xdr:rowOff>
    </xdr:from>
    <xdr:to>
      <xdr:col>15</xdr:col>
      <xdr:colOff>61763</xdr:colOff>
      <xdr:row>6</xdr:row>
      <xdr:rowOff>176895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660571" y="762002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176894</xdr:colOff>
      <xdr:row>1</xdr:row>
      <xdr:rowOff>98512</xdr:rowOff>
    </xdr:from>
    <xdr:to>
      <xdr:col>2</xdr:col>
      <xdr:colOff>462644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1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680357</xdr:colOff>
      <xdr:row>23</xdr:row>
      <xdr:rowOff>176893</xdr:rowOff>
    </xdr:from>
    <xdr:to>
      <xdr:col>23</xdr:col>
      <xdr:colOff>302336</xdr:colOff>
      <xdr:row>23</xdr:row>
      <xdr:rowOff>1183821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0714" y="5470072"/>
          <a:ext cx="14698693" cy="100692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186973</xdr:colOff>
      <xdr:row>1</xdr:row>
      <xdr:rowOff>58915</xdr:rowOff>
    </xdr:from>
    <xdr:to>
      <xdr:col>24</xdr:col>
      <xdr:colOff>519751</xdr:colOff>
      <xdr:row>7</xdr:row>
      <xdr:rowOff>297039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93623" y="249415"/>
          <a:ext cx="1285278" cy="1381124"/>
        </a:xfrm>
        <a:prstGeom prst="rect">
          <a:avLst/>
        </a:prstGeom>
      </xdr:spPr>
    </xdr:pic>
    <xdr:clientData/>
  </xdr:twoCellAnchor>
  <xdr:twoCellAnchor editAs="oneCell">
    <xdr:from>
      <xdr:col>5</xdr:col>
      <xdr:colOff>217716</xdr:colOff>
      <xdr:row>0</xdr:row>
      <xdr:rowOff>0</xdr:rowOff>
    </xdr:from>
    <xdr:to>
      <xdr:col>11</xdr:col>
      <xdr:colOff>353786</xdr:colOff>
      <xdr:row>4</xdr:row>
      <xdr:rowOff>76190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0491" y="0"/>
          <a:ext cx="3088820" cy="838190"/>
        </a:xfrm>
        <a:prstGeom prst="rect">
          <a:avLst/>
        </a:prstGeom>
      </xdr:spPr>
    </xdr:pic>
    <xdr:clientData/>
  </xdr:twoCellAnchor>
  <xdr:twoCellAnchor>
    <xdr:from>
      <xdr:col>4</xdr:col>
      <xdr:colOff>1537607</xdr:colOff>
      <xdr:row>4</xdr:row>
      <xdr:rowOff>2</xdr:rowOff>
    </xdr:from>
    <xdr:to>
      <xdr:col>15</xdr:col>
      <xdr:colOff>61763</xdr:colOff>
      <xdr:row>6</xdr:row>
      <xdr:rowOff>176895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661932" y="762002"/>
          <a:ext cx="6220356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176894</xdr:colOff>
      <xdr:row>1</xdr:row>
      <xdr:rowOff>98512</xdr:rowOff>
    </xdr:from>
    <xdr:to>
      <xdr:col>2</xdr:col>
      <xdr:colOff>462644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694" y="289012"/>
          <a:ext cx="1181100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421822</xdr:colOff>
      <xdr:row>23</xdr:row>
      <xdr:rowOff>81643</xdr:rowOff>
    </xdr:from>
    <xdr:to>
      <xdr:col>23</xdr:col>
      <xdr:colOff>43801</xdr:colOff>
      <xdr:row>23</xdr:row>
      <xdr:rowOff>1088571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2179" y="4748893"/>
          <a:ext cx="14698693" cy="100692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186973</xdr:colOff>
      <xdr:row>1</xdr:row>
      <xdr:rowOff>58915</xdr:rowOff>
    </xdr:from>
    <xdr:to>
      <xdr:col>24</xdr:col>
      <xdr:colOff>519751</xdr:colOff>
      <xdr:row>7</xdr:row>
      <xdr:rowOff>297039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8023" y="243065"/>
          <a:ext cx="1355128" cy="1343024"/>
        </a:xfrm>
        <a:prstGeom prst="rect">
          <a:avLst/>
        </a:prstGeom>
      </xdr:spPr>
    </xdr:pic>
    <xdr:clientData/>
  </xdr:twoCellAnchor>
  <xdr:twoCellAnchor editAs="oneCell">
    <xdr:from>
      <xdr:col>5</xdr:col>
      <xdr:colOff>258536</xdr:colOff>
      <xdr:row>0</xdr:row>
      <xdr:rowOff>0</xdr:rowOff>
    </xdr:from>
    <xdr:to>
      <xdr:col>11</xdr:col>
      <xdr:colOff>394606</xdr:colOff>
      <xdr:row>4</xdr:row>
      <xdr:rowOff>76190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25393" y="0"/>
          <a:ext cx="3129642" cy="838190"/>
        </a:xfrm>
        <a:prstGeom prst="rect">
          <a:avLst/>
        </a:prstGeom>
      </xdr:spPr>
    </xdr:pic>
    <xdr:clientData/>
  </xdr:twoCellAnchor>
  <xdr:twoCellAnchor>
    <xdr:from>
      <xdr:col>4</xdr:col>
      <xdr:colOff>1578427</xdr:colOff>
      <xdr:row>4</xdr:row>
      <xdr:rowOff>2</xdr:rowOff>
    </xdr:from>
    <xdr:to>
      <xdr:col>15</xdr:col>
      <xdr:colOff>102583</xdr:colOff>
      <xdr:row>6</xdr:row>
      <xdr:rowOff>176895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701391" y="762002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217714</xdr:colOff>
      <xdr:row>1</xdr:row>
      <xdr:rowOff>98512</xdr:rowOff>
    </xdr:from>
    <xdr:to>
      <xdr:col>2</xdr:col>
      <xdr:colOff>503464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071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625929</xdr:colOff>
      <xdr:row>45</xdr:row>
      <xdr:rowOff>136072</xdr:rowOff>
    </xdr:from>
    <xdr:to>
      <xdr:col>23</xdr:col>
      <xdr:colOff>247908</xdr:colOff>
      <xdr:row>45</xdr:row>
      <xdr:rowOff>1143000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6286" y="10749643"/>
          <a:ext cx="14698693" cy="100692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186973</xdr:colOff>
      <xdr:row>1</xdr:row>
      <xdr:rowOff>58915</xdr:rowOff>
    </xdr:from>
    <xdr:to>
      <xdr:col>24</xdr:col>
      <xdr:colOff>519751</xdr:colOff>
      <xdr:row>7</xdr:row>
      <xdr:rowOff>297039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1673" y="243065"/>
          <a:ext cx="1355128" cy="1343024"/>
        </a:xfrm>
        <a:prstGeom prst="rect">
          <a:avLst/>
        </a:prstGeom>
      </xdr:spPr>
    </xdr:pic>
    <xdr:clientData/>
  </xdr:twoCellAnchor>
  <xdr:twoCellAnchor editAs="oneCell">
    <xdr:from>
      <xdr:col>5</xdr:col>
      <xdr:colOff>258536</xdr:colOff>
      <xdr:row>0</xdr:row>
      <xdr:rowOff>0</xdr:rowOff>
    </xdr:from>
    <xdr:to>
      <xdr:col>11</xdr:col>
      <xdr:colOff>394606</xdr:colOff>
      <xdr:row>4</xdr:row>
      <xdr:rowOff>76190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25393" y="0"/>
          <a:ext cx="3129642" cy="838190"/>
        </a:xfrm>
        <a:prstGeom prst="rect">
          <a:avLst/>
        </a:prstGeom>
      </xdr:spPr>
    </xdr:pic>
    <xdr:clientData/>
  </xdr:twoCellAnchor>
  <xdr:twoCellAnchor>
    <xdr:from>
      <xdr:col>4</xdr:col>
      <xdr:colOff>1578427</xdr:colOff>
      <xdr:row>4</xdr:row>
      <xdr:rowOff>2</xdr:rowOff>
    </xdr:from>
    <xdr:to>
      <xdr:col>15</xdr:col>
      <xdr:colOff>102583</xdr:colOff>
      <xdr:row>6</xdr:row>
      <xdr:rowOff>176895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701391" y="762002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217714</xdr:colOff>
      <xdr:row>1</xdr:row>
      <xdr:rowOff>98512</xdr:rowOff>
    </xdr:from>
    <xdr:to>
      <xdr:col>2</xdr:col>
      <xdr:colOff>503464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071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557894</xdr:colOff>
      <xdr:row>19</xdr:row>
      <xdr:rowOff>163286</xdr:rowOff>
    </xdr:from>
    <xdr:to>
      <xdr:col>23</xdr:col>
      <xdr:colOff>179873</xdr:colOff>
      <xdr:row>19</xdr:row>
      <xdr:rowOff>1170214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8251" y="4517572"/>
          <a:ext cx="14698693" cy="1006928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186973</xdr:colOff>
      <xdr:row>1</xdr:row>
      <xdr:rowOff>58915</xdr:rowOff>
    </xdr:from>
    <xdr:to>
      <xdr:col>24</xdr:col>
      <xdr:colOff>519751</xdr:colOff>
      <xdr:row>7</xdr:row>
      <xdr:rowOff>297039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93623" y="249415"/>
          <a:ext cx="1285278" cy="1381124"/>
        </a:xfrm>
        <a:prstGeom prst="rect">
          <a:avLst/>
        </a:prstGeom>
      </xdr:spPr>
    </xdr:pic>
    <xdr:clientData/>
  </xdr:twoCellAnchor>
  <xdr:twoCellAnchor editAs="oneCell">
    <xdr:from>
      <xdr:col>5</xdr:col>
      <xdr:colOff>258536</xdr:colOff>
      <xdr:row>0</xdr:row>
      <xdr:rowOff>0</xdr:rowOff>
    </xdr:from>
    <xdr:to>
      <xdr:col>11</xdr:col>
      <xdr:colOff>394606</xdr:colOff>
      <xdr:row>4</xdr:row>
      <xdr:rowOff>76190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21311" y="0"/>
          <a:ext cx="3088820" cy="838190"/>
        </a:xfrm>
        <a:prstGeom prst="rect">
          <a:avLst/>
        </a:prstGeom>
      </xdr:spPr>
    </xdr:pic>
    <xdr:clientData/>
  </xdr:twoCellAnchor>
  <xdr:twoCellAnchor>
    <xdr:from>
      <xdr:col>4</xdr:col>
      <xdr:colOff>1578427</xdr:colOff>
      <xdr:row>4</xdr:row>
      <xdr:rowOff>2</xdr:rowOff>
    </xdr:from>
    <xdr:to>
      <xdr:col>15</xdr:col>
      <xdr:colOff>102583</xdr:colOff>
      <xdr:row>6</xdr:row>
      <xdr:rowOff>176895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702752" y="762002"/>
          <a:ext cx="6220356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217714</xdr:colOff>
      <xdr:row>1</xdr:row>
      <xdr:rowOff>98512</xdr:rowOff>
    </xdr:from>
    <xdr:to>
      <xdr:col>2</xdr:col>
      <xdr:colOff>503464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514" y="289012"/>
          <a:ext cx="1181100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653143</xdr:colOff>
      <xdr:row>25</xdr:row>
      <xdr:rowOff>136072</xdr:rowOff>
    </xdr:from>
    <xdr:to>
      <xdr:col>23</xdr:col>
      <xdr:colOff>275122</xdr:colOff>
      <xdr:row>25</xdr:row>
      <xdr:rowOff>1143000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500" y="5116286"/>
          <a:ext cx="14698693" cy="100692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186973</xdr:colOff>
      <xdr:row>1</xdr:row>
      <xdr:rowOff>58915</xdr:rowOff>
    </xdr:from>
    <xdr:to>
      <xdr:col>24</xdr:col>
      <xdr:colOff>424501</xdr:colOff>
      <xdr:row>7</xdr:row>
      <xdr:rowOff>297039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1673" y="243065"/>
          <a:ext cx="1355128" cy="1343024"/>
        </a:xfrm>
        <a:prstGeom prst="rect">
          <a:avLst/>
        </a:prstGeom>
      </xdr:spPr>
    </xdr:pic>
    <xdr:clientData/>
  </xdr:twoCellAnchor>
  <xdr:twoCellAnchor editAs="oneCell">
    <xdr:from>
      <xdr:col>6</xdr:col>
      <xdr:colOff>54430</xdr:colOff>
      <xdr:row>0</xdr:row>
      <xdr:rowOff>0</xdr:rowOff>
    </xdr:from>
    <xdr:to>
      <xdr:col>12</xdr:col>
      <xdr:colOff>95251</xdr:colOff>
      <xdr:row>4</xdr:row>
      <xdr:rowOff>76190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47859" y="0"/>
          <a:ext cx="3129642" cy="838190"/>
        </a:xfrm>
        <a:prstGeom prst="rect">
          <a:avLst/>
        </a:prstGeom>
      </xdr:spPr>
    </xdr:pic>
    <xdr:clientData/>
  </xdr:twoCellAnchor>
  <xdr:twoCellAnchor>
    <xdr:from>
      <xdr:col>4</xdr:col>
      <xdr:colOff>1905000</xdr:colOff>
      <xdr:row>4</xdr:row>
      <xdr:rowOff>2</xdr:rowOff>
    </xdr:from>
    <xdr:to>
      <xdr:col>15</xdr:col>
      <xdr:colOff>48156</xdr:colOff>
      <xdr:row>6</xdr:row>
      <xdr:rowOff>176895</xdr:rowOff>
    </xdr:to>
    <xdr:sp macro="" textlink="">
      <xdr:nvSpPr>
        <xdr:cNvPr id="6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823857" y="762002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0</xdr:col>
      <xdr:colOff>503465</xdr:colOff>
      <xdr:row>1</xdr:row>
      <xdr:rowOff>98512</xdr:rowOff>
    </xdr:from>
    <xdr:to>
      <xdr:col>2</xdr:col>
      <xdr:colOff>122466</xdr:colOff>
      <xdr:row>7</xdr:row>
      <xdr:rowOff>136525</xdr:rowOff>
    </xdr:to>
    <xdr:pic>
      <xdr:nvPicPr>
        <xdr:cNvPr id="7" name="Imagen 6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465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95251</xdr:colOff>
      <xdr:row>23</xdr:row>
      <xdr:rowOff>204107</xdr:rowOff>
    </xdr:from>
    <xdr:to>
      <xdr:col>22</xdr:col>
      <xdr:colOff>479229</xdr:colOff>
      <xdr:row>23</xdr:row>
      <xdr:rowOff>1211035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572" y="4871357"/>
          <a:ext cx="14698693" cy="1006928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186973</xdr:colOff>
      <xdr:row>1</xdr:row>
      <xdr:rowOff>58915</xdr:rowOff>
    </xdr:from>
    <xdr:to>
      <xdr:col>24</xdr:col>
      <xdr:colOff>424501</xdr:colOff>
      <xdr:row>7</xdr:row>
      <xdr:rowOff>297039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55598" y="249415"/>
          <a:ext cx="1285278" cy="1381124"/>
        </a:xfrm>
        <a:prstGeom prst="rect">
          <a:avLst/>
        </a:prstGeom>
      </xdr:spPr>
    </xdr:pic>
    <xdr:clientData/>
  </xdr:twoCellAnchor>
  <xdr:twoCellAnchor editAs="oneCell">
    <xdr:from>
      <xdr:col>5</xdr:col>
      <xdr:colOff>517072</xdr:colOff>
      <xdr:row>0</xdr:row>
      <xdr:rowOff>0</xdr:rowOff>
    </xdr:from>
    <xdr:to>
      <xdr:col>11</xdr:col>
      <xdr:colOff>462643</xdr:colOff>
      <xdr:row>4</xdr:row>
      <xdr:rowOff>76190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79822" y="0"/>
          <a:ext cx="3129642" cy="838190"/>
        </a:xfrm>
        <a:prstGeom prst="rect">
          <a:avLst/>
        </a:prstGeom>
      </xdr:spPr>
    </xdr:pic>
    <xdr:clientData/>
  </xdr:twoCellAnchor>
  <xdr:twoCellAnchor>
    <xdr:from>
      <xdr:col>4</xdr:col>
      <xdr:colOff>1827438</xdr:colOff>
      <xdr:row>4</xdr:row>
      <xdr:rowOff>2</xdr:rowOff>
    </xdr:from>
    <xdr:to>
      <xdr:col>14</xdr:col>
      <xdr:colOff>510798</xdr:colOff>
      <xdr:row>6</xdr:row>
      <xdr:rowOff>176895</xdr:rowOff>
    </xdr:to>
    <xdr:sp macro="" textlink="">
      <xdr:nvSpPr>
        <xdr:cNvPr id="6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5746295" y="762002"/>
          <a:ext cx="6303360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</a:t>
          </a:r>
          <a:r>
            <a:rPr lang="es-419" sz="3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GENERAL 2026</a:t>
          </a:r>
        </a:p>
      </xdr:txBody>
    </xdr:sp>
    <xdr:clientData/>
  </xdr:twoCellAnchor>
  <xdr:twoCellAnchor editAs="oneCell">
    <xdr:from>
      <xdr:col>0</xdr:col>
      <xdr:colOff>489857</xdr:colOff>
      <xdr:row>1</xdr:row>
      <xdr:rowOff>71297</xdr:rowOff>
    </xdr:from>
    <xdr:to>
      <xdr:col>2</xdr:col>
      <xdr:colOff>299358</xdr:colOff>
      <xdr:row>7</xdr:row>
      <xdr:rowOff>109310</xdr:rowOff>
    </xdr:to>
    <xdr:pic>
      <xdr:nvPicPr>
        <xdr:cNvPr id="7" name="Imagen 6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57" y="261797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27215</xdr:colOff>
      <xdr:row>39</xdr:row>
      <xdr:rowOff>176893</xdr:rowOff>
    </xdr:from>
    <xdr:to>
      <xdr:col>22</xdr:col>
      <xdr:colOff>315943</xdr:colOff>
      <xdr:row>39</xdr:row>
      <xdr:rowOff>1183821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1536" y="9851572"/>
          <a:ext cx="14698693" cy="1006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%20CN%20y%20V%20Fecha%20Oikoumene%20%20-%20Resultados%20Short%20Track%20-%20eBIKE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me"/>
      <sheetName val="Crono"/>
      <sheetName val="Podium"/>
      <sheetName val="Planilla"/>
      <sheetName val="Control"/>
      <sheetName val="RegManual"/>
      <sheetName val="SUB23M"/>
      <sheetName val="SUB21M"/>
      <sheetName val="SUB23F"/>
      <sheetName val="MCF"/>
      <sheetName val="MM"/>
      <sheetName val="MA"/>
      <sheetName val="MB"/>
      <sheetName val="OPEN"/>
      <sheetName val="MC"/>
      <sheetName val="MD"/>
      <sheetName val="ME"/>
      <sheetName val="PIM"/>
      <sheetName val="PIF"/>
      <sheetName val="IM"/>
      <sheetName val="PJF"/>
      <sheetName val="IF"/>
      <sheetName val="PJM"/>
      <sheetName val="JM"/>
      <sheetName val="EF"/>
      <sheetName val="JF"/>
      <sheetName val="MAF"/>
      <sheetName val="MBF"/>
      <sheetName val="OPENF"/>
      <sheetName val="EM"/>
      <sheetName val="E-BM"/>
      <sheetName val="PLM"/>
      <sheetName val="CXM"/>
      <sheetName val="E-BF"/>
      <sheetName val="CXF"/>
    </sheetNames>
    <sheetDataSet>
      <sheetData sheetId="0"/>
      <sheetData sheetId="1"/>
      <sheetData sheetId="2"/>
      <sheetData sheetId="3">
        <row r="2">
          <cell r="A2">
            <v>3</v>
          </cell>
          <cell r="B2" t="str">
            <v>HERRERA  Carlos</v>
          </cell>
          <cell r="C2">
            <v>10009200331</v>
          </cell>
          <cell r="D2" t="str">
            <v>CRC</v>
          </cell>
          <cell r="E2" t="str">
            <v>PEDREGAL 7C</v>
          </cell>
          <cell r="F2" t="str">
            <v>ELITE MASCULINO (19+)</v>
          </cell>
        </row>
        <row r="3">
          <cell r="A3">
            <v>7</v>
          </cell>
          <cell r="B3" t="str">
            <v xml:space="preserve">MONTOYA  Paolo </v>
          </cell>
          <cell r="C3">
            <v>10050357734</v>
          </cell>
          <cell r="D3" t="str">
            <v>CRC</v>
          </cell>
          <cell r="E3" t="str">
            <v xml:space="preserve">COLONO BIKE STATION KOLBI </v>
          </cell>
          <cell r="F3" t="str">
            <v>ELITE MASCULINO (19+)</v>
          </cell>
        </row>
        <row r="4">
          <cell r="A4">
            <v>23</v>
          </cell>
          <cell r="B4" t="str">
            <v>MENDEZ Jared*</v>
          </cell>
          <cell r="C4">
            <v>10092456037</v>
          </cell>
          <cell r="D4" t="str">
            <v>CRC</v>
          </cell>
          <cell r="E4" t="str">
            <v>BOBBYS CYCLING TEAM</v>
          </cell>
          <cell r="F4" t="str">
            <v>ELITE MASCULINO (19+)</v>
          </cell>
        </row>
        <row r="5">
          <cell r="A5">
            <v>25</v>
          </cell>
          <cell r="B5" t="str">
            <v>GONZÁLEZ  Adriano*</v>
          </cell>
          <cell r="C5">
            <v>10076890971</v>
          </cell>
          <cell r="D5" t="str">
            <v>CRC</v>
          </cell>
          <cell r="E5" t="str">
            <v xml:space="preserve">COLONO BIKE STATION KOLBI </v>
          </cell>
          <cell r="F5" t="str">
            <v>ELITE MASCULINO (19+)</v>
          </cell>
        </row>
        <row r="6">
          <cell r="A6">
            <v>10</v>
          </cell>
          <cell r="B6" t="str">
            <v>VARGAS Steven Andres</v>
          </cell>
          <cell r="C6">
            <v>10075992208</v>
          </cell>
          <cell r="D6" t="str">
            <v>CRC</v>
          </cell>
          <cell r="E6" t="str">
            <v>SCOTT SHIMANO CYCLING TEAM</v>
          </cell>
          <cell r="F6" t="str">
            <v>ELITE MASCULINO (19+)</v>
          </cell>
        </row>
        <row r="7">
          <cell r="A7">
            <v>12</v>
          </cell>
          <cell r="B7" t="str">
            <v>RAMIREZ Federico</v>
          </cell>
          <cell r="C7">
            <v>10051220327</v>
          </cell>
          <cell r="D7" t="str">
            <v>CRC</v>
          </cell>
          <cell r="E7" t="str">
            <v>MEGAMO MANZATÉ LA SELVA</v>
          </cell>
          <cell r="F7" t="str">
            <v>ELITE MASCULINO (19+)</v>
          </cell>
        </row>
        <row r="8">
          <cell r="A8">
            <v>27</v>
          </cell>
          <cell r="B8" t="str">
            <v>RAABE  Fabricio*</v>
          </cell>
          <cell r="C8">
            <v>10103820090</v>
          </cell>
          <cell r="D8" t="str">
            <v>CRC</v>
          </cell>
          <cell r="E8" t="str">
            <v xml:space="preserve">COLONO BIKE STATION KOLBI </v>
          </cell>
          <cell r="F8" t="str">
            <v>ELITE MASCULINO (19+)</v>
          </cell>
        </row>
        <row r="9">
          <cell r="A9">
            <v>13</v>
          </cell>
          <cell r="B9" t="str">
            <v xml:space="preserve">SOLÍS  Keiron </v>
          </cell>
          <cell r="C9">
            <v>10088970101</v>
          </cell>
          <cell r="D9" t="str">
            <v>CRC</v>
          </cell>
          <cell r="E9" t="str">
            <v>PEDREGAL -7C</v>
          </cell>
          <cell r="F9" t="str">
            <v>ELITE MASCULINO (19+)</v>
          </cell>
        </row>
        <row r="10">
          <cell r="A10">
            <v>30</v>
          </cell>
          <cell r="B10" t="str">
            <v>ALVARADO Armando*</v>
          </cell>
          <cell r="C10">
            <v>10140483767</v>
          </cell>
          <cell r="D10" t="str">
            <v>CRC</v>
          </cell>
          <cell r="E10" t="str">
            <v xml:space="preserve">CCDR DESAMPARADOS </v>
          </cell>
          <cell r="F10" t="str">
            <v>ELITE MASCULINO (19+)</v>
          </cell>
        </row>
        <row r="11">
          <cell r="A11">
            <v>26</v>
          </cell>
          <cell r="B11" t="str">
            <v>VARGAS  José David*</v>
          </cell>
          <cell r="C11">
            <v>10089547148</v>
          </cell>
          <cell r="D11" t="str">
            <v>CRC</v>
          </cell>
          <cell r="E11" t="str">
            <v xml:space="preserve">COLONO BIKE STATION KOLBI </v>
          </cell>
          <cell r="F11" t="str">
            <v>ELITE MASCULINO (19+)</v>
          </cell>
        </row>
        <row r="12">
          <cell r="A12">
            <v>28</v>
          </cell>
          <cell r="B12" t="str">
            <v>AZOFEIFA Daniel*</v>
          </cell>
          <cell r="C12">
            <v>10120369001</v>
          </cell>
          <cell r="D12" t="str">
            <v>CRC</v>
          </cell>
          <cell r="E12" t="str">
            <v>BOBBYS CYCLING TEAM</v>
          </cell>
          <cell r="F12" t="str">
            <v>ELITE MASCULINO (19+)</v>
          </cell>
        </row>
        <row r="13">
          <cell r="A13">
            <v>29</v>
          </cell>
          <cell r="B13" t="str">
            <v>HIDALGO Stefano*</v>
          </cell>
          <cell r="C13" t="str">
            <v>*</v>
          </cell>
          <cell r="D13" t="str">
            <v>CRC</v>
          </cell>
          <cell r="E13" t="str">
            <v>BOBBYS CYCLING TEAM</v>
          </cell>
          <cell r="F13" t="str">
            <v>ELITE MASCULINO (19+)</v>
          </cell>
        </row>
        <row r="14">
          <cell r="A14">
            <v>37</v>
          </cell>
          <cell r="B14" t="str">
            <v>ROJAS Alejandro*</v>
          </cell>
          <cell r="C14">
            <v>10120252500</v>
          </cell>
          <cell r="D14" t="str">
            <v>CRC</v>
          </cell>
          <cell r="E14" t="str">
            <v>TEAM HC-FERRETERÍA AGUILAR</v>
          </cell>
          <cell r="F14" t="str">
            <v>ELITE MASCULINO (19+)</v>
          </cell>
        </row>
        <row r="15">
          <cell r="A15">
            <v>35</v>
          </cell>
          <cell r="B15" t="str">
            <v>CASTILLO  Alejandro*</v>
          </cell>
          <cell r="C15">
            <v>10113953358</v>
          </cell>
          <cell r="D15" t="str">
            <v>CRC</v>
          </cell>
          <cell r="E15" t="str">
            <v xml:space="preserve">COLONO BIKE STATION KOLBI </v>
          </cell>
          <cell r="F15" t="str">
            <v>ELITE MASCULINO (19+)</v>
          </cell>
        </row>
        <row r="16">
          <cell r="A16">
            <v>39</v>
          </cell>
          <cell r="B16" t="str">
            <v>ROJAS Juan Diego*</v>
          </cell>
          <cell r="C16">
            <v>10109151656</v>
          </cell>
          <cell r="D16" t="str">
            <v>CRC</v>
          </cell>
          <cell r="E16" t="str">
            <v>MEGAMO MANZATÉ LA SELVA</v>
          </cell>
          <cell r="F16" t="str">
            <v>ELITE MASCULINO (19+)</v>
          </cell>
        </row>
        <row r="17">
          <cell r="A17">
            <v>40</v>
          </cell>
          <cell r="B17" t="str">
            <v>GUTIÉRREZ Carlos Daniel*</v>
          </cell>
          <cell r="C17">
            <v>10154842595</v>
          </cell>
          <cell r="D17" t="str">
            <v>CRC</v>
          </cell>
          <cell r="E17" t="str">
            <v>TURRIALBA</v>
          </cell>
          <cell r="F17" t="str">
            <v>ELITE MASCULINO (19+)</v>
          </cell>
        </row>
        <row r="18">
          <cell r="A18">
            <v>41</v>
          </cell>
          <cell r="B18" t="str">
            <v>FERNÁNDEZ  Fabricio Alberto*</v>
          </cell>
          <cell r="C18">
            <v>10113754005</v>
          </cell>
          <cell r="D18" t="str">
            <v>CRC</v>
          </cell>
          <cell r="E18" t="str">
            <v/>
          </cell>
          <cell r="F18" t="str">
            <v>ELITE MASCULINO (19+)</v>
          </cell>
        </row>
        <row r="19">
          <cell r="F19" t="str">
            <v>ELITE MASCULINO (19+)</v>
          </cell>
        </row>
        <row r="20">
          <cell r="F20" t="str">
            <v>ELITE MASCULINO (19+)</v>
          </cell>
        </row>
        <row r="21">
          <cell r="F21" t="str">
            <v>ELITE MASCULINO (19+)</v>
          </cell>
        </row>
        <row r="22">
          <cell r="F22" t="str">
            <v>ELITE MASCULINO (19+)</v>
          </cell>
        </row>
        <row r="23">
          <cell r="F23" t="str">
            <v>ELITE MASCULINO (19+)</v>
          </cell>
        </row>
        <row r="24">
          <cell r="F24" t="str">
            <v>ELITE MASCULINO (19+)</v>
          </cell>
        </row>
        <row r="25">
          <cell r="F25" t="str">
            <v>ELITE MASCULINO (19+)</v>
          </cell>
        </row>
        <row r="26">
          <cell r="F26" t="str">
            <v>ELITE MASCULINO (19+)</v>
          </cell>
        </row>
        <row r="27">
          <cell r="F27" t="str">
            <v>ELITE MASCULINO (19+)</v>
          </cell>
        </row>
        <row r="29">
          <cell r="A29">
            <v>84</v>
          </cell>
          <cell r="B29" t="str">
            <v>ROJAS  Adriana</v>
          </cell>
          <cell r="C29">
            <v>10052898528</v>
          </cell>
          <cell r="D29" t="str">
            <v>CRC</v>
          </cell>
          <cell r="E29" t="str">
            <v xml:space="preserve">ASFALTOS CBZ- DEKRA- MAXXIS </v>
          </cell>
          <cell r="F29" t="str">
            <v>ELITE FEMENINO (19+)</v>
          </cell>
        </row>
        <row r="30">
          <cell r="A30">
            <v>85</v>
          </cell>
          <cell r="B30" t="str">
            <v xml:space="preserve">ESPINOZA  Cristel </v>
          </cell>
          <cell r="C30">
            <v>10059847263</v>
          </cell>
          <cell r="D30" t="str">
            <v>CRC</v>
          </cell>
          <cell r="E30" t="str">
            <v xml:space="preserve">ASFALTOS CBZ / DEKRA / MAXXIS </v>
          </cell>
          <cell r="F30" t="str">
            <v>ELITE FEMENINO (19+)</v>
          </cell>
        </row>
        <row r="31">
          <cell r="A31">
            <v>91</v>
          </cell>
          <cell r="B31" t="str">
            <v>GARCÍA  Isabel*</v>
          </cell>
          <cell r="C31">
            <v>10077498132</v>
          </cell>
          <cell r="D31" t="str">
            <v>CRC</v>
          </cell>
          <cell r="E31" t="str">
            <v xml:space="preserve">COLONO BIKE STATION KOLBI </v>
          </cell>
          <cell r="F31" t="str">
            <v>ELITE FEMENINO (19+)</v>
          </cell>
        </row>
        <row r="32">
          <cell r="A32">
            <v>92</v>
          </cell>
          <cell r="B32" t="str">
            <v>GARCÍA  Marisol*</v>
          </cell>
          <cell r="C32">
            <v>10077498435</v>
          </cell>
          <cell r="D32" t="str">
            <v>CRC</v>
          </cell>
          <cell r="E32" t="str">
            <v xml:space="preserve">COLONO BIKE STATION KOLBI </v>
          </cell>
          <cell r="F32" t="str">
            <v>ELITE FEMENINO (19+)</v>
          </cell>
        </row>
        <row r="33">
          <cell r="A33">
            <v>87</v>
          </cell>
          <cell r="B33" t="str">
            <v>ZELEDÓN  Gabriela</v>
          </cell>
          <cell r="C33">
            <v>10112699836</v>
          </cell>
          <cell r="D33" t="str">
            <v>CRC</v>
          </cell>
          <cell r="E33" t="str">
            <v xml:space="preserve">NUMU COACHING </v>
          </cell>
          <cell r="F33" t="str">
            <v>ELITE FEMENINO (19+)</v>
          </cell>
        </row>
        <row r="34">
          <cell r="A34">
            <v>94</v>
          </cell>
          <cell r="B34" t="str">
            <v>NUÑEZ  Alison*</v>
          </cell>
          <cell r="C34">
            <v>10076571982</v>
          </cell>
          <cell r="D34" t="str">
            <v>CRC</v>
          </cell>
          <cell r="E34" t="str">
            <v xml:space="preserve">DESAMPARADOS BIKE CAFÉ </v>
          </cell>
          <cell r="F34" t="str">
            <v>ELITE FEMENINO (19+)</v>
          </cell>
        </row>
        <row r="35">
          <cell r="A35">
            <v>95</v>
          </cell>
          <cell r="B35" t="str">
            <v>ALVARADO  Elizabeth*</v>
          </cell>
          <cell r="C35">
            <v>10120014242</v>
          </cell>
          <cell r="D35" t="str">
            <v>CRC</v>
          </cell>
          <cell r="E35" t="str">
            <v xml:space="preserve">SANTA ANA </v>
          </cell>
          <cell r="F35" t="str">
            <v>ELITE FEMENINO (19+)</v>
          </cell>
        </row>
        <row r="36">
          <cell r="F36" t="str">
            <v>ELITE FEMENINO (19+)</v>
          </cell>
        </row>
        <row r="37">
          <cell r="F37" t="str">
            <v>ELITE FEMENINO (19+)</v>
          </cell>
        </row>
        <row r="38">
          <cell r="F38" t="str">
            <v>ELITE FEMENINO (19+)</v>
          </cell>
        </row>
        <row r="39">
          <cell r="F39" t="str">
            <v>ELITE FEMENINO (19+)</v>
          </cell>
        </row>
        <row r="41">
          <cell r="A41">
            <v>103</v>
          </cell>
          <cell r="B41" t="str">
            <v xml:space="preserve">ACUÑA  Alejandro </v>
          </cell>
          <cell r="C41">
            <v>10128933895</v>
          </cell>
          <cell r="D41" t="str">
            <v>CRC</v>
          </cell>
          <cell r="E41" t="str">
            <v>TEAM INNOVABIKES SKOLER UH</v>
          </cell>
          <cell r="F41" t="str">
            <v>JUVENIL MASCULINO (17-18)</v>
          </cell>
        </row>
        <row r="42">
          <cell r="A42">
            <v>158</v>
          </cell>
          <cell r="B42" t="str">
            <v xml:space="preserve">QUIRÓS  Neythan </v>
          </cell>
          <cell r="C42">
            <v>10089728923</v>
          </cell>
          <cell r="D42" t="str">
            <v>CRC</v>
          </cell>
          <cell r="E42" t="str">
            <v>TEAM INNOVABIKES SKOLER UH</v>
          </cell>
          <cell r="F42" t="str">
            <v>JUVENIL MASCULINO (17-18)</v>
          </cell>
        </row>
        <row r="43">
          <cell r="A43">
            <v>104</v>
          </cell>
          <cell r="B43" t="str">
            <v xml:space="preserve">NARANJO Didier </v>
          </cell>
          <cell r="C43">
            <v>10116215680</v>
          </cell>
          <cell r="D43" t="str">
            <v>CRC</v>
          </cell>
          <cell r="E43" t="str">
            <v xml:space="preserve">COLONO BIKE STATION KOLBI </v>
          </cell>
          <cell r="F43" t="str">
            <v>JUVENIL MASCULINO (17-18)</v>
          </cell>
        </row>
        <row r="44">
          <cell r="A44">
            <v>105</v>
          </cell>
          <cell r="B44" t="str">
            <v>ULATE Joshua*</v>
          </cell>
          <cell r="C44">
            <v>10141533185</v>
          </cell>
          <cell r="D44" t="str">
            <v>CRC</v>
          </cell>
          <cell r="E44" t="str">
            <v>MECATRONICS/ MCT COMPONENTS</v>
          </cell>
          <cell r="F44" t="str">
            <v>JUVENIL MASCULINO (17-18)</v>
          </cell>
        </row>
        <row r="45">
          <cell r="A45">
            <v>106</v>
          </cell>
          <cell r="B45" t="str">
            <v xml:space="preserve">MANZANARES  Leandro </v>
          </cell>
          <cell r="C45">
            <v>10119593506</v>
          </cell>
          <cell r="D45" t="str">
            <v>CRC</v>
          </cell>
          <cell r="E45" t="str">
            <v xml:space="preserve">CODEA ALAJUELA </v>
          </cell>
          <cell r="F45" t="str">
            <v>JUVENIL MASCULINO (17-18)</v>
          </cell>
        </row>
        <row r="46">
          <cell r="A46">
            <v>109</v>
          </cell>
          <cell r="B46" t="str">
            <v>VEGA Santiago</v>
          </cell>
          <cell r="C46">
            <v>10161160935</v>
          </cell>
          <cell r="D46" t="str">
            <v>CRC</v>
          </cell>
          <cell r="E46" t="str">
            <v>INFINITY BIKE CENTER-CCDR DE ANRANJO</v>
          </cell>
          <cell r="F46" t="str">
            <v>JUVENIL MASCULINO (17-18)</v>
          </cell>
        </row>
        <row r="47">
          <cell r="A47">
            <v>107</v>
          </cell>
          <cell r="B47" t="str">
            <v>MURILLO Sebastián*</v>
          </cell>
          <cell r="C47">
            <v>10171946426</v>
          </cell>
          <cell r="D47" t="str">
            <v>CRC</v>
          </cell>
          <cell r="E47" t="str">
            <v/>
          </cell>
          <cell r="F47" t="str">
            <v>JUVENIL MASCULINO (17-18)</v>
          </cell>
        </row>
        <row r="48">
          <cell r="A48">
            <v>112</v>
          </cell>
          <cell r="B48" t="str">
            <v>FONSECA  Dianey</v>
          </cell>
          <cell r="C48">
            <v>10164774385</v>
          </cell>
          <cell r="D48" t="str">
            <v>CRC</v>
          </cell>
          <cell r="E48" t="str">
            <v/>
          </cell>
          <cell r="F48" t="str">
            <v>JUVENIL MASCULINO (17-18)</v>
          </cell>
        </row>
        <row r="49">
          <cell r="A49">
            <v>108</v>
          </cell>
          <cell r="B49" t="str">
            <v xml:space="preserve">CASASOLA Steven </v>
          </cell>
          <cell r="C49">
            <v>10152456092</v>
          </cell>
          <cell r="D49" t="str">
            <v>CRC</v>
          </cell>
          <cell r="E49" t="str">
            <v xml:space="preserve">PZ CYCLING TEAM </v>
          </cell>
          <cell r="F49" t="str">
            <v>JUVENIL MASCULINO (17-18)</v>
          </cell>
        </row>
        <row r="50">
          <cell r="A50">
            <v>110</v>
          </cell>
          <cell r="B50" t="str">
            <v xml:space="preserve">CAMPOS Matias </v>
          </cell>
          <cell r="C50">
            <v>10131930286</v>
          </cell>
          <cell r="D50" t="str">
            <v>CRC</v>
          </cell>
          <cell r="E50" t="str">
            <v>PZ CYCLING TEAM</v>
          </cell>
          <cell r="F50" t="str">
            <v>JUVENIL MASCULINO (17-18)</v>
          </cell>
        </row>
        <row r="51">
          <cell r="A51">
            <v>114</v>
          </cell>
          <cell r="B51" t="str">
            <v>FALCÓN  Fernando*</v>
          </cell>
          <cell r="C51">
            <v>10165016683</v>
          </cell>
          <cell r="D51" t="str">
            <v>CRC</v>
          </cell>
          <cell r="E51" t="str">
            <v xml:space="preserve">CICLISMO BELÉN </v>
          </cell>
          <cell r="F51" t="str">
            <v>JUVENIL MASCULINO (17-18)</v>
          </cell>
        </row>
        <row r="52">
          <cell r="A52">
            <v>120</v>
          </cell>
          <cell r="B52" t="str">
            <v>ARAYA  Luis</v>
          </cell>
          <cell r="C52" t="str">
            <v>*10164526027</v>
          </cell>
          <cell r="D52" t="str">
            <v>CRC</v>
          </cell>
          <cell r="E52" t="str">
            <v xml:space="preserve">CODEA ALAJUELA </v>
          </cell>
          <cell r="F52" t="str">
            <v>JUVENIL MASCULINO (17-18)</v>
          </cell>
        </row>
        <row r="53">
          <cell r="A53">
            <v>121</v>
          </cell>
          <cell r="B53" t="str">
            <v>CAMPOS Kevin Andrey</v>
          </cell>
          <cell r="C53">
            <v>10142925440</v>
          </cell>
          <cell r="D53" t="str">
            <v>CRC</v>
          </cell>
          <cell r="E53" t="str">
            <v>NUMU COACHING</v>
          </cell>
          <cell r="F53" t="str">
            <v>JUVENIL MASCULINO (17-18)</v>
          </cell>
        </row>
        <row r="54">
          <cell r="A54">
            <v>160</v>
          </cell>
          <cell r="B54" t="str">
            <v>NUÑEZ Axell*</v>
          </cell>
          <cell r="C54">
            <v>10171940059</v>
          </cell>
          <cell r="D54" t="str">
            <v>CRC</v>
          </cell>
          <cell r="E54" t="str">
            <v xml:space="preserve">SANTA ANA </v>
          </cell>
          <cell r="F54" t="str">
            <v>JUVENIL MASCULINO (17-18)</v>
          </cell>
        </row>
        <row r="55">
          <cell r="A55">
            <v>142</v>
          </cell>
          <cell r="B55" t="str">
            <v xml:space="preserve">GÓMEZ  Allan </v>
          </cell>
          <cell r="C55">
            <v>10126142117</v>
          </cell>
          <cell r="D55" t="str">
            <v>CRC</v>
          </cell>
          <cell r="E55" t="str">
            <v xml:space="preserve">VQ ATHLETIC </v>
          </cell>
          <cell r="F55" t="str">
            <v>JUVENIL MASCULINO (17-18)</v>
          </cell>
        </row>
        <row r="56">
          <cell r="A56">
            <v>125</v>
          </cell>
          <cell r="B56" t="str">
            <v>CAMPOS  Janail Emmanuel*</v>
          </cell>
          <cell r="C56">
            <v>10171432932</v>
          </cell>
          <cell r="D56" t="str">
            <v>CRC</v>
          </cell>
          <cell r="E56" t="str">
            <v xml:space="preserve">CCDR NARANJO </v>
          </cell>
          <cell r="F56" t="str">
            <v>JUVENIL MASCULINO (17-18)</v>
          </cell>
        </row>
        <row r="57">
          <cell r="A57">
            <v>126</v>
          </cell>
          <cell r="B57" t="str">
            <v>SOTO Cristian*</v>
          </cell>
          <cell r="C57">
            <v>10151269157</v>
          </cell>
          <cell r="D57" t="str">
            <v>CRC</v>
          </cell>
          <cell r="E57" t="str">
            <v xml:space="preserve">CCDR ESCAZU </v>
          </cell>
          <cell r="F57" t="str">
            <v>JUVENIL MASCULINO (17-18)</v>
          </cell>
        </row>
        <row r="58">
          <cell r="A58">
            <v>122</v>
          </cell>
          <cell r="B58" t="str">
            <v>CRUZ  Alejandro*</v>
          </cell>
          <cell r="C58">
            <v>10133141372</v>
          </cell>
          <cell r="D58" t="str">
            <v>CRC</v>
          </cell>
          <cell r="E58" t="str">
            <v xml:space="preserve">CODEA ALAJUELA EPIC BIKE </v>
          </cell>
          <cell r="F58" t="str">
            <v>JUVENIL MASCULINO (17-18)</v>
          </cell>
        </row>
        <row r="59">
          <cell r="A59">
            <v>119</v>
          </cell>
          <cell r="B59" t="str">
            <v>MENESES  Cesar*</v>
          </cell>
          <cell r="C59" t="str">
            <v xml:space="preserve"> </v>
          </cell>
          <cell r="D59" t="str">
            <v>CRC</v>
          </cell>
          <cell r="E59" t="str">
            <v xml:space="preserve">CCDR PARAÍSO </v>
          </cell>
          <cell r="F59" t="str">
            <v>JUVENIL MASCULINO (17-18)</v>
          </cell>
        </row>
        <row r="60">
          <cell r="A60">
            <v>162</v>
          </cell>
          <cell r="B60" t="str">
            <v>QUESADA  Jerald Jesus*</v>
          </cell>
          <cell r="C60">
            <v>10161111728</v>
          </cell>
          <cell r="D60" t="str">
            <v>CRC</v>
          </cell>
          <cell r="E60" t="str">
            <v>CCDRESCAZU</v>
          </cell>
          <cell r="F60" t="str">
            <v>JUVENIL MASCULINO (17-18)</v>
          </cell>
        </row>
        <row r="61">
          <cell r="A61">
            <v>163</v>
          </cell>
          <cell r="B61" t="str">
            <v>UMAÑA  Devis*</v>
          </cell>
          <cell r="C61">
            <v>11543</v>
          </cell>
          <cell r="D61" t="str">
            <v>CRC</v>
          </cell>
          <cell r="E61" t="str">
            <v xml:space="preserve">CCDR DESAMPARADOS BIKE CAFE </v>
          </cell>
          <cell r="F61" t="str">
            <v>JUVENIL MASCULINO (17-18)</v>
          </cell>
        </row>
        <row r="62">
          <cell r="A62">
            <v>166</v>
          </cell>
          <cell r="B62" t="str">
            <v>GAMBOA  Elian*</v>
          </cell>
          <cell r="C62">
            <v>10131783069</v>
          </cell>
          <cell r="D62" t="str">
            <v>CRC</v>
          </cell>
          <cell r="E62" t="str">
            <v xml:space="preserve">CCDR PARAÍSO </v>
          </cell>
          <cell r="F62" t="str">
            <v>JUVENIL MASCULINO (17-18)</v>
          </cell>
        </row>
        <row r="63">
          <cell r="A63">
            <v>161</v>
          </cell>
          <cell r="B63" t="str">
            <v>THOMAS Dominick*</v>
          </cell>
          <cell r="C63">
            <v>10152284728</v>
          </cell>
          <cell r="D63" t="str">
            <v>CRC</v>
          </cell>
          <cell r="E63" t="str">
            <v xml:space="preserve">CCDR DESAMPARADOS BINE CAFÉ </v>
          </cell>
          <cell r="F63" t="str">
            <v>JUVENIL MASCULINO (17-18)</v>
          </cell>
        </row>
        <row r="64">
          <cell r="A64">
            <v>147</v>
          </cell>
          <cell r="B64" t="str">
            <v>CORRALES Isaac</v>
          </cell>
          <cell r="C64">
            <v>10173505601</v>
          </cell>
          <cell r="D64" t="str">
            <v>CRC</v>
          </cell>
          <cell r="E64" t="str">
            <v>SCOTT SHIMANO CYCLING TEAM</v>
          </cell>
          <cell r="F64" t="str">
            <v>JUVENIL MASCULINO (17-18)</v>
          </cell>
        </row>
        <row r="65">
          <cell r="A65">
            <v>118</v>
          </cell>
          <cell r="B65" t="str">
            <v>RODRIGUEZ  Jose Pablo*</v>
          </cell>
          <cell r="C65">
            <v>10170820014</v>
          </cell>
          <cell r="D65" t="str">
            <v>CRC</v>
          </cell>
          <cell r="E65" t="str">
            <v>CICLISMO BELEN</v>
          </cell>
          <cell r="F65" t="str">
            <v>JUVENIL MASCULINO (17-18)</v>
          </cell>
        </row>
        <row r="66">
          <cell r="A66">
            <v>167</v>
          </cell>
          <cell r="B66" t="str">
            <v xml:space="preserve">RODRIGUEZ  Lenny </v>
          </cell>
          <cell r="C66">
            <v>10152458823</v>
          </cell>
          <cell r="D66" t="str">
            <v>CRC</v>
          </cell>
          <cell r="E66" t="str">
            <v xml:space="preserve">CCDR DESAMPARADOS BIKE CAFÉ </v>
          </cell>
          <cell r="F66" t="str">
            <v>JUVENIL MASCULINO (17-18)</v>
          </cell>
        </row>
        <row r="67">
          <cell r="A67">
            <v>168</v>
          </cell>
          <cell r="B67" t="str">
            <v>FERNANDEZ  Jose Eduardo</v>
          </cell>
          <cell r="C67">
            <v>10168944678</v>
          </cell>
          <cell r="D67" t="str">
            <v>CRC</v>
          </cell>
          <cell r="E67" t="str">
            <v>TURRIALBA</v>
          </cell>
          <cell r="F67" t="str">
            <v>JUVENIL MASCULINO (17-18)</v>
          </cell>
        </row>
        <row r="68">
          <cell r="A68">
            <v>124</v>
          </cell>
          <cell r="B68" t="str">
            <v>PORRAS Santiago*</v>
          </cell>
          <cell r="C68">
            <v>10171656234</v>
          </cell>
          <cell r="D68" t="str">
            <v>CRC</v>
          </cell>
          <cell r="E68" t="str">
            <v xml:space="preserve">CICLISMO BELÉN </v>
          </cell>
          <cell r="F68" t="str">
            <v>JUVENIL MASCULINO (17-18)</v>
          </cell>
        </row>
        <row r="69">
          <cell r="A69">
            <v>143</v>
          </cell>
          <cell r="B69" t="str">
            <v>MARCHENA Ethan Daniel*</v>
          </cell>
          <cell r="C69">
            <v>10166647596</v>
          </cell>
          <cell r="D69" t="str">
            <v>CRC</v>
          </cell>
          <cell r="E69" t="str">
            <v>CCDR SANTA CRUZ</v>
          </cell>
          <cell r="F69" t="str">
            <v>JUVENIL MASCULINO (17-18)</v>
          </cell>
        </row>
        <row r="70">
          <cell r="A70">
            <v>164</v>
          </cell>
          <cell r="B70" t="str">
            <v xml:space="preserve">SÁNCHEZ  Bruce </v>
          </cell>
          <cell r="C70">
            <v>10164035670</v>
          </cell>
          <cell r="D70" t="str">
            <v>CRC</v>
          </cell>
          <cell r="E70" t="str">
            <v xml:space="preserve">ACISA SARAPIQUI </v>
          </cell>
          <cell r="F70" t="str">
            <v>JUVENIL MASCULINO (17-18)</v>
          </cell>
        </row>
        <row r="71">
          <cell r="A71">
            <v>165</v>
          </cell>
          <cell r="B71" t="str">
            <v>GUILLEN Samuel</v>
          </cell>
          <cell r="C71">
            <v>10129953611</v>
          </cell>
          <cell r="D71" t="str">
            <v>CRC</v>
          </cell>
          <cell r="E71" t="str">
            <v>CCDR SAN JOSE</v>
          </cell>
          <cell r="F71" t="str">
            <v>JUVENIL MASCULINO (17-18)</v>
          </cell>
        </row>
        <row r="72">
          <cell r="A72">
            <v>169</v>
          </cell>
          <cell r="B72" t="str">
            <v xml:space="preserve">VARGAS  Justin </v>
          </cell>
          <cell r="C72">
            <v>765065370</v>
          </cell>
          <cell r="D72" t="str">
            <v>CRC</v>
          </cell>
          <cell r="E72" t="str">
            <v>SOTO TRAINING -CCDR LIBERIA</v>
          </cell>
          <cell r="F72" t="str">
            <v>JUVENIL MASCULINO (17-18)</v>
          </cell>
        </row>
        <row r="73">
          <cell r="A73">
            <v>170</v>
          </cell>
          <cell r="B73" t="str">
            <v>PEREIRA Keiner*</v>
          </cell>
          <cell r="C73" t="str">
            <v>*10104119376</v>
          </cell>
          <cell r="D73" t="str">
            <v>CRC</v>
          </cell>
          <cell r="E73" t="str">
            <v>TEAM TIERNITICOS-ELKY FERRETERÍA BIORACER</v>
          </cell>
          <cell r="F73" t="str">
            <v>JUVENIL MASCULINO (17-18)</v>
          </cell>
        </row>
        <row r="74">
          <cell r="A74">
            <v>171</v>
          </cell>
          <cell r="B74" t="str">
            <v>MORA Jeferson*</v>
          </cell>
          <cell r="C74">
            <v>12311</v>
          </cell>
          <cell r="D74" t="str">
            <v>CRC</v>
          </cell>
          <cell r="E74" t="str">
            <v xml:space="preserve">PZ CYCLING TEAM </v>
          </cell>
          <cell r="F74" t="str">
            <v>JUVENIL MASCULINO (17-18)</v>
          </cell>
        </row>
        <row r="75">
          <cell r="F75" t="str">
            <v>JUVENIL MASCULINO (17-18)</v>
          </cell>
        </row>
        <row r="76">
          <cell r="F76" t="str">
            <v>JUVENIL MASCULINO (17-18)</v>
          </cell>
        </row>
        <row r="77">
          <cell r="F77" t="str">
            <v>JUVENIL MASCULINO (17-18)</v>
          </cell>
        </row>
        <row r="78">
          <cell r="F78" t="str">
            <v>JUVENIL MASCULINO (17-18)</v>
          </cell>
        </row>
        <row r="79">
          <cell r="F79" t="str">
            <v>JUVENIL MASCULINO (17-18)</v>
          </cell>
        </row>
        <row r="80">
          <cell r="F80" t="str">
            <v>JUVENIL MASCULINO (17-18)</v>
          </cell>
        </row>
        <row r="81">
          <cell r="F81" t="str">
            <v>JUVENIL MASCULINO (17-18)</v>
          </cell>
        </row>
        <row r="82">
          <cell r="F82" t="str">
            <v>JUVENIL MASCULINO (17-18)</v>
          </cell>
        </row>
        <row r="83">
          <cell r="F83" t="str">
            <v>JUVENIL MASCULINO (17-18)</v>
          </cell>
        </row>
        <row r="84">
          <cell r="F84" t="str">
            <v>JUVENIL MASCULINO (17-18)</v>
          </cell>
        </row>
        <row r="85">
          <cell r="F85" t="str">
            <v>JUVENIL MASCULINO (17-18)</v>
          </cell>
        </row>
        <row r="86">
          <cell r="F86" t="str">
            <v>JUVENIL MASCULINO (17-18)</v>
          </cell>
        </row>
        <row r="87">
          <cell r="F87" t="str">
            <v>JUVENIL MASCULINO (17-18)</v>
          </cell>
        </row>
        <row r="88">
          <cell r="F88" t="str">
            <v>JUVENIL MASCULINO (17-18)</v>
          </cell>
        </row>
        <row r="89">
          <cell r="F89" t="str">
            <v>JUVENIL MASCULINO (17-18)</v>
          </cell>
        </row>
        <row r="91">
          <cell r="A91">
            <v>263</v>
          </cell>
          <cell r="B91" t="str">
            <v xml:space="preserve">MADRIGAL  Maidelyn  </v>
          </cell>
          <cell r="C91">
            <v>10122460056</v>
          </cell>
          <cell r="D91" t="str">
            <v>CRC</v>
          </cell>
          <cell r="E91" t="str">
            <v>TEAM INNOVABIKES SKOLER UH</v>
          </cell>
          <cell r="F91" t="str">
            <v>JUVENIL FEMENINO (17-18)</v>
          </cell>
        </row>
        <row r="92">
          <cell r="A92">
            <v>264</v>
          </cell>
          <cell r="B92" t="str">
            <v>BARQUERO  Brenda*</v>
          </cell>
          <cell r="C92">
            <v>10141535916</v>
          </cell>
          <cell r="D92" t="str">
            <v>CRC</v>
          </cell>
          <cell r="E92" t="str">
            <v xml:space="preserve">CCDR BUENOS AIRES </v>
          </cell>
          <cell r="F92" t="str">
            <v>JUVENIL FEMENINO (17-18)</v>
          </cell>
        </row>
        <row r="93">
          <cell r="A93">
            <v>265</v>
          </cell>
          <cell r="B93" t="str">
            <v>RIVERA  Leonor*</v>
          </cell>
          <cell r="C93">
            <v>10164933831</v>
          </cell>
          <cell r="D93" t="str">
            <v>CRC</v>
          </cell>
          <cell r="E93" t="str">
            <v xml:space="preserve">CCDR ESCAZÚ </v>
          </cell>
          <cell r="F93" t="str">
            <v>JUVENIL FEMENINO (17-18)</v>
          </cell>
        </row>
        <row r="94">
          <cell r="A94">
            <v>266</v>
          </cell>
          <cell r="B94" t="str">
            <v>ALVARADO  Jimena*</v>
          </cell>
          <cell r="C94">
            <v>10103913858</v>
          </cell>
          <cell r="D94" t="str">
            <v>CRC</v>
          </cell>
          <cell r="E94" t="str">
            <v>CCDR LIMÓN</v>
          </cell>
          <cell r="F94" t="str">
            <v>JUVENIL FEMENINO (17-18)</v>
          </cell>
        </row>
        <row r="95">
          <cell r="A95">
            <v>267</v>
          </cell>
          <cell r="B95" t="str">
            <v>CALVO Fiorella</v>
          </cell>
          <cell r="C95" t="str">
            <v xml:space="preserve"> </v>
          </cell>
          <cell r="D95" t="str">
            <v>CRC</v>
          </cell>
          <cell r="E95" t="str">
            <v xml:space="preserve">ASOCIACIÓN CICLISTICA GRECIA </v>
          </cell>
          <cell r="F95" t="str">
            <v>JUVENIL FEMENINO (17-18)</v>
          </cell>
        </row>
        <row r="97">
          <cell r="A97">
            <v>301</v>
          </cell>
          <cell r="B97" t="str">
            <v xml:space="preserve">GARCÍA  Miguel </v>
          </cell>
          <cell r="C97">
            <v>120760930</v>
          </cell>
          <cell r="D97" t="str">
            <v>CRC</v>
          </cell>
          <cell r="E97" t="str">
            <v xml:space="preserve">COLONO BIKE STATION KOLBI </v>
          </cell>
          <cell r="F97" t="str">
            <v>PREJUVENIL MASCULINO (15-16)</v>
          </cell>
        </row>
        <row r="98">
          <cell r="A98">
            <v>307</v>
          </cell>
          <cell r="B98" t="str">
            <v>ARIAS Daniel*</v>
          </cell>
          <cell r="C98">
            <v>10153824200</v>
          </cell>
          <cell r="D98" t="str">
            <v>CRC</v>
          </cell>
          <cell r="E98" t="str">
            <v xml:space="preserve">CICLISMO BELÉN </v>
          </cell>
          <cell r="F98" t="str">
            <v>PREJUVENIL MASCULINO (15-16)</v>
          </cell>
        </row>
        <row r="99">
          <cell r="A99">
            <v>311</v>
          </cell>
          <cell r="B99" t="str">
            <v>SABALLO Joshua</v>
          </cell>
          <cell r="C99">
            <v>10128424344</v>
          </cell>
          <cell r="D99" t="str">
            <v>CRC</v>
          </cell>
          <cell r="E99" t="str">
            <v xml:space="preserve">CICLISMO BELÉN </v>
          </cell>
          <cell r="F99" t="str">
            <v>PREJUVENIL MASCULINO (15-16)</v>
          </cell>
        </row>
        <row r="100">
          <cell r="A100">
            <v>302</v>
          </cell>
          <cell r="B100" t="str">
            <v>CAMPOS  Isaac*</v>
          </cell>
          <cell r="C100">
            <v>10128933895</v>
          </cell>
          <cell r="D100" t="str">
            <v>CRC</v>
          </cell>
          <cell r="E100" t="str">
            <v xml:space="preserve">COLONO BIKE STATION KOLBI </v>
          </cell>
          <cell r="F100" t="str">
            <v>PREJUVENIL MASCULINO (15-16)</v>
          </cell>
        </row>
        <row r="101">
          <cell r="A101">
            <v>303</v>
          </cell>
          <cell r="B101" t="str">
            <v>HERNÁNDEZ  Walter David*</v>
          </cell>
          <cell r="C101">
            <v>10152378694</v>
          </cell>
          <cell r="D101" t="str">
            <v>CRC</v>
          </cell>
          <cell r="E101" t="str">
            <v>SANTA ANA / HDZ TEAM</v>
          </cell>
          <cell r="F101" t="str">
            <v>PREJUVENIL MASCULINO (15-16)</v>
          </cell>
        </row>
        <row r="102">
          <cell r="A102">
            <v>304</v>
          </cell>
          <cell r="B102" t="str">
            <v>RODRIGUEZ Esteban Marcelo*</v>
          </cell>
          <cell r="C102">
            <v>10156150681</v>
          </cell>
          <cell r="D102" t="str">
            <v>CRC</v>
          </cell>
          <cell r="E102" t="str">
            <v>MEGAMO MANZATÉ LA SELVA</v>
          </cell>
          <cell r="F102" t="str">
            <v>PREJUVENIL MASCULINO (15-16)</v>
          </cell>
        </row>
        <row r="103">
          <cell r="A103">
            <v>321</v>
          </cell>
          <cell r="B103" t="str">
            <v>AGUILAR Luciano</v>
          </cell>
          <cell r="C103" t="str">
            <v xml:space="preserve"> </v>
          </cell>
          <cell r="D103" t="str">
            <v>CRC</v>
          </cell>
          <cell r="E103" t="str">
            <v xml:space="preserve">CODEA ALAJUELA </v>
          </cell>
          <cell r="F103" t="str">
            <v>PREJUVENIL MASCULINO (15-16)</v>
          </cell>
        </row>
        <row r="104">
          <cell r="A104">
            <v>333</v>
          </cell>
          <cell r="B104" t="str">
            <v>SOTO Sebastian</v>
          </cell>
          <cell r="C104" t="str">
            <v xml:space="preserve">504930380 930380 </v>
          </cell>
          <cell r="D104" t="str">
            <v>CRC</v>
          </cell>
          <cell r="E104" t="str">
            <v xml:space="preserve">CODEA ALAJUELA </v>
          </cell>
          <cell r="F104" t="str">
            <v>PREJUVENIL MASCULINO (15-16)</v>
          </cell>
        </row>
        <row r="105">
          <cell r="A105">
            <v>337</v>
          </cell>
          <cell r="B105" t="str">
            <v xml:space="preserve">CORRALES  Billy </v>
          </cell>
          <cell r="C105">
            <v>10173459020</v>
          </cell>
          <cell r="D105" t="str">
            <v>CRC</v>
          </cell>
          <cell r="E105" t="str">
            <v xml:space="preserve">NUMU COACHING </v>
          </cell>
          <cell r="F105" t="str">
            <v>PREJUVENIL MASCULINO (15-16)</v>
          </cell>
        </row>
        <row r="106">
          <cell r="A106">
            <v>327</v>
          </cell>
          <cell r="B106" t="str">
            <v xml:space="preserve">ACUÑA  Felipe </v>
          </cell>
          <cell r="C106">
            <v>10171445864</v>
          </cell>
          <cell r="D106" t="str">
            <v>CRC</v>
          </cell>
          <cell r="E106" t="str">
            <v>CCDR NARANJO</v>
          </cell>
          <cell r="F106" t="str">
            <v>PREJUVENIL MASCULINO (15-16)</v>
          </cell>
        </row>
        <row r="107">
          <cell r="A107">
            <v>314</v>
          </cell>
          <cell r="B107" t="str">
            <v>HERRERO  Josué*</v>
          </cell>
          <cell r="C107">
            <v>10164592614</v>
          </cell>
          <cell r="D107" t="str">
            <v>CRC</v>
          </cell>
          <cell r="E107" t="str">
            <v xml:space="preserve">CICLISMO BELÉN </v>
          </cell>
          <cell r="F107" t="str">
            <v>PREJUVENIL MASCULINO (15-16)</v>
          </cell>
        </row>
        <row r="108">
          <cell r="A108">
            <v>305</v>
          </cell>
          <cell r="B108" t="str">
            <v>BRICEÑO  Mike Josué*</v>
          </cell>
          <cell r="C108">
            <v>10152909669</v>
          </cell>
          <cell r="D108" t="str">
            <v>CRC</v>
          </cell>
          <cell r="E108" t="str">
            <v>CCDR SANTA CRUZ/TEAM COSTA FRUT</v>
          </cell>
          <cell r="F108" t="str">
            <v>PREJUVENIL MASCULINO (15-16)</v>
          </cell>
        </row>
        <row r="109">
          <cell r="A109">
            <v>309</v>
          </cell>
          <cell r="B109" t="str">
            <v>HERNANDEZ Felipe</v>
          </cell>
          <cell r="C109" t="str">
            <v>*</v>
          </cell>
          <cell r="D109" t="str">
            <v>CRC</v>
          </cell>
          <cell r="E109" t="str">
            <v>BELÉN</v>
          </cell>
          <cell r="F109" t="str">
            <v>PREJUVENIL MASCULINO (15-16)</v>
          </cell>
        </row>
        <row r="110">
          <cell r="A110">
            <v>319</v>
          </cell>
          <cell r="B110" t="str">
            <v>GARITA  Damián*</v>
          </cell>
          <cell r="C110" t="str">
            <v>*10155992956</v>
          </cell>
          <cell r="D110" t="str">
            <v>CRC</v>
          </cell>
          <cell r="E110" t="str">
            <v xml:space="preserve">CCDR SAN JOSÉ </v>
          </cell>
          <cell r="F110" t="str">
            <v>PREJUVENIL MASCULINO (15-16)</v>
          </cell>
        </row>
        <row r="111">
          <cell r="A111">
            <v>326</v>
          </cell>
          <cell r="B111" t="str">
            <v>MEDINA Anders</v>
          </cell>
          <cell r="C111" t="str">
            <v>*10120480953</v>
          </cell>
          <cell r="D111" t="str">
            <v>CRC</v>
          </cell>
          <cell r="E111" t="str">
            <v>CCDR ESCAZÚ</v>
          </cell>
          <cell r="F111" t="str">
            <v>PREJUVENIL MASCULINO (15-16)</v>
          </cell>
        </row>
        <row r="112">
          <cell r="A112">
            <v>310</v>
          </cell>
          <cell r="B112" t="str">
            <v xml:space="preserve">SEGURA  Thomas </v>
          </cell>
          <cell r="C112">
            <v>10140942495</v>
          </cell>
          <cell r="D112" t="str">
            <v>CRC</v>
          </cell>
          <cell r="E112" t="str">
            <v xml:space="preserve">CICLISMO BELÉN </v>
          </cell>
          <cell r="F112" t="str">
            <v>PREJUVENIL MASCULINO (15-16)</v>
          </cell>
        </row>
        <row r="113">
          <cell r="A113">
            <v>336</v>
          </cell>
          <cell r="B113" t="str">
            <v xml:space="preserve">ALFARO  Yahel </v>
          </cell>
          <cell r="C113">
            <v>10173205507</v>
          </cell>
          <cell r="D113" t="str">
            <v>CRC</v>
          </cell>
          <cell r="E113" t="str">
            <v xml:space="preserve">CCDR GUÁCIMO </v>
          </cell>
          <cell r="F113" t="str">
            <v>PREJUVENIL MASCULINO (15-16)</v>
          </cell>
        </row>
        <row r="114">
          <cell r="A114">
            <v>306</v>
          </cell>
          <cell r="B114" t="str">
            <v xml:space="preserve">VARELA  Mathias </v>
          </cell>
          <cell r="C114">
            <v>43223</v>
          </cell>
          <cell r="D114" t="str">
            <v>CRC</v>
          </cell>
          <cell r="E114" t="str">
            <v>CICLISMO BELEN</v>
          </cell>
          <cell r="F114" t="str">
            <v>PREJUVENIL MASCULINO (15-16)</v>
          </cell>
        </row>
        <row r="115">
          <cell r="A115">
            <v>332</v>
          </cell>
          <cell r="B115" t="str">
            <v>SEGURA Isaac*</v>
          </cell>
          <cell r="C115">
            <v>10166671242</v>
          </cell>
          <cell r="D115" t="str">
            <v>CRC</v>
          </cell>
          <cell r="E115" t="str">
            <v/>
          </cell>
          <cell r="F115" t="str">
            <v>PREJUVENIL MASCULINO (15-16)</v>
          </cell>
        </row>
        <row r="116">
          <cell r="A116">
            <v>342</v>
          </cell>
          <cell r="B116" t="str">
            <v>RODRÍGUEZ Dylan Fabian*</v>
          </cell>
          <cell r="C116">
            <v>10166012652</v>
          </cell>
          <cell r="D116" t="str">
            <v>CRC</v>
          </cell>
          <cell r="E116" t="str">
            <v xml:space="preserve">CODEA </v>
          </cell>
          <cell r="F116" t="str">
            <v>PREJUVENIL MASCULINO (15-16)</v>
          </cell>
        </row>
        <row r="117">
          <cell r="A117">
            <v>316</v>
          </cell>
          <cell r="B117" t="str">
            <v xml:space="preserve">CHAVES  Emanuel </v>
          </cell>
          <cell r="C117" t="str">
            <v xml:space="preserve"> </v>
          </cell>
          <cell r="D117" t="str">
            <v>CRC</v>
          </cell>
          <cell r="E117" t="str">
            <v xml:space="preserve">CCDR PARAÍSO </v>
          </cell>
          <cell r="F117" t="str">
            <v>PREJUVENIL MASCULINO (15-16)</v>
          </cell>
        </row>
        <row r="118">
          <cell r="A118">
            <v>343</v>
          </cell>
          <cell r="B118" t="str">
            <v xml:space="preserve">VARGAS  David </v>
          </cell>
          <cell r="C118" t="str">
            <v>*</v>
          </cell>
          <cell r="D118" t="str">
            <v>CRC</v>
          </cell>
          <cell r="E118" t="str">
            <v xml:space="preserve">ACISA SARAPIQUÍ </v>
          </cell>
          <cell r="F118" t="str">
            <v>PREJUVENIL MASCULINO (15-16)</v>
          </cell>
        </row>
        <row r="119">
          <cell r="A119">
            <v>348</v>
          </cell>
          <cell r="B119" t="str">
            <v>FERNÁNDEZ  Sebastián*</v>
          </cell>
          <cell r="C119">
            <v>10165439746</v>
          </cell>
          <cell r="D119" t="str">
            <v>CRC</v>
          </cell>
          <cell r="E119" t="str">
            <v xml:space="preserve">ASOCIACIÓN CICLISTICA TURRIALBA </v>
          </cell>
          <cell r="F119" t="str">
            <v>PREJUVENIL MASCULINO (15-16)</v>
          </cell>
        </row>
        <row r="120">
          <cell r="A120">
            <v>320</v>
          </cell>
          <cell r="B120" t="str">
            <v xml:space="preserve">SUNSIN  Eithan </v>
          </cell>
          <cell r="C120">
            <v>10136994902</v>
          </cell>
          <cell r="D120" t="str">
            <v>CRC</v>
          </cell>
          <cell r="E120" t="str">
            <v xml:space="preserve">ACISA </v>
          </cell>
          <cell r="F120" t="str">
            <v>PREJUVENIL MASCULINO (15-16)</v>
          </cell>
        </row>
        <row r="121">
          <cell r="A121">
            <v>341</v>
          </cell>
          <cell r="B121" t="str">
            <v xml:space="preserve">ZUMBADO  Yaikel </v>
          </cell>
          <cell r="C121">
            <v>209350007</v>
          </cell>
          <cell r="D121" t="str">
            <v>CRC</v>
          </cell>
          <cell r="E121" t="str">
            <v>CODEA</v>
          </cell>
          <cell r="F121" t="str">
            <v>PREJUVENIL MASCULINO (15-16)</v>
          </cell>
        </row>
        <row r="122">
          <cell r="A122">
            <v>346</v>
          </cell>
          <cell r="B122" t="str">
            <v xml:space="preserve">NUÑEZ  Lorenzo </v>
          </cell>
          <cell r="C122">
            <v>10127119086</v>
          </cell>
          <cell r="D122" t="str">
            <v>CRC</v>
          </cell>
          <cell r="E122" t="str">
            <v>TEAM- TIERNITICOS- ELKY FERRETERÍA- BIORACER</v>
          </cell>
          <cell r="F122" t="str">
            <v>PREJUVENIL MASCULINO (15-16)</v>
          </cell>
        </row>
        <row r="123">
          <cell r="A123">
            <v>329</v>
          </cell>
          <cell r="B123" t="str">
            <v xml:space="preserve">RAMIREZ  Adrián </v>
          </cell>
          <cell r="C123">
            <v>10144442579</v>
          </cell>
          <cell r="D123" t="str">
            <v>CRC</v>
          </cell>
          <cell r="E123" t="str">
            <v xml:space="preserve">CCDR SAN JOSÉ </v>
          </cell>
          <cell r="F123" t="str">
            <v>PREJUVENIL MASCULINO (15-16)</v>
          </cell>
        </row>
        <row r="124">
          <cell r="A124">
            <v>317</v>
          </cell>
          <cell r="B124" t="str">
            <v>MOYA  Santiago*</v>
          </cell>
          <cell r="C124" t="str">
            <v xml:space="preserve"> </v>
          </cell>
          <cell r="D124" t="str">
            <v>CRC</v>
          </cell>
          <cell r="E124" t="str">
            <v xml:space="preserve">CCDR PARAÍSO </v>
          </cell>
          <cell r="F124" t="str">
            <v>PREJUVENIL MASCULINO (15-16)</v>
          </cell>
        </row>
        <row r="125">
          <cell r="A125">
            <v>324</v>
          </cell>
          <cell r="B125" t="str">
            <v>ALVAREZ  Mateo*</v>
          </cell>
          <cell r="C125">
            <v>10161110819</v>
          </cell>
          <cell r="D125" t="str">
            <v>CRC</v>
          </cell>
          <cell r="E125" t="str">
            <v>CCDR ESCAZU</v>
          </cell>
          <cell r="F125" t="str">
            <v>PREJUVENIL MASCULINO (15-16)</v>
          </cell>
        </row>
        <row r="126">
          <cell r="A126">
            <v>340</v>
          </cell>
          <cell r="B126" t="str">
            <v>GUEVARA Esteban Mauricio*</v>
          </cell>
          <cell r="C126">
            <v>10166711557</v>
          </cell>
          <cell r="D126" t="str">
            <v>CRC</v>
          </cell>
          <cell r="E126" t="str">
            <v>CCDR SANTA CRUZ</v>
          </cell>
          <cell r="F126" t="str">
            <v>PREJUVENIL MASCULINO (15-16)</v>
          </cell>
        </row>
        <row r="127">
          <cell r="A127">
            <v>351</v>
          </cell>
          <cell r="B127" t="str">
            <v xml:space="preserve">SALAS  Matías </v>
          </cell>
          <cell r="C127">
            <v>10152378795</v>
          </cell>
          <cell r="D127" t="str">
            <v>CRC</v>
          </cell>
          <cell r="E127" t="str">
            <v>CODEA</v>
          </cell>
          <cell r="F127" t="str">
            <v>PREJUVENIL MASCULINO (15-16)</v>
          </cell>
        </row>
        <row r="128">
          <cell r="A128">
            <v>352</v>
          </cell>
          <cell r="B128" t="str">
            <v>PORTUGUÉS  Mathias*</v>
          </cell>
          <cell r="C128" t="str">
            <v xml:space="preserve"> </v>
          </cell>
          <cell r="D128" t="str">
            <v>CRC</v>
          </cell>
          <cell r="E128" t="str">
            <v xml:space="preserve">CCDR PARAÍSO </v>
          </cell>
          <cell r="F128" t="str">
            <v>PREJUVENIL MASCULINO (15-16)</v>
          </cell>
        </row>
        <row r="129">
          <cell r="A129">
            <v>312</v>
          </cell>
          <cell r="B129" t="str">
            <v>VARGAS Saul*</v>
          </cell>
          <cell r="C129">
            <v>10162918251</v>
          </cell>
          <cell r="D129" t="str">
            <v>CRC</v>
          </cell>
          <cell r="E129" t="str">
            <v>ULTIMATE TEAM</v>
          </cell>
          <cell r="F129" t="str">
            <v>PREJUVENIL MASCULINO (15-16)</v>
          </cell>
        </row>
        <row r="130">
          <cell r="A130">
            <v>353</v>
          </cell>
          <cell r="B130" t="str">
            <v xml:space="preserve">CUBERO Sebastián </v>
          </cell>
          <cell r="C130">
            <v>10162144574</v>
          </cell>
          <cell r="D130" t="str">
            <v>CRC</v>
          </cell>
          <cell r="E130" t="str">
            <v>CCDR CARTAGO</v>
          </cell>
          <cell r="F130" t="str">
            <v>PREJUVENIL MASCULINO (15-16)</v>
          </cell>
        </row>
        <row r="131">
          <cell r="A131">
            <v>354</v>
          </cell>
          <cell r="B131" t="str">
            <v>PIZARRO  Jose Alejandro*</v>
          </cell>
          <cell r="C131">
            <v>10176535536</v>
          </cell>
          <cell r="D131" t="str">
            <v>CRC</v>
          </cell>
          <cell r="E131" t="str">
            <v xml:space="preserve">CCDR SANTA CRUZ </v>
          </cell>
          <cell r="F131" t="str">
            <v>PREJUVENIL MASCULINO (15-16)</v>
          </cell>
        </row>
        <row r="132">
          <cell r="A132">
            <v>355</v>
          </cell>
          <cell r="B132" t="str">
            <v>ALVAREZ Deyler*</v>
          </cell>
          <cell r="C132">
            <v>10170089480</v>
          </cell>
          <cell r="D132" t="str">
            <v>CRC</v>
          </cell>
          <cell r="E132" t="str">
            <v>CCDR MATINA-CICLO SALAS BATAAN</v>
          </cell>
          <cell r="F132" t="str">
            <v>PREJUVENIL MASCULINO (15-16)</v>
          </cell>
        </row>
        <row r="133">
          <cell r="A133">
            <v>356</v>
          </cell>
          <cell r="B133" t="str">
            <v>GUIDO  Sebastián Manuel*</v>
          </cell>
          <cell r="C133" t="str">
            <v>101 765 360 41</v>
          </cell>
          <cell r="D133" t="str">
            <v>CRC</v>
          </cell>
          <cell r="E133" t="str">
            <v xml:space="preserve">CCDR SANTA CRUZ </v>
          </cell>
          <cell r="F133" t="str">
            <v>PREJUVENIL MASCULINO (15-16)</v>
          </cell>
        </row>
        <row r="134">
          <cell r="A134">
            <v>357</v>
          </cell>
          <cell r="B134" t="str">
            <v xml:space="preserve">CASTRO  Carlos Isaac </v>
          </cell>
          <cell r="C134" t="str">
            <v>LD</v>
          </cell>
          <cell r="D134" t="str">
            <v>CRC</v>
          </cell>
          <cell r="E134" t="str">
            <v xml:space="preserve">COMITÉ DE DEPORTES DE ACOSTA </v>
          </cell>
          <cell r="F134" t="str">
            <v>PREJUVENIL MASCULINO (15-16)</v>
          </cell>
        </row>
        <row r="135">
          <cell r="F135" t="str">
            <v>PREJUVENIL MASCULINO (15-16)</v>
          </cell>
        </row>
        <row r="136">
          <cell r="F136" t="str">
            <v>PREJUVENIL MASCULINO (15-16)</v>
          </cell>
        </row>
        <row r="137">
          <cell r="F137" t="str">
            <v>PREJUVENIL MASCULINO (15-16)</v>
          </cell>
        </row>
        <row r="139">
          <cell r="A139">
            <v>381</v>
          </cell>
          <cell r="B139" t="str">
            <v>JIMENEZ Briana</v>
          </cell>
          <cell r="C139">
            <v>10125653679</v>
          </cell>
          <cell r="D139" t="str">
            <v>CRC</v>
          </cell>
          <cell r="E139" t="str">
            <v>BOBBYS CYCLING TEAM</v>
          </cell>
          <cell r="F139" t="str">
            <v>PREJUVENIL FEMENINO (15-16)</v>
          </cell>
        </row>
        <row r="140">
          <cell r="A140">
            <v>387</v>
          </cell>
          <cell r="B140" t="str">
            <v>AZOFEIFA  Sofia*</v>
          </cell>
          <cell r="C140" t="str">
            <v xml:space="preserve"> </v>
          </cell>
          <cell r="D140" t="str">
            <v>CRC</v>
          </cell>
          <cell r="E140" t="str">
            <v>BOBBYS CYCLING TEAM</v>
          </cell>
          <cell r="F140" t="str">
            <v>PREJUVENIL FEMENINO (15-16)</v>
          </cell>
        </row>
        <row r="141">
          <cell r="A141">
            <v>384</v>
          </cell>
          <cell r="B141" t="str">
            <v>SOLIS Nathalia Fabiana*</v>
          </cell>
          <cell r="C141">
            <v>10141538340</v>
          </cell>
          <cell r="D141" t="str">
            <v>CRC</v>
          </cell>
          <cell r="E141" t="str">
            <v xml:space="preserve">CCDR ALAJUELA </v>
          </cell>
          <cell r="F141" t="str">
            <v>PREJUVENIL FEMENINO (15-16)</v>
          </cell>
        </row>
        <row r="142">
          <cell r="A142">
            <v>388</v>
          </cell>
          <cell r="B142" t="str">
            <v>CÉSPEDES  Isabella Jazlene*</v>
          </cell>
          <cell r="C142">
            <v>10128284605</v>
          </cell>
          <cell r="D142" t="str">
            <v>CRC</v>
          </cell>
          <cell r="E142" t="str">
            <v xml:space="preserve">SKALA MONTEVERDE/ CCDR MONTEVERDE </v>
          </cell>
          <cell r="F142" t="str">
            <v>PREJUVENIL FEMENINO (15-16)</v>
          </cell>
        </row>
        <row r="143">
          <cell r="A143">
            <v>386</v>
          </cell>
          <cell r="B143" t="str">
            <v>LIZANO Nicole Daniela</v>
          </cell>
          <cell r="C143">
            <v>10152378391</v>
          </cell>
          <cell r="D143" t="str">
            <v>CRC</v>
          </cell>
          <cell r="E143" t="str">
            <v>MEGAMO MANZATÉ LA SELVA</v>
          </cell>
          <cell r="F143" t="str">
            <v>PREJUVENIL FEMENINO (15-16)</v>
          </cell>
        </row>
        <row r="144">
          <cell r="A144">
            <v>385</v>
          </cell>
          <cell r="B144" t="str">
            <v>OVIEDO Camila</v>
          </cell>
          <cell r="C144" t="str">
            <v>*10171339063</v>
          </cell>
          <cell r="D144" t="str">
            <v>CRC</v>
          </cell>
          <cell r="E144" t="str">
            <v xml:space="preserve">CICLISMO BELEN </v>
          </cell>
          <cell r="F144" t="str">
            <v>PREJUVENIL FEMENINO (15-16)</v>
          </cell>
        </row>
        <row r="145">
          <cell r="A145">
            <v>382</v>
          </cell>
          <cell r="B145" t="str">
            <v>CASTRO Camila</v>
          </cell>
          <cell r="C145">
            <v>10128546909</v>
          </cell>
          <cell r="D145" t="str">
            <v>CRC</v>
          </cell>
          <cell r="E145" t="str">
            <v xml:space="preserve">CCDR SANTA ANA </v>
          </cell>
          <cell r="F145" t="str">
            <v>PREJUVENIL FEMENINO (15-16)</v>
          </cell>
        </row>
        <row r="146">
          <cell r="A146">
            <v>383</v>
          </cell>
          <cell r="B146" t="str">
            <v>ALFARO María Isabella*</v>
          </cell>
          <cell r="C146">
            <v>10128827401</v>
          </cell>
          <cell r="D146" t="str">
            <v>CRC</v>
          </cell>
          <cell r="E146" t="str">
            <v>CCDR SANTA ANA</v>
          </cell>
          <cell r="F146" t="str">
            <v>PREJUVENIL FEMENINO (15-16)</v>
          </cell>
        </row>
        <row r="147">
          <cell r="A147">
            <v>390</v>
          </cell>
          <cell r="B147" t="str">
            <v>GUTIÉRREZ  Gaele Sofia*</v>
          </cell>
          <cell r="C147">
            <v>10152964031</v>
          </cell>
          <cell r="D147" t="str">
            <v>CRC</v>
          </cell>
          <cell r="E147" t="str">
            <v>CCDR SANTA CRUZ NUMU</v>
          </cell>
          <cell r="F147" t="str">
            <v>PREJUVENIL FEMENINO (15-16)</v>
          </cell>
        </row>
        <row r="149">
          <cell r="A149">
            <v>510</v>
          </cell>
          <cell r="B149" t="str">
            <v xml:space="preserve">RODRÍGUEZ  Joaquín </v>
          </cell>
          <cell r="C149">
            <v>10126142218</v>
          </cell>
          <cell r="D149" t="str">
            <v>CRC</v>
          </cell>
          <cell r="E149" t="str">
            <v>CCDR SAN JOSE</v>
          </cell>
          <cell r="F149" t="str">
            <v>INFANTIL MASCULINO (13-14)</v>
          </cell>
        </row>
        <row r="150">
          <cell r="A150">
            <v>518</v>
          </cell>
          <cell r="B150" t="str">
            <v>VALVERDE  Liam</v>
          </cell>
          <cell r="C150">
            <v>10141584517</v>
          </cell>
          <cell r="D150" t="str">
            <v>CRC</v>
          </cell>
          <cell r="E150" t="str">
            <v>ASOCIACIÓN CICLÍSTICA TURRIALBEÑA</v>
          </cell>
          <cell r="F150" t="str">
            <v>INFANTIL MASCULINO (13-14)</v>
          </cell>
        </row>
        <row r="151">
          <cell r="A151">
            <v>505</v>
          </cell>
          <cell r="B151" t="str">
            <v>CORDERO  Iker Mattias</v>
          </cell>
          <cell r="C151">
            <v>10156807554</v>
          </cell>
          <cell r="D151" t="str">
            <v>CRC</v>
          </cell>
          <cell r="E151" t="str">
            <v>PZ CYCLING TEAM</v>
          </cell>
          <cell r="F151" t="str">
            <v>INFANTIL MASCULINO (13-14)</v>
          </cell>
        </row>
        <row r="152">
          <cell r="A152">
            <v>502</v>
          </cell>
          <cell r="B152" t="str">
            <v xml:space="preserve">ARCE  Mathew </v>
          </cell>
          <cell r="C152" t="str">
            <v xml:space="preserve"> *</v>
          </cell>
          <cell r="D152" t="str">
            <v>CRC</v>
          </cell>
          <cell r="E152" t="str">
            <v xml:space="preserve">CCDR PARAÍSO </v>
          </cell>
          <cell r="F152" t="str">
            <v>INFANTIL MASCULINO (13-14)</v>
          </cell>
        </row>
        <row r="153">
          <cell r="A153">
            <v>501</v>
          </cell>
          <cell r="B153" t="str">
            <v xml:space="preserve">DURAN  Emanuel </v>
          </cell>
          <cell r="C153">
            <v>10171463345</v>
          </cell>
          <cell r="D153" t="str">
            <v>CRC</v>
          </cell>
          <cell r="E153" t="str">
            <v>ZARCERO BETEL MOANA EDUS PROD CECI</v>
          </cell>
          <cell r="F153" t="str">
            <v>INFANTIL MASCULINO (13-14)</v>
          </cell>
        </row>
        <row r="154">
          <cell r="A154">
            <v>512</v>
          </cell>
          <cell r="B154" t="str">
            <v xml:space="preserve">SANDI  Derek Ivan </v>
          </cell>
          <cell r="C154">
            <v>10131905735</v>
          </cell>
          <cell r="D154" t="str">
            <v>CRC</v>
          </cell>
          <cell r="E154" t="str">
            <v xml:space="preserve">CCDR ESCAZÚ </v>
          </cell>
          <cell r="F154" t="str">
            <v>INFANTIL MASCULINO (13-14)</v>
          </cell>
        </row>
        <row r="155">
          <cell r="A155">
            <v>507</v>
          </cell>
          <cell r="B155" t="str">
            <v xml:space="preserve">MARÍN  Isaac José </v>
          </cell>
          <cell r="C155">
            <v>10129054440</v>
          </cell>
          <cell r="D155" t="str">
            <v>CRC</v>
          </cell>
          <cell r="E155" t="str">
            <v xml:space="preserve">ACISA SARAPIQUI </v>
          </cell>
          <cell r="F155" t="str">
            <v>INFANTIL MASCULINO (13-14)</v>
          </cell>
        </row>
        <row r="156">
          <cell r="A156">
            <v>503</v>
          </cell>
          <cell r="B156" t="str">
            <v>CAMPOS  Angelo Samuel*</v>
          </cell>
          <cell r="C156">
            <v>10142567550</v>
          </cell>
          <cell r="D156" t="str">
            <v>CRC</v>
          </cell>
          <cell r="E156" t="str">
            <v xml:space="preserve">TEAM CQ.PZ </v>
          </cell>
          <cell r="F156" t="str">
            <v>INFANTIL MASCULINO (13-14)</v>
          </cell>
        </row>
        <row r="157">
          <cell r="A157">
            <v>521</v>
          </cell>
          <cell r="B157" t="str">
            <v>RAMÍREZ  David</v>
          </cell>
          <cell r="C157">
            <v>10153425183</v>
          </cell>
          <cell r="D157" t="str">
            <v>CRC</v>
          </cell>
          <cell r="E157" t="str">
            <v xml:space="preserve">CCDR SAN JOSÉ </v>
          </cell>
          <cell r="F157" t="str">
            <v>INFANTIL MASCULINO (13-14)</v>
          </cell>
        </row>
        <row r="158">
          <cell r="A158">
            <v>504</v>
          </cell>
          <cell r="B158" t="str">
            <v>BONILLA  Keyshmer*</v>
          </cell>
          <cell r="C158">
            <v>10154828350</v>
          </cell>
          <cell r="D158" t="str">
            <v>CRC</v>
          </cell>
          <cell r="E158" t="str">
            <v xml:space="preserve">CCDRESCAZU </v>
          </cell>
          <cell r="F158" t="str">
            <v>INFANTIL MASCULINO (13-14)</v>
          </cell>
        </row>
        <row r="159">
          <cell r="A159">
            <v>524</v>
          </cell>
          <cell r="B159" t="str">
            <v xml:space="preserve">GARCÍA  Danny Armando </v>
          </cell>
          <cell r="C159">
            <v>5117</v>
          </cell>
          <cell r="D159" t="str">
            <v>CRC</v>
          </cell>
          <cell r="E159" t="str">
            <v xml:space="preserve">ROES CENTELA </v>
          </cell>
          <cell r="F159" t="str">
            <v>INFANTIL MASCULINO (13-14)</v>
          </cell>
        </row>
        <row r="160">
          <cell r="A160">
            <v>516</v>
          </cell>
          <cell r="B160" t="str">
            <v>MATA  Antuan*</v>
          </cell>
          <cell r="C160" t="str">
            <v xml:space="preserve"> </v>
          </cell>
          <cell r="D160" t="str">
            <v>CRC</v>
          </cell>
          <cell r="E160" t="str">
            <v xml:space="preserve">CCDR PARAÍSO </v>
          </cell>
          <cell r="F160" t="str">
            <v>INFANTIL MASCULINO (13-14)</v>
          </cell>
        </row>
        <row r="161">
          <cell r="A161">
            <v>506</v>
          </cell>
          <cell r="B161" t="str">
            <v>CASTILLO  Santiago*</v>
          </cell>
          <cell r="C161">
            <v>10171702512</v>
          </cell>
          <cell r="D161" t="str">
            <v>CRC</v>
          </cell>
          <cell r="E161" t="str">
            <v>CICLISMO BELEN</v>
          </cell>
          <cell r="F161" t="str">
            <v>INFANTIL MASCULINO (13-14)</v>
          </cell>
        </row>
        <row r="162">
          <cell r="A162">
            <v>515</v>
          </cell>
          <cell r="B162" t="str">
            <v>ARAYA Samuel</v>
          </cell>
          <cell r="C162">
            <v>10171999875</v>
          </cell>
          <cell r="D162" t="str">
            <v>CRC</v>
          </cell>
          <cell r="E162" t="str">
            <v>CCDRESCAZU</v>
          </cell>
          <cell r="F162" t="str">
            <v>INFANTIL MASCULINO (13-14)</v>
          </cell>
        </row>
        <row r="163">
          <cell r="A163">
            <v>509</v>
          </cell>
          <cell r="B163" t="str">
            <v>VILLALOBOS Mathias</v>
          </cell>
          <cell r="C163">
            <v>10164774688</v>
          </cell>
          <cell r="D163" t="str">
            <v>CRC</v>
          </cell>
          <cell r="E163" t="str">
            <v>CODEA</v>
          </cell>
          <cell r="F163" t="str">
            <v>INFANTIL MASCULINO (13-14)</v>
          </cell>
        </row>
        <row r="164">
          <cell r="A164">
            <v>523</v>
          </cell>
          <cell r="B164" t="str">
            <v>PÉREZ  Keileb*</v>
          </cell>
          <cell r="C164">
            <v>10155993259</v>
          </cell>
          <cell r="D164" t="str">
            <v>CRC</v>
          </cell>
          <cell r="E164" t="str">
            <v xml:space="preserve">CCDR SAN JOSÉ </v>
          </cell>
          <cell r="F164" t="str">
            <v>INFANTIL MASCULINO (13-14)</v>
          </cell>
        </row>
        <row r="165">
          <cell r="A165">
            <v>513</v>
          </cell>
          <cell r="B165" t="str">
            <v>GUTIERREZ Simao</v>
          </cell>
          <cell r="C165">
            <v>10131905331</v>
          </cell>
          <cell r="D165" t="str">
            <v>CRC</v>
          </cell>
          <cell r="E165" t="str">
            <v>CCDRESCAZU</v>
          </cell>
          <cell r="F165" t="str">
            <v>INFANTIL MASCULINO (13-14)</v>
          </cell>
        </row>
        <row r="166">
          <cell r="A166">
            <v>508</v>
          </cell>
          <cell r="B166" t="str">
            <v>BONILLA  Mattew Andres</v>
          </cell>
          <cell r="C166">
            <v>10171656133</v>
          </cell>
          <cell r="D166" t="str">
            <v>CRC</v>
          </cell>
          <cell r="E166" t="str">
            <v>CICLISMO BELEN</v>
          </cell>
          <cell r="F166" t="str">
            <v>INFANTIL MASCULINO (13-14)</v>
          </cell>
        </row>
        <row r="167">
          <cell r="A167">
            <v>538</v>
          </cell>
          <cell r="B167" t="str">
            <v>CASTRO Camil</v>
          </cell>
          <cell r="C167" t="str">
            <v>LD</v>
          </cell>
          <cell r="D167" t="str">
            <v/>
          </cell>
          <cell r="E167" t="str">
            <v>CCDR MATINA CICLO SALAS BATAN</v>
          </cell>
          <cell r="F167" t="str">
            <v>INFANTIL MASCULINO (13-14)</v>
          </cell>
        </row>
        <row r="168">
          <cell r="A168">
            <v>529</v>
          </cell>
          <cell r="B168" t="str">
            <v xml:space="preserve">MOLINA  Bayron </v>
          </cell>
          <cell r="C168">
            <v>10162504282</v>
          </cell>
          <cell r="D168" t="str">
            <v>CRC</v>
          </cell>
          <cell r="E168" t="str">
            <v xml:space="preserve">EQUIPO DE CICLISMO CCDR SAN JOSÉ </v>
          </cell>
          <cell r="F168" t="str">
            <v>INFANTIL MASCULINO (13-14)</v>
          </cell>
        </row>
        <row r="169">
          <cell r="A169">
            <v>531</v>
          </cell>
          <cell r="B169" t="str">
            <v xml:space="preserve">SALAS Santiago </v>
          </cell>
          <cell r="C169">
            <v>10102760669</v>
          </cell>
          <cell r="D169" t="str">
            <v>CRC</v>
          </cell>
          <cell r="E169" t="str">
            <v>CCDR SAN JOSE</v>
          </cell>
          <cell r="F169" t="str">
            <v>INFANTIL MASCULINO (13-14)</v>
          </cell>
        </row>
        <row r="170">
          <cell r="A170">
            <v>536</v>
          </cell>
          <cell r="B170" t="str">
            <v>ROJAS Pedro</v>
          </cell>
          <cell r="C170">
            <v>10175690727</v>
          </cell>
          <cell r="D170" t="str">
            <v>CRC</v>
          </cell>
          <cell r="E170" t="str">
            <v xml:space="preserve">CODEA </v>
          </cell>
          <cell r="F170" t="str">
            <v>INFANTIL MASCULINO (13-14)</v>
          </cell>
        </row>
        <row r="171">
          <cell r="A171">
            <v>539</v>
          </cell>
          <cell r="B171" t="str">
            <v xml:space="preserve">SOLIS  Alvaro </v>
          </cell>
          <cell r="C171" t="str">
            <v>LD</v>
          </cell>
          <cell r="D171" t="str">
            <v>CRC</v>
          </cell>
          <cell r="E171" t="str">
            <v xml:space="preserve">INDEPENDIENTE </v>
          </cell>
          <cell r="F171" t="str">
            <v>INFANTIL MASCULINO (13-14)</v>
          </cell>
        </row>
        <row r="172">
          <cell r="A172">
            <v>540</v>
          </cell>
          <cell r="B172" t="str">
            <v>RUBI Ian*</v>
          </cell>
          <cell r="C172">
            <v>10175690525</v>
          </cell>
          <cell r="D172" t="str">
            <v>CRC</v>
          </cell>
          <cell r="E172" t="str">
            <v>CODEA</v>
          </cell>
          <cell r="F172" t="str">
            <v>INFANTIL MASCULINO (13-14)</v>
          </cell>
        </row>
        <row r="173">
          <cell r="A173">
            <v>541</v>
          </cell>
          <cell r="B173" t="str">
            <v>HERNÁNDEZ  Axel Steve*</v>
          </cell>
          <cell r="C173" t="str">
            <v>LD</v>
          </cell>
          <cell r="D173" t="str">
            <v>CRC</v>
          </cell>
          <cell r="E173" t="str">
            <v>COMITÉ DE DEPORTES ACOSTA</v>
          </cell>
          <cell r="F173" t="str">
            <v>INFANTIL MASCULINO (13-14)</v>
          </cell>
        </row>
        <row r="174">
          <cell r="A174">
            <v>542</v>
          </cell>
          <cell r="B174" t="str">
            <v>SEGURA  Francisco Javier</v>
          </cell>
          <cell r="C174" t="str">
            <v xml:space="preserve"> </v>
          </cell>
          <cell r="D174" t="str">
            <v>CRC</v>
          </cell>
          <cell r="E174" t="str">
            <v xml:space="preserve">COMITÉ DE DEPORTES DE ACOSTA </v>
          </cell>
          <cell r="F174" t="str">
            <v>INFANTIL MASCULINO (13-14)</v>
          </cell>
        </row>
        <row r="175">
          <cell r="F175" t="str">
            <v>INFANTIL MASCULINO (13-14)</v>
          </cell>
        </row>
        <row r="176">
          <cell r="F176" t="str">
            <v>INFANTIL MASCULINO (13-14)</v>
          </cell>
        </row>
        <row r="177">
          <cell r="F177" t="str">
            <v>INFANTIL MASCULINO (13-14)</v>
          </cell>
        </row>
        <row r="178">
          <cell r="F178" t="str">
            <v>INFANTIL MASCULINO (13-14)</v>
          </cell>
        </row>
        <row r="179">
          <cell r="F179" t="str">
            <v>INFANTIL MASCULINO (13-14)</v>
          </cell>
        </row>
        <row r="180">
          <cell r="F180" t="str">
            <v>INFANTIL MASCULINO (13-14)</v>
          </cell>
        </row>
        <row r="182">
          <cell r="A182">
            <v>581</v>
          </cell>
          <cell r="B182" t="str">
            <v xml:space="preserve">CALDERÓN  Ariana </v>
          </cell>
          <cell r="C182">
            <v>121480116</v>
          </cell>
          <cell r="D182" t="str">
            <v>CRC</v>
          </cell>
          <cell r="E182" t="str">
            <v xml:space="preserve">COLONO BIKE STATION KOLBI </v>
          </cell>
          <cell r="F182" t="str">
            <v>INFANTIL FEMENINO (13-14)</v>
          </cell>
        </row>
        <row r="183">
          <cell r="A183">
            <v>583</v>
          </cell>
          <cell r="B183" t="str">
            <v xml:space="preserve">MARCHENA  Shelly </v>
          </cell>
          <cell r="C183">
            <v>10154228768</v>
          </cell>
          <cell r="D183" t="str">
            <v>CRC</v>
          </cell>
          <cell r="E183" t="str">
            <v xml:space="preserve">CCDRESCAZU </v>
          </cell>
          <cell r="F183" t="str">
            <v>INFANTIL FEMENINO (13-14)</v>
          </cell>
        </row>
        <row r="184">
          <cell r="A184">
            <v>584</v>
          </cell>
          <cell r="B184" t="str">
            <v>CRUZ Monica*</v>
          </cell>
          <cell r="C184">
            <v>10154309503</v>
          </cell>
          <cell r="D184" t="str">
            <v>CRC</v>
          </cell>
          <cell r="E184" t="str">
            <v>SCOTT SHIMANO CYCLING TEAM</v>
          </cell>
          <cell r="F184" t="str">
            <v>INFANTIL FEMENINO (13-14)</v>
          </cell>
        </row>
        <row r="185">
          <cell r="A185">
            <v>582</v>
          </cell>
          <cell r="B185" t="str">
            <v>TORRES Camila</v>
          </cell>
          <cell r="C185">
            <v>10131906139</v>
          </cell>
          <cell r="D185" t="str">
            <v>CRC</v>
          </cell>
          <cell r="E185" t="str">
            <v>CCDRESCAZU</v>
          </cell>
          <cell r="F185" t="str">
            <v>INFANTIL FEMENINO (13-14)</v>
          </cell>
        </row>
        <row r="186">
          <cell r="A186">
            <v>586</v>
          </cell>
          <cell r="B186" t="str">
            <v xml:space="preserve">CORTES  Maríam </v>
          </cell>
          <cell r="C186" t="str">
            <v>LD</v>
          </cell>
          <cell r="D186" t="str">
            <v>CRC</v>
          </cell>
          <cell r="E186" t="str">
            <v xml:space="preserve">ACISA SARAPIQUI </v>
          </cell>
          <cell r="F186" t="str">
            <v>INFANTIL FEMENINO (13-14)</v>
          </cell>
        </row>
        <row r="187">
          <cell r="A187">
            <v>589</v>
          </cell>
          <cell r="B187" t="str">
            <v>MUÑOZ  Amy</v>
          </cell>
          <cell r="C187">
            <v>12990</v>
          </cell>
          <cell r="D187" t="str">
            <v>CRC</v>
          </cell>
          <cell r="E187" t="str">
            <v xml:space="preserve">ACISA SARAPIQUI </v>
          </cell>
          <cell r="F187" t="str">
            <v>INFANTIL FEMENINO (13-14)</v>
          </cell>
        </row>
        <row r="188">
          <cell r="A188">
            <v>588</v>
          </cell>
          <cell r="B188" t="str">
            <v xml:space="preserve">PIZARRO  Keysi </v>
          </cell>
          <cell r="C188" t="str">
            <v xml:space="preserve"> </v>
          </cell>
          <cell r="D188" t="str">
            <v>CRC</v>
          </cell>
          <cell r="E188" t="str">
            <v xml:space="preserve">ACISA SARAPIQUI </v>
          </cell>
          <cell r="F188" t="str">
            <v>INFANTIL FEMENINO (13-14)</v>
          </cell>
        </row>
        <row r="189">
          <cell r="A189">
            <v>587</v>
          </cell>
          <cell r="B189" t="str">
            <v>GUERRERO  Mariangel*</v>
          </cell>
          <cell r="C189" t="str">
            <v xml:space="preserve"> </v>
          </cell>
          <cell r="D189" t="str">
            <v>CRC</v>
          </cell>
          <cell r="E189" t="str">
            <v xml:space="preserve">ACISA SARAPIQUI </v>
          </cell>
          <cell r="F189" t="str">
            <v>INFANTIL FEMENINO (13-14)</v>
          </cell>
        </row>
        <row r="190">
          <cell r="A190">
            <v>596</v>
          </cell>
          <cell r="B190" t="str">
            <v xml:space="preserve">ZÚÑIGA  María Fernanda </v>
          </cell>
          <cell r="C190">
            <v>10153426601</v>
          </cell>
          <cell r="D190" t="str">
            <v>CRC</v>
          </cell>
          <cell r="E190" t="str">
            <v xml:space="preserve">CCDR SAN JOSÉ </v>
          </cell>
          <cell r="F190" t="str">
            <v>INFANTIL FEMENINO (13-14)</v>
          </cell>
        </row>
        <row r="191">
          <cell r="A191">
            <v>590</v>
          </cell>
          <cell r="B191" t="str">
            <v>VILLALOBOS  Jimena*</v>
          </cell>
          <cell r="C191">
            <v>10172211558</v>
          </cell>
          <cell r="D191" t="str">
            <v>CRC</v>
          </cell>
          <cell r="E191" t="str">
            <v xml:space="preserve">ACISA SARAPIQUI </v>
          </cell>
          <cell r="F191" t="str">
            <v>INFANTIL FEMENINO (13-14)</v>
          </cell>
        </row>
        <row r="192">
          <cell r="A192">
            <v>597</v>
          </cell>
          <cell r="B192" t="str">
            <v>MORA  Keren*</v>
          </cell>
          <cell r="C192" t="str">
            <v>LD</v>
          </cell>
          <cell r="D192" t="str">
            <v>CRC</v>
          </cell>
          <cell r="E192" t="str">
            <v>CCDR MATINA CICLO SALAS BATAN</v>
          </cell>
          <cell r="F192" t="str">
            <v>INFANTIL FEMENINO (13-14)</v>
          </cell>
        </row>
        <row r="193">
          <cell r="A193">
            <v>598</v>
          </cell>
          <cell r="B193" t="str">
            <v>ALVARADO Luciana*</v>
          </cell>
          <cell r="C193">
            <v>10161956941</v>
          </cell>
          <cell r="D193" t="str">
            <v>CRC</v>
          </cell>
          <cell r="E193" t="str">
            <v>AYG MANTENIMIENTOS</v>
          </cell>
          <cell r="F193" t="str">
            <v>INFANTIL FEMENINO (13-14)</v>
          </cell>
        </row>
        <row r="194">
          <cell r="A194">
            <v>599</v>
          </cell>
          <cell r="B194" t="str">
            <v>CASTILLO Mariana</v>
          </cell>
          <cell r="C194">
            <v>10156833725</v>
          </cell>
          <cell r="D194" t="str">
            <v>CRC</v>
          </cell>
          <cell r="E194" t="str">
            <v>PZ CYCLING TEAM</v>
          </cell>
          <cell r="F194" t="str">
            <v>INFANTIL FEMENINO (13-14)</v>
          </cell>
        </row>
        <row r="195">
          <cell r="F195" t="str">
            <v>INFANTIL FEMENINO (13-14)</v>
          </cell>
        </row>
        <row r="196">
          <cell r="F196" t="str">
            <v>INFANTIL FEMENINO (13-14)</v>
          </cell>
        </row>
        <row r="199">
          <cell r="A199">
            <v>401</v>
          </cell>
          <cell r="B199" t="str">
            <v xml:space="preserve">ARAYA Emiliano </v>
          </cell>
          <cell r="C199">
            <v>10162383236</v>
          </cell>
          <cell r="D199" t="str">
            <v>CRC</v>
          </cell>
          <cell r="E199" t="str">
            <v xml:space="preserve">CCDR SANTA CRUZ/ TEAM COSTA FRUT </v>
          </cell>
          <cell r="F199" t="str">
            <v>PREINFANTIL MASCULINO (11-12)</v>
          </cell>
        </row>
        <row r="200">
          <cell r="A200">
            <v>406</v>
          </cell>
          <cell r="B200" t="str">
            <v>CÉSPEDES  Anthony Luan*</v>
          </cell>
          <cell r="C200">
            <v>10172211659</v>
          </cell>
          <cell r="D200" t="str">
            <v>CRC</v>
          </cell>
          <cell r="E200" t="str">
            <v xml:space="preserve">SKALA MONTEVERDE/ CCDR MONTEVERDE </v>
          </cell>
          <cell r="F200" t="str">
            <v>PREINFANTIL MASCULINO (11-12)</v>
          </cell>
        </row>
        <row r="201">
          <cell r="A201">
            <v>402</v>
          </cell>
          <cell r="B201" t="str">
            <v>CERDAS Isaac*</v>
          </cell>
          <cell r="C201" t="str">
            <v>*LD</v>
          </cell>
          <cell r="D201" t="str">
            <v>CRC</v>
          </cell>
          <cell r="E201" t="str">
            <v xml:space="preserve">CODEA </v>
          </cell>
          <cell r="F201" t="str">
            <v>PREINFANTIL MASCULINO (11-12)</v>
          </cell>
        </row>
        <row r="202">
          <cell r="A202">
            <v>405</v>
          </cell>
          <cell r="B202" t="str">
            <v xml:space="preserve">CESPEDES  Santiago </v>
          </cell>
          <cell r="C202">
            <v>13280</v>
          </cell>
          <cell r="D202" t="str">
            <v>CRC</v>
          </cell>
          <cell r="E202" t="str">
            <v xml:space="preserve">ACCIPAL CMS </v>
          </cell>
          <cell r="F202" t="str">
            <v>PREINFANTIL MASCULINO (11-12)</v>
          </cell>
        </row>
        <row r="203">
          <cell r="A203">
            <v>407</v>
          </cell>
          <cell r="B203" t="str">
            <v>FLORES  Eythan*</v>
          </cell>
          <cell r="C203" t="str">
            <v>*LD</v>
          </cell>
          <cell r="D203" t="str">
            <v>CRC</v>
          </cell>
          <cell r="E203" t="str">
            <v xml:space="preserve">CCDR PARAÍSO </v>
          </cell>
          <cell r="F203" t="str">
            <v>PREINFANTIL MASCULINO (11-12)</v>
          </cell>
        </row>
        <row r="204">
          <cell r="A204">
            <v>404</v>
          </cell>
          <cell r="B204" t="str">
            <v>HUNTER Ian*</v>
          </cell>
          <cell r="C204">
            <v>10130330796</v>
          </cell>
          <cell r="D204" t="str">
            <v>CRC</v>
          </cell>
          <cell r="E204" t="str">
            <v xml:space="preserve">CODEA </v>
          </cell>
          <cell r="F204" t="str">
            <v>PREINFANTIL MASCULINO (11-12)</v>
          </cell>
        </row>
        <row r="205">
          <cell r="A205">
            <v>403</v>
          </cell>
          <cell r="B205" t="str">
            <v>SOJO Nathan</v>
          </cell>
          <cell r="C205">
            <v>10175623433</v>
          </cell>
          <cell r="D205" t="str">
            <v>CRC</v>
          </cell>
          <cell r="E205" t="str">
            <v xml:space="preserve">TRIATLÓN TURRIALBA </v>
          </cell>
          <cell r="F205" t="str">
            <v>PREINFANTIL MASCULINO (11-12)</v>
          </cell>
        </row>
        <row r="206">
          <cell r="A206">
            <v>409</v>
          </cell>
          <cell r="B206" t="str">
            <v>FREER Isaac*</v>
          </cell>
          <cell r="C206">
            <v>10173513378</v>
          </cell>
          <cell r="D206" t="str">
            <v>CRC</v>
          </cell>
          <cell r="E206" t="str">
            <v>DESAMPARADOS BIKE CAFÉ</v>
          </cell>
          <cell r="F206" t="str">
            <v>PREINFANTIL MASCULINO (11-12)</v>
          </cell>
        </row>
        <row r="207">
          <cell r="A207">
            <v>411</v>
          </cell>
          <cell r="B207" t="str">
            <v>HERRERA  Mathias*</v>
          </cell>
          <cell r="C207" t="str">
            <v>*10151394247</v>
          </cell>
          <cell r="D207" t="str">
            <v>CRC</v>
          </cell>
          <cell r="E207" t="str">
            <v xml:space="preserve">CCDR SAN JOSÉ </v>
          </cell>
          <cell r="F207" t="str">
            <v>PREINFANTIL MASCULINO (11-12)</v>
          </cell>
        </row>
        <row r="208">
          <cell r="A208">
            <v>413</v>
          </cell>
          <cell r="B208" t="str">
            <v>CARVAJAL Saúl Alonso*</v>
          </cell>
          <cell r="C208">
            <v>10113255059</v>
          </cell>
          <cell r="D208" t="str">
            <v>CRC</v>
          </cell>
          <cell r="E208" t="str">
            <v>CCDR NARANJO</v>
          </cell>
          <cell r="F208" t="str">
            <v>PREINFANTIL MASCULINO (11-12)</v>
          </cell>
        </row>
        <row r="209">
          <cell r="A209">
            <v>410</v>
          </cell>
          <cell r="B209" t="str">
            <v>SOLIS Sebastian*</v>
          </cell>
          <cell r="C209">
            <v>10173514489</v>
          </cell>
          <cell r="D209" t="str">
            <v>CRC</v>
          </cell>
          <cell r="E209" t="str">
            <v>DESAMPARADOS</v>
          </cell>
          <cell r="F209" t="str">
            <v>PREINFANTIL MASCULINO (11-12)</v>
          </cell>
        </row>
        <row r="210">
          <cell r="A210">
            <v>415</v>
          </cell>
          <cell r="B210" t="str">
            <v>MARIN Santiago*</v>
          </cell>
          <cell r="C210" t="str">
            <v xml:space="preserve"> </v>
          </cell>
          <cell r="D210" t="str">
            <v>CRC</v>
          </cell>
          <cell r="E210" t="str">
            <v>SOTO TRAINING -CCDR LIBERIA</v>
          </cell>
          <cell r="F210" t="str">
            <v>PREINFANTIL MASCULINO (11-12)</v>
          </cell>
        </row>
        <row r="211">
          <cell r="A211">
            <v>416</v>
          </cell>
          <cell r="B211" t="str">
            <v xml:space="preserve">BENAVIDES Emiliano </v>
          </cell>
          <cell r="C211">
            <v>10162629234</v>
          </cell>
          <cell r="D211" t="str">
            <v>CRC</v>
          </cell>
          <cell r="E211" t="str">
            <v xml:space="preserve">SOTO-TRAINING-CCDR LIBERIA </v>
          </cell>
          <cell r="F211" t="str">
            <v>PREINFANTIL MASCULINO (11-12)</v>
          </cell>
        </row>
        <row r="212">
          <cell r="A212">
            <v>417</v>
          </cell>
          <cell r="B212" t="str">
            <v xml:space="preserve">MONTERO Santiago </v>
          </cell>
          <cell r="C212" t="str">
            <v xml:space="preserve"> </v>
          </cell>
          <cell r="D212" t="str">
            <v/>
          </cell>
          <cell r="E212" t="str">
            <v>CCDR SAN JOSÉ</v>
          </cell>
          <cell r="F212" t="str">
            <v>PREINFANTIL MASCULINO (11-12)</v>
          </cell>
        </row>
        <row r="213">
          <cell r="A213">
            <v>418</v>
          </cell>
          <cell r="B213" t="str">
            <v xml:space="preserve">ALVARADO  Julián </v>
          </cell>
          <cell r="C213" t="str">
            <v>*</v>
          </cell>
          <cell r="D213" t="str">
            <v>CRC</v>
          </cell>
          <cell r="E213" t="str">
            <v xml:space="preserve">MONTEVERDE </v>
          </cell>
          <cell r="F213" t="str">
            <v>PREINFANTIL MASCULINO (11-12)</v>
          </cell>
        </row>
        <row r="214">
          <cell r="A214">
            <v>419</v>
          </cell>
          <cell r="B214" t="str">
            <v>GÓMEZ  James</v>
          </cell>
          <cell r="C214">
            <v>10174440942</v>
          </cell>
          <cell r="D214" t="str">
            <v>CRC</v>
          </cell>
          <cell r="E214" t="str">
            <v>PZ CYCLING TEAM</v>
          </cell>
          <cell r="F214" t="str">
            <v>PREINFANTIL MASCULINO (11-12)</v>
          </cell>
        </row>
        <row r="216">
          <cell r="A216">
            <v>482</v>
          </cell>
          <cell r="B216" t="str">
            <v>HERNÁNDEZ  Maripaz*</v>
          </cell>
          <cell r="C216">
            <v>10171940261</v>
          </cell>
          <cell r="D216" t="str">
            <v>CRC</v>
          </cell>
          <cell r="E216" t="str">
            <v xml:space="preserve">SANTA ANA / HDZ TEAM </v>
          </cell>
          <cell r="F216" t="str">
            <v>PREINFANTIL FEMENINO (11-12)</v>
          </cell>
        </row>
        <row r="217">
          <cell r="A217">
            <v>484</v>
          </cell>
          <cell r="B217" t="str">
            <v>JIMÉNEZ  Mia</v>
          </cell>
          <cell r="C217">
            <v>10162507114</v>
          </cell>
          <cell r="D217" t="str">
            <v>CRC</v>
          </cell>
          <cell r="E217" t="str">
            <v xml:space="preserve">CCDR SAN JOSÉ </v>
          </cell>
          <cell r="F217" t="str">
            <v>PREINFANTIL FEMENINO (11-12)</v>
          </cell>
        </row>
        <row r="218">
          <cell r="A218">
            <v>481</v>
          </cell>
          <cell r="B218" t="str">
            <v>MONTEALEGRE María Paula</v>
          </cell>
          <cell r="C218">
            <v>10162377172</v>
          </cell>
          <cell r="D218" t="str">
            <v>CRC</v>
          </cell>
          <cell r="E218" t="str">
            <v>CCDR SANTA CRUZ</v>
          </cell>
          <cell r="F218" t="str">
            <v>PREINFANTIL FEMENINO (11-12)</v>
          </cell>
        </row>
        <row r="219">
          <cell r="A219">
            <v>483</v>
          </cell>
          <cell r="B219" t="str">
            <v xml:space="preserve">MORA  Valentina </v>
          </cell>
          <cell r="C219">
            <v>10156361455</v>
          </cell>
          <cell r="D219" t="str">
            <v>CRC</v>
          </cell>
          <cell r="E219" t="str">
            <v xml:space="preserve">CODEA/ E-VEGA TRAINER </v>
          </cell>
          <cell r="F219" t="str">
            <v>PREINFANTIL FEMENINO (11-12)</v>
          </cell>
        </row>
        <row r="220">
          <cell r="A220">
            <v>486</v>
          </cell>
          <cell r="B220" t="str">
            <v>PIZARRO  Shailene*</v>
          </cell>
          <cell r="C220" t="str">
            <v xml:space="preserve"> </v>
          </cell>
          <cell r="D220" t="str">
            <v>CRC</v>
          </cell>
          <cell r="E220" t="str">
            <v xml:space="preserve">ACISA SARAPIQUI </v>
          </cell>
          <cell r="F220" t="str">
            <v>PREINFANTIL FEMENINO (11-12)</v>
          </cell>
        </row>
        <row r="221">
          <cell r="A221">
            <v>488</v>
          </cell>
          <cell r="B221" t="str">
            <v xml:space="preserve">ZÚÑIGA  Mariangel </v>
          </cell>
          <cell r="C221">
            <v>10162509639</v>
          </cell>
          <cell r="D221" t="str">
            <v>CRC</v>
          </cell>
          <cell r="E221" t="str">
            <v xml:space="preserve">CCDR SAN JOSÉ </v>
          </cell>
          <cell r="F221" t="str">
            <v>PREINFANTIL FEMENINO (11-12)</v>
          </cell>
        </row>
        <row r="222">
          <cell r="A222">
            <v>489</v>
          </cell>
          <cell r="B222" t="str">
            <v>MARÍN  Abigail</v>
          </cell>
          <cell r="C222">
            <v>10105006019</v>
          </cell>
          <cell r="D222" t="str">
            <v>CRC</v>
          </cell>
          <cell r="E222" t="str">
            <v>CCDRSJ</v>
          </cell>
          <cell r="F222" t="str">
            <v>PREINFANTIL FEMENINO (11-12)</v>
          </cell>
        </row>
        <row r="224">
          <cell r="A224">
            <v>701</v>
          </cell>
          <cell r="B224" t="str">
            <v>MARTINEZ Andres</v>
          </cell>
          <cell r="C224">
            <v>10079383568</v>
          </cell>
          <cell r="D224" t="str">
            <v>CRC</v>
          </cell>
          <cell r="E224" t="str">
            <v>NOSOTROS DOTA</v>
          </cell>
          <cell r="F224" t="str">
            <v>MASTER A MASCULINO (30-34)</v>
          </cell>
        </row>
        <row r="225">
          <cell r="A225">
            <v>708</v>
          </cell>
          <cell r="B225" t="str">
            <v xml:space="preserve">MORALES  Allan </v>
          </cell>
          <cell r="C225">
            <v>10056033143</v>
          </cell>
          <cell r="D225" t="str">
            <v>CRC</v>
          </cell>
          <cell r="E225" t="str">
            <v>TEAM INNOVABIKES SKOLER UH</v>
          </cell>
          <cell r="F225" t="str">
            <v>MASTER A MASCULINO (30-34)</v>
          </cell>
        </row>
        <row r="226">
          <cell r="A226">
            <v>713</v>
          </cell>
          <cell r="B226" t="str">
            <v>ARTAVIA Enrique</v>
          </cell>
          <cell r="C226">
            <v>10006255268</v>
          </cell>
          <cell r="D226" t="str">
            <v>CRC</v>
          </cell>
          <cell r="E226" t="str">
            <v>BOBBYS CYCLING TEAM</v>
          </cell>
          <cell r="F226" t="str">
            <v>MASTER A MASCULINO (30-34)</v>
          </cell>
        </row>
        <row r="227">
          <cell r="A227">
            <v>702</v>
          </cell>
          <cell r="B227" t="str">
            <v xml:space="preserve">ALPÍZAR  Roberto </v>
          </cell>
          <cell r="C227" t="str">
            <v xml:space="preserve"> </v>
          </cell>
          <cell r="D227" t="str">
            <v>CRC</v>
          </cell>
          <cell r="E227" t="str">
            <v xml:space="preserve">TEAM GOCHA </v>
          </cell>
          <cell r="F227" t="str">
            <v>MASTER A MASCULINO (30-34)</v>
          </cell>
        </row>
        <row r="228">
          <cell r="A228">
            <v>709</v>
          </cell>
          <cell r="B228" t="str">
            <v xml:space="preserve">CAMPOS  Diego </v>
          </cell>
          <cell r="C228">
            <v>10124844640</v>
          </cell>
          <cell r="D228" t="str">
            <v>CRC</v>
          </cell>
          <cell r="E228" t="str">
            <v>GOCHA CYCLING TEAM</v>
          </cell>
          <cell r="F228" t="str">
            <v>MASTER A MASCULINO (30-34)</v>
          </cell>
        </row>
        <row r="229">
          <cell r="A229">
            <v>705</v>
          </cell>
          <cell r="B229" t="str">
            <v>CALDERON Edwin</v>
          </cell>
          <cell r="C229">
            <v>10016062372</v>
          </cell>
          <cell r="D229" t="str">
            <v>CRC</v>
          </cell>
          <cell r="E229" t="str">
            <v>CAPOS MOBY BIKE TEAM</v>
          </cell>
          <cell r="F229" t="str">
            <v>MASTER A MASCULINO (30-34)</v>
          </cell>
        </row>
        <row r="230">
          <cell r="A230">
            <v>714</v>
          </cell>
          <cell r="B230" t="str">
            <v xml:space="preserve">DELGADO  Alfredo </v>
          </cell>
          <cell r="C230" t="str">
            <v>LD</v>
          </cell>
          <cell r="D230" t="str">
            <v>CRC</v>
          </cell>
          <cell r="E230" t="str">
            <v xml:space="preserve">CCRR ESCAZÚ </v>
          </cell>
          <cell r="F230" t="str">
            <v>MASTER A MASCULINO (30-34)</v>
          </cell>
        </row>
        <row r="231">
          <cell r="A231">
            <v>720</v>
          </cell>
          <cell r="B231" t="str">
            <v xml:space="preserve">SANTANA  Jesús </v>
          </cell>
          <cell r="C231" t="str">
            <v xml:space="preserve"> </v>
          </cell>
          <cell r="D231" t="str">
            <v>CRC</v>
          </cell>
          <cell r="E231" t="str">
            <v xml:space="preserve">ACISA CCDR SARAPIQUI </v>
          </cell>
          <cell r="F231" t="str">
            <v>MASTER A MASCULINO (30-34)</v>
          </cell>
        </row>
        <row r="233">
          <cell r="A233">
            <v>751</v>
          </cell>
          <cell r="B233" t="str">
            <v>HERRERA Elber</v>
          </cell>
          <cell r="C233">
            <v>10127988349</v>
          </cell>
          <cell r="D233" t="str">
            <v>CRC</v>
          </cell>
          <cell r="E233" t="str">
            <v>BOBBYS CYCLING TEAM</v>
          </cell>
          <cell r="F233" t="str">
            <v>MASTER B MASCULINO (35-39)</v>
          </cell>
        </row>
        <row r="234">
          <cell r="A234">
            <v>752</v>
          </cell>
          <cell r="B234" t="str">
            <v>RAMÍREZ  Federico</v>
          </cell>
          <cell r="C234">
            <v>10001352223</v>
          </cell>
          <cell r="D234" t="str">
            <v>CRC</v>
          </cell>
          <cell r="E234" t="str">
            <v xml:space="preserve">SEVEN CARD WILLIER </v>
          </cell>
          <cell r="F234" t="str">
            <v>MASTER B MASCULINO (35-39)</v>
          </cell>
        </row>
        <row r="235">
          <cell r="A235">
            <v>758</v>
          </cell>
          <cell r="B235" t="str">
            <v>MOLINA Hairo</v>
          </cell>
          <cell r="C235">
            <v>10140636745</v>
          </cell>
          <cell r="D235" t="str">
            <v>CRC</v>
          </cell>
          <cell r="E235" t="str">
            <v xml:space="preserve">CCDRESCAZU </v>
          </cell>
          <cell r="F235" t="str">
            <v>MASTER B MASCULINO (35-39)</v>
          </cell>
        </row>
        <row r="236">
          <cell r="A236">
            <v>756</v>
          </cell>
          <cell r="B236" t="str">
            <v>BARRANTES Richard</v>
          </cell>
          <cell r="C236">
            <v>10137070781</v>
          </cell>
          <cell r="D236" t="str">
            <v>CRC</v>
          </cell>
          <cell r="E236" t="str">
            <v>VEINTE24</v>
          </cell>
          <cell r="F236" t="str">
            <v>MASTER B MASCULINO (35-39)</v>
          </cell>
        </row>
        <row r="237">
          <cell r="A237">
            <v>763</v>
          </cell>
          <cell r="B237" t="str">
            <v xml:space="preserve">RODRÍGUEZ  Julián </v>
          </cell>
          <cell r="C237">
            <v>10103825447</v>
          </cell>
          <cell r="D237" t="str">
            <v>CRC</v>
          </cell>
          <cell r="E237" t="str">
            <v xml:space="preserve">BELÉN TEAM </v>
          </cell>
          <cell r="F237" t="str">
            <v>MASTER B MASCULINO (35-39)</v>
          </cell>
        </row>
        <row r="238">
          <cell r="A238">
            <v>761</v>
          </cell>
          <cell r="B238" t="str">
            <v>CORTES Jerry</v>
          </cell>
          <cell r="C238">
            <v>10126504047</v>
          </cell>
          <cell r="D238" t="str">
            <v/>
          </cell>
          <cell r="E238" t="str">
            <v>BUFF, DRASANVI, ECOTIENDA.</v>
          </cell>
          <cell r="F238" t="str">
            <v>MASTER B MASCULINO (35-39)</v>
          </cell>
        </row>
        <row r="239">
          <cell r="A239">
            <v>766</v>
          </cell>
          <cell r="B239" t="str">
            <v xml:space="preserve">QUIRÓS  John </v>
          </cell>
          <cell r="C239">
            <v>10082235671</v>
          </cell>
          <cell r="D239" t="str">
            <v>CRC</v>
          </cell>
          <cell r="E239" t="str">
            <v xml:space="preserve">CCDR MATINA CICLO SALAS BATAAN </v>
          </cell>
          <cell r="F239" t="str">
            <v>MASTER B MASCULINO (35-39)</v>
          </cell>
        </row>
        <row r="240">
          <cell r="A240">
            <v>769</v>
          </cell>
          <cell r="B240" t="str">
            <v>SANABRIA Kenneth</v>
          </cell>
          <cell r="C240">
            <v>10053119810</v>
          </cell>
          <cell r="D240" t="str">
            <v>CRC</v>
          </cell>
          <cell r="E240" t="str">
            <v>TREK BIKE STORE</v>
          </cell>
          <cell r="F240" t="str">
            <v>MASTER B MASCULINO (35-39)</v>
          </cell>
        </row>
        <row r="241">
          <cell r="A241">
            <v>774</v>
          </cell>
          <cell r="B241" t="str">
            <v>DURAN Allan</v>
          </cell>
          <cell r="C241" t="str">
            <v>*</v>
          </cell>
          <cell r="D241" t="str">
            <v>CRC</v>
          </cell>
          <cell r="E241" t="str">
            <v>BOBBYS CYCLING TEAM</v>
          </cell>
          <cell r="F241" t="str">
            <v>MASTER B MASCULINO (35-39)</v>
          </cell>
        </row>
        <row r="242">
          <cell r="A242">
            <v>760</v>
          </cell>
          <cell r="B242" t="str">
            <v>MORERA Oscar</v>
          </cell>
          <cell r="C242">
            <v>10112138246</v>
          </cell>
          <cell r="D242" t="str">
            <v>CRC</v>
          </cell>
          <cell r="E242" t="str">
            <v>TEAM GOCHA-MAXXIS-GRUPO 86</v>
          </cell>
          <cell r="F242" t="str">
            <v>MASTER B MASCULINO (35-39)</v>
          </cell>
        </row>
        <row r="243">
          <cell r="A243">
            <v>759</v>
          </cell>
          <cell r="B243" t="str">
            <v xml:space="preserve">FERNÁNDEZ  Marco </v>
          </cell>
          <cell r="C243" t="str">
            <v>*LD</v>
          </cell>
          <cell r="D243" t="str">
            <v>CRC</v>
          </cell>
          <cell r="E243" t="str">
            <v>CMS- TRANSPORTE GRUPO EYAN- ROMA BIKES</v>
          </cell>
          <cell r="F243" t="str">
            <v>MASTER B MASCULINO (35-39)</v>
          </cell>
        </row>
        <row r="244">
          <cell r="A244">
            <v>754</v>
          </cell>
          <cell r="B244" t="str">
            <v xml:space="preserve">MENESES  Mario Alfredo </v>
          </cell>
          <cell r="C244">
            <v>10055096788</v>
          </cell>
          <cell r="D244" t="str">
            <v>CRC</v>
          </cell>
          <cell r="E244" t="str">
            <v xml:space="preserve">ADNBIKESCR </v>
          </cell>
          <cell r="F244" t="str">
            <v>MASTER B MASCULINO (35-39)</v>
          </cell>
        </row>
        <row r="245">
          <cell r="A245">
            <v>775</v>
          </cell>
          <cell r="B245" t="str">
            <v>CHAVARRIA Henry</v>
          </cell>
          <cell r="C245" t="str">
            <v>*10144174316</v>
          </cell>
          <cell r="D245" t="str">
            <v>CRC</v>
          </cell>
          <cell r="E245" t="str">
            <v>GOCHA CYCLING TEAM</v>
          </cell>
          <cell r="F245" t="str">
            <v>MASTER B MASCULINO (35-39)</v>
          </cell>
        </row>
        <row r="246">
          <cell r="A246">
            <v>776</v>
          </cell>
          <cell r="B246" t="str">
            <v>VEGA  Jose Andres</v>
          </cell>
          <cell r="C246" t="str">
            <v>*LD</v>
          </cell>
          <cell r="D246" t="str">
            <v>CRC</v>
          </cell>
          <cell r="E246" t="str">
            <v xml:space="preserve">VEGABIKES </v>
          </cell>
          <cell r="F246" t="str">
            <v>MASTER B MASCULINO (35-39)</v>
          </cell>
        </row>
        <row r="247">
          <cell r="F247" t="str">
            <v>MASTER B MASCULINO (35-39)</v>
          </cell>
        </row>
        <row r="249">
          <cell r="A249">
            <v>802</v>
          </cell>
          <cell r="B249" t="str">
            <v>CHACON Gonzalo</v>
          </cell>
          <cell r="C249">
            <v>10075677966</v>
          </cell>
          <cell r="D249" t="str">
            <v>CRC</v>
          </cell>
          <cell r="E249" t="str">
            <v>TEAM GOCHA</v>
          </cell>
          <cell r="F249" t="str">
            <v>MASTER C MASCULINO (40-44)</v>
          </cell>
        </row>
        <row r="250">
          <cell r="A250">
            <v>801</v>
          </cell>
          <cell r="B250" t="str">
            <v>EL SEMAANI Jean Paul</v>
          </cell>
          <cell r="C250">
            <v>10102979628</v>
          </cell>
          <cell r="D250" t="str">
            <v>CRC</v>
          </cell>
          <cell r="E250" t="str">
            <v>HATOVIEMO - MOMIA TS</v>
          </cell>
          <cell r="F250" t="str">
            <v>MASTER C MASCULINO (40-44)</v>
          </cell>
        </row>
        <row r="251">
          <cell r="A251">
            <v>813</v>
          </cell>
          <cell r="B251" t="str">
            <v>GARCÍA Jorge</v>
          </cell>
          <cell r="C251">
            <v>10051209819</v>
          </cell>
          <cell r="D251" t="str">
            <v>CRC</v>
          </cell>
          <cell r="E251" t="str">
            <v xml:space="preserve">GRUPETA DE LAS 5AM </v>
          </cell>
          <cell r="F251" t="str">
            <v>MASTER C MASCULINO (40-44)</v>
          </cell>
        </row>
        <row r="252">
          <cell r="A252">
            <v>811</v>
          </cell>
          <cell r="B252" t="str">
            <v xml:space="preserve">RECIO  Rodrigo </v>
          </cell>
          <cell r="C252" t="str">
            <v>*10124200400</v>
          </cell>
          <cell r="D252" t="str">
            <v>CRC</v>
          </cell>
          <cell r="E252" t="str">
            <v>VEINTE24</v>
          </cell>
          <cell r="F252" t="str">
            <v>MASTER C MASCULINO (40-44)</v>
          </cell>
        </row>
        <row r="253">
          <cell r="A253">
            <v>820</v>
          </cell>
          <cell r="B253" t="str">
            <v xml:space="preserve">MENDEZ  Diego </v>
          </cell>
          <cell r="C253">
            <v>10094103118</v>
          </cell>
          <cell r="D253" t="str">
            <v>CRC</v>
          </cell>
          <cell r="E253" t="str">
            <v xml:space="preserve">ULTIMATE </v>
          </cell>
          <cell r="F253" t="str">
            <v>MASTER C MASCULINO (40-44)</v>
          </cell>
        </row>
        <row r="254">
          <cell r="A254">
            <v>814</v>
          </cell>
          <cell r="B254" t="str">
            <v>LIZANO Federico</v>
          </cell>
          <cell r="C254">
            <v>10114540513</v>
          </cell>
          <cell r="D254" t="str">
            <v>CRC</v>
          </cell>
          <cell r="E254" t="str">
            <v>TEAM LIZANO HERRA</v>
          </cell>
          <cell r="F254" t="str">
            <v>MASTER C MASCULINO (40-44)</v>
          </cell>
        </row>
        <row r="255">
          <cell r="A255">
            <v>805</v>
          </cell>
          <cell r="B255" t="str">
            <v>FERANANDEZ Raul</v>
          </cell>
          <cell r="C255">
            <v>10122661938</v>
          </cell>
          <cell r="D255" t="str">
            <v>CRC</v>
          </cell>
          <cell r="E255" t="str">
            <v/>
          </cell>
          <cell r="F255" t="str">
            <v>MASTER C MASCULINO (40-44)</v>
          </cell>
        </row>
        <row r="256">
          <cell r="A256">
            <v>809</v>
          </cell>
          <cell r="B256" t="str">
            <v>AZOFEIFA Guillermo</v>
          </cell>
          <cell r="C256">
            <v>10114420473</v>
          </cell>
          <cell r="D256" t="str">
            <v>CRC</v>
          </cell>
          <cell r="E256" t="str">
            <v>LOTUS TEAM</v>
          </cell>
          <cell r="F256" t="str">
            <v>MASTER C MASCULINO (40-44)</v>
          </cell>
        </row>
        <row r="257">
          <cell r="A257">
            <v>816</v>
          </cell>
          <cell r="B257" t="str">
            <v xml:space="preserve">CAMPOS  Sergio </v>
          </cell>
          <cell r="C257">
            <v>10111595349</v>
          </cell>
          <cell r="D257" t="str">
            <v>CRC</v>
          </cell>
          <cell r="E257" t="str">
            <v xml:space="preserve">SPOT DETAIL FACTORY TEAM </v>
          </cell>
          <cell r="F257" t="str">
            <v>MASTER C MASCULINO (40-44)</v>
          </cell>
        </row>
        <row r="258">
          <cell r="A258">
            <v>824</v>
          </cell>
          <cell r="B258" t="str">
            <v>RAMÍREZ  Luis</v>
          </cell>
          <cell r="C258" t="str">
            <v>LD</v>
          </cell>
          <cell r="D258" t="str">
            <v>CRC</v>
          </cell>
          <cell r="E258" t="str">
            <v xml:space="preserve">GOCHA CYCLING TEAM </v>
          </cell>
          <cell r="F258" t="str">
            <v>MASTER C MASCULINO (40-44)</v>
          </cell>
        </row>
        <row r="259">
          <cell r="A259">
            <v>825</v>
          </cell>
          <cell r="B259" t="str">
            <v>VALERIO Walter</v>
          </cell>
          <cell r="C259">
            <v>10111579585</v>
          </cell>
          <cell r="D259" t="str">
            <v>CRC</v>
          </cell>
          <cell r="E259" t="str">
            <v>FISH AND CHIPS</v>
          </cell>
          <cell r="F259" t="str">
            <v>MASTER C MASCULINO (40-44)</v>
          </cell>
        </row>
        <row r="260">
          <cell r="A260">
            <v>826</v>
          </cell>
          <cell r="B260" t="str">
            <v>BLANCO  Edward</v>
          </cell>
          <cell r="C260" t="str">
            <v>*10109578254</v>
          </cell>
          <cell r="D260" t="str">
            <v>CRC</v>
          </cell>
          <cell r="E260" t="str">
            <v xml:space="preserve">A+TEAM </v>
          </cell>
          <cell r="F260" t="str">
            <v>MASTER C MASCULINO (40-44)</v>
          </cell>
        </row>
        <row r="261">
          <cell r="A261">
            <v>827</v>
          </cell>
          <cell r="B261" t="str">
            <v>CASTRO Felipe</v>
          </cell>
          <cell r="C261" t="str">
            <v>LD</v>
          </cell>
          <cell r="D261" t="str">
            <v>CRC</v>
          </cell>
          <cell r="E261" t="str">
            <v/>
          </cell>
          <cell r="F261" t="str">
            <v>MASTER C MASCULINO (40-44)</v>
          </cell>
        </row>
        <row r="262">
          <cell r="F262" t="str">
            <v>MASTER C MASCULINO (40-44)</v>
          </cell>
        </row>
        <row r="266">
          <cell r="A266">
            <v>853</v>
          </cell>
          <cell r="B266" t="str">
            <v>CARVAJAL Jonathan</v>
          </cell>
          <cell r="C266">
            <v>10122227054</v>
          </cell>
          <cell r="D266" t="str">
            <v>CRC</v>
          </cell>
          <cell r="E266" t="str">
            <v>BOBBYS CYCLING TEAM</v>
          </cell>
          <cell r="F266" t="str">
            <v>MASTER D MASCULINO (45-49)</v>
          </cell>
        </row>
        <row r="267">
          <cell r="A267">
            <v>868</v>
          </cell>
          <cell r="B267" t="str">
            <v>MARIN Alonso</v>
          </cell>
          <cell r="C267">
            <v>10074930662</v>
          </cell>
          <cell r="D267" t="str">
            <v>CRC</v>
          </cell>
          <cell r="E267" t="str">
            <v>TEAM GOCHA</v>
          </cell>
          <cell r="F267" t="str">
            <v>MASTER D MASCULINO (45-49)</v>
          </cell>
        </row>
        <row r="268">
          <cell r="A268">
            <v>851</v>
          </cell>
          <cell r="B268" t="str">
            <v>ARCE  Alberth</v>
          </cell>
          <cell r="C268">
            <v>10060932451</v>
          </cell>
          <cell r="D268" t="str">
            <v>CRC</v>
          </cell>
          <cell r="E268" t="str">
            <v xml:space="preserve">TOMATERO </v>
          </cell>
          <cell r="F268" t="str">
            <v>MASTER D MASCULINO (45-49)</v>
          </cell>
        </row>
        <row r="269">
          <cell r="A269">
            <v>860</v>
          </cell>
          <cell r="B269" t="str">
            <v>UREÑA  Edhar</v>
          </cell>
          <cell r="C269">
            <v>10061984903</v>
          </cell>
          <cell r="D269" t="str">
            <v>CRC</v>
          </cell>
          <cell r="E269" t="str">
            <v>COLYPRO</v>
          </cell>
          <cell r="F269" t="str">
            <v>MASTER D MASCULINO (45-49)</v>
          </cell>
        </row>
        <row r="270">
          <cell r="A270">
            <v>859</v>
          </cell>
          <cell r="B270" t="str">
            <v>VEGA Oldemar</v>
          </cell>
          <cell r="C270">
            <v>10051462726</v>
          </cell>
          <cell r="D270" t="str">
            <v>CRC</v>
          </cell>
          <cell r="E270" t="str">
            <v>VEGAS TEAM POAS</v>
          </cell>
          <cell r="F270" t="str">
            <v>MASTER D MASCULINO (45-49)</v>
          </cell>
        </row>
        <row r="271">
          <cell r="A271">
            <v>865</v>
          </cell>
          <cell r="B271" t="str">
            <v>BRENES  Mario</v>
          </cell>
          <cell r="C271">
            <v>10138850531</v>
          </cell>
          <cell r="D271" t="str">
            <v>CRC</v>
          </cell>
          <cell r="E271" t="str">
            <v>BDRIFTMOTORSPORTNUTRITION</v>
          </cell>
          <cell r="F271" t="str">
            <v>MASTER D MASCULINO (45-49)</v>
          </cell>
        </row>
        <row r="272">
          <cell r="A272">
            <v>870</v>
          </cell>
          <cell r="B272" t="str">
            <v>GONZALEZ  Victor</v>
          </cell>
          <cell r="C272">
            <v>10089830468</v>
          </cell>
          <cell r="D272" t="str">
            <v>CRC</v>
          </cell>
          <cell r="E272" t="str">
            <v xml:space="preserve">EPIC BIKE CENTER </v>
          </cell>
          <cell r="F272" t="str">
            <v>MASTER D MASCULINO (45-49)</v>
          </cell>
        </row>
        <row r="273">
          <cell r="A273">
            <v>863</v>
          </cell>
          <cell r="B273" t="str">
            <v>BERMUDEZ Guillermo</v>
          </cell>
          <cell r="C273" t="str">
            <v>LD</v>
          </cell>
          <cell r="D273" t="str">
            <v>CRC</v>
          </cell>
          <cell r="E273" t="str">
            <v xml:space="preserve">INDIVIDUAL </v>
          </cell>
          <cell r="F273" t="str">
            <v>MASTER D MASCULINO (45-49)</v>
          </cell>
        </row>
        <row r="274">
          <cell r="A274">
            <v>855</v>
          </cell>
          <cell r="B274" t="str">
            <v>PESSOA Pablo</v>
          </cell>
          <cell r="C274">
            <v>10059069243</v>
          </cell>
          <cell r="D274" t="str">
            <v>CRC</v>
          </cell>
          <cell r="E274" t="str">
            <v>SCOTT SHIMANO CYCLING TEAM</v>
          </cell>
          <cell r="F274" t="str">
            <v>MASTER D MASCULINO (45-49)</v>
          </cell>
        </row>
        <row r="275">
          <cell r="A275">
            <v>861</v>
          </cell>
          <cell r="B275" t="str">
            <v xml:space="preserve">BELTRAN  Pablo </v>
          </cell>
          <cell r="C275">
            <v>11111</v>
          </cell>
          <cell r="D275" t="str">
            <v>CRC</v>
          </cell>
          <cell r="E275" t="str">
            <v>BELPOWER</v>
          </cell>
          <cell r="F275" t="str">
            <v>MASTER D MASCULINO (45-49)</v>
          </cell>
        </row>
        <row r="276">
          <cell r="A276">
            <v>858</v>
          </cell>
          <cell r="B276" t="str">
            <v>VÁSQUEZ  Ricardo</v>
          </cell>
          <cell r="C276" t="str">
            <v>*</v>
          </cell>
          <cell r="D276" t="str">
            <v>CRC</v>
          </cell>
          <cell r="E276" t="str">
            <v xml:space="preserve">CH TRAINIG </v>
          </cell>
          <cell r="F276" t="str">
            <v>MASTER D MASCULINO (45-49)</v>
          </cell>
        </row>
        <row r="277">
          <cell r="A277">
            <v>852</v>
          </cell>
          <cell r="B277" t="str">
            <v>HERRERA Jeffrey</v>
          </cell>
          <cell r="C277">
            <v>10007726234</v>
          </cell>
          <cell r="D277" t="str">
            <v>CRC</v>
          </cell>
          <cell r="E277" t="str">
            <v>TEAM CORECO/MOMENTUM SPORTS</v>
          </cell>
          <cell r="F277" t="str">
            <v>MASTER D MASCULINO (45-49)</v>
          </cell>
        </row>
        <row r="278">
          <cell r="A278">
            <v>862</v>
          </cell>
          <cell r="B278" t="str">
            <v xml:space="preserve">ARAYA  Pablo </v>
          </cell>
          <cell r="C278">
            <v>10120760132</v>
          </cell>
          <cell r="D278" t="str">
            <v>CRC</v>
          </cell>
          <cell r="E278" t="str">
            <v xml:space="preserve">AUTOTRONICA ARAYA </v>
          </cell>
          <cell r="F278" t="str">
            <v>MASTER D MASCULINO (45-49)</v>
          </cell>
        </row>
        <row r="279">
          <cell r="A279">
            <v>873</v>
          </cell>
          <cell r="B279" t="str">
            <v xml:space="preserve">QUIROS Victor Hugo </v>
          </cell>
          <cell r="C279">
            <v>10092276585</v>
          </cell>
          <cell r="D279" t="str">
            <v>CRC</v>
          </cell>
          <cell r="E279" t="str">
            <v xml:space="preserve">VEGABIKES </v>
          </cell>
          <cell r="F279" t="str">
            <v>MASTER D MASCULINO (45-49)</v>
          </cell>
        </row>
        <row r="280">
          <cell r="A280">
            <v>874</v>
          </cell>
          <cell r="B280" t="str">
            <v xml:space="preserve">MENESES Paulo </v>
          </cell>
          <cell r="C280">
            <v>10161402627</v>
          </cell>
          <cell r="D280" t="str">
            <v>CRC</v>
          </cell>
          <cell r="E280" t="str">
            <v>UNIFORMAX</v>
          </cell>
          <cell r="F280" t="str">
            <v>MASTER D MASCULINO (45-49)</v>
          </cell>
        </row>
        <row r="281">
          <cell r="A281">
            <v>875</v>
          </cell>
          <cell r="B281" t="str">
            <v xml:space="preserve">MENDOZA  Marcos Vinicio </v>
          </cell>
          <cell r="C281">
            <v>10075035948</v>
          </cell>
          <cell r="D281" t="str">
            <v>CRC</v>
          </cell>
          <cell r="E281" t="str">
            <v xml:space="preserve">PROFE REMO TRAINING CLUB </v>
          </cell>
          <cell r="F281" t="str">
            <v>MASTER D MASCULINO (45-49)</v>
          </cell>
        </row>
        <row r="282">
          <cell r="F282" t="str">
            <v>MASTER D MASCULINO (45-49)</v>
          </cell>
        </row>
        <row r="283">
          <cell r="F283" t="str">
            <v>MASTER D MASCULINO (45-49)</v>
          </cell>
        </row>
        <row r="284">
          <cell r="F284" t="str">
            <v>MASTER D MASCULINO (45-49)</v>
          </cell>
        </row>
        <row r="286">
          <cell r="A286">
            <v>906</v>
          </cell>
          <cell r="B286" t="str">
            <v>ROJAS Melvin</v>
          </cell>
          <cell r="C286">
            <v>10054780328</v>
          </cell>
          <cell r="D286" t="str">
            <v>CRC</v>
          </cell>
          <cell r="E286" t="str">
            <v>BOBBYS CYCLING TEAM</v>
          </cell>
          <cell r="F286" t="str">
            <v>MASTER E MASCULINO (50+)</v>
          </cell>
        </row>
        <row r="287">
          <cell r="A287">
            <v>908</v>
          </cell>
          <cell r="B287" t="str">
            <v>RODRÍGUEZ Luis Angel</v>
          </cell>
          <cell r="C287">
            <v>10101986891</v>
          </cell>
          <cell r="D287" t="str">
            <v>CRC</v>
          </cell>
          <cell r="E287" t="str">
            <v>JONATHAN.CYCLING/FISIO NORTE</v>
          </cell>
          <cell r="F287" t="str">
            <v>MASTER E MASCULINO (50+)</v>
          </cell>
        </row>
        <row r="288">
          <cell r="A288">
            <v>903</v>
          </cell>
          <cell r="B288" t="str">
            <v>RUBI Luis</v>
          </cell>
          <cell r="C288">
            <v>10061997734</v>
          </cell>
          <cell r="D288" t="str">
            <v>CRC</v>
          </cell>
          <cell r="E288" t="str">
            <v>DUROS COMO ROCA</v>
          </cell>
          <cell r="F288" t="str">
            <v>MASTER E MASCULINO (50+)</v>
          </cell>
        </row>
        <row r="289">
          <cell r="A289">
            <v>910</v>
          </cell>
          <cell r="B289" t="str">
            <v xml:space="preserve">CAMPOS  Marvin </v>
          </cell>
          <cell r="C289">
            <v>10112076915</v>
          </cell>
          <cell r="D289" t="str">
            <v>CRC</v>
          </cell>
          <cell r="E289" t="str">
            <v>BELEN TEAM</v>
          </cell>
          <cell r="F289" t="str">
            <v>MASTER E MASCULINO (50+)</v>
          </cell>
        </row>
        <row r="290">
          <cell r="A290">
            <v>905</v>
          </cell>
          <cell r="B290" t="str">
            <v xml:space="preserve">MONGE Freizer </v>
          </cell>
          <cell r="C290">
            <v>10061855668</v>
          </cell>
          <cell r="D290" t="str">
            <v>CRC</v>
          </cell>
          <cell r="E290" t="str">
            <v>HOTEL WHYNDAN - MENSAJERÍA M.A.,JAVA</v>
          </cell>
          <cell r="F290" t="str">
            <v>MASTER E MASCULINO (50+)</v>
          </cell>
        </row>
        <row r="291">
          <cell r="A291">
            <v>913</v>
          </cell>
          <cell r="B291" t="str">
            <v xml:space="preserve">CAMPOS Luis Javier </v>
          </cell>
          <cell r="C291">
            <v>10172012306</v>
          </cell>
          <cell r="D291" t="str">
            <v>CRC</v>
          </cell>
          <cell r="E291" t="str">
            <v>NUMU COACHING</v>
          </cell>
          <cell r="F291" t="str">
            <v>MASTER E MASCULINO (50+)</v>
          </cell>
        </row>
        <row r="292">
          <cell r="A292">
            <v>902</v>
          </cell>
          <cell r="B292" t="str">
            <v>MUÑOZ German</v>
          </cell>
          <cell r="C292" t="str">
            <v>*10061990660</v>
          </cell>
          <cell r="D292" t="str">
            <v>CRC</v>
          </cell>
          <cell r="E292" t="str">
            <v>TREK</v>
          </cell>
          <cell r="F292" t="str">
            <v>MASTER E MASCULINO (50+)</v>
          </cell>
        </row>
        <row r="293">
          <cell r="A293">
            <v>911</v>
          </cell>
          <cell r="B293" t="str">
            <v xml:space="preserve">SALAS  Mauricio </v>
          </cell>
          <cell r="C293">
            <v>10052413629</v>
          </cell>
          <cell r="D293" t="str">
            <v>CRC</v>
          </cell>
          <cell r="E293" t="str">
            <v xml:space="preserve">AUTOS SALAS </v>
          </cell>
          <cell r="F293" t="str">
            <v>MASTER E MASCULINO (50+)</v>
          </cell>
        </row>
        <row r="294">
          <cell r="A294">
            <v>904</v>
          </cell>
          <cell r="B294" t="str">
            <v>VALVERDE Wiliiam</v>
          </cell>
          <cell r="C294">
            <v>10052228218</v>
          </cell>
          <cell r="D294" t="str">
            <v>CRC</v>
          </cell>
          <cell r="E294" t="str">
            <v>BOBBYS CYCLING TEAM</v>
          </cell>
          <cell r="F294" t="str">
            <v>MASTER E MASCULINO (50+)</v>
          </cell>
        </row>
        <row r="295">
          <cell r="A295">
            <v>907</v>
          </cell>
          <cell r="B295" t="str">
            <v xml:space="preserve">CASTRO  Martín </v>
          </cell>
          <cell r="C295">
            <v>10075039079</v>
          </cell>
          <cell r="D295" t="str">
            <v>CRC</v>
          </cell>
          <cell r="E295" t="str">
            <v>CCSOLDADURAS BIORACER CR</v>
          </cell>
          <cell r="F295" t="str">
            <v>MASTER E MASCULINO (50+)</v>
          </cell>
        </row>
        <row r="296">
          <cell r="A296">
            <v>922</v>
          </cell>
          <cell r="B296" t="str">
            <v>MORA Alexander Alfredo</v>
          </cell>
          <cell r="C296">
            <v>10126639241</v>
          </cell>
          <cell r="D296" t="str">
            <v>CRC</v>
          </cell>
          <cell r="E296" t="str">
            <v>TEAM CORECO/MOMENTUM SPORT</v>
          </cell>
          <cell r="F296" t="str">
            <v>MASTER E MASCULINO (50+)</v>
          </cell>
        </row>
        <row r="297">
          <cell r="A297">
            <v>914</v>
          </cell>
          <cell r="B297" t="str">
            <v>MENESES Rolando</v>
          </cell>
          <cell r="C297">
            <v>10109809842</v>
          </cell>
          <cell r="D297" t="str">
            <v>CRC</v>
          </cell>
          <cell r="E297" t="str">
            <v>GRUPETA DE LAS 5AM</v>
          </cell>
          <cell r="F297" t="str">
            <v>MASTER E MASCULINO (50+)</v>
          </cell>
        </row>
        <row r="298">
          <cell r="A298">
            <v>923</v>
          </cell>
          <cell r="B298" t="str">
            <v xml:space="preserve">PENTÁCOLO  Gennaro </v>
          </cell>
          <cell r="C298" t="str">
            <v>LD</v>
          </cell>
          <cell r="D298" t="str">
            <v>CRC</v>
          </cell>
          <cell r="E298" t="str">
            <v xml:space="preserve">CICLO PENTA BIKE </v>
          </cell>
          <cell r="F298" t="str">
            <v>MASTER E MASCULINO (50+)</v>
          </cell>
        </row>
        <row r="299">
          <cell r="F299" t="str">
            <v>MASTER E MASCULINO (50+)</v>
          </cell>
        </row>
        <row r="300">
          <cell r="F300" t="str">
            <v>MASTER E MASCULINO (50+)</v>
          </cell>
        </row>
        <row r="301">
          <cell r="F301" t="str">
            <v>MASTER E MASCULINO (50+)</v>
          </cell>
        </row>
        <row r="302">
          <cell r="F302" t="str">
            <v>MASTER E MASCULINO (50+)</v>
          </cell>
        </row>
        <row r="305">
          <cell r="A305">
            <v>935</v>
          </cell>
          <cell r="B305" t="str">
            <v xml:space="preserve">GONZALEZ  Alejandra </v>
          </cell>
          <cell r="C305">
            <v>10083854965</v>
          </cell>
          <cell r="D305" t="str">
            <v>CRC</v>
          </cell>
          <cell r="E305" t="str">
            <v xml:space="preserve">CLETA BOUTIQUE </v>
          </cell>
          <cell r="F305" t="str">
            <v>MASTER A FEMENINO (30-39)</v>
          </cell>
        </row>
        <row r="306">
          <cell r="A306">
            <v>932</v>
          </cell>
          <cell r="B306" t="str">
            <v>HERNÁNDEZ Yuliana</v>
          </cell>
          <cell r="C306">
            <v>10121261300</v>
          </cell>
          <cell r="D306" t="str">
            <v>CRC</v>
          </cell>
          <cell r="E306" t="str">
            <v xml:space="preserve">SAPPHIRE TABA CYCLING TEAM </v>
          </cell>
          <cell r="F306" t="str">
            <v>MASTER A FEMENINO (30-39)</v>
          </cell>
        </row>
        <row r="307">
          <cell r="A307">
            <v>934</v>
          </cell>
          <cell r="B307" t="str">
            <v xml:space="preserve">BADILLA  Valeria </v>
          </cell>
          <cell r="C307">
            <v>10133198663</v>
          </cell>
          <cell r="D307" t="str">
            <v>CRC</v>
          </cell>
          <cell r="E307" t="str">
            <v>FISIOSANA - VEINTE24</v>
          </cell>
          <cell r="F307" t="str">
            <v>MASTER A FEMENINO (30-39)</v>
          </cell>
        </row>
        <row r="308">
          <cell r="A308">
            <v>936</v>
          </cell>
          <cell r="B308" t="str">
            <v>GUERRERO Arlette</v>
          </cell>
          <cell r="C308">
            <v>10139341086</v>
          </cell>
          <cell r="D308" t="str">
            <v>CRC</v>
          </cell>
          <cell r="E308" t="str">
            <v>MMR SPORTIVSTORE</v>
          </cell>
          <cell r="F308" t="str">
            <v>MASTER A FEMENINO (30-39)</v>
          </cell>
        </row>
        <row r="310">
          <cell r="A310">
            <v>951</v>
          </cell>
          <cell r="B310" t="str">
            <v>LORIA Dilcen</v>
          </cell>
          <cell r="C310">
            <v>10101986689</v>
          </cell>
          <cell r="D310" t="str">
            <v>CRC</v>
          </cell>
          <cell r="E310" t="str">
            <v>FISIONORTE/ JONATHANQUESADA.CYCLING</v>
          </cell>
          <cell r="F310" t="str">
            <v>MASTER B FEMENINO (40+)</v>
          </cell>
        </row>
        <row r="311">
          <cell r="A311">
            <v>956</v>
          </cell>
          <cell r="B311" t="str">
            <v>DURÁN Anny</v>
          </cell>
          <cell r="C311">
            <v>10116040878</v>
          </cell>
          <cell r="D311" t="str">
            <v>CRC</v>
          </cell>
          <cell r="E311" t="str">
            <v xml:space="preserve">INDEPENDIENTE </v>
          </cell>
          <cell r="F311" t="str">
            <v>MASTER B FEMENINO (40+)</v>
          </cell>
        </row>
        <row r="312">
          <cell r="F312" t="str">
            <v>MASTER B FEMENINO (40+)</v>
          </cell>
        </row>
        <row r="313">
          <cell r="F313" t="str">
            <v>MASTER B FEMENINO (40+)</v>
          </cell>
        </row>
        <row r="315">
          <cell r="A315">
            <v>614</v>
          </cell>
          <cell r="B315" t="str">
            <v>MENESES Jose</v>
          </cell>
          <cell r="C315">
            <v>10153041631</v>
          </cell>
          <cell r="D315" t="str">
            <v>CRC</v>
          </cell>
          <cell r="E315" t="str">
            <v>STYM</v>
          </cell>
          <cell r="F315" t="str">
            <v>OPEN (18+)</v>
          </cell>
        </row>
        <row r="316">
          <cell r="A316">
            <v>609</v>
          </cell>
          <cell r="B316" t="str">
            <v>SANDI Kendall</v>
          </cell>
          <cell r="C316">
            <v>10063635620</v>
          </cell>
          <cell r="D316" t="str">
            <v>CRC</v>
          </cell>
          <cell r="E316" t="str">
            <v xml:space="preserve">TEAM POWERCYCLING </v>
          </cell>
          <cell r="F316" t="str">
            <v>OPEN (18+)</v>
          </cell>
        </row>
        <row r="317">
          <cell r="A317">
            <v>603</v>
          </cell>
          <cell r="B317" t="str">
            <v>RIVERA  Jackdanny</v>
          </cell>
          <cell r="C317">
            <v>10164876237</v>
          </cell>
          <cell r="D317" t="str">
            <v>CRC</v>
          </cell>
          <cell r="E317" t="str">
            <v xml:space="preserve">VEINTE24 CYCLING </v>
          </cell>
          <cell r="F317" t="str">
            <v>OPEN (18+)</v>
          </cell>
        </row>
        <row r="318">
          <cell r="A318">
            <v>618</v>
          </cell>
          <cell r="B318" t="str">
            <v xml:space="preserve">ZAMORA  José David </v>
          </cell>
          <cell r="C318">
            <v>10127815668</v>
          </cell>
          <cell r="D318" t="str">
            <v>CRC</v>
          </cell>
          <cell r="E318" t="str">
            <v>VEINTE24</v>
          </cell>
          <cell r="F318" t="str">
            <v>OPEN (18+)</v>
          </cell>
        </row>
        <row r="319">
          <cell r="A319">
            <v>622</v>
          </cell>
          <cell r="B319" t="str">
            <v xml:space="preserve">MORENO  Carlos </v>
          </cell>
          <cell r="C319" t="str">
            <v>*LD</v>
          </cell>
          <cell r="D319" t="str">
            <v>CRC</v>
          </cell>
          <cell r="E319" t="str">
            <v xml:space="preserve">NUMUCOACHING </v>
          </cell>
          <cell r="F319" t="str">
            <v>OPEN (18+)</v>
          </cell>
        </row>
        <row r="320">
          <cell r="A320">
            <v>625</v>
          </cell>
          <cell r="B320" t="str">
            <v>LEIVA Kenneth</v>
          </cell>
          <cell r="C320">
            <v>10172016144</v>
          </cell>
          <cell r="D320" t="str">
            <v>CRC</v>
          </cell>
          <cell r="E320" t="str">
            <v/>
          </cell>
          <cell r="F320" t="str">
            <v>OPEN (18+)</v>
          </cell>
        </row>
        <row r="321">
          <cell r="A321">
            <v>602</v>
          </cell>
          <cell r="B321" t="str">
            <v>MARIN Daniel</v>
          </cell>
          <cell r="C321" t="str">
            <v>LD</v>
          </cell>
          <cell r="D321" t="str">
            <v>CRC</v>
          </cell>
          <cell r="E321" t="str">
            <v>BIKE BROS CYCLING</v>
          </cell>
          <cell r="F321" t="str">
            <v>OPEN (18+)</v>
          </cell>
        </row>
        <row r="322">
          <cell r="A322">
            <v>616</v>
          </cell>
          <cell r="B322" t="str">
            <v xml:space="preserve">QUIRÓS  Arturo </v>
          </cell>
          <cell r="C322">
            <v>10126140804</v>
          </cell>
          <cell r="D322" t="str">
            <v>CRC</v>
          </cell>
          <cell r="E322" t="str">
            <v>ASOCIACIÓN VQ CARTAGO</v>
          </cell>
          <cell r="F322" t="str">
            <v>OPEN (18+)</v>
          </cell>
        </row>
        <row r="323">
          <cell r="A323">
            <v>628</v>
          </cell>
          <cell r="B323" t="str">
            <v xml:space="preserve">GAMBOA  Jose Daniel </v>
          </cell>
          <cell r="C323">
            <v>10129820740</v>
          </cell>
          <cell r="D323" t="str">
            <v>CRC</v>
          </cell>
          <cell r="E323" t="str">
            <v>MANTENIMIENTO GABRE</v>
          </cell>
          <cell r="F323" t="str">
            <v>OPEN (18+)</v>
          </cell>
        </row>
        <row r="324">
          <cell r="F324" t="str">
            <v>OPEN (18+)</v>
          </cell>
        </row>
        <row r="325">
          <cell r="F325" t="str">
            <v>OPEN (18+)</v>
          </cell>
        </row>
        <row r="326">
          <cell r="F326" t="str">
            <v>OPEN (18+)</v>
          </cell>
        </row>
        <row r="327">
          <cell r="F327" t="str">
            <v>OPEN (18+)</v>
          </cell>
        </row>
        <row r="328">
          <cell r="F328" t="str">
            <v>OPEN (18+)</v>
          </cell>
        </row>
        <row r="329">
          <cell r="F329" t="str">
            <v>OPEN (18+)</v>
          </cell>
        </row>
        <row r="330">
          <cell r="F330" t="str">
            <v>OPEN (18+)</v>
          </cell>
        </row>
        <row r="331">
          <cell r="F331" t="str">
            <v>OPEN (18+)</v>
          </cell>
        </row>
        <row r="332">
          <cell r="F332" t="str">
            <v>OPEN (18+)</v>
          </cell>
        </row>
        <row r="333">
          <cell r="F333" t="str">
            <v>OPEN (18+)</v>
          </cell>
        </row>
        <row r="334">
          <cell r="F334" t="str">
            <v>OPEN (18+)</v>
          </cell>
        </row>
        <row r="337">
          <cell r="A337">
            <v>671</v>
          </cell>
          <cell r="B337" t="str">
            <v>TRETTI Caterina</v>
          </cell>
          <cell r="C337">
            <v>10136876074</v>
          </cell>
          <cell r="D337" t="str">
            <v>CRC</v>
          </cell>
          <cell r="E337" t="str">
            <v>VEINTE24</v>
          </cell>
          <cell r="F337" t="str">
            <v>OPEN FEMENINO (18+)</v>
          </cell>
        </row>
        <row r="338">
          <cell r="F338" t="str">
            <v>OPEN FEMENINO (18+)</v>
          </cell>
        </row>
        <row r="340">
          <cell r="A340">
            <v>981</v>
          </cell>
          <cell r="B340" t="str">
            <v>ALFARO  Dany</v>
          </cell>
          <cell r="C340" t="str">
            <v>*LD</v>
          </cell>
          <cell r="D340" t="str">
            <v/>
          </cell>
          <cell r="E340" t="str">
            <v xml:space="preserve">SERVICIO AUTOMOTRIZ NEO CICLYNG </v>
          </cell>
          <cell r="F340" t="str">
            <v>PESO PLUMA MASCULINO</v>
          </cell>
        </row>
        <row r="341">
          <cell r="A341">
            <v>978</v>
          </cell>
          <cell r="B341" t="str">
            <v>JIMÉNEZ  Royland</v>
          </cell>
          <cell r="C341" t="str">
            <v>*LD</v>
          </cell>
          <cell r="D341" t="str">
            <v>CRC</v>
          </cell>
          <cell r="E341" t="str">
            <v xml:space="preserve">SKALA-TRI-CYC/ CICLO FOFO /TALLER ROY </v>
          </cell>
          <cell r="F341" t="str">
            <v>PESO PLUMA MASCULINO</v>
          </cell>
        </row>
        <row r="342">
          <cell r="A342">
            <v>982</v>
          </cell>
          <cell r="B342" t="str">
            <v>VARGAS Omar</v>
          </cell>
          <cell r="C342">
            <v>10050347327</v>
          </cell>
          <cell r="D342" t="str">
            <v>CRC</v>
          </cell>
          <cell r="E342" t="str">
            <v>ANCM EL COMI CASI ENDURERO</v>
          </cell>
          <cell r="F342" t="str">
            <v>PESO PLUMA MASCULINO</v>
          </cell>
        </row>
        <row r="343">
          <cell r="A343">
            <v>983</v>
          </cell>
          <cell r="B343" t="str">
            <v>CALDERON Alejandro</v>
          </cell>
          <cell r="C343">
            <v>1015955048</v>
          </cell>
          <cell r="D343" t="str">
            <v>CRC</v>
          </cell>
          <cell r="E343" t="str">
            <v>EL PALIDAZO CYCLING CLUB</v>
          </cell>
          <cell r="F343" t="str">
            <v>PESO PLUMA MASCULINO</v>
          </cell>
        </row>
        <row r="344">
          <cell r="F344" t="str">
            <v>PESO PLUMA MASCULINO</v>
          </cell>
        </row>
        <row r="345">
          <cell r="F345" t="str">
            <v>PESO PLUMA MASCULINO</v>
          </cell>
        </row>
        <row r="346">
          <cell r="F346" t="str">
            <v>PESO PLUMA MASCULINO</v>
          </cell>
        </row>
        <row r="347">
          <cell r="F347" t="str">
            <v>PESO PLUMA MASCULINO</v>
          </cell>
        </row>
        <row r="348">
          <cell r="F348" t="str">
            <v>PESO PLUMA MASCULINO</v>
          </cell>
        </row>
        <row r="349">
          <cell r="F349" t="str">
            <v>PESO PLUMA MASCULINO</v>
          </cell>
        </row>
        <row r="350">
          <cell r="F350" t="str">
            <v>PESO PLUMA MASCULINO</v>
          </cell>
        </row>
        <row r="351">
          <cell r="F351" t="str">
            <v>PESO PLUMA MASCULINO</v>
          </cell>
        </row>
        <row r="352">
          <cell r="F352" t="str">
            <v>PESO PLUMA MASCULINO</v>
          </cell>
        </row>
        <row r="353">
          <cell r="F353" t="str">
            <v>PESO PLUMA MASCULINO</v>
          </cell>
        </row>
        <row r="354">
          <cell r="F354" t="str">
            <v>PESO PLUMA MASCULINO</v>
          </cell>
        </row>
        <row r="356">
          <cell r="A356">
            <v>961</v>
          </cell>
          <cell r="B356" t="str">
            <v>GUZMAN Aaron</v>
          </cell>
          <cell r="C356">
            <v>10129943002</v>
          </cell>
          <cell r="D356" t="str">
            <v>CRC</v>
          </cell>
          <cell r="E356" t="str">
            <v>ACISA</v>
          </cell>
          <cell r="F356" t="str">
            <v>E-BIKE MASCULINO</v>
          </cell>
        </row>
        <row r="357">
          <cell r="A357">
            <v>962</v>
          </cell>
          <cell r="B357" t="str">
            <v>GUZMÁN  Alex</v>
          </cell>
          <cell r="C357">
            <v>10136994700</v>
          </cell>
          <cell r="D357" t="str">
            <v>CRC</v>
          </cell>
          <cell r="E357" t="str">
            <v>ACISA</v>
          </cell>
          <cell r="F357" t="str">
            <v>E-BIKE MASCULINO</v>
          </cell>
        </row>
        <row r="358">
          <cell r="A358">
            <v>964</v>
          </cell>
          <cell r="B358" t="str">
            <v>TENORIO Carlos</v>
          </cell>
          <cell r="C358">
            <v>10061982172</v>
          </cell>
          <cell r="D358" t="str">
            <v/>
          </cell>
          <cell r="E358" t="str">
            <v>ASISA SARAPIQUI</v>
          </cell>
          <cell r="F358" t="str">
            <v>E-BIKE MASCULINO</v>
          </cell>
        </row>
        <row r="359">
          <cell r="A359">
            <v>965</v>
          </cell>
          <cell r="B359" t="str">
            <v>CALDERON Gerardo</v>
          </cell>
          <cell r="C359" t="str">
            <v>LD</v>
          </cell>
          <cell r="D359" t="str">
            <v>CRC</v>
          </cell>
          <cell r="E359" t="str">
            <v>CAMEL 4X4</v>
          </cell>
          <cell r="F359" t="str">
            <v>E-BIKE MASCULINO</v>
          </cell>
        </row>
        <row r="360">
          <cell r="A360">
            <v>966</v>
          </cell>
          <cell r="B360" t="str">
            <v xml:space="preserve">HERRERA  Miguel </v>
          </cell>
          <cell r="C360">
            <v>10075908039</v>
          </cell>
          <cell r="D360" t="str">
            <v>CRC</v>
          </cell>
          <cell r="E360" t="str">
            <v>CHURUCA SA.</v>
          </cell>
          <cell r="F360" t="str">
            <v>E-BIKE MASCULINO</v>
          </cell>
        </row>
        <row r="363">
          <cell r="F363" t="str">
            <v>E-BIKE FEMENINO</v>
          </cell>
        </row>
        <row r="366">
          <cell r="F366" t="str">
            <v>CYCLO CROSS MASCULINO</v>
          </cell>
        </row>
        <row r="367">
          <cell r="F367" t="str">
            <v>CYCLO CROSS MASCULINO</v>
          </cell>
        </row>
        <row r="368">
          <cell r="F368" t="str">
            <v>CYCLO CROSS MASCULINO</v>
          </cell>
        </row>
        <row r="369">
          <cell r="F369" t="str">
            <v>CYCLO CROSS MASCULINO</v>
          </cell>
        </row>
        <row r="370">
          <cell r="F370" t="str">
            <v>CYCLO CROSS MASCULINO</v>
          </cell>
        </row>
        <row r="371">
          <cell r="F371" t="str">
            <v>CYCLO CROSS MASCULINO</v>
          </cell>
        </row>
        <row r="372">
          <cell r="F372" t="str">
            <v>CYCLO CROSS MASCULINO</v>
          </cell>
        </row>
        <row r="373">
          <cell r="F373" t="str">
            <v>CYCLO CROSS MASCULINO</v>
          </cell>
        </row>
        <row r="374">
          <cell r="F374" t="str">
            <v>CYCLO CROSS MASCULINO</v>
          </cell>
        </row>
        <row r="375">
          <cell r="F375" t="str">
            <v>CYCLO CROSS MASCULINO</v>
          </cell>
        </row>
        <row r="376">
          <cell r="F376" t="str">
            <v>CYCLO CROSS MASCULINO</v>
          </cell>
        </row>
        <row r="377">
          <cell r="F377" t="str">
            <v>CYCLO CROSS MASCULINO</v>
          </cell>
        </row>
        <row r="378">
          <cell r="F378" t="str">
            <v>CYCLO CROSS MASCULINO</v>
          </cell>
        </row>
        <row r="379">
          <cell r="F379" t="str">
            <v>CYCLO CROSS MASCULINO</v>
          </cell>
        </row>
        <row r="380">
          <cell r="F380" t="str">
            <v>CYCLO CROSS MASCULINO</v>
          </cell>
        </row>
        <row r="381">
          <cell r="F381" t="str">
            <v>CYCLO CROSS MASCULINO</v>
          </cell>
        </row>
        <row r="382">
          <cell r="F382" t="str">
            <v>CYCLO CROSS MASCULINO</v>
          </cell>
        </row>
        <row r="383">
          <cell r="F383" t="str">
            <v>CYCLO CROSS MASCULINO</v>
          </cell>
        </row>
      </sheetData>
      <sheetData sheetId="4"/>
      <sheetData sheetId="5">
        <row r="6">
          <cell r="A6">
            <v>708</v>
          </cell>
          <cell r="B6">
            <v>1.3182870370370371E-2</v>
          </cell>
          <cell r="C6">
            <v>1.3182870370370371E-2</v>
          </cell>
          <cell r="D6">
            <v>1</v>
          </cell>
          <cell r="E6" t="str">
            <v xml:space="preserve">MORALES  Allan </v>
          </cell>
        </row>
        <row r="7">
          <cell r="A7">
            <v>713</v>
          </cell>
          <cell r="B7">
            <v>1.361111111111111E-2</v>
          </cell>
          <cell r="C7">
            <v>1.361111111111111E-2</v>
          </cell>
          <cell r="D7">
            <v>2</v>
          </cell>
          <cell r="E7" t="str">
            <v>ARTAVIA Enrique</v>
          </cell>
        </row>
        <row r="8">
          <cell r="A8">
            <v>701</v>
          </cell>
          <cell r="B8">
            <v>1.3888888888888888E-2</v>
          </cell>
          <cell r="C8">
            <v>1.3888888888888888E-2</v>
          </cell>
          <cell r="D8">
            <v>3</v>
          </cell>
          <cell r="E8" t="str">
            <v>MARTINEZ Andres</v>
          </cell>
        </row>
        <row r="9">
          <cell r="A9">
            <v>752</v>
          </cell>
          <cell r="B9">
            <v>1.4050925925925927E-2</v>
          </cell>
          <cell r="C9">
            <v>1.3703703703703704E-2</v>
          </cell>
          <cell r="D9">
            <v>4</v>
          </cell>
          <cell r="E9" t="str">
            <v>RAMÍREZ  Federico</v>
          </cell>
        </row>
        <row r="10">
          <cell r="A10">
            <v>774</v>
          </cell>
          <cell r="B10">
            <v>1.4293981481481482E-2</v>
          </cell>
          <cell r="C10">
            <v>1.3946759259259259E-2</v>
          </cell>
          <cell r="D10">
            <v>5</v>
          </cell>
          <cell r="E10" t="str">
            <v>DURAN Allan</v>
          </cell>
        </row>
        <row r="11">
          <cell r="A11">
            <v>751</v>
          </cell>
          <cell r="B11">
            <v>1.4375000000000001E-2</v>
          </cell>
          <cell r="C11">
            <v>1.4027777777777778E-2</v>
          </cell>
          <cell r="D11">
            <v>6</v>
          </cell>
          <cell r="E11" t="str">
            <v>HERRERA Elber</v>
          </cell>
        </row>
        <row r="12">
          <cell r="A12">
            <v>758</v>
          </cell>
          <cell r="B12">
            <v>1.4675925925925926E-2</v>
          </cell>
          <cell r="C12">
            <v>1.4328703703703703E-2</v>
          </cell>
          <cell r="D12">
            <v>7</v>
          </cell>
          <cell r="E12" t="str">
            <v>MOLINA Hairo</v>
          </cell>
        </row>
        <row r="13">
          <cell r="A13">
            <v>702</v>
          </cell>
          <cell r="B13">
            <v>1.480324074074074E-2</v>
          </cell>
          <cell r="C13">
            <v>1.480324074074074E-2</v>
          </cell>
          <cell r="D13">
            <v>8</v>
          </cell>
          <cell r="E13" t="str">
            <v xml:space="preserve">ALPÍZAR  Roberto </v>
          </cell>
        </row>
        <row r="14">
          <cell r="A14">
            <v>763</v>
          </cell>
          <cell r="B14">
            <v>2.1956018518518517E-2</v>
          </cell>
          <cell r="C14">
            <v>2.1608796296296296E-2</v>
          </cell>
          <cell r="D14">
            <v>9</v>
          </cell>
          <cell r="E14" t="str">
            <v xml:space="preserve">RODRÍGUEZ  Julián </v>
          </cell>
        </row>
        <row r="15">
          <cell r="A15">
            <v>618</v>
          </cell>
          <cell r="B15">
            <v>1.5104166666666667E-2</v>
          </cell>
          <cell r="C15">
            <v>1.4409722222222223E-2</v>
          </cell>
          <cell r="D15">
            <v>10</v>
          </cell>
          <cell r="E15" t="str">
            <v xml:space="preserve">ZAMORA  José David </v>
          </cell>
        </row>
        <row r="16">
          <cell r="A16">
            <v>614</v>
          </cell>
          <cell r="B16">
            <v>1.5266203703703704E-2</v>
          </cell>
          <cell r="C16">
            <v>1.457175925925926E-2</v>
          </cell>
          <cell r="D16">
            <v>11</v>
          </cell>
          <cell r="E16" t="str">
            <v>MENESES Jose</v>
          </cell>
        </row>
        <row r="17">
          <cell r="A17">
            <v>609</v>
          </cell>
          <cell r="B17">
            <v>1.5277777777777777E-2</v>
          </cell>
          <cell r="C17">
            <v>1.4583333333333334E-2</v>
          </cell>
          <cell r="D17">
            <v>12</v>
          </cell>
          <cell r="E17" t="str">
            <v>SANDI Kendall</v>
          </cell>
        </row>
        <row r="18">
          <cell r="A18">
            <v>602</v>
          </cell>
          <cell r="B18" t="str">
            <v xml:space="preserve"> -1 LAP</v>
          </cell>
          <cell r="C18" t="str">
            <v xml:space="preserve"> -1 LAP</v>
          </cell>
          <cell r="D18">
            <v>13</v>
          </cell>
          <cell r="E18" t="str">
            <v>MARIN Daniel</v>
          </cell>
        </row>
        <row r="19">
          <cell r="A19">
            <v>622</v>
          </cell>
          <cell r="B19" t="str">
            <v xml:space="preserve"> -1 LAP</v>
          </cell>
          <cell r="C19" t="str">
            <v xml:space="preserve"> -1 LAP</v>
          </cell>
          <cell r="D19">
            <v>14</v>
          </cell>
          <cell r="E19" t="str">
            <v xml:space="preserve">MORENO  Carlos </v>
          </cell>
        </row>
        <row r="20">
          <cell r="A20">
            <v>754</v>
          </cell>
          <cell r="B20" t="str">
            <v xml:space="preserve"> -1 LAP</v>
          </cell>
          <cell r="C20" t="str">
            <v xml:space="preserve"> -1 LAP</v>
          </cell>
          <cell r="D20">
            <v>15</v>
          </cell>
          <cell r="E20" t="str">
            <v xml:space="preserve">MENESES  Mario Alfredo </v>
          </cell>
        </row>
        <row r="21">
          <cell r="A21">
            <v>720</v>
          </cell>
          <cell r="B21" t="str">
            <v xml:space="preserve"> -3 LAP</v>
          </cell>
          <cell r="C21" t="str">
            <v xml:space="preserve"> -3 LAP</v>
          </cell>
          <cell r="D21">
            <v>16</v>
          </cell>
          <cell r="E21" t="str">
            <v xml:space="preserve">SANTANA  Jesús </v>
          </cell>
        </row>
        <row r="22">
          <cell r="A22">
            <v>775</v>
          </cell>
          <cell r="B22" t="str">
            <v>DNF</v>
          </cell>
          <cell r="C22" t="str">
            <v>DNF</v>
          </cell>
          <cell r="D22">
            <v>17</v>
          </cell>
          <cell r="E22" t="str">
            <v>CHAVARRIA Henry</v>
          </cell>
        </row>
        <row r="23">
          <cell r="A23">
            <v>760</v>
          </cell>
          <cell r="B23" t="str">
            <v>DNF</v>
          </cell>
          <cell r="C23" t="str">
            <v>DNF</v>
          </cell>
          <cell r="D23">
            <v>18</v>
          </cell>
          <cell r="E23" t="str">
            <v>MORERA Oscar</v>
          </cell>
        </row>
        <row r="24">
          <cell r="A24">
            <v>761</v>
          </cell>
          <cell r="B24" t="str">
            <v>DNF</v>
          </cell>
          <cell r="C24" t="str">
            <v>DNF</v>
          </cell>
          <cell r="D24">
            <v>19</v>
          </cell>
          <cell r="E24" t="str">
            <v>CORTES Jerry</v>
          </cell>
        </row>
        <row r="25">
          <cell r="A25">
            <v>802</v>
          </cell>
          <cell r="B25">
            <v>1.2430555555555556E-2</v>
          </cell>
          <cell r="C25">
            <v>1.2430555555555556E-2</v>
          </cell>
          <cell r="D25">
            <v>20</v>
          </cell>
          <cell r="E25" t="str">
            <v>CHACON Gonzalo</v>
          </cell>
        </row>
        <row r="26">
          <cell r="A26">
            <v>852</v>
          </cell>
          <cell r="B26">
            <v>1.2604166666666666E-2</v>
          </cell>
          <cell r="C26">
            <v>1.2256944444444444E-2</v>
          </cell>
          <cell r="D26">
            <v>21</v>
          </cell>
          <cell r="E26" t="str">
            <v>HERRERA Jeffrey</v>
          </cell>
        </row>
        <row r="27">
          <cell r="A27">
            <v>851</v>
          </cell>
          <cell r="B27">
            <v>1.2615740740740742E-2</v>
          </cell>
          <cell r="C27">
            <v>1.2268518518518519E-2</v>
          </cell>
          <cell r="D27">
            <v>22</v>
          </cell>
          <cell r="E27" t="str">
            <v>ARCE  Alberth</v>
          </cell>
        </row>
        <row r="28">
          <cell r="A28">
            <v>820</v>
          </cell>
          <cell r="B28">
            <v>1.2638888888888889E-2</v>
          </cell>
          <cell r="C28">
            <v>1.2638888888888889E-2</v>
          </cell>
          <cell r="D28">
            <v>23</v>
          </cell>
          <cell r="E28" t="str">
            <v xml:space="preserve">MENDEZ  Diego </v>
          </cell>
        </row>
        <row r="29">
          <cell r="A29">
            <v>816</v>
          </cell>
          <cell r="B29">
            <v>1.2662037037037038E-2</v>
          </cell>
          <cell r="C29">
            <v>1.2662037037037038E-2</v>
          </cell>
          <cell r="D29">
            <v>24</v>
          </cell>
          <cell r="E29" t="str">
            <v xml:space="preserve">CAMPOS  Sergio </v>
          </cell>
        </row>
        <row r="30">
          <cell r="A30">
            <v>868</v>
          </cell>
          <cell r="B30">
            <v>1.2673611111111111E-2</v>
          </cell>
          <cell r="C30">
            <v>1.2326388888888888E-2</v>
          </cell>
          <cell r="D30">
            <v>25</v>
          </cell>
          <cell r="E30" t="str">
            <v>MARIN Alonso</v>
          </cell>
        </row>
        <row r="31">
          <cell r="A31">
            <v>870</v>
          </cell>
          <cell r="B31">
            <v>1.2870370370370371E-2</v>
          </cell>
          <cell r="C31">
            <v>1.2523148148148148E-2</v>
          </cell>
          <cell r="D31">
            <v>26</v>
          </cell>
          <cell r="E31" t="str">
            <v>GONZALEZ  Victor</v>
          </cell>
        </row>
        <row r="32">
          <cell r="A32">
            <v>859</v>
          </cell>
          <cell r="B32">
            <v>1.3009259259259259E-2</v>
          </cell>
          <cell r="C32">
            <v>1.2662037037037036E-2</v>
          </cell>
          <cell r="D32">
            <v>27</v>
          </cell>
          <cell r="E32" t="str">
            <v>VEGA Oldemar</v>
          </cell>
        </row>
        <row r="33">
          <cell r="A33">
            <v>853</v>
          </cell>
          <cell r="B33">
            <v>1.3055555555555556E-2</v>
          </cell>
          <cell r="C33">
            <v>1.2708333333333334E-2</v>
          </cell>
          <cell r="D33">
            <v>28</v>
          </cell>
          <cell r="E33" t="str">
            <v>CARVAJAL Jonathan</v>
          </cell>
        </row>
        <row r="34">
          <cell r="A34">
            <v>902</v>
          </cell>
          <cell r="B34">
            <v>1.3263888888888889E-2</v>
          </cell>
          <cell r="C34">
            <v>1.2569444444444446E-2</v>
          </cell>
          <cell r="D34">
            <v>29</v>
          </cell>
          <cell r="E34" t="str">
            <v>MUÑOZ German</v>
          </cell>
        </row>
        <row r="35">
          <cell r="A35">
            <v>906</v>
          </cell>
          <cell r="B35">
            <v>1.3344907407407408E-2</v>
          </cell>
          <cell r="C35">
            <v>1.2650462962962964E-2</v>
          </cell>
          <cell r="D35">
            <v>30</v>
          </cell>
          <cell r="E35" t="str">
            <v>ROJAS Melvin</v>
          </cell>
        </row>
        <row r="36">
          <cell r="A36">
            <v>813</v>
          </cell>
          <cell r="B36">
            <v>1.3402777777777777E-2</v>
          </cell>
          <cell r="C36">
            <v>1.3402777777777777E-2</v>
          </cell>
          <cell r="D36">
            <v>31</v>
          </cell>
          <cell r="E36" t="str">
            <v>GARCÍA Jorge</v>
          </cell>
        </row>
        <row r="37">
          <cell r="A37">
            <v>862</v>
          </cell>
          <cell r="B37">
            <v>1.3472222222222222E-2</v>
          </cell>
          <cell r="C37">
            <v>1.3125E-2</v>
          </cell>
          <cell r="D37">
            <v>32</v>
          </cell>
          <cell r="E37" t="str">
            <v xml:space="preserve">ARAYA  Pablo </v>
          </cell>
        </row>
        <row r="38">
          <cell r="A38">
            <v>825</v>
          </cell>
          <cell r="B38">
            <v>1.3495370370370371E-2</v>
          </cell>
          <cell r="C38">
            <v>1.3495370370370371E-2</v>
          </cell>
          <cell r="D38">
            <v>33</v>
          </cell>
          <cell r="E38" t="str">
            <v>VALERIO Walter</v>
          </cell>
        </row>
        <row r="39">
          <cell r="A39">
            <v>801</v>
          </cell>
          <cell r="B39">
            <v>1.3541666666666667E-2</v>
          </cell>
          <cell r="C39">
            <v>1.3541666666666667E-2</v>
          </cell>
          <cell r="D39">
            <v>34</v>
          </cell>
          <cell r="E39" t="str">
            <v>EL SEMAANI Jean Paul</v>
          </cell>
        </row>
        <row r="40">
          <cell r="A40">
            <v>811</v>
          </cell>
          <cell r="B40">
            <v>1.3657407407407408E-2</v>
          </cell>
          <cell r="C40">
            <v>1.3657407407407408E-2</v>
          </cell>
          <cell r="D40">
            <v>35</v>
          </cell>
          <cell r="E40" t="str">
            <v xml:space="preserve">RECIO  Rodrigo </v>
          </cell>
        </row>
        <row r="41">
          <cell r="A41">
            <v>814</v>
          </cell>
          <cell r="B41">
            <v>1.3715277777777778E-2</v>
          </cell>
          <cell r="C41">
            <v>1.3715277777777778E-2</v>
          </cell>
          <cell r="D41">
            <v>36</v>
          </cell>
          <cell r="E41" t="str">
            <v>LIZANO Federico</v>
          </cell>
        </row>
        <row r="42">
          <cell r="C42" t="e">
            <v>#N/A</v>
          </cell>
          <cell r="D42">
            <v>37</v>
          </cell>
          <cell r="E42" t="e">
            <v>#N/A</v>
          </cell>
        </row>
        <row r="43">
          <cell r="A43">
            <v>860</v>
          </cell>
          <cell r="B43">
            <v>1.3935185185185186E-2</v>
          </cell>
          <cell r="C43">
            <v>1.3587962962962963E-2</v>
          </cell>
          <cell r="D43">
            <v>38</v>
          </cell>
          <cell r="E43" t="str">
            <v>UREÑA  Edhar</v>
          </cell>
        </row>
        <row r="44">
          <cell r="A44">
            <v>875</v>
          </cell>
          <cell r="B44">
            <v>1.2268518518518519E-2</v>
          </cell>
          <cell r="C44">
            <v>1.1921296296296296E-2</v>
          </cell>
          <cell r="D44">
            <v>39</v>
          </cell>
          <cell r="E44" t="str">
            <v xml:space="preserve">MENDOZA  Marcos Vinicio </v>
          </cell>
        </row>
        <row r="45">
          <cell r="A45">
            <v>908</v>
          </cell>
          <cell r="B45">
            <v>1.4097222222222223E-2</v>
          </cell>
          <cell r="C45">
            <v>1.3402777777777779E-2</v>
          </cell>
          <cell r="D45">
            <v>40</v>
          </cell>
          <cell r="E45" t="str">
            <v>RODRÍGUEZ Luis Angel</v>
          </cell>
        </row>
        <row r="46">
          <cell r="A46">
            <v>873</v>
          </cell>
          <cell r="B46">
            <v>1.4201388888888888E-2</v>
          </cell>
          <cell r="C46">
            <v>1.3854166666666666E-2</v>
          </cell>
          <cell r="D46">
            <v>41</v>
          </cell>
          <cell r="E46" t="str">
            <v xml:space="preserve">QUIROS Victor Hugo </v>
          </cell>
        </row>
        <row r="47">
          <cell r="A47">
            <v>865</v>
          </cell>
          <cell r="B47">
            <v>9.7534722222222217E-2</v>
          </cell>
          <cell r="C47">
            <v>9.7187499999999996E-2</v>
          </cell>
          <cell r="D47">
            <v>42</v>
          </cell>
          <cell r="E47" t="str">
            <v>BRENES  Mario</v>
          </cell>
        </row>
        <row r="48">
          <cell r="A48">
            <v>911</v>
          </cell>
          <cell r="B48">
            <v>1.4317129629629629E-2</v>
          </cell>
          <cell r="C48">
            <v>1.3622685185185186E-2</v>
          </cell>
          <cell r="D48">
            <v>43</v>
          </cell>
          <cell r="E48" t="str">
            <v xml:space="preserve">SALAS  Mauricio </v>
          </cell>
        </row>
        <row r="49">
          <cell r="A49">
            <v>910</v>
          </cell>
          <cell r="B49">
            <v>1.4375000000000001E-2</v>
          </cell>
          <cell r="C49">
            <v>1.3680555555555557E-2</v>
          </cell>
          <cell r="D49">
            <v>44</v>
          </cell>
          <cell r="E49" t="str">
            <v xml:space="preserve">CAMPOS  Marvin </v>
          </cell>
        </row>
        <row r="50">
          <cell r="A50">
            <v>903</v>
          </cell>
          <cell r="B50">
            <v>1.5034722222222222E-2</v>
          </cell>
          <cell r="C50">
            <v>1.4340277777777778E-2</v>
          </cell>
          <cell r="D50">
            <v>45</v>
          </cell>
          <cell r="E50" t="str">
            <v>RUBI Luis</v>
          </cell>
        </row>
        <row r="51">
          <cell r="A51">
            <v>904</v>
          </cell>
          <cell r="B51">
            <v>1.5300925925925926E-2</v>
          </cell>
          <cell r="C51">
            <v>1.4606481481481482E-2</v>
          </cell>
          <cell r="D51">
            <v>46</v>
          </cell>
          <cell r="E51" t="str">
            <v>VALVERDE Wiliiam</v>
          </cell>
        </row>
        <row r="52">
          <cell r="A52">
            <v>914</v>
          </cell>
          <cell r="B52" t="str">
            <v xml:space="preserve"> -1 LAP</v>
          </cell>
          <cell r="C52" t="str">
            <v xml:space="preserve"> -1 LAP</v>
          </cell>
          <cell r="D52">
            <v>47</v>
          </cell>
          <cell r="E52" t="str">
            <v>MENESES Rolando</v>
          </cell>
        </row>
        <row r="53">
          <cell r="A53">
            <v>923</v>
          </cell>
          <cell r="B53" t="str">
            <v xml:space="preserve"> -2 LAP</v>
          </cell>
          <cell r="C53" t="str">
            <v xml:space="preserve"> -2 LAP</v>
          </cell>
          <cell r="D53">
            <v>48</v>
          </cell>
          <cell r="E53" t="str">
            <v xml:space="preserve">PENTÁCOLO  Gennaro </v>
          </cell>
        </row>
        <row r="54">
          <cell r="A54">
            <v>913</v>
          </cell>
          <cell r="B54" t="str">
            <v xml:space="preserve"> -3 LAP</v>
          </cell>
          <cell r="C54" t="str">
            <v xml:space="preserve"> -3 LAP</v>
          </cell>
          <cell r="D54">
            <v>49</v>
          </cell>
          <cell r="E54" t="str">
            <v xml:space="preserve">CAMPOS Luis Javier </v>
          </cell>
        </row>
        <row r="55">
          <cell r="A55">
            <v>905</v>
          </cell>
          <cell r="B55" t="str">
            <v xml:space="preserve"> -3 LAP</v>
          </cell>
          <cell r="C55" t="str">
            <v xml:space="preserve"> -3 LAP</v>
          </cell>
          <cell r="D55">
            <v>50</v>
          </cell>
          <cell r="E55" t="str">
            <v xml:space="preserve">MONGE Freizer </v>
          </cell>
        </row>
        <row r="56">
          <cell r="A56">
            <v>922</v>
          </cell>
          <cell r="B56" t="str">
            <v xml:space="preserve"> -3 LAP</v>
          </cell>
          <cell r="C56" t="str">
            <v xml:space="preserve"> -3 LAP</v>
          </cell>
          <cell r="D56">
            <v>51</v>
          </cell>
          <cell r="E56" t="str">
            <v>MORA Alexander Alfredo</v>
          </cell>
        </row>
        <row r="57">
          <cell r="A57">
            <v>858</v>
          </cell>
          <cell r="B57" t="str">
            <v xml:space="preserve"> -1 LAP</v>
          </cell>
          <cell r="C57" t="str">
            <v xml:space="preserve"> -1 LAP</v>
          </cell>
          <cell r="D57">
            <v>52</v>
          </cell>
          <cell r="E57" t="str">
            <v>VÁSQUEZ  Ricardo</v>
          </cell>
        </row>
        <row r="58">
          <cell r="A58">
            <v>863</v>
          </cell>
          <cell r="B58" t="str">
            <v xml:space="preserve"> -3 LAP</v>
          </cell>
          <cell r="C58" t="str">
            <v xml:space="preserve"> -3 LAP</v>
          </cell>
          <cell r="D58">
            <v>53</v>
          </cell>
          <cell r="E58" t="str">
            <v>BERMUDEZ Guillermo</v>
          </cell>
        </row>
        <row r="59">
          <cell r="A59">
            <v>805</v>
          </cell>
          <cell r="B59" t="str">
            <v xml:space="preserve"> -2 LAP</v>
          </cell>
          <cell r="C59" t="str">
            <v xml:space="preserve"> -2 LAP</v>
          </cell>
          <cell r="D59">
            <v>54</v>
          </cell>
          <cell r="E59" t="str">
            <v>FERANANDEZ Raul</v>
          </cell>
        </row>
        <row r="60">
          <cell r="A60">
            <v>874</v>
          </cell>
          <cell r="B60" t="str">
            <v>DNS</v>
          </cell>
          <cell r="C60" t="str">
            <v>DNS</v>
          </cell>
          <cell r="D60">
            <v>55</v>
          </cell>
          <cell r="E60" t="str">
            <v xml:space="preserve">MENESES Paulo </v>
          </cell>
        </row>
        <row r="61">
          <cell r="A61">
            <v>855</v>
          </cell>
          <cell r="B61" t="str">
            <v xml:space="preserve"> -2 LAP</v>
          </cell>
          <cell r="C61" t="str">
            <v xml:space="preserve"> -2 LAP</v>
          </cell>
          <cell r="D61">
            <v>56</v>
          </cell>
          <cell r="E61" t="str">
            <v>PESSOA Pablo</v>
          </cell>
        </row>
        <row r="62">
          <cell r="A62">
            <v>861</v>
          </cell>
          <cell r="B62" t="str">
            <v>DNF</v>
          </cell>
          <cell r="C62" t="str">
            <v>DNF</v>
          </cell>
          <cell r="D62">
            <v>57</v>
          </cell>
          <cell r="E62" t="str">
            <v xml:space="preserve">BELTRAN  Pablo </v>
          </cell>
        </row>
        <row r="63">
          <cell r="C63" t="e">
            <v>#N/A</v>
          </cell>
          <cell r="D63">
            <v>58</v>
          </cell>
          <cell r="E63" t="e">
            <v>#N/A</v>
          </cell>
        </row>
        <row r="64">
          <cell r="A64">
            <v>405</v>
          </cell>
          <cell r="B64">
            <v>9.9884259259259266E-3</v>
          </cell>
          <cell r="C64">
            <v>9.9884259259259266E-3</v>
          </cell>
          <cell r="D64">
            <v>59</v>
          </cell>
          <cell r="E64" t="str">
            <v xml:space="preserve">CESPEDES  Santiago </v>
          </cell>
        </row>
        <row r="65">
          <cell r="A65">
            <v>401</v>
          </cell>
          <cell r="B65">
            <v>1.0081018518518519E-2</v>
          </cell>
          <cell r="C65">
            <v>1.0081018518518519E-2</v>
          </cell>
          <cell r="D65">
            <v>60</v>
          </cell>
          <cell r="E65" t="str">
            <v xml:space="preserve">ARAYA Emiliano </v>
          </cell>
        </row>
        <row r="66">
          <cell r="A66">
            <v>419</v>
          </cell>
          <cell r="B66">
            <v>1.0625000000000001E-2</v>
          </cell>
          <cell r="C66">
            <v>1.0625000000000001E-2</v>
          </cell>
          <cell r="D66">
            <v>61</v>
          </cell>
          <cell r="E66" t="str">
            <v>GÓMEZ  James</v>
          </cell>
        </row>
        <row r="67">
          <cell r="A67">
            <v>406</v>
          </cell>
          <cell r="B67">
            <v>1.1273148148148148E-2</v>
          </cell>
          <cell r="C67">
            <v>1.1273148148148148E-2</v>
          </cell>
          <cell r="D67">
            <v>62</v>
          </cell>
          <cell r="E67" t="str">
            <v>CÉSPEDES  Anthony Luan*</v>
          </cell>
        </row>
        <row r="68">
          <cell r="A68">
            <v>404</v>
          </cell>
          <cell r="B68">
            <v>1.1400462962962963E-2</v>
          </cell>
          <cell r="C68">
            <v>1.1400462962962963E-2</v>
          </cell>
          <cell r="D68">
            <v>63</v>
          </cell>
          <cell r="E68" t="str">
            <v>HUNTER Ian*</v>
          </cell>
        </row>
        <row r="69">
          <cell r="A69">
            <v>489</v>
          </cell>
          <cell r="B69">
            <v>1.1446759259259259E-2</v>
          </cell>
          <cell r="C69">
            <v>1.1446759259259259E-2</v>
          </cell>
          <cell r="D69">
            <v>64</v>
          </cell>
          <cell r="E69" t="str">
            <v>MARÍN  Abigail</v>
          </cell>
        </row>
        <row r="70">
          <cell r="A70">
            <v>482</v>
          </cell>
          <cell r="B70">
            <v>1.1770833333333333E-2</v>
          </cell>
          <cell r="C70">
            <v>1.1770833333333333E-2</v>
          </cell>
          <cell r="D70">
            <v>65</v>
          </cell>
          <cell r="E70" t="str">
            <v>HERNÁNDEZ  Maripaz*</v>
          </cell>
        </row>
        <row r="71">
          <cell r="A71">
            <v>483</v>
          </cell>
          <cell r="B71">
            <v>1.2164351851851852E-2</v>
          </cell>
          <cell r="C71">
            <v>1.2164351851851852E-2</v>
          </cell>
          <cell r="D71">
            <v>66</v>
          </cell>
          <cell r="E71" t="str">
            <v xml:space="preserve">MORA  Valentina </v>
          </cell>
        </row>
        <row r="72">
          <cell r="A72">
            <v>407</v>
          </cell>
          <cell r="B72">
            <v>1.2291666666666666E-2</v>
          </cell>
          <cell r="C72">
            <v>1.2291666666666666E-2</v>
          </cell>
          <cell r="D72">
            <v>67</v>
          </cell>
          <cell r="E72" t="str">
            <v>FLORES  Eythan*</v>
          </cell>
        </row>
        <row r="73">
          <cell r="A73">
            <v>481</v>
          </cell>
          <cell r="B73">
            <v>1.2743055555555556E-2</v>
          </cell>
          <cell r="C73">
            <v>1.2743055555555556E-2</v>
          </cell>
          <cell r="D73">
            <v>68</v>
          </cell>
          <cell r="E73" t="str">
            <v>MONTEALEGRE María Paula</v>
          </cell>
        </row>
        <row r="74">
          <cell r="A74">
            <v>415</v>
          </cell>
          <cell r="B74">
            <v>1.3090277777777777E-2</v>
          </cell>
          <cell r="C74">
            <v>1.3090277777777777E-2</v>
          </cell>
          <cell r="D74">
            <v>69</v>
          </cell>
          <cell r="E74" t="str">
            <v>MARIN Santiago*</v>
          </cell>
        </row>
        <row r="75">
          <cell r="A75">
            <v>403</v>
          </cell>
          <cell r="B75">
            <v>1.3333333333333334E-2</v>
          </cell>
          <cell r="C75">
            <v>1.3333333333333334E-2</v>
          </cell>
          <cell r="D75">
            <v>70</v>
          </cell>
          <cell r="E75" t="str">
            <v>SOJO Nathan</v>
          </cell>
        </row>
        <row r="76">
          <cell r="A76">
            <v>416</v>
          </cell>
          <cell r="B76">
            <v>1.3518518518518518E-2</v>
          </cell>
          <cell r="C76">
            <v>1.3518518518518518E-2</v>
          </cell>
          <cell r="D76">
            <v>71</v>
          </cell>
          <cell r="E76" t="str">
            <v xml:space="preserve">BENAVIDES Emiliano </v>
          </cell>
        </row>
        <row r="77">
          <cell r="A77">
            <v>402</v>
          </cell>
          <cell r="B77" t="str">
            <v xml:space="preserve"> -1 LAP</v>
          </cell>
          <cell r="C77" t="str">
            <v xml:space="preserve"> -1 LAP</v>
          </cell>
          <cell r="D77">
            <v>72</v>
          </cell>
          <cell r="E77" t="str">
            <v>CERDAS Isaac*</v>
          </cell>
        </row>
        <row r="78">
          <cell r="A78">
            <v>411</v>
          </cell>
          <cell r="B78" t="str">
            <v xml:space="preserve"> -1 LAP</v>
          </cell>
          <cell r="C78" t="str">
            <v xml:space="preserve"> -1 LAP</v>
          </cell>
          <cell r="D78">
            <v>73</v>
          </cell>
          <cell r="E78" t="str">
            <v>HERRERA  Mathias*</v>
          </cell>
        </row>
        <row r="79">
          <cell r="A79">
            <v>409</v>
          </cell>
          <cell r="B79" t="str">
            <v xml:space="preserve"> -1 LAP</v>
          </cell>
          <cell r="C79" t="str">
            <v xml:space="preserve"> -1 LAP</v>
          </cell>
          <cell r="D79">
            <v>74</v>
          </cell>
          <cell r="E79" t="str">
            <v>FREER Isaac*</v>
          </cell>
        </row>
        <row r="80">
          <cell r="A80">
            <v>417</v>
          </cell>
          <cell r="B80" t="str">
            <v xml:space="preserve"> -1 LAP</v>
          </cell>
          <cell r="C80" t="str">
            <v xml:space="preserve"> -1 LAP</v>
          </cell>
          <cell r="D80">
            <v>75</v>
          </cell>
          <cell r="E80" t="str">
            <v xml:space="preserve">MONTERO Santiago </v>
          </cell>
        </row>
        <row r="81">
          <cell r="A81">
            <v>486</v>
          </cell>
          <cell r="B81" t="str">
            <v xml:space="preserve"> -2 LAP</v>
          </cell>
          <cell r="C81" t="str">
            <v xml:space="preserve"> -2 LAP</v>
          </cell>
          <cell r="D81">
            <v>76</v>
          </cell>
          <cell r="E81" t="str">
            <v>PIZARRO  Shailene*</v>
          </cell>
        </row>
        <row r="82">
          <cell r="A82">
            <v>410</v>
          </cell>
          <cell r="B82" t="str">
            <v xml:space="preserve"> -2 LAP</v>
          </cell>
          <cell r="C82" t="str">
            <v xml:space="preserve"> -2 LAP</v>
          </cell>
          <cell r="D82">
            <v>77</v>
          </cell>
          <cell r="E82" t="str">
            <v>SOLIS Sebastian*</v>
          </cell>
        </row>
        <row r="83">
          <cell r="A83">
            <v>484</v>
          </cell>
          <cell r="B83">
            <v>1.2650462962962962E-2</v>
          </cell>
          <cell r="C83">
            <v>1.2650462962962962E-2</v>
          </cell>
          <cell r="D83">
            <v>78</v>
          </cell>
          <cell r="E83" t="str">
            <v>JIMÉNEZ  Mia</v>
          </cell>
        </row>
        <row r="84">
          <cell r="A84">
            <v>907</v>
          </cell>
          <cell r="B84" t="str">
            <v xml:space="preserve"> -1 LAP</v>
          </cell>
          <cell r="C84" t="str">
            <v xml:space="preserve"> -1 LAP</v>
          </cell>
          <cell r="D84">
            <v>79</v>
          </cell>
          <cell r="E84" t="str">
            <v xml:space="preserve">CASTRO  Martín </v>
          </cell>
        </row>
        <row r="85">
          <cell r="A85">
            <v>510</v>
          </cell>
          <cell r="B85">
            <v>1.0520833333333333E-2</v>
          </cell>
          <cell r="C85">
            <v>1.0520833333333333E-2</v>
          </cell>
          <cell r="D85">
            <v>80</v>
          </cell>
          <cell r="E85" t="str">
            <v xml:space="preserve">RODRÍGUEZ  Joaquín </v>
          </cell>
        </row>
        <row r="86">
          <cell r="A86">
            <v>518</v>
          </cell>
          <cell r="B86">
            <v>1.0868055555555556E-2</v>
          </cell>
          <cell r="C86">
            <v>1.0868055555555556E-2</v>
          </cell>
          <cell r="D86">
            <v>81</v>
          </cell>
          <cell r="E86" t="str">
            <v>VALVERDE  Liam</v>
          </cell>
        </row>
        <row r="87">
          <cell r="A87">
            <v>507</v>
          </cell>
          <cell r="B87">
            <v>1.0868055555555556E-2</v>
          </cell>
          <cell r="C87">
            <v>1.0868055555555556E-2</v>
          </cell>
          <cell r="D87">
            <v>82</v>
          </cell>
          <cell r="E87" t="str">
            <v xml:space="preserve">MARÍN  Isaac José </v>
          </cell>
        </row>
        <row r="88">
          <cell r="A88">
            <v>521</v>
          </cell>
          <cell r="B88">
            <v>1.1018518518518518E-2</v>
          </cell>
          <cell r="C88">
            <v>1.1018518518518518E-2</v>
          </cell>
          <cell r="D88">
            <v>83</v>
          </cell>
          <cell r="E88" t="str">
            <v>RAMÍREZ  David</v>
          </cell>
        </row>
        <row r="89">
          <cell r="A89">
            <v>502</v>
          </cell>
          <cell r="B89">
            <v>1.1134259259259259E-2</v>
          </cell>
          <cell r="C89">
            <v>1.1134259259259259E-2</v>
          </cell>
          <cell r="D89">
            <v>84</v>
          </cell>
          <cell r="E89" t="str">
            <v xml:space="preserve">ARCE  Mathew </v>
          </cell>
        </row>
        <row r="90">
          <cell r="A90">
            <v>505</v>
          </cell>
          <cell r="B90">
            <v>1.1238425925925926E-2</v>
          </cell>
          <cell r="C90">
            <v>1.1238425925925926E-2</v>
          </cell>
          <cell r="D90">
            <v>85</v>
          </cell>
          <cell r="E90" t="str">
            <v>CORDERO  Iker Mattias</v>
          </cell>
        </row>
        <row r="91">
          <cell r="A91">
            <v>512</v>
          </cell>
          <cell r="B91">
            <v>1.1423611111111112E-2</v>
          </cell>
          <cell r="C91">
            <v>1.1423611111111112E-2</v>
          </cell>
          <cell r="D91">
            <v>86</v>
          </cell>
          <cell r="E91" t="str">
            <v xml:space="preserve">SANDI  Derek Ivan </v>
          </cell>
        </row>
        <row r="92">
          <cell r="A92">
            <v>539</v>
          </cell>
          <cell r="B92">
            <v>1.1643518518518518E-2</v>
          </cell>
          <cell r="C92">
            <v>1.1643518518518518E-2</v>
          </cell>
          <cell r="D92">
            <v>88</v>
          </cell>
          <cell r="E92" t="str">
            <v xml:space="preserve">SOLIS  Alvaro </v>
          </cell>
        </row>
        <row r="93">
          <cell r="A93">
            <v>524</v>
          </cell>
          <cell r="B93">
            <v>1.207175925925926E-2</v>
          </cell>
          <cell r="C93">
            <v>1.207175925925926E-2</v>
          </cell>
          <cell r="D93">
            <v>89</v>
          </cell>
          <cell r="E93" t="str">
            <v xml:space="preserve">GARCÍA  Danny Armando </v>
          </cell>
        </row>
        <row r="94">
          <cell r="A94">
            <v>529</v>
          </cell>
          <cell r="B94">
            <v>1.2094907407407407E-2</v>
          </cell>
          <cell r="C94">
            <v>1.2094907407407407E-2</v>
          </cell>
          <cell r="D94">
            <v>90</v>
          </cell>
          <cell r="E94" t="str">
            <v xml:space="preserve">MOLINA  Bayron </v>
          </cell>
        </row>
        <row r="95">
          <cell r="A95">
            <v>509</v>
          </cell>
          <cell r="B95">
            <v>1.2500000000000001E-2</v>
          </cell>
          <cell r="C95">
            <v>1.2500000000000001E-2</v>
          </cell>
          <cell r="D95">
            <v>91</v>
          </cell>
          <cell r="E95" t="str">
            <v>VILLALOBOS Mathias</v>
          </cell>
        </row>
        <row r="96">
          <cell r="A96">
            <v>503</v>
          </cell>
          <cell r="B96" t="str">
            <v xml:space="preserve"> -1 LAP</v>
          </cell>
          <cell r="C96" t="str">
            <v xml:space="preserve"> -1 LAP</v>
          </cell>
          <cell r="D96">
            <v>92</v>
          </cell>
          <cell r="E96" t="str">
            <v>CAMPOS  Angelo Samuel*</v>
          </cell>
        </row>
        <row r="97">
          <cell r="A97">
            <v>523</v>
          </cell>
          <cell r="B97" t="str">
            <v xml:space="preserve"> -1 LAP</v>
          </cell>
          <cell r="C97" t="str">
            <v xml:space="preserve"> -1 LAP</v>
          </cell>
          <cell r="D97">
            <v>93</v>
          </cell>
          <cell r="E97" t="str">
            <v>PÉREZ  Keileb*</v>
          </cell>
        </row>
        <row r="98">
          <cell r="A98">
            <v>531</v>
          </cell>
          <cell r="B98" t="str">
            <v xml:space="preserve"> -1 LAP</v>
          </cell>
          <cell r="C98" t="str">
            <v xml:space="preserve"> -1 LAP</v>
          </cell>
          <cell r="D98">
            <v>94</v>
          </cell>
          <cell r="E98" t="str">
            <v xml:space="preserve">SALAS Santiago </v>
          </cell>
        </row>
        <row r="99">
          <cell r="A99">
            <v>515</v>
          </cell>
          <cell r="B99" t="str">
            <v xml:space="preserve"> -2 LAP</v>
          </cell>
          <cell r="C99" t="str">
            <v xml:space="preserve"> -2 LAP</v>
          </cell>
          <cell r="D99">
            <v>95</v>
          </cell>
          <cell r="E99" t="str">
            <v>ARAYA Samuel</v>
          </cell>
        </row>
        <row r="100">
          <cell r="A100">
            <v>513</v>
          </cell>
          <cell r="B100" t="str">
            <v xml:space="preserve"> -2 LAP</v>
          </cell>
          <cell r="C100" t="str">
            <v xml:space="preserve"> -2 LAP</v>
          </cell>
          <cell r="D100">
            <v>96</v>
          </cell>
          <cell r="E100" t="str">
            <v>GUTIERREZ Simao</v>
          </cell>
        </row>
        <row r="101">
          <cell r="A101">
            <v>516</v>
          </cell>
          <cell r="B101" t="str">
            <v xml:space="preserve"> -2 LAP</v>
          </cell>
          <cell r="C101" t="str">
            <v xml:space="preserve"> -2 LAP</v>
          </cell>
          <cell r="D101">
            <v>97</v>
          </cell>
          <cell r="E101" t="str">
            <v>MATA  Antuan*</v>
          </cell>
        </row>
        <row r="102">
          <cell r="A102">
            <v>504</v>
          </cell>
          <cell r="B102" t="str">
            <v xml:space="preserve"> -2 LAP</v>
          </cell>
          <cell r="C102" t="str">
            <v xml:space="preserve"> -2 LAP</v>
          </cell>
          <cell r="D102">
            <v>98</v>
          </cell>
          <cell r="E102" t="str">
            <v>BONILLA  Keyshmer*</v>
          </cell>
        </row>
        <row r="103">
          <cell r="A103">
            <v>540</v>
          </cell>
          <cell r="B103" t="str">
            <v xml:space="preserve"> -2 LAP</v>
          </cell>
          <cell r="C103" t="str">
            <v xml:space="preserve"> -2 LAP</v>
          </cell>
          <cell r="D103">
            <v>99</v>
          </cell>
          <cell r="E103" t="str">
            <v>RUBI Ian*</v>
          </cell>
        </row>
        <row r="104">
          <cell r="A104">
            <v>506</v>
          </cell>
          <cell r="B104" t="str">
            <v xml:space="preserve"> -3 LAP</v>
          </cell>
          <cell r="C104" t="str">
            <v xml:space="preserve"> -3 LAP</v>
          </cell>
          <cell r="D104">
            <v>100</v>
          </cell>
          <cell r="E104" t="str">
            <v>CASTILLO  Santiago*</v>
          </cell>
        </row>
        <row r="105">
          <cell r="A105">
            <v>508</v>
          </cell>
          <cell r="B105" t="str">
            <v xml:space="preserve"> -3 LAP</v>
          </cell>
          <cell r="C105" t="str">
            <v xml:space="preserve"> -3 LAP</v>
          </cell>
          <cell r="D105">
            <v>101</v>
          </cell>
          <cell r="E105" t="str">
            <v>BONILLA  Mattew Andres</v>
          </cell>
        </row>
        <row r="106">
          <cell r="A106">
            <v>501</v>
          </cell>
          <cell r="B106" t="str">
            <v>DNF</v>
          </cell>
          <cell r="C106" t="str">
            <v>DNF</v>
          </cell>
          <cell r="D106">
            <v>102</v>
          </cell>
          <cell r="E106" t="str">
            <v xml:space="preserve">DURAN  Emanuel </v>
          </cell>
        </row>
        <row r="107">
          <cell r="A107">
            <v>538</v>
          </cell>
          <cell r="B107" t="str">
            <v>DNF</v>
          </cell>
          <cell r="C107" t="str">
            <v>DNF</v>
          </cell>
          <cell r="D107">
            <v>103</v>
          </cell>
          <cell r="E107" t="str">
            <v>CASTRO Camil</v>
          </cell>
        </row>
        <row r="108">
          <cell r="A108">
            <v>536</v>
          </cell>
          <cell r="B108" t="str">
            <v>DNS</v>
          </cell>
          <cell r="C108" t="str">
            <v>DNS</v>
          </cell>
          <cell r="D108">
            <v>103</v>
          </cell>
          <cell r="E108" t="str">
            <v>ROJAS Pedro</v>
          </cell>
        </row>
        <row r="109">
          <cell r="A109">
            <v>488</v>
          </cell>
          <cell r="B109" t="str">
            <v xml:space="preserve"> -1 LAP</v>
          </cell>
          <cell r="C109" t="str">
            <v xml:space="preserve"> -1 LAP</v>
          </cell>
          <cell r="D109">
            <v>104</v>
          </cell>
          <cell r="E109" t="str">
            <v xml:space="preserve">ZÚÑIGA  Mariangel </v>
          </cell>
        </row>
        <row r="110">
          <cell r="A110">
            <v>581</v>
          </cell>
          <cell r="B110">
            <v>1.2314814814814815E-2</v>
          </cell>
          <cell r="C110">
            <v>1.2314814814814815E-2</v>
          </cell>
          <cell r="D110">
            <v>105</v>
          </cell>
          <cell r="E110" t="str">
            <v xml:space="preserve">CALDERÓN  Ariana </v>
          </cell>
        </row>
        <row r="111">
          <cell r="A111">
            <v>381</v>
          </cell>
          <cell r="B111">
            <v>1.2476851851851852E-2</v>
          </cell>
          <cell r="C111">
            <v>1.2476851851851852E-2</v>
          </cell>
          <cell r="D111">
            <v>106</v>
          </cell>
          <cell r="E111" t="str">
            <v>JIMENEZ Briana</v>
          </cell>
        </row>
        <row r="112">
          <cell r="A112">
            <v>387</v>
          </cell>
          <cell r="B112">
            <v>1.2534722222222221E-2</v>
          </cell>
          <cell r="C112">
            <v>1.2534722222222221E-2</v>
          </cell>
          <cell r="D112">
            <v>107</v>
          </cell>
          <cell r="E112" t="str">
            <v>AZOFEIFA  Sofia*</v>
          </cell>
        </row>
        <row r="113">
          <cell r="A113">
            <v>382</v>
          </cell>
          <cell r="B113">
            <v>1.2974537037037038E-2</v>
          </cell>
          <cell r="C113">
            <v>1.2974537037037038E-2</v>
          </cell>
          <cell r="D113">
            <v>108</v>
          </cell>
          <cell r="E113" t="str">
            <v>CASTRO Camila</v>
          </cell>
        </row>
        <row r="114">
          <cell r="A114">
            <v>386</v>
          </cell>
          <cell r="B114">
            <v>1.3495370370370371E-2</v>
          </cell>
          <cell r="C114">
            <v>1.3495370370370371E-2</v>
          </cell>
          <cell r="D114">
            <v>109</v>
          </cell>
          <cell r="E114" t="str">
            <v>LIZANO Nicole Daniela</v>
          </cell>
        </row>
        <row r="115">
          <cell r="A115">
            <v>584</v>
          </cell>
          <cell r="B115">
            <v>1.4004629629629629E-2</v>
          </cell>
          <cell r="C115">
            <v>1.4004629629629629E-2</v>
          </cell>
          <cell r="D115">
            <v>110</v>
          </cell>
          <cell r="E115" t="str">
            <v>CRUZ Monica*</v>
          </cell>
        </row>
        <row r="116">
          <cell r="A116">
            <v>582</v>
          </cell>
          <cell r="B116">
            <v>1.412037037037037E-2</v>
          </cell>
          <cell r="C116">
            <v>1.412037037037037E-2</v>
          </cell>
          <cell r="D116">
            <v>111</v>
          </cell>
          <cell r="E116" t="str">
            <v>TORRES Camila</v>
          </cell>
        </row>
        <row r="117">
          <cell r="A117">
            <v>583</v>
          </cell>
          <cell r="B117">
            <v>1.4444444444444444E-2</v>
          </cell>
          <cell r="C117">
            <v>1.4444444444444444E-2</v>
          </cell>
          <cell r="D117">
            <v>112</v>
          </cell>
          <cell r="E117" t="str">
            <v xml:space="preserve">MARCHENA  Shelly </v>
          </cell>
        </row>
        <row r="118">
          <cell r="A118">
            <v>383</v>
          </cell>
          <cell r="B118">
            <v>1.4525462962962962E-2</v>
          </cell>
          <cell r="C118">
            <v>1.4525462962962962E-2</v>
          </cell>
          <cell r="D118">
            <v>113</v>
          </cell>
          <cell r="E118" t="str">
            <v>ALFARO María Isabella*</v>
          </cell>
        </row>
        <row r="119">
          <cell r="A119">
            <v>586</v>
          </cell>
          <cell r="B119">
            <v>1.4895833333333334E-2</v>
          </cell>
          <cell r="C119">
            <v>1.4895833333333334E-2</v>
          </cell>
          <cell r="D119">
            <v>114</v>
          </cell>
          <cell r="E119" t="str">
            <v xml:space="preserve">CORTES  Maríam </v>
          </cell>
        </row>
        <row r="120">
          <cell r="A120">
            <v>388</v>
          </cell>
          <cell r="B120">
            <v>1.5208333333333334E-2</v>
          </cell>
          <cell r="C120">
            <v>1.5208333333333334E-2</v>
          </cell>
          <cell r="D120">
            <v>115</v>
          </cell>
          <cell r="E120" t="str">
            <v>CÉSPEDES  Isabella Jazlene*</v>
          </cell>
        </row>
        <row r="121">
          <cell r="A121">
            <v>599</v>
          </cell>
          <cell r="B121">
            <v>1.5289351851851853E-2</v>
          </cell>
          <cell r="C121">
            <v>1.5289351851851853E-2</v>
          </cell>
          <cell r="D121">
            <v>116</v>
          </cell>
          <cell r="E121" t="str">
            <v>CASTILLO Mariana</v>
          </cell>
        </row>
        <row r="122">
          <cell r="A122">
            <v>597</v>
          </cell>
          <cell r="B122" t="str">
            <v>DNS</v>
          </cell>
          <cell r="C122" t="str">
            <v>DNS</v>
          </cell>
          <cell r="D122">
            <v>117</v>
          </cell>
          <cell r="E122" t="str">
            <v>MORA  Keren*</v>
          </cell>
        </row>
        <row r="123">
          <cell r="A123">
            <v>384</v>
          </cell>
          <cell r="B123" t="str">
            <v xml:space="preserve"> -1 LAP</v>
          </cell>
          <cell r="C123" t="str">
            <v xml:space="preserve"> -1 LAP</v>
          </cell>
          <cell r="D123">
            <v>118</v>
          </cell>
          <cell r="E123" t="str">
            <v>SOLIS Nathalia Fabiana*</v>
          </cell>
        </row>
        <row r="124">
          <cell r="A124">
            <v>589</v>
          </cell>
          <cell r="B124" t="str">
            <v xml:space="preserve"> -1 LAP</v>
          </cell>
          <cell r="C124" t="str">
            <v xml:space="preserve"> -1 LAP</v>
          </cell>
          <cell r="D124">
            <v>119</v>
          </cell>
          <cell r="E124" t="str">
            <v>MUÑOZ  Amy</v>
          </cell>
        </row>
        <row r="125">
          <cell r="A125">
            <v>588</v>
          </cell>
          <cell r="B125" t="str">
            <v xml:space="preserve"> -1 LAP</v>
          </cell>
          <cell r="C125" t="str">
            <v xml:space="preserve"> -1 LAP</v>
          </cell>
          <cell r="D125">
            <v>120</v>
          </cell>
          <cell r="E125" t="str">
            <v xml:space="preserve">PIZARRO  Keysi </v>
          </cell>
        </row>
        <row r="126">
          <cell r="A126">
            <v>385</v>
          </cell>
          <cell r="B126" t="str">
            <v xml:space="preserve"> -2 LAP</v>
          </cell>
          <cell r="C126" t="str">
            <v xml:space="preserve"> -2 LAP</v>
          </cell>
          <cell r="D126">
            <v>121</v>
          </cell>
          <cell r="E126" t="str">
            <v>OVIEDO Camila</v>
          </cell>
        </row>
        <row r="127">
          <cell r="A127">
            <v>587</v>
          </cell>
          <cell r="B127" t="str">
            <v xml:space="preserve"> -3 LAP</v>
          </cell>
          <cell r="C127" t="str">
            <v xml:space="preserve"> -3 LAP</v>
          </cell>
          <cell r="D127">
            <v>122</v>
          </cell>
          <cell r="E127" t="str">
            <v>GUERRERO  Mariangel*</v>
          </cell>
        </row>
        <row r="128">
          <cell r="A128">
            <v>598</v>
          </cell>
          <cell r="B128" t="str">
            <v xml:space="preserve"> -3 LAP</v>
          </cell>
          <cell r="C128" t="str">
            <v xml:space="preserve"> -3 LAP</v>
          </cell>
          <cell r="D128">
            <v>123</v>
          </cell>
          <cell r="E128" t="str">
            <v>ALVARADO Luciana*</v>
          </cell>
        </row>
        <row r="129">
          <cell r="A129">
            <v>596</v>
          </cell>
          <cell r="B129" t="str">
            <v xml:space="preserve"> -3 LAP</v>
          </cell>
          <cell r="C129" t="str">
            <v xml:space="preserve"> -3 LAP</v>
          </cell>
          <cell r="D129">
            <v>124</v>
          </cell>
          <cell r="E129" t="str">
            <v xml:space="preserve">ZÚÑIGA  María Fernanda </v>
          </cell>
        </row>
        <row r="130">
          <cell r="A130">
            <v>590</v>
          </cell>
          <cell r="B130" t="str">
            <v xml:space="preserve"> -3 LAP</v>
          </cell>
          <cell r="C130" t="str">
            <v xml:space="preserve"> -3 LAP</v>
          </cell>
          <cell r="D130">
            <v>125</v>
          </cell>
          <cell r="E130" t="str">
            <v>VILLALOBOS  Jimena*</v>
          </cell>
        </row>
        <row r="131">
          <cell r="A131">
            <v>390</v>
          </cell>
          <cell r="B131" t="str">
            <v>DNF</v>
          </cell>
          <cell r="C131" t="str">
            <v>DNF</v>
          </cell>
          <cell r="D131">
            <v>126</v>
          </cell>
          <cell r="E131" t="str">
            <v>GUTIÉRREZ  Gaele Sofia*</v>
          </cell>
        </row>
        <row r="132">
          <cell r="A132">
            <v>301</v>
          </cell>
          <cell r="B132">
            <v>1.1655092592592592E-2</v>
          </cell>
          <cell r="C132">
            <v>1.1655092592592592E-2</v>
          </cell>
          <cell r="D132">
            <v>127</v>
          </cell>
          <cell r="E132" t="str">
            <v xml:space="preserve">GARCÍA  Miguel </v>
          </cell>
        </row>
        <row r="133">
          <cell r="A133">
            <v>307</v>
          </cell>
          <cell r="B133">
            <v>1.2094907407407407E-2</v>
          </cell>
          <cell r="C133">
            <v>1.2094907407407407E-2</v>
          </cell>
          <cell r="D133">
            <v>128</v>
          </cell>
          <cell r="E133" t="str">
            <v>ARIAS Daniel*</v>
          </cell>
        </row>
        <row r="134">
          <cell r="A134">
            <v>346</v>
          </cell>
          <cell r="B134">
            <v>1.2372685185185184E-2</v>
          </cell>
          <cell r="C134">
            <v>1.2372685185185184E-2</v>
          </cell>
          <cell r="D134">
            <v>129</v>
          </cell>
          <cell r="E134" t="str">
            <v xml:space="preserve">NUÑEZ  Lorenzo </v>
          </cell>
        </row>
        <row r="135">
          <cell r="A135">
            <v>311</v>
          </cell>
          <cell r="B135">
            <v>1.2476851851851852E-2</v>
          </cell>
          <cell r="C135">
            <v>1.2476851851851852E-2</v>
          </cell>
          <cell r="D135">
            <v>130</v>
          </cell>
          <cell r="E135" t="str">
            <v>SABALLO Joshua</v>
          </cell>
        </row>
        <row r="136">
          <cell r="A136">
            <v>327</v>
          </cell>
          <cell r="B136">
            <v>1.2511574074074074E-2</v>
          </cell>
          <cell r="C136">
            <v>1.2511574074074074E-2</v>
          </cell>
          <cell r="D136">
            <v>131</v>
          </cell>
          <cell r="E136" t="str">
            <v xml:space="preserve">ACUÑA  Felipe </v>
          </cell>
        </row>
        <row r="137">
          <cell r="A137">
            <v>302</v>
          </cell>
          <cell r="B137">
            <v>1.255787037037037E-2</v>
          </cell>
          <cell r="C137">
            <v>1.255787037037037E-2</v>
          </cell>
          <cell r="D137">
            <v>131</v>
          </cell>
          <cell r="E137" t="str">
            <v>CAMPOS  Isaac*</v>
          </cell>
        </row>
        <row r="138">
          <cell r="A138">
            <v>326</v>
          </cell>
          <cell r="B138">
            <v>1.2662037037037038E-2</v>
          </cell>
          <cell r="C138">
            <v>1.2662037037037038E-2</v>
          </cell>
          <cell r="D138">
            <v>132</v>
          </cell>
          <cell r="E138" t="str">
            <v>MEDINA Anders</v>
          </cell>
        </row>
        <row r="139">
          <cell r="A139">
            <v>303</v>
          </cell>
          <cell r="B139">
            <v>1.2858796296296297E-2</v>
          </cell>
          <cell r="C139">
            <v>1.2858796296296297E-2</v>
          </cell>
          <cell r="D139">
            <v>133</v>
          </cell>
          <cell r="E139" t="str">
            <v>HERNÁNDEZ  Walter David*</v>
          </cell>
        </row>
        <row r="140">
          <cell r="A140">
            <v>321</v>
          </cell>
          <cell r="B140">
            <v>1.3055555555555556E-2</v>
          </cell>
          <cell r="C140">
            <v>1.3055555555555556E-2</v>
          </cell>
          <cell r="D140">
            <v>134</v>
          </cell>
          <cell r="E140" t="str">
            <v>AGUILAR Luciano</v>
          </cell>
        </row>
        <row r="141">
          <cell r="A141">
            <v>332</v>
          </cell>
          <cell r="B141">
            <v>1.3217592592592593E-2</v>
          </cell>
          <cell r="C141">
            <v>1.3217592592592593E-2</v>
          </cell>
          <cell r="D141">
            <v>135</v>
          </cell>
          <cell r="E141" t="str">
            <v>SEGURA Isaac*</v>
          </cell>
        </row>
        <row r="142">
          <cell r="A142">
            <v>348</v>
          </cell>
          <cell r="B142" t="str">
            <v xml:space="preserve"> -1 LAP</v>
          </cell>
          <cell r="C142" t="str">
            <v xml:space="preserve"> -1 LAP</v>
          </cell>
          <cell r="D142">
            <v>136</v>
          </cell>
          <cell r="E142" t="str">
            <v>FERNÁNDEZ  Sebastián*</v>
          </cell>
        </row>
        <row r="143">
          <cell r="A143">
            <v>337</v>
          </cell>
          <cell r="B143" t="str">
            <v xml:space="preserve"> -1 LAP</v>
          </cell>
          <cell r="C143" t="str">
            <v xml:space="preserve"> -1 LAP</v>
          </cell>
          <cell r="D143">
            <v>137</v>
          </cell>
          <cell r="E143" t="str">
            <v xml:space="preserve">CORRALES  Billy </v>
          </cell>
        </row>
        <row r="144">
          <cell r="A144">
            <v>319</v>
          </cell>
          <cell r="B144" t="str">
            <v xml:space="preserve"> -1 LAP</v>
          </cell>
          <cell r="C144" t="str">
            <v xml:space="preserve"> -1 LAP</v>
          </cell>
          <cell r="D144">
            <v>138</v>
          </cell>
          <cell r="E144" t="str">
            <v>GARITA  Damián*</v>
          </cell>
        </row>
        <row r="145">
          <cell r="A145">
            <v>333</v>
          </cell>
          <cell r="B145" t="str">
            <v xml:space="preserve"> -1 LAP</v>
          </cell>
          <cell r="C145" t="str">
            <v xml:space="preserve"> -1 LAP</v>
          </cell>
          <cell r="D145">
            <v>139</v>
          </cell>
          <cell r="E145" t="str">
            <v>SOTO Sebastian</v>
          </cell>
        </row>
        <row r="146">
          <cell r="A146">
            <v>336</v>
          </cell>
          <cell r="B146" t="str">
            <v xml:space="preserve"> -1 LAP</v>
          </cell>
          <cell r="C146" t="str">
            <v xml:space="preserve"> -1 LAP</v>
          </cell>
          <cell r="D146">
            <v>140</v>
          </cell>
          <cell r="E146" t="str">
            <v xml:space="preserve">ALFARO  Yahel </v>
          </cell>
        </row>
        <row r="147">
          <cell r="A147">
            <v>305</v>
          </cell>
          <cell r="B147" t="str">
            <v xml:space="preserve"> -1 LAP</v>
          </cell>
          <cell r="C147" t="str">
            <v xml:space="preserve"> -1 LAP</v>
          </cell>
          <cell r="D147">
            <v>141</v>
          </cell>
          <cell r="E147" t="str">
            <v>BRICEÑO  Mike Josué*</v>
          </cell>
        </row>
        <row r="148">
          <cell r="A148">
            <v>342</v>
          </cell>
          <cell r="B148" t="str">
            <v xml:space="preserve"> -2 LAP</v>
          </cell>
          <cell r="C148" t="str">
            <v xml:space="preserve"> -2 LAP</v>
          </cell>
          <cell r="D148">
            <v>142</v>
          </cell>
          <cell r="E148" t="str">
            <v>RODRÍGUEZ Dylan Fabian*</v>
          </cell>
        </row>
        <row r="149">
          <cell r="A149">
            <v>343</v>
          </cell>
          <cell r="B149" t="str">
            <v xml:space="preserve"> -2 LAP</v>
          </cell>
          <cell r="C149" t="str">
            <v xml:space="preserve"> -2 LAP</v>
          </cell>
          <cell r="D149">
            <v>143</v>
          </cell>
          <cell r="E149" t="str">
            <v xml:space="preserve">VARGAS  David </v>
          </cell>
        </row>
        <row r="150">
          <cell r="A150">
            <v>310</v>
          </cell>
          <cell r="B150" t="str">
            <v xml:space="preserve"> -2 LAP</v>
          </cell>
          <cell r="C150" t="str">
            <v xml:space="preserve"> -2 LAP</v>
          </cell>
          <cell r="D150">
            <v>144</v>
          </cell>
          <cell r="E150" t="str">
            <v xml:space="preserve">SEGURA  Thomas </v>
          </cell>
        </row>
        <row r="151">
          <cell r="A151">
            <v>316</v>
          </cell>
          <cell r="B151" t="str">
            <v xml:space="preserve"> -2 LAP</v>
          </cell>
          <cell r="C151" t="str">
            <v xml:space="preserve"> -2 LAP</v>
          </cell>
          <cell r="D151">
            <v>145</v>
          </cell>
          <cell r="E151" t="str">
            <v xml:space="preserve">CHAVES  Emanuel </v>
          </cell>
        </row>
        <row r="152">
          <cell r="A152">
            <v>341</v>
          </cell>
          <cell r="B152" t="str">
            <v xml:space="preserve"> -3 LAP</v>
          </cell>
          <cell r="C152" t="str">
            <v xml:space="preserve"> -3 LAP</v>
          </cell>
          <cell r="D152">
            <v>146</v>
          </cell>
          <cell r="E152" t="str">
            <v xml:space="preserve">ZUMBADO  Yaikel </v>
          </cell>
        </row>
        <row r="153">
          <cell r="A153">
            <v>329</v>
          </cell>
          <cell r="B153" t="str">
            <v xml:space="preserve"> -3 LAP</v>
          </cell>
          <cell r="C153" t="str">
            <v xml:space="preserve"> -3 LAP</v>
          </cell>
          <cell r="D153">
            <v>147</v>
          </cell>
          <cell r="E153" t="str">
            <v xml:space="preserve">RAMIREZ  Adrián </v>
          </cell>
        </row>
        <row r="154">
          <cell r="A154">
            <v>304</v>
          </cell>
          <cell r="B154" t="str">
            <v xml:space="preserve"> -3 LAP</v>
          </cell>
          <cell r="C154" t="str">
            <v xml:space="preserve"> -3 LAP</v>
          </cell>
          <cell r="D154">
            <v>148</v>
          </cell>
          <cell r="E154" t="str">
            <v>RODRIGUEZ Esteban Marcelo*</v>
          </cell>
        </row>
        <row r="155">
          <cell r="A155">
            <v>355</v>
          </cell>
          <cell r="B155" t="str">
            <v xml:space="preserve"> -3 LAP</v>
          </cell>
          <cell r="C155" t="str">
            <v xml:space="preserve"> -3 LAP</v>
          </cell>
          <cell r="D155">
            <v>149</v>
          </cell>
          <cell r="E155" t="str">
            <v>ALVAREZ Deyler*</v>
          </cell>
        </row>
        <row r="156">
          <cell r="A156">
            <v>309</v>
          </cell>
          <cell r="B156" t="str">
            <v xml:space="preserve"> -3 LAP</v>
          </cell>
          <cell r="C156" t="str">
            <v xml:space="preserve"> -3 LAP</v>
          </cell>
          <cell r="D156">
            <v>150</v>
          </cell>
          <cell r="E156" t="str">
            <v>HERNANDEZ Felipe</v>
          </cell>
        </row>
        <row r="157">
          <cell r="A157">
            <v>320</v>
          </cell>
          <cell r="B157" t="str">
            <v xml:space="preserve"> -3 LAP</v>
          </cell>
          <cell r="C157" t="str">
            <v xml:space="preserve"> -3 LAP</v>
          </cell>
          <cell r="D157">
            <v>151</v>
          </cell>
          <cell r="E157" t="str">
            <v xml:space="preserve">SUNSIN  Eithan </v>
          </cell>
        </row>
        <row r="158">
          <cell r="A158">
            <v>306</v>
          </cell>
          <cell r="B158" t="str">
            <v xml:space="preserve"> -3 LAP</v>
          </cell>
          <cell r="C158" t="str">
            <v xml:space="preserve"> -3 LAP</v>
          </cell>
          <cell r="D158">
            <v>152</v>
          </cell>
          <cell r="E158" t="str">
            <v xml:space="preserve">VARELA  Mathias </v>
          </cell>
        </row>
        <row r="159">
          <cell r="A159">
            <v>312</v>
          </cell>
          <cell r="B159" t="str">
            <v xml:space="preserve"> -3 LAP</v>
          </cell>
          <cell r="C159" t="str">
            <v xml:space="preserve"> -3 LAP</v>
          </cell>
          <cell r="D159">
            <v>153</v>
          </cell>
          <cell r="E159" t="str">
            <v>VARGAS Saul*</v>
          </cell>
        </row>
        <row r="160">
          <cell r="A160">
            <v>340</v>
          </cell>
          <cell r="B160" t="str">
            <v xml:space="preserve"> -3 LAP</v>
          </cell>
          <cell r="C160" t="str">
            <v xml:space="preserve"> -3 LAP</v>
          </cell>
          <cell r="D160">
            <v>154</v>
          </cell>
          <cell r="E160" t="str">
            <v>GUEVARA Esteban Mauricio*</v>
          </cell>
        </row>
        <row r="161">
          <cell r="A161">
            <v>317</v>
          </cell>
          <cell r="B161" t="str">
            <v xml:space="preserve"> -3 LAP</v>
          </cell>
          <cell r="C161" t="str">
            <v xml:space="preserve"> -3 LAP</v>
          </cell>
          <cell r="D161">
            <v>155</v>
          </cell>
          <cell r="E161" t="str">
            <v>MOYA  Santiago*</v>
          </cell>
        </row>
        <row r="162">
          <cell r="A162">
            <v>352</v>
          </cell>
          <cell r="B162" t="str">
            <v xml:space="preserve"> -3 LAP</v>
          </cell>
          <cell r="C162" t="str">
            <v xml:space="preserve"> -3 LAP</v>
          </cell>
          <cell r="D162">
            <v>156</v>
          </cell>
          <cell r="E162" t="str">
            <v>PORTUGUÉS  Mathias*</v>
          </cell>
        </row>
        <row r="163">
          <cell r="A163">
            <v>324</v>
          </cell>
          <cell r="B163" t="str">
            <v xml:space="preserve"> -3 LAP</v>
          </cell>
          <cell r="C163" t="str">
            <v xml:space="preserve"> -3 LAP</v>
          </cell>
          <cell r="D163">
            <v>157</v>
          </cell>
          <cell r="E163" t="str">
            <v>ALVAREZ  Mateo*</v>
          </cell>
        </row>
        <row r="164">
          <cell r="A164">
            <v>353</v>
          </cell>
          <cell r="B164" t="str">
            <v xml:space="preserve"> -3 LAP</v>
          </cell>
          <cell r="C164" t="str">
            <v xml:space="preserve"> -3 LAP</v>
          </cell>
          <cell r="D164">
            <v>158</v>
          </cell>
          <cell r="E164" t="str">
            <v xml:space="preserve">CUBERO Sebastián </v>
          </cell>
        </row>
        <row r="165">
          <cell r="A165">
            <v>354</v>
          </cell>
          <cell r="B165" t="str">
            <v xml:space="preserve"> -3 LAP</v>
          </cell>
          <cell r="C165" t="str">
            <v xml:space="preserve"> -3 LAP</v>
          </cell>
          <cell r="D165">
            <v>159</v>
          </cell>
          <cell r="E165" t="str">
            <v>PIZARRO  Jose Alejandro*</v>
          </cell>
        </row>
        <row r="166">
          <cell r="A166">
            <v>351</v>
          </cell>
          <cell r="B166" t="str">
            <v xml:space="preserve"> -3 LAP</v>
          </cell>
          <cell r="C166" t="str">
            <v xml:space="preserve"> -3 LAP</v>
          </cell>
          <cell r="D166">
            <v>160</v>
          </cell>
          <cell r="E166" t="str">
            <v xml:space="preserve">SALAS  Matías </v>
          </cell>
        </row>
        <row r="167">
          <cell r="A167">
            <v>314</v>
          </cell>
          <cell r="B167" t="str">
            <v xml:space="preserve"> -3 LAP</v>
          </cell>
          <cell r="C167" t="str">
            <v xml:space="preserve"> -3 LAP</v>
          </cell>
          <cell r="D167">
            <v>161</v>
          </cell>
          <cell r="E167" t="str">
            <v>HERRERO  Josué*</v>
          </cell>
        </row>
        <row r="168">
          <cell r="A168">
            <v>356</v>
          </cell>
          <cell r="B168" t="str">
            <v xml:space="preserve"> -4 LAP</v>
          </cell>
          <cell r="C168" t="str">
            <v xml:space="preserve"> -4 LAP</v>
          </cell>
          <cell r="D168">
            <v>162</v>
          </cell>
          <cell r="E168" t="str">
            <v>GUIDO  Sebastián Manuel*</v>
          </cell>
        </row>
        <row r="169">
          <cell r="A169">
            <v>165</v>
          </cell>
          <cell r="B169" t="str">
            <v>DNS</v>
          </cell>
          <cell r="C169" t="str">
            <v>DNS</v>
          </cell>
          <cell r="D169">
            <v>163</v>
          </cell>
          <cell r="E169" t="str">
            <v>GUILLEN Samuel</v>
          </cell>
        </row>
        <row r="170">
          <cell r="A170">
            <v>105</v>
          </cell>
          <cell r="B170" t="str">
            <v>DNS</v>
          </cell>
          <cell r="C170" t="str">
            <v>DNS</v>
          </cell>
          <cell r="D170">
            <v>164</v>
          </cell>
          <cell r="E170" t="str">
            <v>ULATE Joshua*</v>
          </cell>
        </row>
        <row r="171">
          <cell r="A171">
            <v>104</v>
          </cell>
          <cell r="B171">
            <v>1.3333333333333334E-2</v>
          </cell>
          <cell r="C171">
            <v>1.3333333333333334E-2</v>
          </cell>
          <cell r="D171">
            <v>165</v>
          </cell>
          <cell r="E171" t="str">
            <v xml:space="preserve">NARANJO Didier </v>
          </cell>
        </row>
        <row r="172">
          <cell r="A172">
            <v>103</v>
          </cell>
          <cell r="B172">
            <v>1.3622685185185186E-2</v>
          </cell>
          <cell r="C172">
            <v>1.3622685185185186E-2</v>
          </cell>
          <cell r="D172">
            <v>166</v>
          </cell>
          <cell r="E172" t="str">
            <v xml:space="preserve">ACUÑA  Alejandro </v>
          </cell>
        </row>
        <row r="173">
          <cell r="A173">
            <v>158</v>
          </cell>
          <cell r="B173">
            <v>1.3796296296296296E-2</v>
          </cell>
          <cell r="C173">
            <v>1.3796296296296296E-2</v>
          </cell>
          <cell r="D173">
            <v>167</v>
          </cell>
          <cell r="E173" t="str">
            <v xml:space="preserve">QUIRÓS  Neythan </v>
          </cell>
        </row>
        <row r="174">
          <cell r="A174">
            <v>171</v>
          </cell>
          <cell r="B174">
            <v>1.3796296296296296E-2</v>
          </cell>
          <cell r="C174">
            <v>1.3796296296296296E-2</v>
          </cell>
          <cell r="D174">
            <v>168</v>
          </cell>
          <cell r="E174" t="str">
            <v>MORA Jeferson*</v>
          </cell>
        </row>
        <row r="175">
          <cell r="A175">
            <v>109</v>
          </cell>
          <cell r="B175">
            <v>1.4606481481481481E-2</v>
          </cell>
          <cell r="C175">
            <v>1.4606481481481481E-2</v>
          </cell>
          <cell r="D175">
            <v>169</v>
          </cell>
          <cell r="E175" t="str">
            <v>VEGA Santiago</v>
          </cell>
        </row>
        <row r="176">
          <cell r="A176">
            <v>142</v>
          </cell>
          <cell r="B176">
            <v>1.474537037037037E-2</v>
          </cell>
          <cell r="C176">
            <v>1.474537037037037E-2</v>
          </cell>
          <cell r="D176">
            <v>170</v>
          </cell>
          <cell r="E176" t="str">
            <v xml:space="preserve">GÓMEZ  Allan </v>
          </cell>
        </row>
        <row r="177">
          <cell r="A177">
            <v>107</v>
          </cell>
          <cell r="B177" t="str">
            <v xml:space="preserve"> -1 LAP</v>
          </cell>
          <cell r="C177" t="str">
            <v xml:space="preserve"> -1 LAP</v>
          </cell>
          <cell r="D177">
            <v>171</v>
          </cell>
          <cell r="E177" t="str">
            <v>MURILLO Sebastián*</v>
          </cell>
        </row>
        <row r="178">
          <cell r="A178">
            <v>110</v>
          </cell>
          <cell r="B178" t="str">
            <v xml:space="preserve"> -1 LAP</v>
          </cell>
          <cell r="C178" t="str">
            <v xml:space="preserve"> -1 LAP</v>
          </cell>
          <cell r="D178">
            <v>172</v>
          </cell>
          <cell r="E178" t="str">
            <v xml:space="preserve">CAMPOS Matias </v>
          </cell>
        </row>
        <row r="179">
          <cell r="A179">
            <v>160</v>
          </cell>
          <cell r="B179" t="str">
            <v xml:space="preserve"> -1 LAP</v>
          </cell>
          <cell r="C179" t="str">
            <v xml:space="preserve"> -1 LAP</v>
          </cell>
          <cell r="D179">
            <v>173</v>
          </cell>
          <cell r="E179" t="str">
            <v>NUÑEZ Axell*</v>
          </cell>
        </row>
        <row r="180">
          <cell r="A180">
            <v>126</v>
          </cell>
          <cell r="B180" t="str">
            <v xml:space="preserve"> -1 LAP</v>
          </cell>
          <cell r="C180" t="str">
            <v xml:space="preserve"> -1 LAP</v>
          </cell>
          <cell r="D180">
            <v>174</v>
          </cell>
          <cell r="E180" t="str">
            <v>SOTO Cristian*</v>
          </cell>
        </row>
        <row r="181">
          <cell r="A181">
            <v>112</v>
          </cell>
          <cell r="B181" t="str">
            <v xml:space="preserve"> -1 LAP</v>
          </cell>
          <cell r="C181" t="str">
            <v xml:space="preserve"> -1 LAP</v>
          </cell>
          <cell r="D181">
            <v>175</v>
          </cell>
          <cell r="E181" t="str">
            <v>FONSECA  Dianey</v>
          </cell>
        </row>
        <row r="182">
          <cell r="A182">
            <v>119</v>
          </cell>
          <cell r="B182" t="str">
            <v xml:space="preserve"> -2 LAP</v>
          </cell>
          <cell r="C182" t="str">
            <v xml:space="preserve"> -2 LAP</v>
          </cell>
          <cell r="D182">
            <v>176</v>
          </cell>
          <cell r="E182" t="str">
            <v>MENESES  Cesar*</v>
          </cell>
        </row>
        <row r="183">
          <cell r="A183">
            <v>122</v>
          </cell>
          <cell r="B183" t="str">
            <v xml:space="preserve"> -2 LAP</v>
          </cell>
          <cell r="C183" t="str">
            <v xml:space="preserve"> -2 LAP</v>
          </cell>
          <cell r="D183">
            <v>177</v>
          </cell>
          <cell r="E183" t="str">
            <v>CRUZ  Alejandro*</v>
          </cell>
        </row>
        <row r="184">
          <cell r="A184">
            <v>121</v>
          </cell>
          <cell r="B184" t="str">
            <v xml:space="preserve"> -2 LAP</v>
          </cell>
          <cell r="C184" t="str">
            <v xml:space="preserve"> -2 LAP</v>
          </cell>
          <cell r="D184">
            <v>178</v>
          </cell>
          <cell r="E184" t="str">
            <v>CAMPOS Kevin Andrey</v>
          </cell>
        </row>
        <row r="185">
          <cell r="A185">
            <v>120</v>
          </cell>
          <cell r="B185" t="str">
            <v xml:space="preserve"> -3 LAP</v>
          </cell>
          <cell r="C185" t="str">
            <v xml:space="preserve"> -3 LAP</v>
          </cell>
          <cell r="D185">
            <v>179</v>
          </cell>
          <cell r="E185" t="str">
            <v>ARAYA  Luis</v>
          </cell>
        </row>
        <row r="186">
          <cell r="A186">
            <v>114</v>
          </cell>
          <cell r="B186" t="str">
            <v xml:space="preserve"> -3 LAP</v>
          </cell>
          <cell r="C186" t="str">
            <v xml:space="preserve"> -3 LAP</v>
          </cell>
          <cell r="D186">
            <v>180</v>
          </cell>
          <cell r="E186" t="str">
            <v>FALCÓN  Fernando*</v>
          </cell>
        </row>
        <row r="187">
          <cell r="A187">
            <v>118</v>
          </cell>
          <cell r="B187" t="str">
            <v xml:space="preserve"> -3 LAP</v>
          </cell>
          <cell r="C187" t="str">
            <v xml:space="preserve"> -3 LAP</v>
          </cell>
          <cell r="D187">
            <v>181</v>
          </cell>
          <cell r="E187" t="str">
            <v>RODRIGUEZ  Jose Pablo*</v>
          </cell>
        </row>
        <row r="188">
          <cell r="A188">
            <v>170</v>
          </cell>
          <cell r="B188" t="str">
            <v xml:space="preserve"> -3 LAP</v>
          </cell>
          <cell r="C188" t="str">
            <v xml:space="preserve"> -3 LAP</v>
          </cell>
          <cell r="D188">
            <v>182</v>
          </cell>
          <cell r="E188" t="str">
            <v>PEREIRA Keiner*</v>
          </cell>
        </row>
        <row r="189">
          <cell r="A189">
            <v>147</v>
          </cell>
          <cell r="B189" t="str">
            <v xml:space="preserve"> -3 LAP</v>
          </cell>
          <cell r="C189" t="str">
            <v xml:space="preserve"> -3 LAP</v>
          </cell>
          <cell r="D189">
            <v>183</v>
          </cell>
          <cell r="E189" t="str">
            <v>CORRALES Isaac</v>
          </cell>
        </row>
        <row r="190">
          <cell r="A190">
            <v>124</v>
          </cell>
          <cell r="B190" t="str">
            <v xml:space="preserve"> -3 LAP</v>
          </cell>
          <cell r="C190" t="str">
            <v xml:space="preserve"> -3 LAP</v>
          </cell>
          <cell r="D190">
            <v>184</v>
          </cell>
          <cell r="E190" t="str">
            <v>PORRAS Santiago*</v>
          </cell>
        </row>
        <row r="191">
          <cell r="A191">
            <v>161</v>
          </cell>
          <cell r="B191" t="str">
            <v xml:space="preserve"> -4 LAP</v>
          </cell>
          <cell r="C191" t="str">
            <v xml:space="preserve"> -4 LAP</v>
          </cell>
          <cell r="D191">
            <v>185</v>
          </cell>
          <cell r="E191" t="str">
            <v>THOMAS Dominick*</v>
          </cell>
        </row>
        <row r="192">
          <cell r="A192">
            <v>108</v>
          </cell>
          <cell r="B192" t="str">
            <v xml:space="preserve"> -4 LAP</v>
          </cell>
          <cell r="C192" t="str">
            <v xml:space="preserve"> -4 LAP</v>
          </cell>
          <cell r="D192">
            <v>186</v>
          </cell>
          <cell r="E192" t="str">
            <v xml:space="preserve">CASASOLA Steven </v>
          </cell>
        </row>
        <row r="193">
          <cell r="A193">
            <v>166</v>
          </cell>
          <cell r="B193" t="str">
            <v xml:space="preserve"> -4 LAP</v>
          </cell>
          <cell r="C193" t="str">
            <v xml:space="preserve"> -4 LAP</v>
          </cell>
          <cell r="D193">
            <v>187</v>
          </cell>
          <cell r="E193" t="str">
            <v>GAMBOA  Elian*</v>
          </cell>
        </row>
        <row r="194">
          <cell r="A194">
            <v>168</v>
          </cell>
          <cell r="B194" t="str">
            <v xml:space="preserve"> -4 LAP</v>
          </cell>
          <cell r="C194" t="str">
            <v xml:space="preserve"> -4 LAP</v>
          </cell>
          <cell r="D194">
            <v>188</v>
          </cell>
          <cell r="E194" t="str">
            <v>FERNANDEZ  Jose Eduardo</v>
          </cell>
        </row>
        <row r="195">
          <cell r="A195">
            <v>163</v>
          </cell>
          <cell r="B195" t="str">
            <v xml:space="preserve"> -4 LAP</v>
          </cell>
          <cell r="C195" t="str">
            <v xml:space="preserve"> -4 LAP</v>
          </cell>
          <cell r="D195">
            <v>189</v>
          </cell>
          <cell r="E195" t="str">
            <v>UMAÑA  Devis*</v>
          </cell>
        </row>
        <row r="196">
          <cell r="A196">
            <v>143</v>
          </cell>
          <cell r="B196" t="str">
            <v xml:space="preserve"> -4 LAP</v>
          </cell>
          <cell r="C196" t="str">
            <v xml:space="preserve"> -4 LAP</v>
          </cell>
          <cell r="D196">
            <v>190</v>
          </cell>
          <cell r="E196" t="str">
            <v>MARCHENA Ethan Daniel*</v>
          </cell>
        </row>
        <row r="197">
          <cell r="A197">
            <v>169</v>
          </cell>
          <cell r="B197" t="str">
            <v xml:space="preserve"> -4 LAP</v>
          </cell>
          <cell r="C197" t="str">
            <v xml:space="preserve"> -4 LAP</v>
          </cell>
          <cell r="D197">
            <v>191</v>
          </cell>
          <cell r="E197" t="str">
            <v xml:space="preserve">VARGAS  Justin </v>
          </cell>
        </row>
        <row r="198">
          <cell r="A198">
            <v>162</v>
          </cell>
          <cell r="B198" t="str">
            <v xml:space="preserve"> -4 LAP</v>
          </cell>
          <cell r="C198" t="str">
            <v xml:space="preserve"> -4 LAP</v>
          </cell>
          <cell r="D198">
            <v>192</v>
          </cell>
          <cell r="E198" t="str">
            <v>QUESADA  Jerald Jesus*</v>
          </cell>
        </row>
        <row r="199">
          <cell r="A199">
            <v>164</v>
          </cell>
          <cell r="B199" t="str">
            <v xml:space="preserve"> -5 LAP</v>
          </cell>
          <cell r="C199" t="str">
            <v xml:space="preserve"> -5 LAP</v>
          </cell>
          <cell r="D199">
            <v>193</v>
          </cell>
          <cell r="E199" t="str">
            <v xml:space="preserve">SÁNCHEZ  Bruce </v>
          </cell>
        </row>
        <row r="200">
          <cell r="A200">
            <v>167</v>
          </cell>
          <cell r="B200" t="str">
            <v xml:space="preserve"> -5 LAP</v>
          </cell>
          <cell r="C200" t="str">
            <v xml:space="preserve"> -5 LAP</v>
          </cell>
          <cell r="D200">
            <v>194</v>
          </cell>
          <cell r="E200" t="str">
            <v xml:space="preserve">RODRIGUEZ  Lenny </v>
          </cell>
        </row>
        <row r="201">
          <cell r="A201">
            <v>106</v>
          </cell>
          <cell r="B201" t="str">
            <v>DNF</v>
          </cell>
          <cell r="C201" t="str">
            <v>DNF</v>
          </cell>
          <cell r="D201">
            <v>195</v>
          </cell>
          <cell r="E201" t="str">
            <v xml:space="preserve">MANZANARES  Leandro </v>
          </cell>
        </row>
        <row r="202">
          <cell r="A202">
            <v>671</v>
          </cell>
          <cell r="B202" t="str">
            <v>DNS</v>
          </cell>
          <cell r="C202" t="str">
            <v>DNS</v>
          </cell>
          <cell r="D202">
            <v>196</v>
          </cell>
          <cell r="E202" t="str">
            <v>TRETTI Caterina</v>
          </cell>
        </row>
        <row r="203">
          <cell r="A203">
            <v>85</v>
          </cell>
          <cell r="B203">
            <v>1.4965277777777777E-2</v>
          </cell>
          <cell r="C203">
            <v>1.4965277777777777E-2</v>
          </cell>
          <cell r="D203">
            <v>197</v>
          </cell>
          <cell r="E203" t="str">
            <v xml:space="preserve">ESPINOZA  Cristel </v>
          </cell>
        </row>
        <row r="204">
          <cell r="A204">
            <v>84</v>
          </cell>
          <cell r="B204">
            <v>1.5879629629629629E-2</v>
          </cell>
          <cell r="C204">
            <v>1.5879629629629629E-2</v>
          </cell>
          <cell r="D204">
            <v>199</v>
          </cell>
          <cell r="E204" t="str">
            <v>ROJAS  Adriana</v>
          </cell>
        </row>
        <row r="205">
          <cell r="A205">
            <v>91</v>
          </cell>
          <cell r="B205">
            <v>1.6666666666666666E-2</v>
          </cell>
          <cell r="C205">
            <v>1.6666666666666666E-2</v>
          </cell>
          <cell r="D205">
            <v>200</v>
          </cell>
          <cell r="E205" t="str">
            <v>GARCÍA  Isabel*</v>
          </cell>
        </row>
        <row r="206">
          <cell r="A206">
            <v>92</v>
          </cell>
          <cell r="B206">
            <v>1.7384259259259259E-2</v>
          </cell>
          <cell r="C206">
            <v>1.7384259259259259E-2</v>
          </cell>
          <cell r="D206">
            <v>201</v>
          </cell>
          <cell r="E206" t="str">
            <v>GARCÍA  Marisol*</v>
          </cell>
        </row>
        <row r="207">
          <cell r="A207">
            <v>263</v>
          </cell>
          <cell r="B207">
            <v>1.7511574074074075E-2</v>
          </cell>
          <cell r="C207">
            <v>1.7511574074074075E-2</v>
          </cell>
          <cell r="D207">
            <v>202</v>
          </cell>
          <cell r="E207" t="str">
            <v xml:space="preserve">MADRIGAL  Maidelyn  </v>
          </cell>
        </row>
        <row r="208">
          <cell r="A208">
            <v>264</v>
          </cell>
          <cell r="B208">
            <v>1.8958333333333334E-2</v>
          </cell>
          <cell r="C208">
            <v>1.8958333333333334E-2</v>
          </cell>
          <cell r="D208">
            <v>203</v>
          </cell>
          <cell r="E208" t="str">
            <v>BARQUERO  Brenda*</v>
          </cell>
        </row>
        <row r="209">
          <cell r="A209">
            <v>935</v>
          </cell>
          <cell r="B209">
            <v>1.5543981481481482E-2</v>
          </cell>
          <cell r="C209">
            <v>1.5370370370370371E-2</v>
          </cell>
          <cell r="D209">
            <v>204</v>
          </cell>
          <cell r="E209" t="str">
            <v xml:space="preserve">GONZALEZ  Alejandra </v>
          </cell>
        </row>
        <row r="210">
          <cell r="A210">
            <v>932</v>
          </cell>
          <cell r="B210">
            <v>1.6192129629629629E-2</v>
          </cell>
          <cell r="C210">
            <v>1.6018518518518519E-2</v>
          </cell>
          <cell r="D210">
            <v>205</v>
          </cell>
          <cell r="E210" t="str">
            <v>HERNÁNDEZ Yuliana</v>
          </cell>
        </row>
        <row r="211">
          <cell r="A211">
            <v>934</v>
          </cell>
          <cell r="B211">
            <v>1.7418981481481483E-2</v>
          </cell>
          <cell r="C211">
            <v>1.7245370370370373E-2</v>
          </cell>
          <cell r="D211">
            <v>206</v>
          </cell>
          <cell r="E211" t="str">
            <v xml:space="preserve">BADILLA  Valeria </v>
          </cell>
        </row>
        <row r="212">
          <cell r="A212">
            <v>951</v>
          </cell>
          <cell r="B212">
            <v>1.650462962962963E-2</v>
          </cell>
          <cell r="C212">
            <v>1.6331018518518519E-2</v>
          </cell>
          <cell r="D212">
            <v>207</v>
          </cell>
          <cell r="E212" t="str">
            <v>LORIA Dilcen</v>
          </cell>
        </row>
        <row r="213">
          <cell r="A213">
            <v>956</v>
          </cell>
          <cell r="B213">
            <v>1.951388888888889E-2</v>
          </cell>
          <cell r="C213">
            <v>1.9340277777777779E-2</v>
          </cell>
          <cell r="D213">
            <v>208</v>
          </cell>
          <cell r="E213" t="str">
            <v>DURÁN Anny</v>
          </cell>
        </row>
        <row r="214">
          <cell r="A214">
            <v>87</v>
          </cell>
          <cell r="B214" t="str">
            <v xml:space="preserve"> -1 LAP</v>
          </cell>
          <cell r="C214" t="str">
            <v xml:space="preserve"> -1 LAP</v>
          </cell>
          <cell r="D214">
            <v>209</v>
          </cell>
          <cell r="E214" t="str">
            <v>ZELEDÓN  Gabriela</v>
          </cell>
        </row>
        <row r="215">
          <cell r="A215">
            <v>266</v>
          </cell>
          <cell r="B215" t="str">
            <v xml:space="preserve"> -1 LAP</v>
          </cell>
          <cell r="C215" t="str">
            <v xml:space="preserve"> -1 LAP</v>
          </cell>
          <cell r="D215">
            <v>210</v>
          </cell>
          <cell r="E215" t="str">
            <v>ALVARADO  Jimena*</v>
          </cell>
        </row>
        <row r="216">
          <cell r="A216">
            <v>95</v>
          </cell>
          <cell r="B216" t="str">
            <v xml:space="preserve"> -3 LAP</v>
          </cell>
          <cell r="C216" t="str">
            <v xml:space="preserve"> -3 LAP</v>
          </cell>
          <cell r="D216">
            <v>211</v>
          </cell>
          <cell r="E216" t="str">
            <v>ALVARADO  Elizabeth*</v>
          </cell>
        </row>
        <row r="217">
          <cell r="A217">
            <v>94</v>
          </cell>
          <cell r="B217" t="str">
            <v xml:space="preserve"> -4 LAP</v>
          </cell>
          <cell r="C217" t="str">
            <v xml:space="preserve"> -4 LAP</v>
          </cell>
          <cell r="D217">
            <v>212</v>
          </cell>
          <cell r="E217" t="str">
            <v>NUÑEZ  Alison*</v>
          </cell>
        </row>
        <row r="218">
          <cell r="A218">
            <v>265</v>
          </cell>
          <cell r="B218" t="str">
            <v xml:space="preserve"> -4 LAP</v>
          </cell>
          <cell r="C218" t="str">
            <v xml:space="preserve"> -4 LAP</v>
          </cell>
          <cell r="D218">
            <v>213</v>
          </cell>
          <cell r="E218" t="str">
            <v>RIVERA  Leonor*</v>
          </cell>
        </row>
        <row r="219">
          <cell r="A219">
            <v>13</v>
          </cell>
          <cell r="B219">
            <v>1.7534722222222222E-2</v>
          </cell>
          <cell r="C219">
            <v>1.7534722222222222E-2</v>
          </cell>
          <cell r="D219">
            <v>214</v>
          </cell>
          <cell r="E219" t="str">
            <v xml:space="preserve">SOLÍS  Keiron </v>
          </cell>
        </row>
        <row r="220">
          <cell r="A220">
            <v>3</v>
          </cell>
          <cell r="B220">
            <v>1.7812499999999998E-2</v>
          </cell>
          <cell r="C220">
            <v>1.7812499999999998E-2</v>
          </cell>
          <cell r="D220">
            <v>215</v>
          </cell>
          <cell r="E220" t="str">
            <v>HERRERA  Carlos</v>
          </cell>
        </row>
        <row r="221">
          <cell r="A221">
            <v>23</v>
          </cell>
          <cell r="B221">
            <v>1.8206018518518517E-2</v>
          </cell>
          <cell r="C221">
            <v>1.8206018518518517E-2</v>
          </cell>
          <cell r="D221">
            <v>216</v>
          </cell>
          <cell r="E221" t="str">
            <v>MENDEZ Jared*</v>
          </cell>
        </row>
        <row r="222">
          <cell r="A222">
            <v>12</v>
          </cell>
          <cell r="B222">
            <v>1.8217592592592594E-2</v>
          </cell>
          <cell r="C222">
            <v>1.8217592592592594E-2</v>
          </cell>
          <cell r="D222">
            <v>217</v>
          </cell>
          <cell r="E222" t="str">
            <v>RAMIREZ Federico</v>
          </cell>
        </row>
        <row r="223">
          <cell r="A223">
            <v>25</v>
          </cell>
          <cell r="B223">
            <v>1.8599537037037036E-2</v>
          </cell>
          <cell r="C223">
            <v>1.8599537037037036E-2</v>
          </cell>
          <cell r="D223">
            <v>218</v>
          </cell>
          <cell r="E223" t="str">
            <v>GONZÁLEZ  Adriano*</v>
          </cell>
        </row>
        <row r="224">
          <cell r="A224">
            <v>28</v>
          </cell>
          <cell r="B224" t="str">
            <v xml:space="preserve"> -1 LAP</v>
          </cell>
          <cell r="C224" t="str">
            <v xml:space="preserve"> -1 LAP</v>
          </cell>
          <cell r="D224">
            <v>219</v>
          </cell>
          <cell r="E224" t="str">
            <v>AZOFEIFA Daniel*</v>
          </cell>
        </row>
        <row r="225">
          <cell r="A225">
            <v>29</v>
          </cell>
          <cell r="B225" t="str">
            <v xml:space="preserve"> -2 LAP</v>
          </cell>
          <cell r="C225" t="str">
            <v xml:space="preserve"> -2 LAP</v>
          </cell>
          <cell r="D225">
            <v>220</v>
          </cell>
          <cell r="E225" t="str">
            <v>HIDALGO Stefano*</v>
          </cell>
        </row>
        <row r="226">
          <cell r="A226">
            <v>37</v>
          </cell>
          <cell r="B226" t="str">
            <v xml:space="preserve"> -3 LAP</v>
          </cell>
          <cell r="C226" t="str">
            <v xml:space="preserve"> -3 LAP</v>
          </cell>
          <cell r="D226">
            <v>221</v>
          </cell>
          <cell r="E226" t="str">
            <v>ROJAS Alejandro*</v>
          </cell>
        </row>
        <row r="227">
          <cell r="A227">
            <v>35</v>
          </cell>
          <cell r="B227" t="str">
            <v xml:space="preserve"> -3 LAP</v>
          </cell>
          <cell r="C227" t="str">
            <v xml:space="preserve"> -3 LAP</v>
          </cell>
          <cell r="D227">
            <v>222</v>
          </cell>
          <cell r="E227" t="str">
            <v>CASTILLO  Alejandro*</v>
          </cell>
        </row>
        <row r="228">
          <cell r="A228">
            <v>27</v>
          </cell>
          <cell r="B228" t="str">
            <v xml:space="preserve"> -3 LAP</v>
          </cell>
          <cell r="C228" t="str">
            <v xml:space="preserve"> -3 LAP</v>
          </cell>
          <cell r="D228">
            <v>223</v>
          </cell>
          <cell r="E228" t="str">
            <v>RAABE  Fabricio*</v>
          </cell>
        </row>
        <row r="229">
          <cell r="A229">
            <v>39</v>
          </cell>
          <cell r="B229" t="str">
            <v xml:space="preserve"> -5 LAP</v>
          </cell>
          <cell r="C229" t="str">
            <v xml:space="preserve"> -5 LAP</v>
          </cell>
          <cell r="D229">
            <v>224</v>
          </cell>
          <cell r="E229" t="str">
            <v>ROJAS Juan Diego*</v>
          </cell>
        </row>
        <row r="230">
          <cell r="A230">
            <v>26</v>
          </cell>
          <cell r="B230" t="str">
            <v xml:space="preserve"> -5 LAP</v>
          </cell>
          <cell r="C230" t="str">
            <v xml:space="preserve"> -5 LAP</v>
          </cell>
          <cell r="D230">
            <v>225</v>
          </cell>
          <cell r="E230" t="str">
            <v>VARGAS  José David*</v>
          </cell>
        </row>
        <row r="231">
          <cell r="A231">
            <v>30</v>
          </cell>
          <cell r="B231" t="str">
            <v xml:space="preserve"> -7 LAP</v>
          </cell>
          <cell r="C231" t="str">
            <v xml:space="preserve"> -7 LAP</v>
          </cell>
          <cell r="D231">
            <v>226</v>
          </cell>
          <cell r="E231" t="str">
            <v>ALVARADO Armando*</v>
          </cell>
        </row>
        <row r="232">
          <cell r="A232">
            <v>40</v>
          </cell>
          <cell r="B232" t="str">
            <v xml:space="preserve"> -7 LAP</v>
          </cell>
          <cell r="C232" t="str">
            <v xml:space="preserve"> -7 LAP</v>
          </cell>
          <cell r="D232">
            <v>227</v>
          </cell>
          <cell r="E232" t="str">
            <v>GUTIÉRREZ Carlos Daniel*</v>
          </cell>
        </row>
        <row r="233">
          <cell r="A233">
            <v>10</v>
          </cell>
          <cell r="B233" t="str">
            <v>DNS</v>
          </cell>
          <cell r="C233" t="str">
            <v>DNS</v>
          </cell>
          <cell r="D233">
            <v>228</v>
          </cell>
          <cell r="E233" t="str">
            <v>VARGAS Steven Andres</v>
          </cell>
        </row>
        <row r="234">
          <cell r="A234">
            <v>981</v>
          </cell>
          <cell r="B234">
            <v>2.7847222222222221E-2</v>
          </cell>
          <cell r="C234">
            <v>2.7847222222222221E-2</v>
          </cell>
          <cell r="D234">
            <v>232</v>
          </cell>
          <cell r="E234" t="str">
            <v>ALFARO  Dany</v>
          </cell>
        </row>
        <row r="235">
          <cell r="A235">
            <v>961</v>
          </cell>
          <cell r="B235">
            <v>3.1770833333333331E-2</v>
          </cell>
          <cell r="C235">
            <v>3.1770833333333331E-2</v>
          </cell>
          <cell r="D235">
            <v>233</v>
          </cell>
          <cell r="E235" t="str">
            <v>GUZMAN Aaron</v>
          </cell>
        </row>
        <row r="236">
          <cell r="A236">
            <v>964</v>
          </cell>
          <cell r="B236">
            <v>3.4930555555555555E-2</v>
          </cell>
          <cell r="C236">
            <v>3.4930555555555555E-2</v>
          </cell>
          <cell r="D236">
            <v>234</v>
          </cell>
          <cell r="E236" t="str">
            <v>TENORIO Carlos</v>
          </cell>
        </row>
        <row r="237">
          <cell r="A237">
            <v>982</v>
          </cell>
          <cell r="B237">
            <v>3.6840277777777777E-2</v>
          </cell>
          <cell r="C237">
            <v>3.6840277777777777E-2</v>
          </cell>
          <cell r="D237">
            <v>234</v>
          </cell>
          <cell r="E237" t="str">
            <v>VARGAS Omar</v>
          </cell>
        </row>
        <row r="238">
          <cell r="A238">
            <v>962</v>
          </cell>
          <cell r="B238">
            <v>3.695601851851852E-2</v>
          </cell>
          <cell r="C238">
            <v>3.695601851851852E-2</v>
          </cell>
          <cell r="D238">
            <v>233</v>
          </cell>
          <cell r="E238" t="str">
            <v>GUZMÁN  Alex</v>
          </cell>
        </row>
        <row r="239">
          <cell r="A239">
            <v>965</v>
          </cell>
          <cell r="B239">
            <v>3.9780092592592596E-2</v>
          </cell>
          <cell r="C239">
            <v>3.9780092592592596E-2</v>
          </cell>
          <cell r="D239">
            <v>234</v>
          </cell>
          <cell r="E239" t="str">
            <v>CALDERON Gerardo</v>
          </cell>
        </row>
        <row r="240">
          <cell r="A240">
            <v>978</v>
          </cell>
          <cell r="B240">
            <v>4.0555555555555553E-2</v>
          </cell>
          <cell r="C240">
            <v>4.0555555555555553E-2</v>
          </cell>
          <cell r="D240">
            <v>235</v>
          </cell>
          <cell r="E240" t="str">
            <v>JIMÉNEZ  Royland</v>
          </cell>
        </row>
        <row r="241">
          <cell r="A241">
            <v>966</v>
          </cell>
          <cell r="B241" t="str">
            <v>DNF</v>
          </cell>
          <cell r="C241" t="str">
            <v>DNF</v>
          </cell>
          <cell r="D241">
            <v>236</v>
          </cell>
          <cell r="E241" t="str">
            <v xml:space="preserve">HERRERA  Miguel </v>
          </cell>
        </row>
        <row r="242">
          <cell r="A242">
            <v>983</v>
          </cell>
          <cell r="B242" t="str">
            <v xml:space="preserve"> -1 LAP</v>
          </cell>
          <cell r="C242" t="str">
            <v xml:space="preserve"> -1 LAP</v>
          </cell>
          <cell r="D242">
            <v>237</v>
          </cell>
          <cell r="E242" t="str">
            <v>CALDERON Alejandro</v>
          </cell>
        </row>
        <row r="243">
          <cell r="C243" t="e">
            <v>#N/A</v>
          </cell>
          <cell r="D243">
            <v>238</v>
          </cell>
          <cell r="E243" t="e">
            <v>#N/A</v>
          </cell>
        </row>
        <row r="244">
          <cell r="C244" t="e">
            <v>#N/A</v>
          </cell>
          <cell r="D244">
            <v>239</v>
          </cell>
          <cell r="E244" t="e">
            <v>#N/A</v>
          </cell>
        </row>
        <row r="245">
          <cell r="C245" t="e">
            <v>#N/A</v>
          </cell>
          <cell r="D245">
            <v>240</v>
          </cell>
          <cell r="E245" t="e">
            <v>#N/A</v>
          </cell>
        </row>
        <row r="246">
          <cell r="C246" t="e">
            <v>#N/A</v>
          </cell>
          <cell r="D246">
            <v>241</v>
          </cell>
          <cell r="E246" t="e">
            <v>#N/A</v>
          </cell>
        </row>
        <row r="247">
          <cell r="C247" t="e">
            <v>#N/A</v>
          </cell>
          <cell r="D247">
            <v>242</v>
          </cell>
          <cell r="E247" t="e">
            <v>#N/A</v>
          </cell>
        </row>
        <row r="248">
          <cell r="C248" t="e">
            <v>#N/A</v>
          </cell>
          <cell r="D248">
            <v>243</v>
          </cell>
          <cell r="E248" t="e">
            <v>#N/A</v>
          </cell>
        </row>
        <row r="249">
          <cell r="C249" t="e">
            <v>#N/A</v>
          </cell>
          <cell r="D249">
            <v>244</v>
          </cell>
          <cell r="E249" t="e">
            <v>#N/A</v>
          </cell>
        </row>
        <row r="250">
          <cell r="C250" t="e">
            <v>#N/A</v>
          </cell>
          <cell r="D250">
            <v>245</v>
          </cell>
          <cell r="E250" t="e">
            <v>#N/A</v>
          </cell>
        </row>
        <row r="251">
          <cell r="C251" t="e">
            <v>#N/A</v>
          </cell>
          <cell r="D251">
            <v>246</v>
          </cell>
          <cell r="E251" t="e">
            <v>#N/A</v>
          </cell>
        </row>
        <row r="252">
          <cell r="C252" t="e">
            <v>#N/A</v>
          </cell>
          <cell r="D252">
            <v>247</v>
          </cell>
          <cell r="E252" t="e">
            <v>#N/A</v>
          </cell>
        </row>
        <row r="253">
          <cell r="C253" t="e">
            <v>#N/A</v>
          </cell>
          <cell r="D253">
            <v>248</v>
          </cell>
          <cell r="E253" t="e">
            <v>#N/A</v>
          </cell>
        </row>
        <row r="254">
          <cell r="C254" t="e">
            <v>#N/A</v>
          </cell>
          <cell r="D254">
            <v>249</v>
          </cell>
          <cell r="E254" t="e">
            <v>#N/A</v>
          </cell>
        </row>
        <row r="255">
          <cell r="C255" t="e">
            <v>#N/A</v>
          </cell>
          <cell r="D255">
            <v>250</v>
          </cell>
          <cell r="E255" t="e">
            <v>#N/A</v>
          </cell>
        </row>
        <row r="256">
          <cell r="C256" t="e">
            <v>#N/A</v>
          </cell>
          <cell r="D256">
            <v>251</v>
          </cell>
          <cell r="E256" t="e">
            <v>#N/A</v>
          </cell>
        </row>
        <row r="257">
          <cell r="C257" t="e">
            <v>#N/A</v>
          </cell>
          <cell r="D257">
            <v>252</v>
          </cell>
          <cell r="E257" t="e">
            <v>#N/A</v>
          </cell>
        </row>
        <row r="258">
          <cell r="C258" t="e">
            <v>#N/A</v>
          </cell>
          <cell r="D258">
            <v>253</v>
          </cell>
          <cell r="E258" t="e">
            <v>#N/A</v>
          </cell>
        </row>
        <row r="259">
          <cell r="C259" t="e">
            <v>#N/A</v>
          </cell>
          <cell r="D259">
            <v>254</v>
          </cell>
          <cell r="E259" t="e">
            <v>#N/A</v>
          </cell>
        </row>
        <row r="260">
          <cell r="C260" t="e">
            <v>#N/A</v>
          </cell>
          <cell r="D260">
            <v>255</v>
          </cell>
          <cell r="E260" t="e">
            <v>#N/A</v>
          </cell>
        </row>
        <row r="261">
          <cell r="C261" t="e">
            <v>#N/A</v>
          </cell>
          <cell r="D261">
            <v>256</v>
          </cell>
          <cell r="E261" t="e">
            <v>#N/A</v>
          </cell>
        </row>
        <row r="262">
          <cell r="C262" t="e">
            <v>#N/A</v>
          </cell>
          <cell r="D262">
            <v>257</v>
          </cell>
          <cell r="E262" t="e">
            <v>#N/A</v>
          </cell>
        </row>
        <row r="263">
          <cell r="C263" t="e">
            <v>#N/A</v>
          </cell>
          <cell r="D263">
            <v>258</v>
          </cell>
          <cell r="E263" t="e">
            <v>#N/A</v>
          </cell>
        </row>
        <row r="264">
          <cell r="C264" t="e">
            <v>#N/A</v>
          </cell>
          <cell r="D264">
            <v>259</v>
          </cell>
          <cell r="E264" t="e">
            <v>#N/A</v>
          </cell>
        </row>
        <row r="265">
          <cell r="C265" t="e">
            <v>#N/A</v>
          </cell>
          <cell r="D265">
            <v>260</v>
          </cell>
          <cell r="E265" t="e">
            <v>#N/A</v>
          </cell>
        </row>
        <row r="266">
          <cell r="C266" t="e">
            <v>#N/A</v>
          </cell>
          <cell r="D266">
            <v>261</v>
          </cell>
          <cell r="E266" t="e">
            <v>#N/A</v>
          </cell>
        </row>
        <row r="267">
          <cell r="C267" t="e">
            <v>#N/A</v>
          </cell>
          <cell r="D267">
            <v>262</v>
          </cell>
          <cell r="E267" t="e">
            <v>#N/A</v>
          </cell>
        </row>
        <row r="268">
          <cell r="C268" t="e">
            <v>#N/A</v>
          </cell>
          <cell r="D268">
            <v>263</v>
          </cell>
          <cell r="E268" t="e">
            <v>#N/A</v>
          </cell>
        </row>
        <row r="269">
          <cell r="C269" t="e">
            <v>#N/A</v>
          </cell>
          <cell r="D269">
            <v>264</v>
          </cell>
          <cell r="E269" t="e">
            <v>#N/A</v>
          </cell>
        </row>
        <row r="270">
          <cell r="C270" t="e">
            <v>#N/A</v>
          </cell>
          <cell r="D270">
            <v>265</v>
          </cell>
          <cell r="E270" t="e">
            <v>#N/A</v>
          </cell>
        </row>
        <row r="271">
          <cell r="C271" t="e">
            <v>#N/A</v>
          </cell>
          <cell r="D271">
            <v>266</v>
          </cell>
          <cell r="E271" t="e">
            <v>#N/A</v>
          </cell>
        </row>
        <row r="272">
          <cell r="C272" t="e">
            <v>#N/A</v>
          </cell>
          <cell r="D272">
            <v>267</v>
          </cell>
          <cell r="E272" t="e">
            <v>#N/A</v>
          </cell>
        </row>
        <row r="273">
          <cell r="C273" t="e">
            <v>#N/A</v>
          </cell>
          <cell r="D273">
            <v>268</v>
          </cell>
          <cell r="E273" t="e">
            <v>#N/A</v>
          </cell>
        </row>
        <row r="274">
          <cell r="C274" t="e">
            <v>#N/A</v>
          </cell>
          <cell r="D274">
            <v>269</v>
          </cell>
          <cell r="E274" t="e">
            <v>#N/A</v>
          </cell>
        </row>
        <row r="275">
          <cell r="C275" t="e">
            <v>#N/A</v>
          </cell>
          <cell r="D275">
            <v>270</v>
          </cell>
          <cell r="E275" t="e">
            <v>#N/A</v>
          </cell>
        </row>
        <row r="276">
          <cell r="C276" t="e">
            <v>#N/A</v>
          </cell>
          <cell r="D276">
            <v>271</v>
          </cell>
          <cell r="E276" t="e">
            <v>#N/A</v>
          </cell>
        </row>
        <row r="277">
          <cell r="C277" t="e">
            <v>#N/A</v>
          </cell>
          <cell r="D277">
            <v>272</v>
          </cell>
          <cell r="E277" t="e">
            <v>#N/A</v>
          </cell>
        </row>
        <row r="278">
          <cell r="C278" t="e">
            <v>#N/A</v>
          </cell>
          <cell r="D278">
            <v>273</v>
          </cell>
          <cell r="E278" t="e">
            <v>#N/A</v>
          </cell>
        </row>
        <row r="279">
          <cell r="C279" t="e">
            <v>#N/A</v>
          </cell>
          <cell r="D279">
            <v>274</v>
          </cell>
          <cell r="E279" t="e">
            <v>#N/A</v>
          </cell>
        </row>
        <row r="280">
          <cell r="C280" t="e">
            <v>#N/A</v>
          </cell>
          <cell r="D280">
            <v>275</v>
          </cell>
          <cell r="E280" t="e">
            <v>#N/A</v>
          </cell>
        </row>
        <row r="281">
          <cell r="C281" t="e">
            <v>#N/A</v>
          </cell>
          <cell r="D281">
            <v>276</v>
          </cell>
          <cell r="E281" t="e">
            <v>#N/A</v>
          </cell>
        </row>
        <row r="282">
          <cell r="C282" t="e">
            <v>#N/A</v>
          </cell>
          <cell r="D282">
            <v>277</v>
          </cell>
          <cell r="E282" t="e">
            <v>#N/A</v>
          </cell>
        </row>
        <row r="283">
          <cell r="C283" t="e">
            <v>#N/A</v>
          </cell>
          <cell r="D283">
            <v>278</v>
          </cell>
          <cell r="E283" t="e">
            <v>#N/A</v>
          </cell>
        </row>
        <row r="284">
          <cell r="C284" t="e">
            <v>#N/A</v>
          </cell>
          <cell r="D284">
            <v>279</v>
          </cell>
          <cell r="E284" t="e">
            <v>#N/A</v>
          </cell>
        </row>
        <row r="285">
          <cell r="C285" t="e">
            <v>#N/A</v>
          </cell>
          <cell r="D285">
            <v>280</v>
          </cell>
          <cell r="E285" t="e">
            <v>#N/A</v>
          </cell>
        </row>
        <row r="286">
          <cell r="C286" t="e">
            <v>#N/A</v>
          </cell>
          <cell r="D286">
            <v>281</v>
          </cell>
          <cell r="E286" t="e">
            <v>#N/A</v>
          </cell>
        </row>
        <row r="287">
          <cell r="C287" t="e">
            <v>#N/A</v>
          </cell>
          <cell r="D287">
            <v>282</v>
          </cell>
          <cell r="E287" t="e">
            <v>#N/A</v>
          </cell>
        </row>
        <row r="288">
          <cell r="C288" t="e">
            <v>#N/A</v>
          </cell>
          <cell r="D288">
            <v>283</v>
          </cell>
          <cell r="E288" t="e">
            <v>#N/A</v>
          </cell>
        </row>
        <row r="289">
          <cell r="C289" t="e">
            <v>#N/A</v>
          </cell>
          <cell r="D289">
            <v>284</v>
          </cell>
          <cell r="E289" t="e">
            <v>#N/A</v>
          </cell>
        </row>
        <row r="290">
          <cell r="C290" t="e">
            <v>#N/A</v>
          </cell>
          <cell r="D290">
            <v>285</v>
          </cell>
          <cell r="E290" t="e">
            <v>#N/A</v>
          </cell>
        </row>
        <row r="291">
          <cell r="C291" t="e">
            <v>#N/A</v>
          </cell>
          <cell r="D291">
            <v>286</v>
          </cell>
          <cell r="E291" t="e">
            <v>#N/A</v>
          </cell>
        </row>
        <row r="292">
          <cell r="C292" t="e">
            <v>#N/A</v>
          </cell>
          <cell r="D292">
            <v>287</v>
          </cell>
          <cell r="E292" t="e">
            <v>#N/A</v>
          </cell>
        </row>
        <row r="293">
          <cell r="C293" t="e">
            <v>#N/A</v>
          </cell>
          <cell r="D293">
            <v>288</v>
          </cell>
          <cell r="E293" t="e">
            <v>#N/A</v>
          </cell>
        </row>
        <row r="294">
          <cell r="C294" t="e">
            <v>#N/A</v>
          </cell>
          <cell r="D294">
            <v>289</v>
          </cell>
          <cell r="E294" t="e">
            <v>#N/A</v>
          </cell>
        </row>
        <row r="295">
          <cell r="C295" t="e">
            <v>#N/A</v>
          </cell>
          <cell r="D295">
            <v>290</v>
          </cell>
          <cell r="E295" t="e">
            <v>#N/A</v>
          </cell>
        </row>
        <row r="296">
          <cell r="C296" t="e">
            <v>#N/A</v>
          </cell>
          <cell r="D296">
            <v>291</v>
          </cell>
          <cell r="E296" t="e">
            <v>#N/A</v>
          </cell>
        </row>
        <row r="297">
          <cell r="C297" t="e">
            <v>#N/A</v>
          </cell>
          <cell r="D297">
            <v>292</v>
          </cell>
          <cell r="E297" t="e">
            <v>#N/A</v>
          </cell>
        </row>
        <row r="298">
          <cell r="C298" t="e">
            <v>#N/A</v>
          </cell>
          <cell r="D298">
            <v>293</v>
          </cell>
          <cell r="E298" t="e">
            <v>#N/A</v>
          </cell>
        </row>
        <row r="299">
          <cell r="C299" t="e">
            <v>#N/A</v>
          </cell>
          <cell r="D299">
            <v>294</v>
          </cell>
          <cell r="E299" t="e">
            <v>#N/A</v>
          </cell>
        </row>
        <row r="300">
          <cell r="C300" t="e">
            <v>#N/A</v>
          </cell>
          <cell r="D300">
            <v>295</v>
          </cell>
          <cell r="E300" t="e">
            <v>#N/A</v>
          </cell>
        </row>
        <row r="301">
          <cell r="C301" t="e">
            <v>#N/A</v>
          </cell>
          <cell r="D301">
            <v>296</v>
          </cell>
          <cell r="E301" t="e">
            <v>#N/A</v>
          </cell>
        </row>
        <row r="302">
          <cell r="C302" t="e">
            <v>#N/A</v>
          </cell>
          <cell r="D302">
            <v>297</v>
          </cell>
          <cell r="E302" t="e">
            <v>#N/A</v>
          </cell>
        </row>
        <row r="303">
          <cell r="C303" t="e">
            <v>#N/A</v>
          </cell>
          <cell r="D303">
            <v>298</v>
          </cell>
          <cell r="E303" t="e">
            <v>#N/A</v>
          </cell>
        </row>
        <row r="304">
          <cell r="C304" t="e">
            <v>#N/A</v>
          </cell>
          <cell r="D304">
            <v>299</v>
          </cell>
          <cell r="E304" t="e">
            <v>#N/A</v>
          </cell>
        </row>
        <row r="305">
          <cell r="C305" t="e">
            <v>#N/A</v>
          </cell>
          <cell r="D305">
            <v>300</v>
          </cell>
          <cell r="E305" t="e">
            <v>#N/A</v>
          </cell>
        </row>
        <row r="306">
          <cell r="C306" t="e">
            <v>#N/A</v>
          </cell>
          <cell r="D306">
            <v>301</v>
          </cell>
          <cell r="E306" t="e">
            <v>#N/A</v>
          </cell>
        </row>
        <row r="307">
          <cell r="C307" t="e">
            <v>#N/A</v>
          </cell>
          <cell r="D307">
            <v>302</v>
          </cell>
          <cell r="E307" t="e">
            <v>#N/A</v>
          </cell>
        </row>
        <row r="308">
          <cell r="C308" t="e">
            <v>#N/A</v>
          </cell>
          <cell r="D308">
            <v>303</v>
          </cell>
          <cell r="E308" t="e">
            <v>#N/A</v>
          </cell>
        </row>
        <row r="309">
          <cell r="C309" t="e">
            <v>#N/A</v>
          </cell>
          <cell r="D309">
            <v>304</v>
          </cell>
          <cell r="E309" t="e">
            <v>#N/A</v>
          </cell>
        </row>
        <row r="310">
          <cell r="C310" t="e">
            <v>#N/A</v>
          </cell>
          <cell r="D310">
            <v>305</v>
          </cell>
          <cell r="E310" t="e">
            <v>#N/A</v>
          </cell>
        </row>
        <row r="311">
          <cell r="C311" t="e">
            <v>#N/A</v>
          </cell>
          <cell r="D311">
            <v>306</v>
          </cell>
          <cell r="E311" t="e">
            <v>#N/A</v>
          </cell>
        </row>
        <row r="312">
          <cell r="C312" t="e">
            <v>#N/A</v>
          </cell>
          <cell r="D312">
            <v>307</v>
          </cell>
          <cell r="E312" t="e">
            <v>#N/A</v>
          </cell>
        </row>
        <row r="313">
          <cell r="C313" t="e">
            <v>#N/A</v>
          </cell>
          <cell r="D313">
            <v>308</v>
          </cell>
          <cell r="E313" t="e">
            <v>#N/A</v>
          </cell>
        </row>
        <row r="314">
          <cell r="C314" t="e">
            <v>#N/A</v>
          </cell>
          <cell r="D314">
            <v>309</v>
          </cell>
          <cell r="E314" t="e">
            <v>#N/A</v>
          </cell>
        </row>
        <row r="315">
          <cell r="C315" t="e">
            <v>#N/A</v>
          </cell>
          <cell r="D315">
            <v>310</v>
          </cell>
          <cell r="E315" t="e">
            <v>#N/A</v>
          </cell>
        </row>
        <row r="316">
          <cell r="C316" t="e">
            <v>#N/A</v>
          </cell>
          <cell r="D316">
            <v>311</v>
          </cell>
          <cell r="E316" t="e">
            <v>#N/A</v>
          </cell>
        </row>
        <row r="317">
          <cell r="C317" t="e">
            <v>#N/A</v>
          </cell>
          <cell r="D317">
            <v>312</v>
          </cell>
          <cell r="E317" t="e">
            <v>#N/A</v>
          </cell>
        </row>
        <row r="318">
          <cell r="C318" t="e">
            <v>#N/A</v>
          </cell>
          <cell r="D318">
            <v>313</v>
          </cell>
          <cell r="E318" t="e">
            <v>#N/A</v>
          </cell>
        </row>
        <row r="319">
          <cell r="C319" t="e">
            <v>#N/A</v>
          </cell>
          <cell r="D319">
            <v>314</v>
          </cell>
          <cell r="E319" t="e">
            <v>#N/A</v>
          </cell>
        </row>
        <row r="320">
          <cell r="C320" t="e">
            <v>#N/A</v>
          </cell>
          <cell r="D320">
            <v>315</v>
          </cell>
          <cell r="E320" t="e">
            <v>#N/A</v>
          </cell>
        </row>
        <row r="321">
          <cell r="C321" t="e">
            <v>#N/A</v>
          </cell>
          <cell r="D321">
            <v>316</v>
          </cell>
          <cell r="E321" t="e">
            <v>#N/A</v>
          </cell>
        </row>
        <row r="322">
          <cell r="C322" t="e">
            <v>#N/A</v>
          </cell>
          <cell r="D322">
            <v>317</v>
          </cell>
          <cell r="E322" t="e">
            <v>#N/A</v>
          </cell>
        </row>
        <row r="323">
          <cell r="C323" t="e">
            <v>#N/A</v>
          </cell>
          <cell r="D323">
            <v>318</v>
          </cell>
          <cell r="E323" t="e">
            <v>#N/A</v>
          </cell>
        </row>
        <row r="324">
          <cell r="C324" t="e">
            <v>#N/A</v>
          </cell>
          <cell r="D324">
            <v>319</v>
          </cell>
          <cell r="E324" t="e">
            <v>#N/A</v>
          </cell>
        </row>
        <row r="325">
          <cell r="C325" t="e">
            <v>#N/A</v>
          </cell>
          <cell r="D325">
            <v>320</v>
          </cell>
          <cell r="E325" t="e">
            <v>#N/A</v>
          </cell>
        </row>
        <row r="326">
          <cell r="C326" t="e">
            <v>#N/A</v>
          </cell>
          <cell r="D326">
            <v>321</v>
          </cell>
          <cell r="E326" t="e">
            <v>#N/A</v>
          </cell>
        </row>
        <row r="327">
          <cell r="C327" t="e">
            <v>#N/A</v>
          </cell>
          <cell r="D327">
            <v>322</v>
          </cell>
          <cell r="E327" t="e">
            <v>#N/A</v>
          </cell>
        </row>
        <row r="328">
          <cell r="C328" t="e">
            <v>#N/A</v>
          </cell>
          <cell r="D328">
            <v>323</v>
          </cell>
          <cell r="E328" t="e">
            <v>#N/A</v>
          </cell>
        </row>
        <row r="329">
          <cell r="C329" t="e">
            <v>#N/A</v>
          </cell>
          <cell r="D329">
            <v>324</v>
          </cell>
          <cell r="E329" t="e">
            <v>#N/A</v>
          </cell>
        </row>
        <row r="330">
          <cell r="C330" t="e">
            <v>#N/A</v>
          </cell>
          <cell r="D330">
            <v>325</v>
          </cell>
          <cell r="E330" t="e">
            <v>#N/A</v>
          </cell>
        </row>
        <row r="331">
          <cell r="C331" t="e">
            <v>#N/A</v>
          </cell>
          <cell r="D331">
            <v>326</v>
          </cell>
          <cell r="E331" t="e">
            <v>#N/A</v>
          </cell>
        </row>
        <row r="332">
          <cell r="C332" t="e">
            <v>#N/A</v>
          </cell>
          <cell r="D332">
            <v>327</v>
          </cell>
          <cell r="E332" t="e">
            <v>#N/A</v>
          </cell>
        </row>
        <row r="333">
          <cell r="C333" t="e">
            <v>#N/A</v>
          </cell>
          <cell r="D333">
            <v>328</v>
          </cell>
          <cell r="E333" t="e">
            <v>#N/A</v>
          </cell>
        </row>
        <row r="334">
          <cell r="C334" t="e">
            <v>#N/A</v>
          </cell>
          <cell r="D334">
            <v>329</v>
          </cell>
          <cell r="E334" t="e">
            <v>#N/A</v>
          </cell>
        </row>
        <row r="335">
          <cell r="C335" t="e">
            <v>#N/A</v>
          </cell>
          <cell r="D335">
            <v>330</v>
          </cell>
          <cell r="E335" t="e">
            <v>#N/A</v>
          </cell>
        </row>
        <row r="336">
          <cell r="C336" t="e">
            <v>#N/A</v>
          </cell>
          <cell r="D336">
            <v>331</v>
          </cell>
          <cell r="E336" t="e">
            <v>#N/A</v>
          </cell>
        </row>
        <row r="337">
          <cell r="C337" t="e">
            <v>#N/A</v>
          </cell>
          <cell r="D337">
            <v>332</v>
          </cell>
          <cell r="E337" t="e">
            <v>#N/A</v>
          </cell>
        </row>
        <row r="338">
          <cell r="C338" t="e">
            <v>#N/A</v>
          </cell>
          <cell r="D338">
            <v>333</v>
          </cell>
          <cell r="E338" t="e">
            <v>#N/A</v>
          </cell>
        </row>
        <row r="339">
          <cell r="C339" t="e">
            <v>#N/A</v>
          </cell>
          <cell r="D339">
            <v>334</v>
          </cell>
          <cell r="E339" t="e">
            <v>#N/A</v>
          </cell>
        </row>
        <row r="340">
          <cell r="C340" t="e">
            <v>#N/A</v>
          </cell>
          <cell r="D340">
            <v>335</v>
          </cell>
          <cell r="E340" t="e">
            <v>#N/A</v>
          </cell>
        </row>
        <row r="341">
          <cell r="C341" t="e">
            <v>#N/A</v>
          </cell>
          <cell r="D341">
            <v>336</v>
          </cell>
          <cell r="E341" t="e">
            <v>#N/A</v>
          </cell>
        </row>
        <row r="342">
          <cell r="C342" t="e">
            <v>#N/A</v>
          </cell>
          <cell r="D342">
            <v>337</v>
          </cell>
          <cell r="E342" t="e">
            <v>#N/A</v>
          </cell>
        </row>
        <row r="343">
          <cell r="C343" t="e">
            <v>#N/A</v>
          </cell>
          <cell r="D343">
            <v>338</v>
          </cell>
          <cell r="E343" t="e">
            <v>#N/A</v>
          </cell>
        </row>
        <row r="344">
          <cell r="C344" t="e">
            <v>#N/A</v>
          </cell>
          <cell r="D344">
            <v>339</v>
          </cell>
          <cell r="E344" t="e">
            <v>#N/A</v>
          </cell>
        </row>
        <row r="345">
          <cell r="C345" t="e">
            <v>#N/A</v>
          </cell>
          <cell r="D345">
            <v>340</v>
          </cell>
          <cell r="E345" t="e">
            <v>#N/A</v>
          </cell>
        </row>
        <row r="346">
          <cell r="C346" t="e">
            <v>#N/A</v>
          </cell>
          <cell r="D346">
            <v>341</v>
          </cell>
          <cell r="E346" t="e">
            <v>#N/A</v>
          </cell>
        </row>
        <row r="347">
          <cell r="C347" t="e">
            <v>#N/A</v>
          </cell>
          <cell r="D347">
            <v>342</v>
          </cell>
          <cell r="E347" t="e">
            <v>#N/A</v>
          </cell>
        </row>
        <row r="348">
          <cell r="C348" t="e">
            <v>#N/A</v>
          </cell>
          <cell r="D348">
            <v>343</v>
          </cell>
          <cell r="E348" t="e">
            <v>#N/A</v>
          </cell>
        </row>
        <row r="349">
          <cell r="C349" t="e">
            <v>#N/A</v>
          </cell>
          <cell r="D349">
            <v>344</v>
          </cell>
          <cell r="E349" t="e">
            <v>#N/A</v>
          </cell>
        </row>
        <row r="350">
          <cell r="C350" t="e">
            <v>#N/A</v>
          </cell>
          <cell r="D350">
            <v>345</v>
          </cell>
          <cell r="E350" t="e">
            <v>#N/A</v>
          </cell>
        </row>
        <row r="351">
          <cell r="C351" t="e">
            <v>#N/A</v>
          </cell>
          <cell r="D351">
            <v>346</v>
          </cell>
          <cell r="E351" t="e">
            <v>#N/A</v>
          </cell>
        </row>
        <row r="352">
          <cell r="C352" t="e">
            <v>#N/A</v>
          </cell>
          <cell r="D352">
            <v>347</v>
          </cell>
          <cell r="E352" t="e">
            <v>#N/A</v>
          </cell>
        </row>
        <row r="353">
          <cell r="C353" t="e">
            <v>#N/A</v>
          </cell>
          <cell r="D353">
            <v>348</v>
          </cell>
          <cell r="E353" t="e">
            <v>#N/A</v>
          </cell>
        </row>
        <row r="354">
          <cell r="C354" t="e">
            <v>#N/A</v>
          </cell>
          <cell r="D354">
            <v>349</v>
          </cell>
          <cell r="E354" t="e">
            <v>#N/A</v>
          </cell>
        </row>
        <row r="355">
          <cell r="C355" t="e">
            <v>#N/A</v>
          </cell>
          <cell r="D355">
            <v>350</v>
          </cell>
          <cell r="E355" t="e">
            <v>#N/A</v>
          </cell>
        </row>
        <row r="356">
          <cell r="C356" t="e">
            <v>#N/A</v>
          </cell>
          <cell r="D356">
            <v>351</v>
          </cell>
          <cell r="E356" t="e">
            <v>#N/A</v>
          </cell>
        </row>
        <row r="357">
          <cell r="C357" t="e">
            <v>#N/A</v>
          </cell>
          <cell r="D357">
            <v>352</v>
          </cell>
          <cell r="E357" t="e">
            <v>#N/A</v>
          </cell>
        </row>
        <row r="358">
          <cell r="C358" t="e">
            <v>#N/A</v>
          </cell>
          <cell r="D358">
            <v>353</v>
          </cell>
          <cell r="E358" t="e">
            <v>#N/A</v>
          </cell>
        </row>
        <row r="359">
          <cell r="C359" t="e">
            <v>#N/A</v>
          </cell>
          <cell r="D359">
            <v>354</v>
          </cell>
          <cell r="E359" t="e">
            <v>#N/A</v>
          </cell>
        </row>
        <row r="360">
          <cell r="C360" t="e">
            <v>#N/A</v>
          </cell>
          <cell r="D360">
            <v>355</v>
          </cell>
          <cell r="E360" t="e">
            <v>#N/A</v>
          </cell>
        </row>
        <row r="361">
          <cell r="C361" t="e">
            <v>#N/A</v>
          </cell>
          <cell r="D361">
            <v>356</v>
          </cell>
          <cell r="E361" t="e">
            <v>#N/A</v>
          </cell>
        </row>
        <row r="362">
          <cell r="C362" t="e">
            <v>#N/A</v>
          </cell>
          <cell r="D362">
            <v>357</v>
          </cell>
          <cell r="E362" t="e">
            <v>#N/A</v>
          </cell>
        </row>
        <row r="363">
          <cell r="C363" t="e">
            <v>#N/A</v>
          </cell>
          <cell r="D363">
            <v>358</v>
          </cell>
          <cell r="E363" t="e">
            <v>#N/A</v>
          </cell>
        </row>
        <row r="364">
          <cell r="C364" t="e">
            <v>#N/A</v>
          </cell>
          <cell r="D364">
            <v>359</v>
          </cell>
          <cell r="E364" t="e">
            <v>#N/A</v>
          </cell>
        </row>
        <row r="365">
          <cell r="C365" t="e">
            <v>#N/A</v>
          </cell>
          <cell r="D365">
            <v>360</v>
          </cell>
          <cell r="E365" t="e">
            <v>#N/A</v>
          </cell>
        </row>
        <row r="366">
          <cell r="C366" t="e">
            <v>#N/A</v>
          </cell>
          <cell r="D366">
            <v>361</v>
          </cell>
          <cell r="E366" t="e">
            <v>#N/A</v>
          </cell>
        </row>
        <row r="367">
          <cell r="C367" t="e">
            <v>#N/A</v>
          </cell>
          <cell r="D367">
            <v>362</v>
          </cell>
          <cell r="E367" t="e">
            <v>#N/A</v>
          </cell>
        </row>
        <row r="368">
          <cell r="C368" t="e">
            <v>#N/A</v>
          </cell>
          <cell r="D368">
            <v>363</v>
          </cell>
          <cell r="E368" t="e">
            <v>#N/A</v>
          </cell>
        </row>
        <row r="369">
          <cell r="C369" t="e">
            <v>#N/A</v>
          </cell>
          <cell r="D369">
            <v>364</v>
          </cell>
          <cell r="E369" t="e">
            <v>#N/A</v>
          </cell>
        </row>
        <row r="370">
          <cell r="C370" t="e">
            <v>#N/A</v>
          </cell>
          <cell r="D370">
            <v>365</v>
          </cell>
          <cell r="E370" t="e">
            <v>#N/A</v>
          </cell>
        </row>
        <row r="371">
          <cell r="C371" t="e">
            <v>#N/A</v>
          </cell>
          <cell r="D371">
            <v>366</v>
          </cell>
          <cell r="E371" t="e">
            <v>#N/A</v>
          </cell>
        </row>
        <row r="372">
          <cell r="C372" t="e">
            <v>#N/A</v>
          </cell>
          <cell r="D372">
            <v>367</v>
          </cell>
          <cell r="E372" t="e">
            <v>#N/A</v>
          </cell>
        </row>
        <row r="373">
          <cell r="C373" t="e">
            <v>#N/A</v>
          </cell>
          <cell r="D373">
            <v>368</v>
          </cell>
          <cell r="E373" t="e">
            <v>#N/A</v>
          </cell>
        </row>
        <row r="374">
          <cell r="C374" t="e">
            <v>#N/A</v>
          </cell>
          <cell r="D374">
            <v>369</v>
          </cell>
          <cell r="E374" t="e">
            <v>#N/A</v>
          </cell>
        </row>
        <row r="375">
          <cell r="C375" t="e">
            <v>#N/A</v>
          </cell>
          <cell r="D375">
            <v>370</v>
          </cell>
          <cell r="E375" t="e">
            <v>#N/A</v>
          </cell>
        </row>
        <row r="376">
          <cell r="C376" t="e">
            <v>#N/A</v>
          </cell>
          <cell r="D376">
            <v>371</v>
          </cell>
          <cell r="E376" t="e">
            <v>#N/A</v>
          </cell>
        </row>
        <row r="377">
          <cell r="C377" t="e">
            <v>#N/A</v>
          </cell>
          <cell r="D377">
            <v>372</v>
          </cell>
          <cell r="E377" t="e">
            <v>#N/A</v>
          </cell>
        </row>
        <row r="378">
          <cell r="C378" t="e">
            <v>#N/A</v>
          </cell>
          <cell r="D378">
            <v>373</v>
          </cell>
          <cell r="E378" t="e">
            <v>#N/A</v>
          </cell>
        </row>
        <row r="379">
          <cell r="C379" t="e">
            <v>#N/A</v>
          </cell>
          <cell r="D379">
            <v>374</v>
          </cell>
          <cell r="E379" t="e">
            <v>#N/A</v>
          </cell>
        </row>
        <row r="380">
          <cell r="C380" t="e">
            <v>#N/A</v>
          </cell>
          <cell r="D380">
            <v>375</v>
          </cell>
          <cell r="E380" t="e">
            <v>#N/A</v>
          </cell>
        </row>
        <row r="381">
          <cell r="C381" t="e">
            <v>#N/A</v>
          </cell>
          <cell r="D381">
            <v>376</v>
          </cell>
          <cell r="E381" t="e">
            <v>#N/A</v>
          </cell>
        </row>
        <row r="382">
          <cell r="C382" t="e">
            <v>#N/A</v>
          </cell>
          <cell r="D382">
            <v>377</v>
          </cell>
          <cell r="E382" t="e">
            <v>#N/A</v>
          </cell>
        </row>
        <row r="383">
          <cell r="C383" t="e">
            <v>#N/A</v>
          </cell>
          <cell r="D383">
            <v>378</v>
          </cell>
          <cell r="E383" t="e">
            <v>#N/A</v>
          </cell>
        </row>
        <row r="384">
          <cell r="C384" t="e">
            <v>#N/A</v>
          </cell>
          <cell r="D384">
            <v>379</v>
          </cell>
          <cell r="E384" t="e">
            <v>#N/A</v>
          </cell>
        </row>
        <row r="385">
          <cell r="C385" t="e">
            <v>#N/A</v>
          </cell>
          <cell r="D385">
            <v>380</v>
          </cell>
          <cell r="E385" t="e">
            <v>#N/A</v>
          </cell>
        </row>
        <row r="386">
          <cell r="C386" t="e">
            <v>#N/A</v>
          </cell>
          <cell r="D386">
            <v>381</v>
          </cell>
          <cell r="E386" t="e">
            <v>#N/A</v>
          </cell>
        </row>
        <row r="387">
          <cell r="C387" t="e">
            <v>#N/A</v>
          </cell>
          <cell r="D387">
            <v>382</v>
          </cell>
          <cell r="E387" t="e">
            <v>#N/A</v>
          </cell>
        </row>
        <row r="388">
          <cell r="C388" t="e">
            <v>#N/A</v>
          </cell>
          <cell r="D388">
            <v>383</v>
          </cell>
          <cell r="E388" t="e">
            <v>#N/A</v>
          </cell>
        </row>
        <row r="389">
          <cell r="C389" t="e">
            <v>#N/A</v>
          </cell>
          <cell r="D389">
            <v>384</v>
          </cell>
          <cell r="E389" t="e">
            <v>#N/A</v>
          </cell>
        </row>
        <row r="390">
          <cell r="C390" t="e">
            <v>#N/A</v>
          </cell>
          <cell r="D390">
            <v>385</v>
          </cell>
          <cell r="E390" t="e">
            <v>#N/A</v>
          </cell>
        </row>
        <row r="391">
          <cell r="C391" t="e">
            <v>#N/A</v>
          </cell>
          <cell r="D391">
            <v>386</v>
          </cell>
          <cell r="E391" t="e">
            <v>#N/A</v>
          </cell>
        </row>
        <row r="392">
          <cell r="C392" t="e">
            <v>#N/A</v>
          </cell>
          <cell r="D392">
            <v>387</v>
          </cell>
          <cell r="E392" t="e">
            <v>#N/A</v>
          </cell>
        </row>
        <row r="393">
          <cell r="C393" t="e">
            <v>#N/A</v>
          </cell>
          <cell r="D393">
            <v>388</v>
          </cell>
          <cell r="E393" t="e">
            <v>#N/A</v>
          </cell>
        </row>
        <row r="394">
          <cell r="C394" t="e">
            <v>#N/A</v>
          </cell>
          <cell r="D394">
            <v>389</v>
          </cell>
          <cell r="E394" t="e">
            <v>#N/A</v>
          </cell>
        </row>
        <row r="395">
          <cell r="C395" t="e">
            <v>#N/A</v>
          </cell>
          <cell r="D395">
            <v>390</v>
          </cell>
          <cell r="E395" t="e">
            <v>#N/A</v>
          </cell>
        </row>
        <row r="396">
          <cell r="C396" t="e">
            <v>#N/A</v>
          </cell>
          <cell r="D396">
            <v>391</v>
          </cell>
          <cell r="E396" t="e">
            <v>#N/A</v>
          </cell>
        </row>
        <row r="397">
          <cell r="C397" t="e">
            <v>#N/A</v>
          </cell>
          <cell r="D397">
            <v>392</v>
          </cell>
          <cell r="E397" t="e">
            <v>#N/A</v>
          </cell>
        </row>
        <row r="398">
          <cell r="C398" t="e">
            <v>#N/A</v>
          </cell>
          <cell r="D398">
            <v>393</v>
          </cell>
          <cell r="E398" t="e">
            <v>#N/A</v>
          </cell>
        </row>
        <row r="399">
          <cell r="C399" t="e">
            <v>#N/A</v>
          </cell>
          <cell r="D399">
            <v>394</v>
          </cell>
          <cell r="E399" t="e">
            <v>#N/A</v>
          </cell>
        </row>
        <row r="400">
          <cell r="C400" t="e">
            <v>#N/A</v>
          </cell>
          <cell r="D400">
            <v>395</v>
          </cell>
          <cell r="E400" t="e">
            <v>#N/A</v>
          </cell>
        </row>
        <row r="401">
          <cell r="C401" t="e">
            <v>#N/A</v>
          </cell>
          <cell r="D401">
            <v>396</v>
          </cell>
          <cell r="E401" t="e">
            <v>#N/A</v>
          </cell>
        </row>
        <row r="402">
          <cell r="C402" t="e">
            <v>#N/A</v>
          </cell>
          <cell r="D402">
            <v>397</v>
          </cell>
          <cell r="E402" t="e">
            <v>#N/A</v>
          </cell>
        </row>
        <row r="403">
          <cell r="C403" t="e">
            <v>#N/A</v>
          </cell>
          <cell r="D403">
            <v>398</v>
          </cell>
          <cell r="E403" t="e">
            <v>#N/A</v>
          </cell>
        </row>
        <row r="404">
          <cell r="C404" t="e">
            <v>#N/A</v>
          </cell>
          <cell r="D404">
            <v>399</v>
          </cell>
          <cell r="E404" t="e">
            <v>#N/A</v>
          </cell>
        </row>
        <row r="405">
          <cell r="C405" t="e">
            <v>#N/A</v>
          </cell>
          <cell r="D405">
            <v>400</v>
          </cell>
          <cell r="E405" t="e">
            <v>#N/A</v>
          </cell>
        </row>
        <row r="406">
          <cell r="C406" t="e">
            <v>#N/A</v>
          </cell>
          <cell r="D406">
            <v>401</v>
          </cell>
          <cell r="E406" t="e">
            <v>#N/A</v>
          </cell>
        </row>
        <row r="407">
          <cell r="C407" t="e">
            <v>#N/A</v>
          </cell>
          <cell r="D407">
            <v>402</v>
          </cell>
          <cell r="E407" t="e">
            <v>#N/A</v>
          </cell>
        </row>
        <row r="408">
          <cell r="C408" t="e">
            <v>#N/A</v>
          </cell>
          <cell r="D408">
            <v>403</v>
          </cell>
          <cell r="E408" t="e">
            <v>#N/A</v>
          </cell>
        </row>
        <row r="409">
          <cell r="C409" t="e">
            <v>#N/A</v>
          </cell>
          <cell r="D409">
            <v>404</v>
          </cell>
          <cell r="E409" t="e">
            <v>#N/A</v>
          </cell>
        </row>
        <row r="410">
          <cell r="C410" t="e">
            <v>#N/A</v>
          </cell>
          <cell r="D410">
            <v>405</v>
          </cell>
          <cell r="E410" t="e">
            <v>#N/A</v>
          </cell>
        </row>
        <row r="411">
          <cell r="C411" t="e">
            <v>#N/A</v>
          </cell>
          <cell r="D411">
            <v>406</v>
          </cell>
          <cell r="E411" t="e">
            <v>#N/A</v>
          </cell>
        </row>
        <row r="412">
          <cell r="C412" t="e">
            <v>#N/A</v>
          </cell>
          <cell r="D412">
            <v>407</v>
          </cell>
          <cell r="E412" t="e">
            <v>#N/A</v>
          </cell>
        </row>
        <row r="413">
          <cell r="C413" t="e">
            <v>#N/A</v>
          </cell>
          <cell r="D413">
            <v>408</v>
          </cell>
          <cell r="E413" t="e">
            <v>#N/A</v>
          </cell>
        </row>
        <row r="414">
          <cell r="C414" t="e">
            <v>#N/A</v>
          </cell>
          <cell r="D414">
            <v>409</v>
          </cell>
          <cell r="E414" t="e">
            <v>#N/A</v>
          </cell>
        </row>
        <row r="415">
          <cell r="C415" t="e">
            <v>#N/A</v>
          </cell>
          <cell r="D415">
            <v>410</v>
          </cell>
          <cell r="E415" t="e">
            <v>#N/A</v>
          </cell>
        </row>
        <row r="416">
          <cell r="C416" t="e">
            <v>#N/A</v>
          </cell>
          <cell r="D416">
            <v>411</v>
          </cell>
          <cell r="E416" t="e">
            <v>#N/A</v>
          </cell>
        </row>
        <row r="417">
          <cell r="C417" t="e">
            <v>#N/A</v>
          </cell>
          <cell r="D417">
            <v>412</v>
          </cell>
          <cell r="E417" t="e">
            <v>#N/A</v>
          </cell>
        </row>
        <row r="418">
          <cell r="C418" t="e">
            <v>#N/A</v>
          </cell>
          <cell r="D418">
            <v>413</v>
          </cell>
          <cell r="E418" t="e">
            <v>#N/A</v>
          </cell>
        </row>
        <row r="419">
          <cell r="C419" t="e">
            <v>#N/A</v>
          </cell>
          <cell r="D419">
            <v>414</v>
          </cell>
          <cell r="E419" t="e">
            <v>#N/A</v>
          </cell>
        </row>
        <row r="420">
          <cell r="C420" t="e">
            <v>#N/A</v>
          </cell>
          <cell r="D420">
            <v>415</v>
          </cell>
          <cell r="E420" t="e">
            <v>#N/A</v>
          </cell>
        </row>
        <row r="421">
          <cell r="C421" t="e">
            <v>#N/A</v>
          </cell>
          <cell r="D421">
            <v>416</v>
          </cell>
          <cell r="E421" t="e">
            <v>#N/A</v>
          </cell>
        </row>
        <row r="422">
          <cell r="C422" t="e">
            <v>#N/A</v>
          </cell>
          <cell r="D422">
            <v>417</v>
          </cell>
          <cell r="E422" t="e">
            <v>#N/A</v>
          </cell>
        </row>
        <row r="423">
          <cell r="C423" t="e">
            <v>#N/A</v>
          </cell>
          <cell r="D423">
            <v>418</v>
          </cell>
          <cell r="E423" t="e">
            <v>#N/A</v>
          </cell>
        </row>
        <row r="424">
          <cell r="C424" t="e">
            <v>#N/A</v>
          </cell>
          <cell r="D424">
            <v>419</v>
          </cell>
          <cell r="E424" t="e">
            <v>#N/A</v>
          </cell>
        </row>
        <row r="425">
          <cell r="C425" t="e">
            <v>#N/A</v>
          </cell>
          <cell r="D425">
            <v>420</v>
          </cell>
          <cell r="E425" t="e">
            <v>#N/A</v>
          </cell>
        </row>
        <row r="426">
          <cell r="C426" t="e">
            <v>#N/A</v>
          </cell>
          <cell r="D426">
            <v>421</v>
          </cell>
          <cell r="E426" t="e">
            <v>#N/A</v>
          </cell>
        </row>
        <row r="427">
          <cell r="C427" t="e">
            <v>#N/A</v>
          </cell>
          <cell r="D427">
            <v>422</v>
          </cell>
          <cell r="E427" t="e">
            <v>#N/A</v>
          </cell>
        </row>
        <row r="428">
          <cell r="C428" t="e">
            <v>#N/A</v>
          </cell>
          <cell r="D428">
            <v>423</v>
          </cell>
          <cell r="E428" t="e">
            <v>#N/A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8:AE65"/>
  <sheetViews>
    <sheetView showGridLines="0" topLeftCell="A42" zoomScale="70" zoomScaleNormal="70" zoomScaleSheetLayoutView="70" workbookViewId="0">
      <selection activeCell="A15" sqref="A15:A58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10.85546875" style="2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30.95" customHeight="1">
      <c r="A8" s="118" t="s">
        <v>50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20.100000000000001" customHeight="1">
      <c r="A13" s="125" t="s">
        <v>0</v>
      </c>
      <c r="B13" s="125"/>
      <c r="C13" s="65"/>
      <c r="D13" s="65"/>
      <c r="E13" s="66"/>
      <c r="F13" s="125">
        <v>1</v>
      </c>
      <c r="G13" s="125"/>
      <c r="H13" s="125"/>
      <c r="I13" s="126"/>
      <c r="J13" s="127">
        <v>2</v>
      </c>
      <c r="K13" s="125"/>
      <c r="L13" s="125"/>
      <c r="M13" s="126"/>
      <c r="N13" s="127">
        <v>3</v>
      </c>
      <c r="O13" s="125"/>
      <c r="P13" s="125"/>
      <c r="Q13" s="126"/>
      <c r="R13" s="127">
        <v>4</v>
      </c>
      <c r="S13" s="125"/>
      <c r="T13" s="125"/>
      <c r="U13" s="126"/>
      <c r="V13" s="127">
        <v>5</v>
      </c>
      <c r="W13" s="125"/>
      <c r="X13" s="125"/>
      <c r="Y13" s="126"/>
      <c r="Z13" s="117" t="s">
        <v>47</v>
      </c>
    </row>
    <row r="14" spans="1:31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117"/>
    </row>
    <row r="15" spans="1:31" ht="24.95" customHeight="1">
      <c r="A15" s="3">
        <v>1</v>
      </c>
      <c r="B15" s="3">
        <v>1</v>
      </c>
      <c r="C15" s="113">
        <v>3</v>
      </c>
      <c r="D15" s="23" t="s">
        <v>169</v>
      </c>
      <c r="E15" s="53" t="s">
        <v>566</v>
      </c>
      <c r="F15" s="26">
        <v>2</v>
      </c>
      <c r="G15" s="15">
        <v>20</v>
      </c>
      <c r="H15" s="3">
        <v>1</v>
      </c>
      <c r="I15" s="25">
        <v>200</v>
      </c>
      <c r="J15" s="33">
        <v>2</v>
      </c>
      <c r="K15" s="22">
        <v>20</v>
      </c>
      <c r="L15" s="22">
        <v>3</v>
      </c>
      <c r="M15" s="34">
        <v>120</v>
      </c>
      <c r="N15" s="26">
        <v>9</v>
      </c>
      <c r="O15" s="3">
        <f>IFERROR(VLOOKUP(N15,'Puntos XCC Mayor'!$A$1:$B$15,2,FALSE),0)</f>
        <v>7</v>
      </c>
      <c r="P15" s="3">
        <v>5</v>
      </c>
      <c r="Q15" s="34">
        <f>IFERROR(VLOOKUP(P15,'Puntos XCO'!$A$1:$B$63,2,FALSE),0)</f>
        <v>100</v>
      </c>
      <c r="R15" s="16">
        <v>2</v>
      </c>
      <c r="S15" s="15">
        <f>IFERROR(VLOOKUP(R15,'Puntos XCC Mayor'!$A$1:$B$15,2,FALSE),0)</f>
        <v>20</v>
      </c>
      <c r="T15" s="15">
        <v>1</v>
      </c>
      <c r="U15" s="25">
        <f>IFERROR(VLOOKUP(T15,'Puntos XCO'!$A$1:$B$63,2,FALSE),0)</f>
        <v>200</v>
      </c>
      <c r="V15" s="16">
        <f>IFERROR(VLOOKUP(C15,RESXCC_1,9,FALSE),0)</f>
        <v>2</v>
      </c>
      <c r="W15" s="15">
        <f>IFERROR(VLOOKUP(V15,'Puntos XCC Mayor'!$A$1:$B$15,2,FALSE),0)</f>
        <v>20</v>
      </c>
      <c r="X15" s="15">
        <f>IFERROR(VLOOKUP(C15,RESXCO,9,FALSE),0)</f>
        <v>2</v>
      </c>
      <c r="Y15" s="25">
        <f>IFERROR(VLOOKUP(X15,'Puntos XCO'!$A$1:$B$63,2,FALSE),0)</f>
        <v>150</v>
      </c>
      <c r="Z15" s="27">
        <f>G15+I15+K15+M15+O15+Q15+S15+U15+W15+Y15</f>
        <v>857</v>
      </c>
      <c r="AB15" s="2"/>
      <c r="AC15" s="13"/>
      <c r="AD15" s="12"/>
      <c r="AE15" s="14"/>
    </row>
    <row r="16" spans="1:31" ht="24.95" customHeight="1">
      <c r="A16" s="3">
        <v>2</v>
      </c>
      <c r="B16" s="3">
        <v>2</v>
      </c>
      <c r="C16" s="113">
        <v>27</v>
      </c>
      <c r="D16" s="23" t="s">
        <v>180</v>
      </c>
      <c r="E16" s="53" t="s">
        <v>114</v>
      </c>
      <c r="F16" s="26">
        <v>10</v>
      </c>
      <c r="G16" s="15">
        <v>6</v>
      </c>
      <c r="H16" s="3">
        <v>4</v>
      </c>
      <c r="I16" s="25">
        <v>110</v>
      </c>
      <c r="J16" s="33">
        <v>12</v>
      </c>
      <c r="K16" s="22">
        <v>4</v>
      </c>
      <c r="L16" s="22">
        <v>7</v>
      </c>
      <c r="M16" s="34">
        <v>90</v>
      </c>
      <c r="N16" s="26">
        <v>15</v>
      </c>
      <c r="O16" s="3">
        <f>IFERROR(VLOOKUP(N16,'Puntos XCC Mayor'!$A$1:$B$15,2,FALSE),0)</f>
        <v>1</v>
      </c>
      <c r="P16" s="3">
        <v>3</v>
      </c>
      <c r="Q16" s="34">
        <f>IFERROR(VLOOKUP(P16,'Puntos XCO'!$A$1:$B$63,2,FALSE),0)</f>
        <v>120</v>
      </c>
      <c r="R16" s="16">
        <v>6</v>
      </c>
      <c r="S16" s="15">
        <f>IFERROR(VLOOKUP(R16,'Puntos XCC Mayor'!$A$1:$B$15,2,FALSE),0)</f>
        <v>10</v>
      </c>
      <c r="T16" s="15">
        <v>5</v>
      </c>
      <c r="U16" s="25">
        <f>IFERROR(VLOOKUP(T16,'Puntos XCO'!$A$1:$B$63,2,FALSE),0)</f>
        <v>100</v>
      </c>
      <c r="V16" s="16">
        <f>IFERROR(VLOOKUP(C16,RESXCC_1,9,FALSE),0)</f>
        <v>10</v>
      </c>
      <c r="W16" s="15">
        <f>IFERROR(VLOOKUP(V16,'Puntos XCC Mayor'!$A$1:$B$15,2,FALSE),0)</f>
        <v>6</v>
      </c>
      <c r="X16" s="15">
        <f>IFERROR(VLOOKUP(C16,RESXCO,9,FALSE),0)</f>
        <v>8</v>
      </c>
      <c r="Y16" s="25">
        <f>IFERROR(VLOOKUP(X16,'Puntos XCO'!$A$1:$B$63,2,FALSE),0)</f>
        <v>85</v>
      </c>
      <c r="Z16" s="27">
        <f>G16+I16+K16+M16+O16+Q16+S16+U16+W16+Y16</f>
        <v>532</v>
      </c>
      <c r="AB16" s="2"/>
      <c r="AC16" s="13"/>
      <c r="AD16" s="12"/>
      <c r="AE16" s="14"/>
    </row>
    <row r="17" spans="1:31" ht="24.95" customHeight="1">
      <c r="A17" s="3">
        <v>3</v>
      </c>
      <c r="B17" s="3">
        <v>4</v>
      </c>
      <c r="C17" s="113">
        <v>28</v>
      </c>
      <c r="D17" s="23" t="s">
        <v>186</v>
      </c>
      <c r="E17" s="53" t="s">
        <v>100</v>
      </c>
      <c r="F17" s="26">
        <v>13</v>
      </c>
      <c r="G17" s="15">
        <v>3</v>
      </c>
      <c r="H17" s="3">
        <v>8</v>
      </c>
      <c r="I17" s="25">
        <v>85</v>
      </c>
      <c r="J17" s="33">
        <v>2</v>
      </c>
      <c r="K17" s="22">
        <v>20</v>
      </c>
      <c r="L17" s="22">
        <v>11</v>
      </c>
      <c r="M17" s="34">
        <v>76</v>
      </c>
      <c r="N17" s="26">
        <v>16</v>
      </c>
      <c r="O17" s="3">
        <f>IFERROR(VLOOKUP(N17,'Puntos XCC Mayor'!$A$1:$B$15,2,FALSE),0)</f>
        <v>0</v>
      </c>
      <c r="P17" s="3">
        <v>6</v>
      </c>
      <c r="Q17" s="34">
        <f>IFERROR(VLOOKUP(P17,'Puntos XCO'!$A$1:$B$63,2,FALSE),0)</f>
        <v>95</v>
      </c>
      <c r="R17" s="16">
        <v>4</v>
      </c>
      <c r="S17" s="15">
        <f>IFERROR(VLOOKUP(R17,'Puntos XCC Mayor'!$A$1:$B$15,2,FALSE),0)</f>
        <v>14</v>
      </c>
      <c r="T17" s="15">
        <v>4</v>
      </c>
      <c r="U17" s="25">
        <f>IFERROR(VLOOKUP(T17,'Puntos XCO'!$A$1:$B$63,2,FALSE),0)</f>
        <v>110</v>
      </c>
      <c r="V17" s="16">
        <f>IFERROR(VLOOKUP(C17,RESXCC_1,9,FALSE),0)</f>
        <v>6</v>
      </c>
      <c r="W17" s="15">
        <f>IFERROR(VLOOKUP(V17,'Puntos XCC Mayor'!$A$1:$B$15,2,FALSE),0)</f>
        <v>10</v>
      </c>
      <c r="X17" s="15">
        <f>IFERROR(VLOOKUP(C17,RESXCO,9,FALSE),0)</f>
        <v>12</v>
      </c>
      <c r="Y17" s="25">
        <f>IFERROR(VLOOKUP(X17,'Puntos XCO'!$A$1:$B$63,2,FALSE),0)</f>
        <v>74</v>
      </c>
      <c r="Z17" s="27">
        <f>G17+I17+K17+M17+O17+Q17+S17+U17+W17+Y17</f>
        <v>487</v>
      </c>
      <c r="AB17" s="2"/>
      <c r="AC17" s="13"/>
      <c r="AD17" s="12"/>
      <c r="AE17" s="14"/>
    </row>
    <row r="18" spans="1:31" ht="24.95" customHeight="1">
      <c r="A18" s="3">
        <v>4</v>
      </c>
      <c r="B18" s="3">
        <v>6</v>
      </c>
      <c r="C18" s="113">
        <v>12</v>
      </c>
      <c r="D18" s="23" t="s">
        <v>143</v>
      </c>
      <c r="E18" s="53" t="s">
        <v>175</v>
      </c>
      <c r="F18" s="26">
        <v>6</v>
      </c>
      <c r="G18" s="15">
        <v>10</v>
      </c>
      <c r="H18" s="3">
        <v>10</v>
      </c>
      <c r="I18" s="25">
        <v>78</v>
      </c>
      <c r="J18" s="33">
        <v>1</v>
      </c>
      <c r="K18" s="22">
        <v>25</v>
      </c>
      <c r="L18" s="22">
        <v>6</v>
      </c>
      <c r="M18" s="34">
        <v>95</v>
      </c>
      <c r="N18" s="26"/>
      <c r="O18" s="3">
        <f>IFERROR(VLOOKUP(N18,'Puntos XCC Mayor'!$A$1:$B$15,2,FALSE),0)</f>
        <v>0</v>
      </c>
      <c r="P18" s="3">
        <v>11</v>
      </c>
      <c r="Q18" s="34">
        <f>IFERROR(VLOOKUP(P18,'Puntos XCO'!$A$1:$B$63,2,FALSE),0)</f>
        <v>76</v>
      </c>
      <c r="R18" s="16">
        <v>0</v>
      </c>
      <c r="S18" s="15">
        <f>IFERROR(VLOOKUP(R18,'Puntos XCC Mayor'!$A$1:$B$15,2,FALSE),0)</f>
        <v>0</v>
      </c>
      <c r="T18" s="15">
        <v>7</v>
      </c>
      <c r="U18" s="25">
        <f>IFERROR(VLOOKUP(T18,'Puntos XCO'!$A$1:$B$63,2,FALSE),0)</f>
        <v>90</v>
      </c>
      <c r="V18" s="16">
        <f>IFERROR(VLOOKUP(C18,RESXCC_1,9,FALSE),0)</f>
        <v>4</v>
      </c>
      <c r="W18" s="15">
        <f>IFERROR(VLOOKUP(V18,'Puntos XCC Mayor'!$A$1:$B$15,2,FALSE),0)</f>
        <v>14</v>
      </c>
      <c r="X18" s="15">
        <f>IFERROR(VLOOKUP(C18,RESXCO,9,FALSE),0)</f>
        <v>6</v>
      </c>
      <c r="Y18" s="25">
        <f>IFERROR(VLOOKUP(X18,'Puntos XCO'!$A$1:$B$63,2,FALSE),0)</f>
        <v>95</v>
      </c>
      <c r="Z18" s="27">
        <f>G18+I18+K18+M18+O18+Q18+S18+U18+W18+Y18</f>
        <v>483</v>
      </c>
      <c r="AB18" s="2"/>
      <c r="AC18" s="13"/>
      <c r="AD18" s="12"/>
      <c r="AE18" s="14"/>
    </row>
    <row r="19" spans="1:31" ht="24.95" customHeight="1">
      <c r="A19" s="3">
        <v>5</v>
      </c>
      <c r="B19" s="3">
        <v>7</v>
      </c>
      <c r="C19" s="113">
        <v>25</v>
      </c>
      <c r="D19" s="23" t="s">
        <v>173</v>
      </c>
      <c r="E19" s="53" t="s">
        <v>114</v>
      </c>
      <c r="F19" s="26">
        <v>4</v>
      </c>
      <c r="G19" s="15">
        <v>14</v>
      </c>
      <c r="H19" s="3">
        <v>3</v>
      </c>
      <c r="I19" s="25">
        <v>120</v>
      </c>
      <c r="J19" s="33">
        <v>5</v>
      </c>
      <c r="K19" s="22">
        <v>12</v>
      </c>
      <c r="L19" s="22">
        <v>5</v>
      </c>
      <c r="M19" s="34">
        <v>100</v>
      </c>
      <c r="N19" s="26">
        <v>14</v>
      </c>
      <c r="O19" s="3">
        <f>IFERROR(VLOOKUP(N19,'Puntos XCC Mayor'!$A$1:$B$15,2,FALSE),0)</f>
        <v>2</v>
      </c>
      <c r="P19" s="3">
        <v>4</v>
      </c>
      <c r="Q19" s="34">
        <f>IFERROR(VLOOKUP(P19,'Puntos XCO'!$A$1:$B$63,2,FALSE),0)</f>
        <v>110</v>
      </c>
      <c r="R19" s="16">
        <v>5</v>
      </c>
      <c r="S19" s="15">
        <f>IFERROR(VLOOKUP(R19,'Puntos XCC Mayor'!$A$1:$B$15,2,FALSE),0)</f>
        <v>12</v>
      </c>
      <c r="T19" s="15">
        <v>0</v>
      </c>
      <c r="U19" s="25">
        <f>IFERROR(VLOOKUP(T19,'Puntos XCO'!$A$1:$B$63,2,FALSE),0)</f>
        <v>0</v>
      </c>
      <c r="V19" s="16">
        <f>IFERROR(VLOOKUP(C19,RESXCC_1,9,FALSE),0)</f>
        <v>5</v>
      </c>
      <c r="W19" s="15">
        <f>IFERROR(VLOOKUP(V19,'Puntos XCC Mayor'!$A$1:$B$15,2,FALSE),0)</f>
        <v>12</v>
      </c>
      <c r="X19" s="15">
        <f>IFERROR(VLOOKUP(C19,RESXCO,9,FALSE),0)</f>
        <v>5</v>
      </c>
      <c r="Y19" s="25">
        <f>IFERROR(VLOOKUP(X19,'Puntos XCO'!$A$1:$B$63,2,FALSE),0)</f>
        <v>100</v>
      </c>
      <c r="Z19" s="27">
        <f>G19+I19+K19+M19+O19+Q19+S19+U19+W19+Y19</f>
        <v>482</v>
      </c>
      <c r="AB19" s="2"/>
      <c r="AC19" s="13"/>
      <c r="AD19" s="12"/>
      <c r="AE19" s="14"/>
    </row>
    <row r="20" spans="1:31" ht="24.95" customHeight="1">
      <c r="A20" s="3">
        <v>6</v>
      </c>
      <c r="B20" s="3">
        <v>3</v>
      </c>
      <c r="C20" s="113">
        <v>4</v>
      </c>
      <c r="D20" s="23" t="s">
        <v>990</v>
      </c>
      <c r="E20" s="53" t="s">
        <v>175</v>
      </c>
      <c r="F20" s="26"/>
      <c r="G20" s="15"/>
      <c r="H20" s="3"/>
      <c r="I20" s="25"/>
      <c r="J20" s="33">
        <v>1</v>
      </c>
      <c r="K20" s="22">
        <v>25</v>
      </c>
      <c r="L20" s="22">
        <v>1</v>
      </c>
      <c r="M20" s="34">
        <v>200</v>
      </c>
      <c r="N20" s="26">
        <v>4</v>
      </c>
      <c r="O20" s="3">
        <f>IFERROR(VLOOKUP(N20,'Puntos XCC Mayor'!$A$1:$B$15,2,FALSE),0)</f>
        <v>14</v>
      </c>
      <c r="P20" s="3"/>
      <c r="Q20" s="34">
        <f>IFERROR(VLOOKUP(P20,'Puntos XCO'!$A$1:$B$63,2,FALSE),0)</f>
        <v>0</v>
      </c>
      <c r="R20" s="16">
        <v>1</v>
      </c>
      <c r="S20" s="15">
        <f>IFERROR(VLOOKUP(R20,'Puntos XCC Mayor'!$A$1:$B$15,2,FALSE),0)</f>
        <v>25</v>
      </c>
      <c r="T20" s="15">
        <v>2</v>
      </c>
      <c r="U20" s="25">
        <f>IFERROR(VLOOKUP(T20,'Puntos XCO'!$A$1:$B$63,2,FALSE),0)</f>
        <v>150</v>
      </c>
      <c r="V20" s="16">
        <f>IFERROR(VLOOKUP(C20,RESXCC_1,9,FALSE),0)</f>
        <v>0</v>
      </c>
      <c r="W20" s="15">
        <f>IFERROR(VLOOKUP(V20,'Puntos XCC Mayor'!$A$1:$B$15,2,FALSE),0)</f>
        <v>0</v>
      </c>
      <c r="X20" s="15">
        <f>IFERROR(VLOOKUP(C20,RESXCO,9,FALSE),0)</f>
        <v>0</v>
      </c>
      <c r="Y20" s="25">
        <f>IFERROR(VLOOKUP(X20,'Puntos XCO'!$A$1:$B$63,2,FALSE),0)</f>
        <v>0</v>
      </c>
      <c r="Z20" s="27">
        <f>G20+I20+K20+M20+O20+Q20+S20+U20+W20+Y20</f>
        <v>414</v>
      </c>
      <c r="AB20" s="2"/>
      <c r="AC20" s="13"/>
      <c r="AD20" s="12"/>
      <c r="AE20" s="14"/>
    </row>
    <row r="21" spans="1:31" ht="24.95" customHeight="1">
      <c r="A21" s="3">
        <v>7</v>
      </c>
      <c r="B21" s="3">
        <v>5</v>
      </c>
      <c r="C21" s="113">
        <v>9</v>
      </c>
      <c r="D21" s="23" t="s">
        <v>111</v>
      </c>
      <c r="E21" s="53" t="s">
        <v>994</v>
      </c>
      <c r="F21" s="26">
        <v>5</v>
      </c>
      <c r="G21" s="15">
        <v>12</v>
      </c>
      <c r="H21" s="3">
        <v>2</v>
      </c>
      <c r="I21" s="25">
        <v>150</v>
      </c>
      <c r="J21" s="33">
        <v>4</v>
      </c>
      <c r="K21" s="22">
        <v>14</v>
      </c>
      <c r="L21" s="22">
        <v>4</v>
      </c>
      <c r="M21" s="34">
        <v>110</v>
      </c>
      <c r="N21" s="26">
        <v>6</v>
      </c>
      <c r="O21" s="3">
        <f>IFERROR(VLOOKUP(N21,'Puntos XCC Mayor'!$A$1:$B$15,2,FALSE),0)</f>
        <v>10</v>
      </c>
      <c r="P21" s="3">
        <v>6</v>
      </c>
      <c r="Q21" s="34">
        <f>IFERROR(VLOOKUP(P21,'Puntos XCO'!$A$1:$B$63,2,FALSE),0)</f>
        <v>95</v>
      </c>
      <c r="R21" s="16">
        <v>0</v>
      </c>
      <c r="S21" s="15">
        <f>IFERROR(VLOOKUP(R21,'Puntos XCC Mayor'!$A$1:$B$15,2,FALSE),0)</f>
        <v>0</v>
      </c>
      <c r="T21" s="15">
        <v>0</v>
      </c>
      <c r="U21" s="25">
        <f>IFERROR(VLOOKUP(T21,'Puntos XCO'!$A$1:$B$63,2,FALSE),0)</f>
        <v>0</v>
      </c>
      <c r="V21" s="16">
        <f>IFERROR(VLOOKUP(C21,RESXCC_1,9,FALSE),0)</f>
        <v>0</v>
      </c>
      <c r="W21" s="15">
        <f>IFERROR(VLOOKUP(V21,'Puntos XCC Mayor'!$A$1:$B$15,2,FALSE),0)</f>
        <v>0</v>
      </c>
      <c r="X21" s="15">
        <f>IFERROR(VLOOKUP(C21,RESXCO,9,FALSE),0)</f>
        <v>0</v>
      </c>
      <c r="Y21" s="25">
        <f>IFERROR(VLOOKUP(X21,'Puntos XCO'!$A$1:$B$63,2,FALSE),0)</f>
        <v>0</v>
      </c>
      <c r="Z21" s="27">
        <f>G21+I21+K21+M21+O21+Q21+S21+U21+W21+Y21</f>
        <v>391</v>
      </c>
      <c r="AB21" s="2"/>
      <c r="AC21" s="13"/>
      <c r="AD21" s="12"/>
      <c r="AE21" s="14"/>
    </row>
    <row r="22" spans="1:31" ht="24.95" customHeight="1">
      <c r="A22" s="3">
        <v>8</v>
      </c>
      <c r="B22" s="3">
        <v>20</v>
      </c>
      <c r="C22" s="113">
        <v>13</v>
      </c>
      <c r="D22" s="23" t="s">
        <v>997</v>
      </c>
      <c r="E22" s="53" t="s">
        <v>998</v>
      </c>
      <c r="F22" s="26"/>
      <c r="G22" s="15"/>
      <c r="H22" s="3"/>
      <c r="I22" s="25"/>
      <c r="J22" s="33"/>
      <c r="K22" s="22"/>
      <c r="L22" s="22"/>
      <c r="M22" s="34"/>
      <c r="N22" s="26">
        <v>5</v>
      </c>
      <c r="O22" s="3">
        <f>IFERROR(VLOOKUP(N22,'Puntos XCC Mayor'!$A$1:$B$15,2,FALSE),0)</f>
        <v>12</v>
      </c>
      <c r="P22" s="3"/>
      <c r="Q22" s="34">
        <f>IFERROR(VLOOKUP(P22,'Puntos XCO'!$A$1:$B$63,2,FALSE),0)</f>
        <v>0</v>
      </c>
      <c r="R22" s="16">
        <v>3</v>
      </c>
      <c r="S22" s="15">
        <f>IFERROR(VLOOKUP(R22,'Puntos XCC Mayor'!$A$1:$B$15,2,FALSE),0)</f>
        <v>16</v>
      </c>
      <c r="T22" s="15">
        <v>3</v>
      </c>
      <c r="U22" s="25">
        <f>IFERROR(VLOOKUP(T22,'Puntos XCO'!$A$1:$B$63,2,FALSE),0)</f>
        <v>120</v>
      </c>
      <c r="V22" s="16">
        <f>IFERROR(VLOOKUP(C22,RESXCC_1,9,FALSE),0)</f>
        <v>1</v>
      </c>
      <c r="W22" s="15">
        <f>IFERROR(VLOOKUP(V22,'Puntos XCC Mayor'!$A$1:$B$15,2,FALSE),0)</f>
        <v>25</v>
      </c>
      <c r="X22" s="15">
        <f>IFERROR(VLOOKUP(C22,RESXCO,9,FALSE),0)</f>
        <v>1</v>
      </c>
      <c r="Y22" s="25">
        <f>IFERROR(VLOOKUP(X22,'Puntos XCO'!$A$1:$B$63,2,FALSE),0)</f>
        <v>200</v>
      </c>
      <c r="Z22" s="27">
        <f>G22+I22+K22+M22+O22+Q22+S22+U22+W22+Y22</f>
        <v>373</v>
      </c>
      <c r="AB22" s="2"/>
      <c r="AC22" s="13"/>
      <c r="AD22" s="12"/>
      <c r="AE22" s="14"/>
    </row>
    <row r="23" spans="1:31" ht="24.95" customHeight="1">
      <c r="A23" s="3">
        <v>9</v>
      </c>
      <c r="B23" s="3">
        <v>8</v>
      </c>
      <c r="C23" s="113">
        <v>10</v>
      </c>
      <c r="D23" s="23" t="s">
        <v>174</v>
      </c>
      <c r="E23" s="53" t="s">
        <v>115</v>
      </c>
      <c r="F23" s="26">
        <v>14</v>
      </c>
      <c r="G23" s="15">
        <v>2</v>
      </c>
      <c r="H23" s="3">
        <v>6</v>
      </c>
      <c r="I23" s="25">
        <v>95</v>
      </c>
      <c r="J23" s="33">
        <v>0</v>
      </c>
      <c r="K23" s="22" t="s">
        <v>866</v>
      </c>
      <c r="L23" s="22">
        <v>10</v>
      </c>
      <c r="M23" s="34">
        <v>78</v>
      </c>
      <c r="N23" s="26">
        <v>25</v>
      </c>
      <c r="O23" s="3">
        <f>IFERROR(VLOOKUP(N23,'Puntos XCC Mayor'!$A$1:$B$15,2,FALSE),0)</f>
        <v>0</v>
      </c>
      <c r="P23" s="3">
        <v>10</v>
      </c>
      <c r="Q23" s="34">
        <f>IFERROR(VLOOKUP(P23,'Puntos XCO'!$A$1:$B$63,2,FALSE),0)</f>
        <v>78</v>
      </c>
      <c r="R23" s="16">
        <v>7</v>
      </c>
      <c r="S23" s="15">
        <f>IFERROR(VLOOKUP(R23,'Puntos XCC Mayor'!$A$1:$B$15,2,FALSE),0)</f>
        <v>9</v>
      </c>
      <c r="T23" s="15">
        <v>6</v>
      </c>
      <c r="U23" s="25">
        <f>IFERROR(VLOOKUP(T23,'Puntos XCO'!$A$1:$B$63,2,FALSE),0)</f>
        <v>95</v>
      </c>
      <c r="V23" s="16">
        <f>IFERROR(VLOOKUP(C23,RESXCC_1,9,FALSE),0)</f>
        <v>0</v>
      </c>
      <c r="W23" s="15">
        <f>IFERROR(VLOOKUP(V23,'Puntos XCC Mayor'!$A$1:$B$15,2,FALSE),0)</f>
        <v>0</v>
      </c>
      <c r="X23" s="15">
        <f>IFERROR(VLOOKUP(C23,RESXCO,9,FALSE),0)</f>
        <v>0</v>
      </c>
      <c r="Y23" s="25">
        <f>IFERROR(VLOOKUP(X23,'Puntos XCO'!$A$1:$B$63,2,FALSE),0)</f>
        <v>0</v>
      </c>
      <c r="Z23" s="27">
        <f>G23+I23+K23+M23+O23+Q23+S23+U23+W23+Y23</f>
        <v>357</v>
      </c>
      <c r="AB23" s="2"/>
      <c r="AC23" s="13"/>
      <c r="AD23" s="12"/>
      <c r="AE23" s="14"/>
    </row>
    <row r="24" spans="1:31" ht="24.95" customHeight="1">
      <c r="A24" s="3">
        <v>10</v>
      </c>
      <c r="B24" s="3">
        <v>9</v>
      </c>
      <c r="C24" s="113">
        <v>26</v>
      </c>
      <c r="D24" s="23" t="s">
        <v>1005</v>
      </c>
      <c r="E24" s="53" t="s">
        <v>114</v>
      </c>
      <c r="F24" s="26"/>
      <c r="G24" s="15"/>
      <c r="H24" s="3"/>
      <c r="I24" s="25"/>
      <c r="J24" s="33">
        <v>11</v>
      </c>
      <c r="K24" s="22">
        <v>5</v>
      </c>
      <c r="L24" s="22">
        <v>9</v>
      </c>
      <c r="M24" s="34">
        <v>80</v>
      </c>
      <c r="N24" s="26">
        <v>21</v>
      </c>
      <c r="O24" s="3">
        <f>IFERROR(VLOOKUP(N24,'Puntos XCC Mayor'!$A$1:$B$15,2,FALSE),0)</f>
        <v>0</v>
      </c>
      <c r="P24" s="3">
        <v>10</v>
      </c>
      <c r="Q24" s="34">
        <f>IFERROR(VLOOKUP(P24,'Puntos XCO'!$A$1:$B$63,2,FALSE),0)</f>
        <v>78</v>
      </c>
      <c r="R24" s="16">
        <v>9</v>
      </c>
      <c r="S24" s="15">
        <f>IFERROR(VLOOKUP(R24,'Puntos XCC Mayor'!$A$1:$B$15,2,FALSE),0)</f>
        <v>7</v>
      </c>
      <c r="T24" s="15">
        <v>8</v>
      </c>
      <c r="U24" s="25">
        <f>IFERROR(VLOOKUP(T24,'Puntos XCO'!$A$1:$B$63,2,FALSE),0)</f>
        <v>85</v>
      </c>
      <c r="V24" s="16">
        <f>IFERROR(VLOOKUP(C24,RESXCC_1,9,FALSE),0)</f>
        <v>12</v>
      </c>
      <c r="W24" s="15">
        <f>IFERROR(VLOOKUP(V24,'Puntos XCC Mayor'!$A$1:$B$15,2,FALSE),0)</f>
        <v>4</v>
      </c>
      <c r="X24" s="15">
        <f>IFERROR(VLOOKUP(C24,RESXCO,9,FALSE),0)</f>
        <v>7</v>
      </c>
      <c r="Y24" s="25">
        <f>IFERROR(VLOOKUP(X24,'Puntos XCO'!$A$1:$B$63,2,FALSE),0)</f>
        <v>90</v>
      </c>
      <c r="Z24" s="27">
        <f>G24+I24+K24+M24+O24+Q24+S24+U24+W24+Y24</f>
        <v>349</v>
      </c>
      <c r="AB24" s="2"/>
      <c r="AC24" s="13"/>
      <c r="AD24" s="12"/>
      <c r="AE24" s="14"/>
    </row>
    <row r="25" spans="1:31" ht="24.95" customHeight="1">
      <c r="A25" s="3">
        <v>11</v>
      </c>
      <c r="B25" s="3">
        <v>10</v>
      </c>
      <c r="C25" s="113">
        <v>29</v>
      </c>
      <c r="D25" s="23" t="s">
        <v>1006</v>
      </c>
      <c r="E25" s="53" t="s">
        <v>100</v>
      </c>
      <c r="F25" s="26">
        <v>7</v>
      </c>
      <c r="G25" s="15">
        <v>9</v>
      </c>
      <c r="H25" s="3">
        <v>12</v>
      </c>
      <c r="I25" s="25">
        <v>74</v>
      </c>
      <c r="J25" s="33">
        <v>10</v>
      </c>
      <c r="K25" s="22">
        <v>6</v>
      </c>
      <c r="L25" s="22">
        <v>12</v>
      </c>
      <c r="M25" s="34">
        <v>74</v>
      </c>
      <c r="N25" s="26">
        <v>23</v>
      </c>
      <c r="O25" s="3">
        <f>IFERROR(VLOOKUP(N25,'Puntos XCC Mayor'!$A$1:$B$15,2,FALSE),0)</f>
        <v>0</v>
      </c>
      <c r="P25" s="3">
        <v>11</v>
      </c>
      <c r="Q25" s="34">
        <f>IFERROR(VLOOKUP(P25,'Puntos XCO'!$A$1:$B$63,2,FALSE),0)</f>
        <v>76</v>
      </c>
      <c r="R25" s="16">
        <v>8</v>
      </c>
      <c r="S25" s="15">
        <f>IFERROR(VLOOKUP(R25,'Puntos XCC Mayor'!$A$1:$B$15,2,FALSE),0)</f>
        <v>8</v>
      </c>
      <c r="T25" s="15">
        <v>0</v>
      </c>
      <c r="U25" s="25">
        <f>IFERROR(VLOOKUP(T25,'Puntos XCO'!$A$1:$B$63,2,FALSE),0)</f>
        <v>0</v>
      </c>
      <c r="V25" s="16">
        <f>IFERROR(VLOOKUP(C25,RESXCC_1,9,FALSE),0)</f>
        <v>7</v>
      </c>
      <c r="W25" s="15">
        <f>IFERROR(VLOOKUP(V25,'Puntos XCC Mayor'!$A$1:$B$15,2,FALSE),0)</f>
        <v>9</v>
      </c>
      <c r="X25" s="15">
        <f>IFERROR(VLOOKUP(C25,RESXCO,9,FALSE),0)</f>
        <v>13</v>
      </c>
      <c r="Y25" s="25">
        <f>IFERROR(VLOOKUP(X25,'Puntos XCO'!$A$1:$B$63,2,FALSE),0)</f>
        <v>72</v>
      </c>
      <c r="Z25" s="27">
        <f>G25+I25+K25+M25+O25+Q25+S25+U25+W25+Y25</f>
        <v>328</v>
      </c>
      <c r="AB25" s="2"/>
      <c r="AC25" s="13"/>
      <c r="AD25" s="12"/>
      <c r="AE25" s="14"/>
    </row>
    <row r="26" spans="1:31" ht="24.95" customHeight="1">
      <c r="A26" s="3">
        <v>12</v>
      </c>
      <c r="B26" s="3">
        <v>12</v>
      </c>
      <c r="C26" s="113">
        <v>37</v>
      </c>
      <c r="D26" s="23" t="s">
        <v>192</v>
      </c>
      <c r="E26" s="53" t="s">
        <v>577</v>
      </c>
      <c r="F26" s="26">
        <v>15</v>
      </c>
      <c r="G26" s="15">
        <v>1</v>
      </c>
      <c r="H26" s="3">
        <v>14</v>
      </c>
      <c r="I26" s="25">
        <v>70</v>
      </c>
      <c r="J26" s="33">
        <v>13</v>
      </c>
      <c r="K26" s="22">
        <v>3</v>
      </c>
      <c r="L26" s="22">
        <v>17</v>
      </c>
      <c r="M26" s="34">
        <v>64</v>
      </c>
      <c r="N26" s="26"/>
      <c r="O26" s="3">
        <f>IFERROR(VLOOKUP(N26,'Puntos XCC Mayor'!$A$1:$B$15,2,FALSE),0)</f>
        <v>0</v>
      </c>
      <c r="P26" s="3"/>
      <c r="Q26" s="34">
        <f>IFERROR(VLOOKUP(P26,'Puntos XCO'!$A$1:$B$63,2,FALSE),0)</f>
        <v>0</v>
      </c>
      <c r="R26" s="16">
        <v>10</v>
      </c>
      <c r="S26" s="15">
        <f>IFERROR(VLOOKUP(R26,'Puntos XCC Mayor'!$A$1:$B$15,2,FALSE),0)</f>
        <v>6</v>
      </c>
      <c r="T26" s="15">
        <v>9</v>
      </c>
      <c r="U26" s="25">
        <f>IFERROR(VLOOKUP(T26,'Puntos XCO'!$A$1:$B$63,2,FALSE),0)</f>
        <v>80</v>
      </c>
      <c r="V26" s="16">
        <f>IFERROR(VLOOKUP(C26,RESXCC_1,9,FALSE),0)</f>
        <v>8</v>
      </c>
      <c r="W26" s="15">
        <f>IFERROR(VLOOKUP(V26,'Puntos XCC Mayor'!$A$1:$B$15,2,FALSE),0)</f>
        <v>8</v>
      </c>
      <c r="X26" s="15">
        <f>IFERROR(VLOOKUP(C26,RESXCO,9,FALSE),0)</f>
        <v>14</v>
      </c>
      <c r="Y26" s="25">
        <f>IFERROR(VLOOKUP(X26,'Puntos XCO'!$A$1:$B$63,2,FALSE),0)</f>
        <v>70</v>
      </c>
      <c r="Z26" s="27">
        <f>G26+I26+K26+M26+O26+Q26+S26+U26+W26+Y26</f>
        <v>302</v>
      </c>
      <c r="AB26" s="2"/>
      <c r="AC26" s="13"/>
      <c r="AD26" s="12"/>
      <c r="AE26" s="14"/>
    </row>
    <row r="27" spans="1:31" ht="24.95" customHeight="1">
      <c r="A27" s="3">
        <v>13</v>
      </c>
      <c r="B27" s="3">
        <v>21</v>
      </c>
      <c r="C27" s="113">
        <v>23</v>
      </c>
      <c r="D27" s="23" t="s">
        <v>171</v>
      </c>
      <c r="E27" s="53" t="s">
        <v>100</v>
      </c>
      <c r="F27" s="26">
        <v>1</v>
      </c>
      <c r="G27" s="15">
        <v>25</v>
      </c>
      <c r="H27" s="3">
        <v>5</v>
      </c>
      <c r="I27" s="25">
        <v>100</v>
      </c>
      <c r="J27" s="33">
        <v>3</v>
      </c>
      <c r="K27" s="22">
        <v>16</v>
      </c>
      <c r="L27" s="22">
        <v>0</v>
      </c>
      <c r="M27" s="34">
        <v>0</v>
      </c>
      <c r="N27" s="26">
        <v>11</v>
      </c>
      <c r="O27" s="3">
        <f>IFERROR(VLOOKUP(N27,'Puntos XCC Mayor'!$A$1:$B$15,2,FALSE),0)</f>
        <v>5</v>
      </c>
      <c r="P27" s="3"/>
      <c r="Q27" s="34">
        <f>IFERROR(VLOOKUP(P27,'Puntos XCO'!$A$1:$B$63,2,FALSE),0)</f>
        <v>0</v>
      </c>
      <c r="R27" s="16">
        <v>0</v>
      </c>
      <c r="S27" s="15">
        <f>IFERROR(VLOOKUP(R27,'Puntos XCC Mayor'!$A$1:$B$15,2,FALSE),0)</f>
        <v>0</v>
      </c>
      <c r="T27" s="15">
        <v>0</v>
      </c>
      <c r="U27" s="25">
        <f>IFERROR(VLOOKUP(T27,'Puntos XCO'!$A$1:$B$63,2,FALSE),0)</f>
        <v>0</v>
      </c>
      <c r="V27" s="16">
        <f>IFERROR(VLOOKUP(C27,RESXCC_1,9,FALSE),0)</f>
        <v>3</v>
      </c>
      <c r="W27" s="15">
        <f>IFERROR(VLOOKUP(V27,'Puntos XCC Mayor'!$A$1:$B$15,2,FALSE),0)</f>
        <v>16</v>
      </c>
      <c r="X27" s="15">
        <f>IFERROR(VLOOKUP(C27,RESXCO,9,FALSE),0)</f>
        <v>4</v>
      </c>
      <c r="Y27" s="25">
        <f>IFERROR(VLOOKUP(X27,'Puntos XCO'!$A$1:$B$63,2,FALSE),0)</f>
        <v>110</v>
      </c>
      <c r="Z27" s="27">
        <f>G27+I27+K27+M27+O27+Q27+S27+U27+W27+Y27</f>
        <v>272</v>
      </c>
      <c r="AB27" s="2"/>
      <c r="AC27" s="13"/>
      <c r="AD27" s="12"/>
      <c r="AE27" s="14"/>
    </row>
    <row r="28" spans="1:31" ht="24.95" customHeight="1">
      <c r="A28" s="3">
        <v>14</v>
      </c>
      <c r="B28" s="3">
        <v>16</v>
      </c>
      <c r="C28" s="113">
        <v>30</v>
      </c>
      <c r="D28" s="23" t="s">
        <v>176</v>
      </c>
      <c r="E28" s="53" t="s">
        <v>85</v>
      </c>
      <c r="F28" s="26">
        <v>9</v>
      </c>
      <c r="G28" s="15">
        <v>7</v>
      </c>
      <c r="H28" s="3">
        <v>11</v>
      </c>
      <c r="I28" s="25">
        <v>76</v>
      </c>
      <c r="J28" s="33">
        <v>0</v>
      </c>
      <c r="K28" s="22" t="s">
        <v>866</v>
      </c>
      <c r="L28" s="22">
        <v>13</v>
      </c>
      <c r="M28" s="34">
        <v>72</v>
      </c>
      <c r="N28" s="26">
        <v>18</v>
      </c>
      <c r="O28" s="3">
        <f>IFERROR(VLOOKUP(N28,'Puntos XCC Mayor'!$A$1:$B$15,2,FALSE),0)</f>
        <v>0</v>
      </c>
      <c r="P28" s="3"/>
      <c r="Q28" s="34">
        <f>IFERROR(VLOOKUP(P28,'Puntos XCO'!$A$1:$B$63,2,FALSE),0)</f>
        <v>0</v>
      </c>
      <c r="R28" s="16">
        <v>11</v>
      </c>
      <c r="S28" s="15">
        <f>IFERROR(VLOOKUP(R28,'Puntos XCC Mayor'!$A$1:$B$15,2,FALSE),0)</f>
        <v>5</v>
      </c>
      <c r="T28" s="15">
        <v>0</v>
      </c>
      <c r="U28" s="25">
        <f>IFERROR(VLOOKUP(T28,'Puntos XCO'!$A$1:$B$63,2,FALSE),0)</f>
        <v>0</v>
      </c>
      <c r="V28" s="16">
        <f>IFERROR(VLOOKUP(C28,RESXCC_1,9,FALSE),0)</f>
        <v>13</v>
      </c>
      <c r="W28" s="15">
        <f>IFERROR(VLOOKUP(V28,'Puntos XCC Mayor'!$A$1:$B$15,2,FALSE),0)</f>
        <v>3</v>
      </c>
      <c r="X28" s="15">
        <f>IFERROR(VLOOKUP(C28,RESXCO,9,FALSE),0)</f>
        <v>9</v>
      </c>
      <c r="Y28" s="25">
        <f>IFERROR(VLOOKUP(X28,'Puntos XCO'!$A$1:$B$63,2,FALSE),0)</f>
        <v>80</v>
      </c>
      <c r="Z28" s="27">
        <f>G28+I28+K28+M28+O28+Q28+S28+U28+W28+Y28</f>
        <v>243</v>
      </c>
      <c r="AB28" s="3"/>
      <c r="AE28" s="29"/>
    </row>
    <row r="29" spans="1:31" ht="24.95" customHeight="1">
      <c r="A29" s="3">
        <v>15</v>
      </c>
      <c r="B29" s="3">
        <v>11</v>
      </c>
      <c r="C29" s="113">
        <v>1</v>
      </c>
      <c r="D29" s="23" t="s">
        <v>984</v>
      </c>
      <c r="E29" s="53" t="s">
        <v>985</v>
      </c>
      <c r="F29" s="26"/>
      <c r="G29" s="15"/>
      <c r="H29" s="3"/>
      <c r="I29" s="25"/>
      <c r="J29" s="33"/>
      <c r="K29" s="22"/>
      <c r="L29" s="22"/>
      <c r="M29" s="34"/>
      <c r="N29" s="26">
        <v>1</v>
      </c>
      <c r="O29" s="3">
        <f>IFERROR(VLOOKUP(N29,'Puntos XCC Mayor'!$A$1:$B$15,2,FALSE),0)</f>
        <v>25</v>
      </c>
      <c r="P29" s="3">
        <v>1</v>
      </c>
      <c r="Q29" s="34">
        <f>IFERROR(VLOOKUP(P29,'Puntos XCO'!$A$1:$B$63,2,FALSE),0)</f>
        <v>200</v>
      </c>
      <c r="R29" s="16">
        <v>0</v>
      </c>
      <c r="S29" s="15">
        <f>IFERROR(VLOOKUP(R29,'Puntos XCC Mayor'!$A$1:$B$15,2,FALSE),0)</f>
        <v>0</v>
      </c>
      <c r="T29" s="15">
        <v>0</v>
      </c>
      <c r="U29" s="25">
        <f>IFERROR(VLOOKUP(T29,'Puntos XCO'!$A$1:$B$63,2,FALSE),0)</f>
        <v>0</v>
      </c>
      <c r="V29" s="16">
        <f>IFERROR(VLOOKUP(C29,RESXCC_1,9,FALSE),0)</f>
        <v>0</v>
      </c>
      <c r="W29" s="15">
        <f>IFERROR(VLOOKUP(V29,'Puntos XCC Mayor'!$A$1:$B$15,2,FALSE),0)</f>
        <v>0</v>
      </c>
      <c r="X29" s="15">
        <f>IFERROR(VLOOKUP(C29,RESXCO,9,FALSE),0)</f>
        <v>0</v>
      </c>
      <c r="Y29" s="25">
        <f>IFERROR(VLOOKUP(X29,'Puntos XCO'!$A$1:$B$63,2,FALSE),0)</f>
        <v>0</v>
      </c>
      <c r="Z29" s="27">
        <f>G29+I29+K29+M29+O29+Q29+S29+U29+W29+Y29</f>
        <v>225</v>
      </c>
      <c r="AB29" s="3"/>
    </row>
    <row r="30" spans="1:31" ht="24.95" customHeight="1">
      <c r="A30" s="3">
        <v>16</v>
      </c>
      <c r="B30" s="3">
        <v>27</v>
      </c>
      <c r="C30" s="113">
        <v>7</v>
      </c>
      <c r="D30" s="23" t="s">
        <v>993</v>
      </c>
      <c r="E30" s="53" t="s">
        <v>114</v>
      </c>
      <c r="F30" s="26"/>
      <c r="G30" s="15"/>
      <c r="H30" s="3"/>
      <c r="I30" s="25"/>
      <c r="J30" s="33"/>
      <c r="K30" s="22"/>
      <c r="L30" s="22"/>
      <c r="M30" s="34"/>
      <c r="N30" s="26"/>
      <c r="O30" s="3">
        <f>IFERROR(VLOOKUP(N30,'Puntos XCC Mayor'!$A$1:$B$15,2,FALSE),0)</f>
        <v>0</v>
      </c>
      <c r="P30" s="3">
        <v>7</v>
      </c>
      <c r="Q30" s="34">
        <f>IFERROR(VLOOKUP(P30,'Puntos XCO'!$A$1:$B$63,2,FALSE),0)</f>
        <v>90</v>
      </c>
      <c r="R30" s="16">
        <v>0</v>
      </c>
      <c r="S30" s="15">
        <f>IFERROR(VLOOKUP(R30,'Puntos XCC Mayor'!$A$1:$B$15,2,FALSE),0)</f>
        <v>0</v>
      </c>
      <c r="T30" s="15">
        <v>0</v>
      </c>
      <c r="U30" s="25">
        <f>IFERROR(VLOOKUP(T30,'Puntos XCO'!$A$1:$B$63,2,FALSE),0)</f>
        <v>0</v>
      </c>
      <c r="V30" s="16">
        <f>IFERROR(VLOOKUP(C30,RESXCC_1,9,FALSE),0)</f>
        <v>0</v>
      </c>
      <c r="W30" s="15">
        <f>IFERROR(VLOOKUP(V30,'Puntos XCC Mayor'!$A$1:$B$15,2,FALSE),0)</f>
        <v>0</v>
      </c>
      <c r="X30" s="15">
        <f>IFERROR(VLOOKUP(C30,RESXCO,9,FALSE),0)</f>
        <v>3</v>
      </c>
      <c r="Y30" s="25">
        <f>IFERROR(VLOOKUP(X30,'Puntos XCO'!$A$1:$B$63,2,FALSE),0)</f>
        <v>120</v>
      </c>
      <c r="Z30" s="27">
        <f>G30+I30+K30+M30+O30+Q30+S30+U30+W30+Y30</f>
        <v>210</v>
      </c>
      <c r="AB30" s="3"/>
    </row>
    <row r="31" spans="1:31" ht="24.95" customHeight="1">
      <c r="A31" s="3">
        <v>17</v>
      </c>
      <c r="B31" s="3">
        <v>13</v>
      </c>
      <c r="C31" s="113">
        <v>22</v>
      </c>
      <c r="D31" s="23" t="s">
        <v>1001</v>
      </c>
      <c r="E31" s="53" t="s">
        <v>1002</v>
      </c>
      <c r="F31" s="26"/>
      <c r="G31" s="15"/>
      <c r="H31" s="3"/>
      <c r="I31" s="25"/>
      <c r="J31" s="33"/>
      <c r="K31" s="22"/>
      <c r="L31" s="22"/>
      <c r="M31" s="34"/>
      <c r="N31" s="26">
        <v>8</v>
      </c>
      <c r="O31" s="3">
        <f>IFERROR(VLOOKUP(N31,'Puntos XCC Mayor'!$A$1:$B$15,2,FALSE),0)</f>
        <v>8</v>
      </c>
      <c r="P31" s="3">
        <v>1</v>
      </c>
      <c r="Q31" s="34">
        <f>IFERROR(VLOOKUP(P31,'Puntos XCO'!$A$1:$B$63,2,FALSE),0)</f>
        <v>200</v>
      </c>
      <c r="R31" s="16">
        <v>0</v>
      </c>
      <c r="S31" s="15">
        <f>IFERROR(VLOOKUP(R31,'Puntos XCC Mayor'!$A$1:$B$15,2,FALSE),0)</f>
        <v>0</v>
      </c>
      <c r="T31" s="15">
        <v>0</v>
      </c>
      <c r="U31" s="25">
        <f>IFERROR(VLOOKUP(T31,'Puntos XCO'!$A$1:$B$63,2,FALSE),0)</f>
        <v>0</v>
      </c>
      <c r="V31" s="16">
        <f>IFERROR(VLOOKUP(C31,RESXCC_1,9,FALSE),0)</f>
        <v>0</v>
      </c>
      <c r="W31" s="15">
        <f>IFERROR(VLOOKUP(V31,'Puntos XCC Mayor'!$A$1:$B$15,2,FALSE),0)</f>
        <v>0</v>
      </c>
      <c r="X31" s="15">
        <f>IFERROR(VLOOKUP(C31,RESXCO,9,FALSE),0)</f>
        <v>0</v>
      </c>
      <c r="Y31" s="25">
        <f>IFERROR(VLOOKUP(X31,'Puntos XCO'!$A$1:$B$63,2,FALSE),0)</f>
        <v>0</v>
      </c>
      <c r="Z31" s="27">
        <f>G31+I31+K31+M31+O31+Q31+S31+U31+W31+Y31</f>
        <v>208</v>
      </c>
      <c r="AB31" s="3"/>
    </row>
    <row r="32" spans="1:31" ht="24.95" customHeight="1">
      <c r="A32" s="3">
        <v>18</v>
      </c>
      <c r="B32" s="3">
        <v>14</v>
      </c>
      <c r="C32" s="113"/>
      <c r="D32" s="23" t="s">
        <v>586</v>
      </c>
      <c r="E32" s="53" t="s">
        <v>128</v>
      </c>
      <c r="F32" s="26">
        <v>12</v>
      </c>
      <c r="G32" s="15">
        <v>4</v>
      </c>
      <c r="H32" s="3">
        <v>7</v>
      </c>
      <c r="I32" s="25">
        <v>90</v>
      </c>
      <c r="J32" s="33">
        <v>3</v>
      </c>
      <c r="K32" s="22">
        <v>16</v>
      </c>
      <c r="L32" s="22">
        <v>15</v>
      </c>
      <c r="M32" s="34">
        <v>68</v>
      </c>
      <c r="N32" s="26"/>
      <c r="O32" s="3">
        <f>IFERROR(VLOOKUP(N32,'Puntos XCC Mayor'!$A$1:$B$15,2,FALSE),0)</f>
        <v>0</v>
      </c>
      <c r="P32" s="3"/>
      <c r="Q32" s="34">
        <f>IFERROR(VLOOKUP(P32,'Puntos XCO'!$A$1:$B$63,2,FALSE),0)</f>
        <v>0</v>
      </c>
      <c r="R32" s="16">
        <v>0</v>
      </c>
      <c r="S32" s="15">
        <f>IFERROR(VLOOKUP(R32,'Puntos XCC Mayor'!$A$1:$B$15,2,FALSE),0)</f>
        <v>0</v>
      </c>
      <c r="T32" s="15">
        <v>0</v>
      </c>
      <c r="U32" s="25">
        <f>IFERROR(VLOOKUP(T32,'Puntos XCO'!$A$1:$B$63,2,FALSE),0)</f>
        <v>0</v>
      </c>
      <c r="V32" s="16">
        <f>IFERROR(VLOOKUP(C32,RESXCC_1,9,FALSE),0)</f>
        <v>0</v>
      </c>
      <c r="W32" s="15">
        <f>IFERROR(VLOOKUP(V32,'Puntos XCC Mayor'!$A$1:$B$15,2,FALSE),0)</f>
        <v>0</v>
      </c>
      <c r="X32" s="15">
        <f>IFERROR(VLOOKUP(C32,RESXCO,9,FALSE),0)</f>
        <v>0</v>
      </c>
      <c r="Y32" s="25">
        <f>IFERROR(VLOOKUP(X32,'Puntos XCO'!$A$1:$B$63,2,FALSE),0)</f>
        <v>0</v>
      </c>
      <c r="Z32" s="27">
        <f>G32+I32+K32+M32+O32+Q32+S32+U32+W32+Y32</f>
        <v>178</v>
      </c>
      <c r="AB32" s="3"/>
    </row>
    <row r="33" spans="1:28" ht="24.95" customHeight="1">
      <c r="A33" s="3">
        <v>19</v>
      </c>
      <c r="B33" s="3">
        <v>15</v>
      </c>
      <c r="C33" s="113">
        <v>8</v>
      </c>
      <c r="D33" s="23" t="s">
        <v>569</v>
      </c>
      <c r="E33" s="53" t="s">
        <v>868</v>
      </c>
      <c r="F33" s="26"/>
      <c r="G33" s="15"/>
      <c r="H33" s="3"/>
      <c r="I33" s="25"/>
      <c r="J33" s="33">
        <v>0</v>
      </c>
      <c r="K33" s="22" t="s">
        <v>866</v>
      </c>
      <c r="L33" s="22">
        <v>8</v>
      </c>
      <c r="M33" s="34">
        <v>85</v>
      </c>
      <c r="N33" s="26">
        <v>22</v>
      </c>
      <c r="O33" s="3">
        <f>IFERROR(VLOOKUP(N33,'Puntos XCC Mayor'!$A$1:$B$15,2,FALSE),0)</f>
        <v>0</v>
      </c>
      <c r="P33" s="3">
        <v>8</v>
      </c>
      <c r="Q33" s="34">
        <f>IFERROR(VLOOKUP(P33,'Puntos XCO'!$A$1:$B$63,2,FALSE),0)</f>
        <v>85</v>
      </c>
      <c r="R33" s="16">
        <v>0</v>
      </c>
      <c r="S33" s="15">
        <f>IFERROR(VLOOKUP(R33,'Puntos XCC Mayor'!$A$1:$B$15,2,FALSE),0)</f>
        <v>0</v>
      </c>
      <c r="T33" s="15">
        <v>0</v>
      </c>
      <c r="U33" s="25">
        <f>IFERROR(VLOOKUP(T33,'Puntos XCO'!$A$1:$B$63,2,FALSE),0)</f>
        <v>0</v>
      </c>
      <c r="V33" s="16">
        <f>IFERROR(VLOOKUP(C33,RESXCC_1,9,FALSE),0)</f>
        <v>0</v>
      </c>
      <c r="W33" s="15">
        <f>IFERROR(VLOOKUP(V33,'Puntos XCC Mayor'!$A$1:$B$15,2,FALSE),0)</f>
        <v>0</v>
      </c>
      <c r="X33" s="15">
        <f>IFERROR(VLOOKUP(C33,RESXCO,9,FALSE),0)</f>
        <v>0</v>
      </c>
      <c r="Y33" s="25">
        <f>IFERROR(VLOOKUP(X33,'Puntos XCO'!$A$1:$B$63,2,FALSE),0)</f>
        <v>0</v>
      </c>
      <c r="Z33" s="27">
        <f>G33+I33+K33+M33+O33+Q33+S33+U33+W33+Y33</f>
        <v>170</v>
      </c>
      <c r="AB33" s="3"/>
    </row>
    <row r="34" spans="1:28" ht="24.95" customHeight="1">
      <c r="A34" s="3">
        <v>20</v>
      </c>
      <c r="B34" s="3">
        <v>34</v>
      </c>
      <c r="C34" s="113">
        <v>35</v>
      </c>
      <c r="D34" s="23" t="s">
        <v>1011</v>
      </c>
      <c r="E34" s="53" t="s">
        <v>114</v>
      </c>
      <c r="F34" s="26"/>
      <c r="G34" s="15"/>
      <c r="H34" s="3"/>
      <c r="I34" s="25"/>
      <c r="J34" s="33"/>
      <c r="K34" s="22"/>
      <c r="L34" s="22"/>
      <c r="M34" s="34"/>
      <c r="N34" s="26">
        <v>24</v>
      </c>
      <c r="O34" s="3">
        <f>IFERROR(VLOOKUP(N34,'Puntos XCC Mayor'!$A$1:$B$15,2,FALSE),0)</f>
        <v>0</v>
      </c>
      <c r="P34" s="3"/>
      <c r="Q34" s="34">
        <f>IFERROR(VLOOKUP(P34,'Puntos XCO'!$A$1:$B$63,2,FALSE),0)</f>
        <v>0</v>
      </c>
      <c r="R34" s="16">
        <v>0</v>
      </c>
      <c r="S34" s="15">
        <f>IFERROR(VLOOKUP(R34,'Puntos XCC Mayor'!$A$1:$B$15,2,FALSE),0)</f>
        <v>0</v>
      </c>
      <c r="T34" s="15">
        <v>10</v>
      </c>
      <c r="U34" s="25">
        <f>IFERROR(VLOOKUP(T34,'Puntos XCO'!$A$1:$B$63,2,FALSE),0)</f>
        <v>78</v>
      </c>
      <c r="V34" s="16">
        <f>IFERROR(VLOOKUP(C34,RESXCC_1,9,FALSE),0)</f>
        <v>9</v>
      </c>
      <c r="W34" s="15">
        <f>IFERROR(VLOOKUP(V34,'Puntos XCC Mayor'!$A$1:$B$15,2,FALSE),0)</f>
        <v>7</v>
      </c>
      <c r="X34" s="15">
        <f>IFERROR(VLOOKUP(C34,RESXCO,9,FALSE),0)</f>
        <v>10</v>
      </c>
      <c r="Y34" s="25">
        <f>IFERROR(VLOOKUP(X34,'Puntos XCO'!$A$1:$B$63,2,FALSE),0)</f>
        <v>78</v>
      </c>
      <c r="Z34" s="27">
        <f>G34+I34+K34+M34+O34+Q34+S34+U34+W34+Y34</f>
        <v>163</v>
      </c>
      <c r="AB34" s="3"/>
    </row>
    <row r="35" spans="1:28" ht="24.95" customHeight="1">
      <c r="A35" s="3">
        <v>21</v>
      </c>
      <c r="B35" s="3">
        <v>17</v>
      </c>
      <c r="C35" s="113">
        <v>21</v>
      </c>
      <c r="D35" s="23" t="s">
        <v>999</v>
      </c>
      <c r="E35" s="53" t="s">
        <v>1000</v>
      </c>
      <c r="F35" s="26"/>
      <c r="G35" s="15"/>
      <c r="H35" s="3"/>
      <c r="I35" s="25"/>
      <c r="J35" s="33"/>
      <c r="K35" s="22"/>
      <c r="L35" s="22"/>
      <c r="M35" s="34"/>
      <c r="N35" s="26">
        <v>10</v>
      </c>
      <c r="O35" s="3">
        <f>IFERROR(VLOOKUP(N35,'Puntos XCC Mayor'!$A$1:$B$15,2,FALSE),0)</f>
        <v>6</v>
      </c>
      <c r="P35" s="3">
        <v>2</v>
      </c>
      <c r="Q35" s="34">
        <f>IFERROR(VLOOKUP(P35,'Puntos XCO'!$A$1:$B$63,2,FALSE),0)</f>
        <v>150</v>
      </c>
      <c r="R35" s="16">
        <v>0</v>
      </c>
      <c r="S35" s="15">
        <f>IFERROR(VLOOKUP(R35,'Puntos XCC Mayor'!$A$1:$B$15,2,FALSE),0)</f>
        <v>0</v>
      </c>
      <c r="T35" s="15">
        <v>0</v>
      </c>
      <c r="U35" s="25">
        <f>IFERROR(VLOOKUP(T35,'Puntos XCO'!$A$1:$B$63,2,FALSE),0)</f>
        <v>0</v>
      </c>
      <c r="V35" s="16">
        <f>IFERROR(VLOOKUP(C35,RESXCC_1,9,FALSE),0)</f>
        <v>0</v>
      </c>
      <c r="W35" s="15">
        <f>IFERROR(VLOOKUP(V35,'Puntos XCC Mayor'!$A$1:$B$15,2,FALSE),0)</f>
        <v>0</v>
      </c>
      <c r="X35" s="15">
        <f>IFERROR(VLOOKUP(C35,RESXCO,9,FALSE),0)</f>
        <v>0</v>
      </c>
      <c r="Y35" s="25">
        <f>IFERROR(VLOOKUP(X35,'Puntos XCO'!$A$1:$B$63,2,FALSE),0)</f>
        <v>0</v>
      </c>
      <c r="Z35" s="27">
        <f>G35+I35+K35+M35+O35+Q35+S35+U35+W35+Y35</f>
        <v>156</v>
      </c>
      <c r="AB35" s="3"/>
    </row>
    <row r="36" spans="1:28" ht="24.95" customHeight="1">
      <c r="A36" s="3">
        <v>22</v>
      </c>
      <c r="B36" s="3">
        <v>18</v>
      </c>
      <c r="C36" s="113">
        <v>2</v>
      </c>
      <c r="D36" s="23" t="s">
        <v>987</v>
      </c>
      <c r="E36" s="53" t="s">
        <v>906</v>
      </c>
      <c r="F36" s="26"/>
      <c r="G36" s="15"/>
      <c r="H36" s="3"/>
      <c r="I36" s="25"/>
      <c r="J36" s="33"/>
      <c r="K36" s="22"/>
      <c r="L36" s="22"/>
      <c r="M36" s="34"/>
      <c r="N36" s="26"/>
      <c r="O36" s="3">
        <f>IFERROR(VLOOKUP(N36,'Puntos XCC Mayor'!$A$1:$B$15,2,FALSE),0)</f>
        <v>0</v>
      </c>
      <c r="P36" s="3">
        <v>2</v>
      </c>
      <c r="Q36" s="34">
        <f>IFERROR(VLOOKUP(P36,'Puntos XCO'!$A$1:$B$63,2,FALSE),0)</f>
        <v>150</v>
      </c>
      <c r="R36" s="16">
        <v>0</v>
      </c>
      <c r="S36" s="15">
        <f>IFERROR(VLOOKUP(R36,'Puntos XCC Mayor'!$A$1:$B$15,2,FALSE),0)</f>
        <v>0</v>
      </c>
      <c r="T36" s="15">
        <v>0</v>
      </c>
      <c r="U36" s="25">
        <f>IFERROR(VLOOKUP(T36,'Puntos XCO'!$A$1:$B$63,2,FALSE),0)</f>
        <v>0</v>
      </c>
      <c r="V36" s="16">
        <f>IFERROR(VLOOKUP(C36,RESXCC_1,9,FALSE),0)</f>
        <v>0</v>
      </c>
      <c r="W36" s="15">
        <f>IFERROR(VLOOKUP(V36,'Puntos XCC Mayor'!$A$1:$B$15,2,FALSE),0)</f>
        <v>0</v>
      </c>
      <c r="X36" s="15">
        <f>IFERROR(VLOOKUP(C36,RESXCO,9,FALSE),0)</f>
        <v>0</v>
      </c>
      <c r="Y36" s="25">
        <f>IFERROR(VLOOKUP(X36,'Puntos XCO'!$A$1:$B$63,2,FALSE),0)</f>
        <v>0</v>
      </c>
      <c r="Z36" s="27">
        <f>G36+I36+K36+M36+O36+Q36+S36+U36+W36+Y36</f>
        <v>150</v>
      </c>
      <c r="AB36" s="3"/>
    </row>
    <row r="37" spans="1:28" ht="24.95" customHeight="1">
      <c r="A37" s="3">
        <v>23</v>
      </c>
      <c r="B37" s="3">
        <v>19</v>
      </c>
      <c r="C37" s="113">
        <v>6</v>
      </c>
      <c r="D37" s="23" t="s">
        <v>992</v>
      </c>
      <c r="E37" s="53" t="s">
        <v>114</v>
      </c>
      <c r="F37" s="26"/>
      <c r="G37" s="15"/>
      <c r="H37" s="3"/>
      <c r="I37" s="25"/>
      <c r="J37" s="33">
        <v>0</v>
      </c>
      <c r="K37" s="22" t="s">
        <v>866</v>
      </c>
      <c r="L37" s="22">
        <v>2</v>
      </c>
      <c r="M37" s="34">
        <v>150</v>
      </c>
      <c r="N37" s="26"/>
      <c r="O37" s="3">
        <f>IFERROR(VLOOKUP(N37,'Puntos XCC Mayor'!$A$1:$B$15,2,FALSE),0)</f>
        <v>0</v>
      </c>
      <c r="P37" s="3"/>
      <c r="Q37" s="34">
        <f>IFERROR(VLOOKUP(P37,'Puntos XCO'!$A$1:$B$63,2,FALSE),0)</f>
        <v>0</v>
      </c>
      <c r="R37" s="16">
        <v>0</v>
      </c>
      <c r="S37" s="15">
        <f>IFERROR(VLOOKUP(R37,'Puntos XCC Mayor'!$A$1:$B$15,2,FALSE),0)</f>
        <v>0</v>
      </c>
      <c r="T37" s="15">
        <v>0</v>
      </c>
      <c r="U37" s="25">
        <f>IFERROR(VLOOKUP(T37,'Puntos XCO'!$A$1:$B$63,2,FALSE),0)</f>
        <v>0</v>
      </c>
      <c r="V37" s="16">
        <f>IFERROR(VLOOKUP(C37,RESXCC_1,9,FALSE),0)</f>
        <v>0</v>
      </c>
      <c r="W37" s="15">
        <f>IFERROR(VLOOKUP(V37,'Puntos XCC Mayor'!$A$1:$B$15,2,FALSE),0)</f>
        <v>0</v>
      </c>
      <c r="X37" s="15">
        <f>IFERROR(VLOOKUP(C37,RESXCO,9,FALSE),0)</f>
        <v>0</v>
      </c>
      <c r="Y37" s="25">
        <f>IFERROR(VLOOKUP(X37,'Puntos XCO'!$A$1:$B$63,2,FALSE),0)</f>
        <v>0</v>
      </c>
      <c r="Z37" s="27">
        <f>G37+I37+K37+M37+O37+Q37+S37+U37+W37+Y37</f>
        <v>150</v>
      </c>
      <c r="AB37" s="3"/>
    </row>
    <row r="38" spans="1:28" ht="24.95" customHeight="1">
      <c r="A38" s="3">
        <v>24</v>
      </c>
      <c r="B38" s="3">
        <v>22</v>
      </c>
      <c r="C38" s="113">
        <v>32</v>
      </c>
      <c r="D38" s="23" t="s">
        <v>182</v>
      </c>
      <c r="E38" s="53" t="s">
        <v>1008</v>
      </c>
      <c r="F38" s="26">
        <v>16</v>
      </c>
      <c r="G38" s="15">
        <v>0</v>
      </c>
      <c r="H38" s="3">
        <v>16</v>
      </c>
      <c r="I38" s="25">
        <v>66</v>
      </c>
      <c r="J38" s="33">
        <v>0</v>
      </c>
      <c r="K38" s="22" t="s">
        <v>866</v>
      </c>
      <c r="L38" s="22">
        <v>0</v>
      </c>
      <c r="M38" s="34">
        <v>0</v>
      </c>
      <c r="N38" s="26">
        <v>27</v>
      </c>
      <c r="O38" s="3">
        <f>IFERROR(VLOOKUP(N38,'Puntos XCC Mayor'!$A$1:$B$15,2,FALSE),0)</f>
        <v>0</v>
      </c>
      <c r="P38" s="3">
        <v>12</v>
      </c>
      <c r="Q38" s="34">
        <f>IFERROR(VLOOKUP(P38,'Puntos XCO'!$A$1:$B$63,2,FALSE),0)</f>
        <v>74</v>
      </c>
      <c r="R38" s="16">
        <v>0</v>
      </c>
      <c r="S38" s="15">
        <f>IFERROR(VLOOKUP(R38,'Puntos XCC Mayor'!$A$1:$B$15,2,FALSE),0)</f>
        <v>0</v>
      </c>
      <c r="T38" s="15">
        <v>0</v>
      </c>
      <c r="U38" s="25">
        <f>IFERROR(VLOOKUP(T38,'Puntos XCO'!$A$1:$B$63,2,FALSE),0)</f>
        <v>0</v>
      </c>
      <c r="V38" s="16">
        <f>IFERROR(VLOOKUP(C38,RESXCC_1,9,FALSE),0)</f>
        <v>0</v>
      </c>
      <c r="W38" s="15">
        <f>IFERROR(VLOOKUP(V38,'Puntos XCC Mayor'!$A$1:$B$15,2,FALSE),0)</f>
        <v>0</v>
      </c>
      <c r="X38" s="15">
        <f>IFERROR(VLOOKUP(C38,RESXCO,9,FALSE),0)</f>
        <v>0</v>
      </c>
      <c r="Y38" s="25">
        <f>IFERROR(VLOOKUP(X38,'Puntos XCO'!$A$1:$B$63,2,FALSE),0)</f>
        <v>0</v>
      </c>
      <c r="Z38" s="27">
        <f>G38+I38+K38+M38+O38+Q38+S38+U38+W38+Y38</f>
        <v>140</v>
      </c>
      <c r="AB38" s="3"/>
    </row>
    <row r="39" spans="1:28" ht="24.95" customHeight="1">
      <c r="A39" s="3">
        <v>25</v>
      </c>
      <c r="B39" s="3">
        <v>23</v>
      </c>
      <c r="C39" s="113">
        <v>5</v>
      </c>
      <c r="D39" s="23" t="s">
        <v>991</v>
      </c>
      <c r="E39" s="53" t="s">
        <v>906</v>
      </c>
      <c r="F39" s="26"/>
      <c r="G39" s="15"/>
      <c r="H39" s="3"/>
      <c r="I39" s="25"/>
      <c r="J39" s="33"/>
      <c r="K39" s="22"/>
      <c r="L39" s="22"/>
      <c r="M39" s="34"/>
      <c r="N39" s="26">
        <v>3</v>
      </c>
      <c r="O39" s="3">
        <f>IFERROR(VLOOKUP(N39,'Puntos XCC Mayor'!$A$1:$B$15,2,FALSE),0)</f>
        <v>16</v>
      </c>
      <c r="P39" s="3">
        <v>3</v>
      </c>
      <c r="Q39" s="34">
        <f>IFERROR(VLOOKUP(P39,'Puntos XCO'!$A$1:$B$63,2,FALSE),0)</f>
        <v>120</v>
      </c>
      <c r="R39" s="16">
        <v>0</v>
      </c>
      <c r="S39" s="15">
        <f>IFERROR(VLOOKUP(R39,'Puntos XCC Mayor'!$A$1:$B$15,2,FALSE),0)</f>
        <v>0</v>
      </c>
      <c r="T39" s="15">
        <v>0</v>
      </c>
      <c r="U39" s="25">
        <f>IFERROR(VLOOKUP(T39,'Puntos XCO'!$A$1:$B$63,2,FALSE),0)</f>
        <v>0</v>
      </c>
      <c r="V39" s="16">
        <f>IFERROR(VLOOKUP(C39,RESXCC_1,9,FALSE),0)</f>
        <v>0</v>
      </c>
      <c r="W39" s="15">
        <f>IFERROR(VLOOKUP(V39,'Puntos XCC Mayor'!$A$1:$B$15,2,FALSE),0)</f>
        <v>0</v>
      </c>
      <c r="X39" s="15">
        <f>IFERROR(VLOOKUP(C39,RESXCO,9,FALSE),0)</f>
        <v>0</v>
      </c>
      <c r="Y39" s="25">
        <f>IFERROR(VLOOKUP(X39,'Puntos XCO'!$A$1:$B$63,2,FALSE),0)</f>
        <v>0</v>
      </c>
      <c r="Z39" s="27">
        <f>G39+I39+K39+M39+O39+Q39+S39+U39+W39+Y39</f>
        <v>136</v>
      </c>
      <c r="AB39" s="3"/>
    </row>
    <row r="40" spans="1:28" ht="24.95" customHeight="1">
      <c r="A40" s="3">
        <v>26</v>
      </c>
      <c r="B40" s="3">
        <v>24</v>
      </c>
      <c r="C40" s="113">
        <v>14</v>
      </c>
      <c r="D40" s="23" t="s">
        <v>988</v>
      </c>
      <c r="E40" s="53" t="s">
        <v>989</v>
      </c>
      <c r="F40" s="26"/>
      <c r="G40" s="15"/>
      <c r="H40" s="3"/>
      <c r="I40" s="25"/>
      <c r="J40" s="33"/>
      <c r="K40" s="22"/>
      <c r="L40" s="22"/>
      <c r="M40" s="34"/>
      <c r="N40" s="26">
        <v>2</v>
      </c>
      <c r="O40" s="3">
        <f>IFERROR(VLOOKUP(N40,'Puntos XCC Mayor'!$A$1:$B$15,2,FALSE),0)</f>
        <v>20</v>
      </c>
      <c r="P40" s="3">
        <v>4</v>
      </c>
      <c r="Q40" s="34">
        <f>IFERROR(VLOOKUP(P40,'Puntos XCO'!$A$1:$B$63,2,FALSE),0)</f>
        <v>110</v>
      </c>
      <c r="R40" s="16">
        <v>0</v>
      </c>
      <c r="S40" s="15">
        <f>IFERROR(VLOOKUP(R40,'Puntos XCC Mayor'!$A$1:$B$15,2,FALSE),0)</f>
        <v>0</v>
      </c>
      <c r="T40" s="15">
        <v>0</v>
      </c>
      <c r="U40" s="25">
        <f>IFERROR(VLOOKUP(T40,'Puntos XCO'!$A$1:$B$63,2,FALSE),0)</f>
        <v>0</v>
      </c>
      <c r="V40" s="16">
        <f>IFERROR(VLOOKUP(C40,RESXCC_1,9,FALSE),0)</f>
        <v>0</v>
      </c>
      <c r="W40" s="15">
        <f>IFERROR(VLOOKUP(V40,'Puntos XCC Mayor'!$A$1:$B$15,2,FALSE),0)</f>
        <v>0</v>
      </c>
      <c r="X40" s="15">
        <f>IFERROR(VLOOKUP(C40,RESXCO,9,FALSE),0)</f>
        <v>0</v>
      </c>
      <c r="Y40" s="25">
        <f>IFERROR(VLOOKUP(X40,'Puntos XCO'!$A$1:$B$63,2,FALSE),0)</f>
        <v>0</v>
      </c>
      <c r="Z40" s="27">
        <f>G40+I40+K40+M40+O40+Q40+S40+U40+W40+Y40</f>
        <v>130</v>
      </c>
      <c r="AB40" s="3"/>
    </row>
    <row r="41" spans="1:28" ht="24.95" customHeight="1">
      <c r="A41" s="3">
        <v>27</v>
      </c>
      <c r="B41" s="3">
        <v>25</v>
      </c>
      <c r="C41" s="113">
        <v>31</v>
      </c>
      <c r="D41" s="23" t="s">
        <v>1007</v>
      </c>
      <c r="E41" s="53" t="s">
        <v>71</v>
      </c>
      <c r="F41" s="26">
        <v>17</v>
      </c>
      <c r="G41" s="15">
        <v>0</v>
      </c>
      <c r="H41" s="3">
        <v>17</v>
      </c>
      <c r="I41" s="25">
        <v>64</v>
      </c>
      <c r="J41" s="33">
        <v>16</v>
      </c>
      <c r="K41" s="22" t="s">
        <v>866</v>
      </c>
      <c r="L41" s="22">
        <v>19</v>
      </c>
      <c r="M41" s="34">
        <v>60</v>
      </c>
      <c r="N41" s="26">
        <v>26</v>
      </c>
      <c r="O41" s="3">
        <f>IFERROR(VLOOKUP(N41,'Puntos XCC Mayor'!$A$1:$B$15,2,FALSE),0)</f>
        <v>0</v>
      </c>
      <c r="P41" s="3"/>
      <c r="Q41" s="34">
        <f>IFERROR(VLOOKUP(P41,'Puntos XCO'!$A$1:$B$63,2,FALSE),0)</f>
        <v>0</v>
      </c>
      <c r="R41" s="16">
        <v>0</v>
      </c>
      <c r="S41" s="15">
        <f>IFERROR(VLOOKUP(R41,'Puntos XCC Mayor'!$A$1:$B$15,2,FALSE),0)</f>
        <v>0</v>
      </c>
      <c r="T41" s="15">
        <v>0</v>
      </c>
      <c r="U41" s="25">
        <f>IFERROR(VLOOKUP(T41,'Puntos XCO'!$A$1:$B$63,2,FALSE),0)</f>
        <v>0</v>
      </c>
      <c r="V41" s="16">
        <f>IFERROR(VLOOKUP(C41,RESXCC_1,9,FALSE),0)</f>
        <v>0</v>
      </c>
      <c r="W41" s="15">
        <f>IFERROR(VLOOKUP(V41,'Puntos XCC Mayor'!$A$1:$B$15,2,FALSE),0)</f>
        <v>0</v>
      </c>
      <c r="X41" s="15">
        <f>IFERROR(VLOOKUP(C41,RESXCO,9,FALSE),0)</f>
        <v>0</v>
      </c>
      <c r="Y41" s="25">
        <f>IFERROR(VLOOKUP(X41,'Puntos XCO'!$A$1:$B$63,2,FALSE),0)</f>
        <v>0</v>
      </c>
      <c r="Z41" s="27">
        <f>G41+I41+K41+M41+O41+Q41+S41+U41+W41+Y41</f>
        <v>124</v>
      </c>
      <c r="AB41" s="3"/>
    </row>
    <row r="42" spans="1:28" ht="24.95" customHeight="1">
      <c r="A42" s="3">
        <v>28</v>
      </c>
      <c r="B42" s="3">
        <v>26</v>
      </c>
      <c r="C42" s="113">
        <v>33</v>
      </c>
      <c r="D42" s="23" t="s">
        <v>1009</v>
      </c>
      <c r="E42" s="53" t="s">
        <v>1004</v>
      </c>
      <c r="F42" s="26"/>
      <c r="G42" s="15"/>
      <c r="H42" s="3"/>
      <c r="I42" s="25"/>
      <c r="J42" s="33"/>
      <c r="K42" s="22"/>
      <c r="L42" s="22"/>
      <c r="M42" s="34"/>
      <c r="N42" s="26"/>
      <c r="O42" s="3">
        <f>IFERROR(VLOOKUP(N42,'Puntos XCC Mayor'!$A$1:$B$15,2,FALSE),0)</f>
        <v>0</v>
      </c>
      <c r="P42" s="3">
        <v>5</v>
      </c>
      <c r="Q42" s="34">
        <f>IFERROR(VLOOKUP(P42,'Puntos XCO'!$A$1:$B$63,2,FALSE),0)</f>
        <v>100</v>
      </c>
      <c r="R42" s="16">
        <v>0</v>
      </c>
      <c r="S42" s="15">
        <f>IFERROR(VLOOKUP(R42,'Puntos XCC Mayor'!$A$1:$B$15,2,FALSE),0)</f>
        <v>0</v>
      </c>
      <c r="T42" s="15">
        <v>0</v>
      </c>
      <c r="U42" s="25">
        <f>IFERROR(VLOOKUP(T42,'Puntos XCO'!$A$1:$B$63,2,FALSE),0)</f>
        <v>0</v>
      </c>
      <c r="V42" s="16">
        <f>IFERROR(VLOOKUP(C42,RESXCC_1,9,FALSE),0)</f>
        <v>0</v>
      </c>
      <c r="W42" s="15">
        <f>IFERROR(VLOOKUP(V42,'Puntos XCC Mayor'!$A$1:$B$15,2,FALSE),0)</f>
        <v>0</v>
      </c>
      <c r="X42" s="15">
        <f>IFERROR(VLOOKUP(C42,RESXCO,9,FALSE),0)</f>
        <v>0</v>
      </c>
      <c r="Y42" s="25">
        <f>IFERROR(VLOOKUP(X42,'Puntos XCO'!$A$1:$B$63,2,FALSE),0)</f>
        <v>0</v>
      </c>
      <c r="Z42" s="27">
        <f>G42+I42+K42+M42+O42+Q42+S42+U42+W42+Y42</f>
        <v>100</v>
      </c>
      <c r="AB42" s="3"/>
    </row>
    <row r="43" spans="1:28" ht="24.95" customHeight="1">
      <c r="A43" s="3">
        <v>29</v>
      </c>
      <c r="B43" s="3">
        <v>28</v>
      </c>
      <c r="C43" s="113">
        <v>34</v>
      </c>
      <c r="D43" s="23" t="s">
        <v>1010</v>
      </c>
      <c r="E43" s="53" t="s">
        <v>932</v>
      </c>
      <c r="F43" s="26"/>
      <c r="G43" s="15"/>
      <c r="H43" s="3"/>
      <c r="I43" s="25"/>
      <c r="J43" s="33"/>
      <c r="K43" s="22"/>
      <c r="L43" s="22"/>
      <c r="M43" s="34"/>
      <c r="N43" s="26">
        <v>20</v>
      </c>
      <c r="O43" s="3">
        <f>IFERROR(VLOOKUP(N43,'Puntos XCC Mayor'!$A$1:$B$15,2,FALSE),0)</f>
        <v>0</v>
      </c>
      <c r="P43" s="3">
        <v>7</v>
      </c>
      <c r="Q43" s="34">
        <f>IFERROR(VLOOKUP(P43,'Puntos XCO'!$A$1:$B$63,2,FALSE),0)</f>
        <v>90</v>
      </c>
      <c r="R43" s="16">
        <v>0</v>
      </c>
      <c r="S43" s="15">
        <f>IFERROR(VLOOKUP(R43,'Puntos XCC Mayor'!$A$1:$B$15,2,FALSE),0)</f>
        <v>0</v>
      </c>
      <c r="T43" s="15">
        <v>0</v>
      </c>
      <c r="U43" s="25">
        <f>IFERROR(VLOOKUP(T43,'Puntos XCO'!$A$1:$B$63,2,FALSE),0)</f>
        <v>0</v>
      </c>
      <c r="V43" s="16">
        <f>IFERROR(VLOOKUP(C43,RESXCC_1,9,FALSE),0)</f>
        <v>0</v>
      </c>
      <c r="W43" s="15">
        <f>IFERROR(VLOOKUP(V43,'Puntos XCC Mayor'!$A$1:$B$15,2,FALSE),0)</f>
        <v>0</v>
      </c>
      <c r="X43" s="15">
        <f>IFERROR(VLOOKUP(C43,RESXCO,9,FALSE),0)</f>
        <v>0</v>
      </c>
      <c r="Y43" s="25">
        <f>IFERROR(VLOOKUP(X43,'Puntos XCO'!$A$1:$B$63,2,FALSE),0)</f>
        <v>0</v>
      </c>
      <c r="Z43" s="27">
        <f>G43+I43+K43+M43+O43+Q43+S43+U43+W43+Y43</f>
        <v>90</v>
      </c>
      <c r="AB43" s="3"/>
    </row>
    <row r="44" spans="1:28" ht="24.95" customHeight="1">
      <c r="A44" s="3">
        <v>30</v>
      </c>
      <c r="B44" s="3">
        <v>29</v>
      </c>
      <c r="C44" s="113">
        <v>24</v>
      </c>
      <c r="D44" s="23" t="s">
        <v>1003</v>
      </c>
      <c r="E44" s="53" t="s">
        <v>1004</v>
      </c>
      <c r="F44" s="26"/>
      <c r="G44" s="15"/>
      <c r="H44" s="3"/>
      <c r="I44" s="25"/>
      <c r="J44" s="33"/>
      <c r="K44" s="22"/>
      <c r="L44" s="22"/>
      <c r="M44" s="34"/>
      <c r="N44" s="26">
        <v>7</v>
      </c>
      <c r="O44" s="3">
        <f>IFERROR(VLOOKUP(N44,'Puntos XCC Mayor'!$A$1:$B$15,2,FALSE),0)</f>
        <v>9</v>
      </c>
      <c r="P44" s="3">
        <v>9</v>
      </c>
      <c r="Q44" s="34">
        <f>IFERROR(VLOOKUP(P44,'Puntos XCO'!$A$1:$B$63,2,FALSE),0)</f>
        <v>80</v>
      </c>
      <c r="R44" s="16">
        <v>0</v>
      </c>
      <c r="S44" s="15">
        <f>IFERROR(VLOOKUP(R44,'Puntos XCC Mayor'!$A$1:$B$15,2,FALSE),0)</f>
        <v>0</v>
      </c>
      <c r="T44" s="15">
        <v>0</v>
      </c>
      <c r="U44" s="25">
        <f>IFERROR(VLOOKUP(T44,'Puntos XCO'!$A$1:$B$63,2,FALSE),0)</f>
        <v>0</v>
      </c>
      <c r="V44" s="16">
        <f>IFERROR(VLOOKUP(C44,RESXCC_1,9,FALSE),0)</f>
        <v>0</v>
      </c>
      <c r="W44" s="15">
        <f>IFERROR(VLOOKUP(V44,'Puntos XCC Mayor'!$A$1:$B$15,2,FALSE),0)</f>
        <v>0</v>
      </c>
      <c r="X44" s="15">
        <f>IFERROR(VLOOKUP(C44,RESXCO,9,FALSE),0)</f>
        <v>0</v>
      </c>
      <c r="Y44" s="25">
        <f>IFERROR(VLOOKUP(X44,'Puntos XCO'!$A$1:$B$63,2,FALSE),0)</f>
        <v>0</v>
      </c>
      <c r="Z44" s="27">
        <f>G44+I44+K44+M44+O44+Q44+S44+U44+W44+Y44</f>
        <v>89</v>
      </c>
      <c r="AB44" s="3"/>
    </row>
    <row r="45" spans="1:28" ht="24.95" customHeight="1">
      <c r="A45" s="3">
        <v>31</v>
      </c>
      <c r="B45" s="3">
        <v>30</v>
      </c>
      <c r="C45" s="113"/>
      <c r="D45" s="23" t="s">
        <v>154</v>
      </c>
      <c r="E45" s="53" t="s">
        <v>178</v>
      </c>
      <c r="F45" s="26">
        <v>3</v>
      </c>
      <c r="G45" s="15">
        <v>16</v>
      </c>
      <c r="H45" s="3">
        <v>13</v>
      </c>
      <c r="I45" s="25">
        <v>72</v>
      </c>
      <c r="J45" s="33">
        <v>0</v>
      </c>
      <c r="K45" s="22" t="s">
        <v>866</v>
      </c>
      <c r="L45" s="22">
        <v>0</v>
      </c>
      <c r="M45" s="34">
        <v>0</v>
      </c>
      <c r="N45" s="26"/>
      <c r="O45" s="3">
        <f>IFERROR(VLOOKUP(N45,'Puntos XCC Mayor'!$A$1:$B$15,2,FALSE),0)</f>
        <v>0</v>
      </c>
      <c r="P45" s="3"/>
      <c r="Q45" s="34">
        <f>IFERROR(VLOOKUP(P45,'Puntos XCO'!$A$1:$B$63,2,FALSE),0)</f>
        <v>0</v>
      </c>
      <c r="R45" s="16">
        <v>0</v>
      </c>
      <c r="S45" s="15">
        <f>IFERROR(VLOOKUP(R45,'Puntos XCC Mayor'!$A$1:$B$15,2,FALSE),0)</f>
        <v>0</v>
      </c>
      <c r="T45" s="15">
        <v>0</v>
      </c>
      <c r="U45" s="25">
        <f>IFERROR(VLOOKUP(T45,'Puntos XCO'!$A$1:$B$63,2,FALSE),0)</f>
        <v>0</v>
      </c>
      <c r="V45" s="16">
        <f>IFERROR(VLOOKUP(C45,RESXCC_1,9,FALSE),0)</f>
        <v>0</v>
      </c>
      <c r="W45" s="15">
        <f>IFERROR(VLOOKUP(V45,'Puntos XCC Mayor'!$A$1:$B$15,2,FALSE),0)</f>
        <v>0</v>
      </c>
      <c r="X45" s="15">
        <f>IFERROR(VLOOKUP(C45,RESXCO,9,FALSE),0)</f>
        <v>0</v>
      </c>
      <c r="Y45" s="25">
        <f>IFERROR(VLOOKUP(X45,'Puntos XCO'!$A$1:$B$63,2,FALSE),0)</f>
        <v>0</v>
      </c>
      <c r="Z45" s="27">
        <f>G45+I45+K45+M45+O45+Q45+S45+U45+W45+Y45</f>
        <v>88</v>
      </c>
      <c r="AB45" s="3"/>
    </row>
    <row r="46" spans="1:28" ht="24.95" customHeight="1">
      <c r="A46" s="3">
        <v>32</v>
      </c>
      <c r="B46" s="3">
        <v>31</v>
      </c>
      <c r="C46" s="113">
        <v>36</v>
      </c>
      <c r="D46" s="23" t="s">
        <v>1012</v>
      </c>
      <c r="E46" s="53" t="s">
        <v>1013</v>
      </c>
      <c r="F46" s="26"/>
      <c r="G46" s="15"/>
      <c r="H46" s="3"/>
      <c r="I46" s="25"/>
      <c r="J46" s="33"/>
      <c r="K46" s="22"/>
      <c r="L46" s="22"/>
      <c r="M46" s="34"/>
      <c r="N46" s="26">
        <v>17</v>
      </c>
      <c r="O46" s="3">
        <f>IFERROR(VLOOKUP(N46,'Puntos XCC Mayor'!$A$1:$B$15,2,FALSE),0)</f>
        <v>0</v>
      </c>
      <c r="P46" s="3">
        <v>8</v>
      </c>
      <c r="Q46" s="34">
        <f>IFERROR(VLOOKUP(P46,'Puntos XCO'!$A$1:$B$63,2,FALSE),0)</f>
        <v>85</v>
      </c>
      <c r="R46" s="16">
        <v>0</v>
      </c>
      <c r="S46" s="15">
        <f>IFERROR(VLOOKUP(R46,'Puntos XCC Mayor'!$A$1:$B$15,2,FALSE),0)</f>
        <v>0</v>
      </c>
      <c r="T46" s="15">
        <v>0</v>
      </c>
      <c r="U46" s="25">
        <f>IFERROR(VLOOKUP(T46,'Puntos XCO'!$A$1:$B$63,2,FALSE),0)</f>
        <v>0</v>
      </c>
      <c r="V46" s="16">
        <f>IFERROR(VLOOKUP(C46,RESXCC_1,9,FALSE),0)</f>
        <v>0</v>
      </c>
      <c r="W46" s="15">
        <f>IFERROR(VLOOKUP(V46,'Puntos XCC Mayor'!$A$1:$B$15,2,FALSE),0)</f>
        <v>0</v>
      </c>
      <c r="X46" s="15">
        <f>IFERROR(VLOOKUP(C46,RESXCO,9,FALSE),0)</f>
        <v>0</v>
      </c>
      <c r="Y46" s="25">
        <f>IFERROR(VLOOKUP(X46,'Puntos XCO'!$A$1:$B$63,2,FALSE),0)</f>
        <v>0</v>
      </c>
      <c r="Z46" s="27">
        <f>G46+I46+K46+M46+O46+Q46+S46+U46+W46+Y46</f>
        <v>85</v>
      </c>
      <c r="AB46" s="3"/>
    </row>
    <row r="47" spans="1:28" ht="24.95" customHeight="1">
      <c r="A47" s="3">
        <v>33</v>
      </c>
      <c r="B47" s="3">
        <v>32</v>
      </c>
      <c r="C47" s="113"/>
      <c r="D47" s="23" t="s">
        <v>179</v>
      </c>
      <c r="E47" s="53" t="s">
        <v>113</v>
      </c>
      <c r="F47" s="26">
        <v>11</v>
      </c>
      <c r="G47" s="15">
        <v>5</v>
      </c>
      <c r="H47" s="3">
        <v>9</v>
      </c>
      <c r="I47" s="25">
        <v>80</v>
      </c>
      <c r="J47" s="33">
        <v>0</v>
      </c>
      <c r="K47" s="22" t="s">
        <v>866</v>
      </c>
      <c r="L47" s="22">
        <v>0</v>
      </c>
      <c r="M47" s="34">
        <v>0</v>
      </c>
      <c r="N47" s="26"/>
      <c r="O47" s="3">
        <f>IFERROR(VLOOKUP(N47,'Puntos XCC Mayor'!$A$1:$B$15,2,FALSE),0)</f>
        <v>0</v>
      </c>
      <c r="P47" s="3"/>
      <c r="Q47" s="34">
        <f>IFERROR(VLOOKUP(P47,'Puntos XCO'!$A$1:$B$63,2,FALSE),0)</f>
        <v>0</v>
      </c>
      <c r="R47" s="16">
        <v>0</v>
      </c>
      <c r="S47" s="15">
        <f>IFERROR(VLOOKUP(R47,'Puntos XCC Mayor'!$A$1:$B$15,2,FALSE),0)</f>
        <v>0</v>
      </c>
      <c r="T47" s="15">
        <v>0</v>
      </c>
      <c r="U47" s="25">
        <f>IFERROR(VLOOKUP(T47,'Puntos XCO'!$A$1:$B$63,2,FALSE),0)</f>
        <v>0</v>
      </c>
      <c r="V47" s="16">
        <f>IFERROR(VLOOKUP(C47,RESXCC_1,9,FALSE),0)</f>
        <v>0</v>
      </c>
      <c r="W47" s="15">
        <f>IFERROR(VLOOKUP(V47,'Puntos XCC Mayor'!$A$1:$B$15,2,FALSE),0)</f>
        <v>0</v>
      </c>
      <c r="X47" s="15">
        <f>IFERROR(VLOOKUP(C47,RESXCO,9,FALSE),0)</f>
        <v>0</v>
      </c>
      <c r="Y47" s="25">
        <f>IFERROR(VLOOKUP(X47,'Puntos XCO'!$A$1:$B$63,2,FALSE),0)</f>
        <v>0</v>
      </c>
      <c r="Z47" s="27">
        <f>G47+I47+K47+M47+O47+Q47+S47+U47+W47+Y47</f>
        <v>85</v>
      </c>
      <c r="AB47" s="3"/>
    </row>
    <row r="48" spans="1:28" ht="24.95" customHeight="1">
      <c r="A48" s="3">
        <v>34</v>
      </c>
      <c r="B48" s="3"/>
      <c r="C48" s="133">
        <v>39</v>
      </c>
      <c r="D48" s="23" t="str">
        <f>VLOOKUP(C48,PLANILLA,2,FALSE)</f>
        <v>ROJAS Juan Diego*</v>
      </c>
      <c r="E48" s="62" t="str">
        <f>VLOOKUP(C48,PLANILLA,4,FALSE)</f>
        <v>MEGAMO MANZATÉ LA SELVA</v>
      </c>
      <c r="F48" s="26"/>
      <c r="G48" s="15"/>
      <c r="H48" s="3"/>
      <c r="I48" s="25"/>
      <c r="J48" s="33"/>
      <c r="K48" s="22"/>
      <c r="L48" s="22"/>
      <c r="M48" s="34"/>
      <c r="N48" s="26"/>
      <c r="O48" s="3"/>
      <c r="P48" s="3"/>
      <c r="Q48" s="34"/>
      <c r="R48" s="16"/>
      <c r="S48" s="15"/>
      <c r="T48" s="15"/>
      <c r="U48" s="25"/>
      <c r="V48" s="16">
        <f>IFERROR(VLOOKUP(C48,RESXCC_1,9,FALSE),0)</f>
        <v>11</v>
      </c>
      <c r="W48" s="15">
        <f>IFERROR(VLOOKUP(V48,'Puntos XCC Mayor'!$A$1:$B$15,2,FALSE),0)</f>
        <v>5</v>
      </c>
      <c r="X48" s="15">
        <f>IFERROR(VLOOKUP(C48,RESXCO,9,FALSE),0)</f>
        <v>11</v>
      </c>
      <c r="Y48" s="25">
        <f>IFERROR(VLOOKUP(X48,'Puntos XCO'!$A$1:$B$63,2,FALSE),0)</f>
        <v>76</v>
      </c>
      <c r="Z48" s="27">
        <f>G48+I48+K48+M48+O48+Q48+S48+U48+W48+Y48</f>
        <v>81</v>
      </c>
      <c r="AB48" s="3"/>
    </row>
    <row r="49" spans="1:28" ht="24.95" customHeight="1">
      <c r="A49" s="3">
        <v>35</v>
      </c>
      <c r="B49" s="3">
        <v>33</v>
      </c>
      <c r="C49" s="113">
        <v>11</v>
      </c>
      <c r="D49" s="23" t="s">
        <v>995</v>
      </c>
      <c r="E49" s="53" t="s">
        <v>996</v>
      </c>
      <c r="F49" s="26"/>
      <c r="G49" s="15"/>
      <c r="H49" s="3"/>
      <c r="I49" s="25"/>
      <c r="J49" s="33"/>
      <c r="K49" s="22"/>
      <c r="L49" s="22"/>
      <c r="M49" s="34"/>
      <c r="N49" s="26">
        <v>19</v>
      </c>
      <c r="O49" s="3">
        <f>IFERROR(VLOOKUP(N49,'Puntos XCC Mayor'!$A$1:$B$15,2,FALSE),0)</f>
        <v>0</v>
      </c>
      <c r="P49" s="3">
        <v>9</v>
      </c>
      <c r="Q49" s="34">
        <f>IFERROR(VLOOKUP(P49,'Puntos XCO'!$A$1:$B$63,2,FALSE),0)</f>
        <v>80</v>
      </c>
      <c r="R49" s="16">
        <v>0</v>
      </c>
      <c r="S49" s="15">
        <f>IFERROR(VLOOKUP(R49,'Puntos XCC Mayor'!$A$1:$B$15,2,FALSE),0)</f>
        <v>0</v>
      </c>
      <c r="T49" s="15">
        <v>0</v>
      </c>
      <c r="U49" s="25">
        <f>IFERROR(VLOOKUP(T49,'Puntos XCO'!$A$1:$B$63,2,FALSE),0)</f>
        <v>0</v>
      </c>
      <c r="V49" s="16">
        <f>IFERROR(VLOOKUP(C49,RESXCC_1,9,FALSE),0)</f>
        <v>0</v>
      </c>
      <c r="W49" s="15">
        <f>IFERROR(VLOOKUP(V49,'Puntos XCC Mayor'!$A$1:$B$15,2,FALSE),0)</f>
        <v>0</v>
      </c>
      <c r="X49" s="15">
        <f>IFERROR(VLOOKUP(C49,RESXCO,9,FALSE),0)</f>
        <v>0</v>
      </c>
      <c r="Y49" s="25">
        <f>IFERROR(VLOOKUP(X49,'Puntos XCO'!$A$1:$B$63,2,FALSE),0)</f>
        <v>0</v>
      </c>
      <c r="Z49" s="27">
        <f>G49+I49+K49+M49+O49+Q49+S49+U49+W49+Y49</f>
        <v>80</v>
      </c>
      <c r="AB49" s="3"/>
    </row>
    <row r="50" spans="1:28" ht="24.95" customHeight="1">
      <c r="A50" s="3">
        <v>36</v>
      </c>
      <c r="B50" s="3">
        <v>35</v>
      </c>
      <c r="C50" s="113">
        <v>38</v>
      </c>
      <c r="D50" s="23" t="str">
        <f>VLOOKUP(C50,PLANILLA,2,FALSE)</f>
        <v>ARAYA  Roberto*</v>
      </c>
      <c r="E50" s="62" t="str">
        <f>VLOOKUP(C50,PLANILLA,4,FALSE)</f>
        <v xml:space="preserve">CCDR PARAÍSO </v>
      </c>
      <c r="F50" s="26"/>
      <c r="G50" s="15"/>
      <c r="H50" s="3"/>
      <c r="I50" s="25"/>
      <c r="J50" s="33"/>
      <c r="K50" s="22"/>
      <c r="L50" s="22"/>
      <c r="M50" s="34"/>
      <c r="N50" s="26"/>
      <c r="O50" s="3"/>
      <c r="P50" s="3"/>
      <c r="Q50" s="34"/>
      <c r="R50" s="16">
        <v>0</v>
      </c>
      <c r="S50" s="15">
        <f>IFERROR(VLOOKUP(R50,'Puntos XCC Mayor'!$A$1:$B$15,2,FALSE),0)</f>
        <v>0</v>
      </c>
      <c r="T50" s="15">
        <v>11</v>
      </c>
      <c r="U50" s="25">
        <f>IFERROR(VLOOKUP(T50,'Puntos XCO'!$A$1:$B$63,2,FALSE),0)</f>
        <v>76</v>
      </c>
      <c r="V50" s="16">
        <f>IFERROR(VLOOKUP(C50,RESXCC_1,9,FALSE),0)</f>
        <v>0</v>
      </c>
      <c r="W50" s="15">
        <f>IFERROR(VLOOKUP(V50,'Puntos XCC Mayor'!$A$1:$B$15,2,FALSE),0)</f>
        <v>0</v>
      </c>
      <c r="X50" s="15">
        <f>IFERROR(VLOOKUP(C50,RESXCO,9,FALSE),0)</f>
        <v>0</v>
      </c>
      <c r="Y50" s="25">
        <f>IFERROR(VLOOKUP(X50,'Puntos XCO'!$A$1:$B$63,2,FALSE),0)</f>
        <v>0</v>
      </c>
      <c r="Z50" s="27">
        <f>G50+I50+K50+M50+O50+Q50+S50+U50+W50+Y50</f>
        <v>76</v>
      </c>
      <c r="AB50" s="3"/>
    </row>
    <row r="51" spans="1:28" ht="24.95" customHeight="1">
      <c r="A51" s="3">
        <v>37</v>
      </c>
      <c r="B51" s="3">
        <v>36</v>
      </c>
      <c r="C51" s="113"/>
      <c r="D51" s="23" t="s">
        <v>582</v>
      </c>
      <c r="E51" s="53" t="s">
        <v>583</v>
      </c>
      <c r="F51" s="26"/>
      <c r="G51" s="15"/>
      <c r="H51" s="3"/>
      <c r="I51" s="25"/>
      <c r="J51" s="33">
        <v>14</v>
      </c>
      <c r="K51" s="22">
        <v>2</v>
      </c>
      <c r="L51" s="22">
        <v>14</v>
      </c>
      <c r="M51" s="34">
        <v>70</v>
      </c>
      <c r="N51" s="26"/>
      <c r="O51" s="3">
        <f>IFERROR(VLOOKUP(N51,'Puntos XCC Mayor'!$A$1:$B$15,2,FALSE),0)</f>
        <v>0</v>
      </c>
      <c r="P51" s="3"/>
      <c r="Q51" s="34">
        <f>IFERROR(VLOOKUP(P51,'Puntos XCO'!$A$1:$B$63,2,FALSE),0)</f>
        <v>0</v>
      </c>
      <c r="R51" s="16">
        <v>0</v>
      </c>
      <c r="S51" s="15">
        <f>IFERROR(VLOOKUP(R51,'Puntos XCC Mayor'!$A$1:$B$15,2,FALSE),0)</f>
        <v>0</v>
      </c>
      <c r="T51" s="15">
        <v>0</v>
      </c>
      <c r="U51" s="25">
        <f>IFERROR(VLOOKUP(T51,'Puntos XCO'!$A$1:$B$63,2,FALSE),0)</f>
        <v>0</v>
      </c>
      <c r="V51" s="16">
        <f>IFERROR(VLOOKUP(C51,RESXCC_1,9,FALSE),0)</f>
        <v>0</v>
      </c>
      <c r="W51" s="15">
        <f>IFERROR(VLOOKUP(V51,'Puntos XCC Mayor'!$A$1:$B$15,2,FALSE),0)</f>
        <v>0</v>
      </c>
      <c r="X51" s="15">
        <f>IFERROR(VLOOKUP(C51,RESXCO,9,FALSE),0)</f>
        <v>0</v>
      </c>
      <c r="Y51" s="25">
        <f>IFERROR(VLOOKUP(X51,'Puntos XCO'!$A$1:$B$63,2,FALSE),0)</f>
        <v>0</v>
      </c>
      <c r="Z51" s="27">
        <f>G51+I51+K51+M51+O51+Q51+S51+U51+W51+Y51</f>
        <v>72</v>
      </c>
      <c r="AB51" s="3"/>
    </row>
    <row r="52" spans="1:28" ht="24.95" customHeight="1">
      <c r="A52" s="3">
        <v>38</v>
      </c>
      <c r="B52" s="3">
        <v>37</v>
      </c>
      <c r="C52" s="115"/>
      <c r="D52" s="23" t="s">
        <v>193</v>
      </c>
      <c r="E52" s="53" t="s">
        <v>194</v>
      </c>
      <c r="F52" s="26">
        <v>0</v>
      </c>
      <c r="G52" s="15">
        <v>0</v>
      </c>
      <c r="H52" s="3">
        <v>15</v>
      </c>
      <c r="I52" s="25">
        <v>68</v>
      </c>
      <c r="J52" s="33">
        <v>0</v>
      </c>
      <c r="K52" s="22" t="s">
        <v>866</v>
      </c>
      <c r="L52" s="22">
        <v>0</v>
      </c>
      <c r="M52" s="34">
        <v>0</v>
      </c>
      <c r="N52" s="26"/>
      <c r="O52" s="3">
        <f>IFERROR(VLOOKUP(N52,'Puntos XCC Mayor'!$A$1:$B$15,2,FALSE),0)</f>
        <v>0</v>
      </c>
      <c r="P52" s="3"/>
      <c r="Q52" s="34">
        <f>IFERROR(VLOOKUP(P52,'Puntos XCO'!$A$1:$B$63,2,FALSE),0)</f>
        <v>0</v>
      </c>
      <c r="R52" s="16">
        <v>0</v>
      </c>
      <c r="S52" s="15">
        <f>IFERROR(VLOOKUP(R52,'Puntos XCC Mayor'!$A$1:$B$15,2,FALSE),0)</f>
        <v>0</v>
      </c>
      <c r="T52" s="15">
        <v>0</v>
      </c>
      <c r="U52" s="25">
        <f>IFERROR(VLOOKUP(T52,'Puntos XCO'!$A$1:$B$63,2,FALSE),0)</f>
        <v>0</v>
      </c>
      <c r="V52" s="16">
        <f>IFERROR(VLOOKUP(C52,RESXCC_1,9,FALSE),0)</f>
        <v>0</v>
      </c>
      <c r="W52" s="15">
        <f>IFERROR(VLOOKUP(V52,'Puntos XCC Mayor'!$A$1:$B$15,2,FALSE),0)</f>
        <v>0</v>
      </c>
      <c r="X52" s="15">
        <f>IFERROR(VLOOKUP(C52,RESXCO,9,FALSE),0)</f>
        <v>0</v>
      </c>
      <c r="Y52" s="25">
        <f>IFERROR(VLOOKUP(X52,'Puntos XCO'!$A$1:$B$63,2,FALSE),0)</f>
        <v>0</v>
      </c>
      <c r="Z52" s="27">
        <f>G52+I52+K52+M52+O52+Q52+S52+U52+W52+Y52</f>
        <v>68</v>
      </c>
      <c r="AB52" s="3"/>
    </row>
    <row r="53" spans="1:28" ht="24.95" customHeight="1">
      <c r="A53" s="3">
        <v>39</v>
      </c>
      <c r="B53" s="3"/>
      <c r="C53" s="133">
        <v>41</v>
      </c>
      <c r="D53" s="23" t="str">
        <f>VLOOKUP(C53,PLANILLA,2,FALSE)</f>
        <v>FERNÁNDEZ  Fabricio Alberto*</v>
      </c>
      <c r="E53" s="62" t="str">
        <f>VLOOKUP(C53,PLANILLA,4,FALSE)</f>
        <v/>
      </c>
      <c r="F53" s="26"/>
      <c r="G53" s="15"/>
      <c r="H53" s="3"/>
      <c r="I53" s="25"/>
      <c r="J53" s="33"/>
      <c r="K53" s="22"/>
      <c r="L53" s="22"/>
      <c r="M53" s="34"/>
      <c r="N53" s="26"/>
      <c r="O53" s="3"/>
      <c r="P53" s="3"/>
      <c r="Q53" s="34"/>
      <c r="R53" s="16"/>
      <c r="S53" s="15"/>
      <c r="T53" s="15"/>
      <c r="U53" s="25"/>
      <c r="V53" s="16">
        <f>IFERROR(VLOOKUP(C53,RESXCC_1,9,FALSE),0)</f>
        <v>0</v>
      </c>
      <c r="W53" s="15">
        <f>IFERROR(VLOOKUP(V53,'Puntos XCC Mayor'!$A$1:$B$15,2,FALSE),0)</f>
        <v>0</v>
      </c>
      <c r="X53" s="15">
        <f>IFERROR(VLOOKUP(C53,RESXCO,9,FALSE),0)</f>
        <v>15</v>
      </c>
      <c r="Y53" s="25">
        <f>IFERROR(VLOOKUP(X53,'Puntos XCO'!$A$1:$B$63,2,FALSE),0)</f>
        <v>68</v>
      </c>
      <c r="Z53" s="27">
        <f>G53+I53+K53+M53+O53+Q53+S53+U53+W53+Y53</f>
        <v>68</v>
      </c>
      <c r="AB53" s="3"/>
    </row>
    <row r="54" spans="1:28" ht="24.95" customHeight="1">
      <c r="A54" s="3">
        <v>40</v>
      </c>
      <c r="B54" s="3"/>
      <c r="C54" s="133">
        <v>40</v>
      </c>
      <c r="D54" s="23" t="str">
        <f>VLOOKUP(C54,PLANILLA,2,FALSE)</f>
        <v>GUTIÉRREZ Carlos Daniel*</v>
      </c>
      <c r="E54" s="62" t="str">
        <f>VLOOKUP(C54,PLANILLA,4,FALSE)</f>
        <v>TURRIALBA</v>
      </c>
      <c r="F54" s="26"/>
      <c r="G54" s="15"/>
      <c r="H54" s="3"/>
      <c r="I54" s="25"/>
      <c r="J54" s="33"/>
      <c r="K54" s="22"/>
      <c r="L54" s="22"/>
      <c r="M54" s="34"/>
      <c r="N54" s="26"/>
      <c r="O54" s="3"/>
      <c r="P54" s="3"/>
      <c r="Q54" s="34"/>
      <c r="R54" s="16"/>
      <c r="S54" s="15"/>
      <c r="T54" s="15"/>
      <c r="U54" s="25"/>
      <c r="V54" s="16">
        <f>IFERROR(VLOOKUP(C54,RESXCC_1,9,FALSE),0)</f>
        <v>14</v>
      </c>
      <c r="W54" s="15">
        <f>IFERROR(VLOOKUP(V54,'Puntos XCC Mayor'!$A$1:$B$15,2,FALSE),0)</f>
        <v>2</v>
      </c>
      <c r="X54" s="15">
        <f>IFERROR(VLOOKUP(C54,RESXCO,9,FALSE),0)</f>
        <v>16</v>
      </c>
      <c r="Y54" s="25">
        <f>IFERROR(VLOOKUP(X54,'Puntos XCO'!$A$1:$B$63,2,FALSE),0)</f>
        <v>66</v>
      </c>
      <c r="Z54" s="27">
        <f>G54+I54+K54+M54+O54+Q54+S54+U54+W54+Y54</f>
        <v>68</v>
      </c>
      <c r="AB54" s="3"/>
    </row>
    <row r="55" spans="1:28" ht="24.95" customHeight="1">
      <c r="A55" s="3">
        <v>41</v>
      </c>
      <c r="B55" s="3">
        <v>38</v>
      </c>
      <c r="C55" s="113"/>
      <c r="D55" s="23" t="s">
        <v>584</v>
      </c>
      <c r="E55" s="53" t="s">
        <v>585</v>
      </c>
      <c r="F55" s="26"/>
      <c r="G55" s="15"/>
      <c r="H55" s="3"/>
      <c r="I55" s="25"/>
      <c r="J55" s="33">
        <v>15</v>
      </c>
      <c r="K55" s="22">
        <v>1</v>
      </c>
      <c r="L55" s="22">
        <v>16</v>
      </c>
      <c r="M55" s="34">
        <v>66</v>
      </c>
      <c r="N55" s="26"/>
      <c r="O55" s="3">
        <f>IFERROR(VLOOKUP(N55,'Puntos XCC Mayor'!$A$1:$B$15,2,FALSE),0)</f>
        <v>0</v>
      </c>
      <c r="P55" s="3"/>
      <c r="Q55" s="34">
        <f>IFERROR(VLOOKUP(P55,'Puntos XCO'!$A$1:$B$63,2,FALSE),0)</f>
        <v>0</v>
      </c>
      <c r="R55" s="16">
        <v>0</v>
      </c>
      <c r="S55" s="15">
        <f>IFERROR(VLOOKUP(R55,'Puntos XCC Mayor'!$A$1:$B$15,2,FALSE),0)</f>
        <v>0</v>
      </c>
      <c r="T55" s="15">
        <v>0</v>
      </c>
      <c r="U55" s="25">
        <f>IFERROR(VLOOKUP(T55,'Puntos XCO'!$A$1:$B$63,2,FALSE),0)</f>
        <v>0</v>
      </c>
      <c r="V55" s="16">
        <f>IFERROR(VLOOKUP(C55,RESXCC_1,9,FALSE),0)</f>
        <v>0</v>
      </c>
      <c r="W55" s="15">
        <f>IFERROR(VLOOKUP(V55,'Puntos XCC Mayor'!$A$1:$B$15,2,FALSE),0)</f>
        <v>0</v>
      </c>
      <c r="X55" s="15">
        <f>IFERROR(VLOOKUP(C55,RESXCO,9,FALSE),0)</f>
        <v>0</v>
      </c>
      <c r="Y55" s="25">
        <f>IFERROR(VLOOKUP(X55,'Puntos XCO'!$A$1:$B$63,2,FALSE),0)</f>
        <v>0</v>
      </c>
      <c r="Z55" s="27">
        <f>G55+I55+K55+M55+O55+Q55+S55+U55+W55+Y55</f>
        <v>67</v>
      </c>
      <c r="AB55" s="3"/>
    </row>
    <row r="56" spans="1:28" ht="24.95" customHeight="1">
      <c r="A56" s="3">
        <v>42</v>
      </c>
      <c r="B56" s="3">
        <v>39</v>
      </c>
      <c r="C56" s="113"/>
      <c r="D56" s="23" t="s">
        <v>580</v>
      </c>
      <c r="E56" s="53" t="s">
        <v>70</v>
      </c>
      <c r="F56" s="26"/>
      <c r="G56" s="15"/>
      <c r="H56" s="3"/>
      <c r="I56" s="25"/>
      <c r="J56" s="33">
        <v>17</v>
      </c>
      <c r="K56" s="22" t="s">
        <v>866</v>
      </c>
      <c r="L56" s="22">
        <v>18</v>
      </c>
      <c r="M56" s="34">
        <v>62</v>
      </c>
      <c r="N56" s="26"/>
      <c r="O56" s="3">
        <f>IFERROR(VLOOKUP(N56,'Puntos XCC Mayor'!$A$1:$B$15,2,FALSE),0)</f>
        <v>0</v>
      </c>
      <c r="P56" s="3"/>
      <c r="Q56" s="34">
        <f>IFERROR(VLOOKUP(P56,'Puntos XCO'!$A$1:$B$63,2,FALSE),0)</f>
        <v>0</v>
      </c>
      <c r="R56" s="16">
        <v>0</v>
      </c>
      <c r="S56" s="15">
        <f>IFERROR(VLOOKUP(R56,'Puntos XCC Mayor'!$A$1:$B$15,2,FALSE),0)</f>
        <v>0</v>
      </c>
      <c r="T56" s="15">
        <v>0</v>
      </c>
      <c r="U56" s="25">
        <f>IFERROR(VLOOKUP(T56,'Puntos XCO'!$A$1:$B$63,2,FALSE),0)</f>
        <v>0</v>
      </c>
      <c r="V56" s="16">
        <f>IFERROR(VLOOKUP(C56,RESXCC_1,9,FALSE),0)</f>
        <v>0</v>
      </c>
      <c r="W56" s="15">
        <f>IFERROR(VLOOKUP(V56,'Puntos XCC Mayor'!$A$1:$B$15,2,FALSE),0)</f>
        <v>0</v>
      </c>
      <c r="X56" s="15">
        <f>IFERROR(VLOOKUP(C56,RESXCO,9,FALSE),0)</f>
        <v>0</v>
      </c>
      <c r="Y56" s="25">
        <f>IFERROR(VLOOKUP(X56,'Puntos XCO'!$A$1:$B$63,2,FALSE),0)</f>
        <v>0</v>
      </c>
      <c r="Z56" s="27">
        <f>G56+I56+K56+M56+O56+Q56+S56+U56+W56+Y56</f>
        <v>62</v>
      </c>
      <c r="AB56" s="3"/>
    </row>
    <row r="57" spans="1:28" ht="24.95" customHeight="1">
      <c r="A57" s="3">
        <v>43</v>
      </c>
      <c r="B57" s="3">
        <v>40</v>
      </c>
      <c r="C57" s="113"/>
      <c r="D57" s="23" t="s">
        <v>581</v>
      </c>
      <c r="E57" s="24" t="s">
        <v>70</v>
      </c>
      <c r="F57" s="26"/>
      <c r="G57" s="15"/>
      <c r="H57" s="3"/>
      <c r="I57" s="25"/>
      <c r="J57" s="33">
        <v>19</v>
      </c>
      <c r="K57" s="22" t="s">
        <v>866</v>
      </c>
      <c r="L57" s="22">
        <v>20</v>
      </c>
      <c r="M57" s="34">
        <v>58</v>
      </c>
      <c r="N57" s="26"/>
      <c r="O57" s="3">
        <f>IFERROR(VLOOKUP(N57,'Puntos XCC Mayor'!$A$1:$B$15,2,FALSE),0)</f>
        <v>0</v>
      </c>
      <c r="P57" s="3"/>
      <c r="Q57" s="34">
        <f>IFERROR(VLOOKUP(P57,'Puntos XCO'!$A$1:$B$63,2,FALSE),0)</f>
        <v>0</v>
      </c>
      <c r="R57" s="16">
        <v>0</v>
      </c>
      <c r="S57" s="15">
        <f>IFERROR(VLOOKUP(R57,'Puntos XCC Mayor'!$A$1:$B$15,2,FALSE),0)</f>
        <v>0</v>
      </c>
      <c r="T57" s="15">
        <v>0</v>
      </c>
      <c r="U57" s="25">
        <f>IFERROR(VLOOKUP(T57,'Puntos XCO'!$A$1:$B$63,2,FALSE),0)</f>
        <v>0</v>
      </c>
      <c r="V57" s="16">
        <f>IFERROR(VLOOKUP(C57,RESXCC_1,9,FALSE),0)</f>
        <v>0</v>
      </c>
      <c r="W57" s="15">
        <f>IFERROR(VLOOKUP(V57,'Puntos XCC Mayor'!$A$1:$B$15,2,FALSE),0)</f>
        <v>0</v>
      </c>
      <c r="X57" s="15">
        <f>IFERROR(VLOOKUP(C57,RESXCO,9,FALSE),0)</f>
        <v>0</v>
      </c>
      <c r="Y57" s="25">
        <f>IFERROR(VLOOKUP(X57,'Puntos XCO'!$A$1:$B$63,2,FALSE),0)</f>
        <v>0</v>
      </c>
      <c r="Z57" s="27">
        <f>G57+I57+K57+M57+O57+Q57+S57+U57+W57+Y57</f>
        <v>58</v>
      </c>
      <c r="AB57" s="3"/>
    </row>
    <row r="58" spans="1:28" ht="24.95" customHeight="1">
      <c r="A58" s="3">
        <v>44</v>
      </c>
      <c r="B58" s="3">
        <v>41</v>
      </c>
      <c r="C58" s="113"/>
      <c r="D58" s="23" t="s">
        <v>184</v>
      </c>
      <c r="E58" s="24" t="s">
        <v>185</v>
      </c>
      <c r="F58" s="26">
        <v>8</v>
      </c>
      <c r="G58" s="15">
        <v>8</v>
      </c>
      <c r="H58" s="3">
        <v>0</v>
      </c>
      <c r="I58" s="25">
        <v>0</v>
      </c>
      <c r="J58" s="33">
        <v>0</v>
      </c>
      <c r="K58" s="22" t="s">
        <v>866</v>
      </c>
      <c r="L58" s="22">
        <v>0</v>
      </c>
      <c r="M58" s="34">
        <v>0</v>
      </c>
      <c r="N58" s="26"/>
      <c r="O58" s="3">
        <f>IFERROR(VLOOKUP(N58,'Puntos XCC Mayor'!$A$1:$B$15,2,FALSE),0)</f>
        <v>0</v>
      </c>
      <c r="P58" s="3"/>
      <c r="Q58" s="34">
        <f>IFERROR(VLOOKUP(P58,'Puntos XCO'!$A$1:$B$63,2,FALSE),0)</f>
        <v>0</v>
      </c>
      <c r="R58" s="16">
        <v>0</v>
      </c>
      <c r="S58" s="15">
        <f>IFERROR(VLOOKUP(R58,'Puntos XCC Mayor'!$A$1:$B$15,2,FALSE),0)</f>
        <v>0</v>
      </c>
      <c r="T58" s="15">
        <v>0</v>
      </c>
      <c r="U58" s="25">
        <f>IFERROR(VLOOKUP(T58,'Puntos XCO'!$A$1:$B$63,2,FALSE),0)</f>
        <v>0</v>
      </c>
      <c r="V58" s="16">
        <f>IFERROR(VLOOKUP(C58,RESXCC_1,9,FALSE),0)</f>
        <v>0</v>
      </c>
      <c r="W58" s="15">
        <f>IFERROR(VLOOKUP(V58,'Puntos XCC Mayor'!$A$1:$B$15,2,FALSE),0)</f>
        <v>0</v>
      </c>
      <c r="X58" s="15">
        <f>IFERROR(VLOOKUP(C58,RESXCO,9,FALSE),0)</f>
        <v>0</v>
      </c>
      <c r="Y58" s="25">
        <f>IFERROR(VLOOKUP(X58,'Puntos XCO'!$A$1:$B$63,2,FALSE),0)</f>
        <v>0</v>
      </c>
      <c r="Z58" s="27">
        <f>G58+I58+K58+M58+O58+Q58+S58+U58+W58+Y58</f>
        <v>8</v>
      </c>
      <c r="AB58" s="3"/>
    </row>
    <row r="59" spans="1:28" ht="24.95" customHeight="1">
      <c r="A59" s="3"/>
      <c r="B59" s="3"/>
      <c r="C59" s="113"/>
      <c r="D59" s="23" t="s">
        <v>183</v>
      </c>
      <c r="E59" s="24" t="s">
        <v>86</v>
      </c>
      <c r="F59" s="26">
        <v>0</v>
      </c>
      <c r="G59" s="15">
        <v>0</v>
      </c>
      <c r="H59" s="3">
        <v>0</v>
      </c>
      <c r="I59" s="25">
        <v>0</v>
      </c>
      <c r="J59" s="33">
        <v>0</v>
      </c>
      <c r="K59" s="22" t="s">
        <v>866</v>
      </c>
      <c r="L59" s="22">
        <v>0</v>
      </c>
      <c r="M59" s="34">
        <v>0</v>
      </c>
      <c r="N59" s="26"/>
      <c r="O59" s="3">
        <f>IFERROR(VLOOKUP(N59,'Puntos XCC Mayor'!$A$1:$B$15,2,FALSE),0)</f>
        <v>0</v>
      </c>
      <c r="P59" s="3"/>
      <c r="Q59" s="34">
        <f>IFERROR(VLOOKUP(P59,'Puntos XCO'!$A$1:$B$63,2,FALSE),0)</f>
        <v>0</v>
      </c>
      <c r="R59" s="16">
        <v>0</v>
      </c>
      <c r="S59" s="15">
        <f>IFERROR(VLOOKUP(R59,'Puntos XCC Mayor'!$A$1:$B$15,2,FALSE),0)</f>
        <v>0</v>
      </c>
      <c r="T59" s="15">
        <v>0</v>
      </c>
      <c r="U59" s="25">
        <f>IFERROR(VLOOKUP(T59,'Puntos XCO'!$A$1:$B$63,2,FALSE),0)</f>
        <v>0</v>
      </c>
      <c r="V59" s="16">
        <f>IFERROR(VLOOKUP(C59,RESXCC_1,9,FALSE),0)</f>
        <v>0</v>
      </c>
      <c r="W59" s="15">
        <f>IFERROR(VLOOKUP(V59,'Puntos XCC Mayor'!$A$1:$B$15,2,FALSE),0)</f>
        <v>0</v>
      </c>
      <c r="X59" s="15">
        <f>IFERROR(VLOOKUP(C59,RESXCO,9,FALSE),0)</f>
        <v>0</v>
      </c>
      <c r="Y59" s="25">
        <f>IFERROR(VLOOKUP(X59,'Puntos XCO'!$A$1:$B$63,2,FALSE),0)</f>
        <v>0</v>
      </c>
      <c r="Z59" s="27">
        <f>G59+I59+K59+M59+O59+Q59+S59+U59+W59+Y59</f>
        <v>0</v>
      </c>
      <c r="AB59" s="3"/>
    </row>
    <row r="60" spans="1:28" ht="24.95" customHeight="1">
      <c r="A60" s="3"/>
      <c r="B60" s="3"/>
      <c r="C60" s="113"/>
      <c r="D60" s="23" t="s">
        <v>579</v>
      </c>
      <c r="E60" s="24" t="s">
        <v>70</v>
      </c>
      <c r="F60" s="26"/>
      <c r="G60" s="15"/>
      <c r="H60" s="3"/>
      <c r="I60" s="25"/>
      <c r="J60" s="33">
        <v>18</v>
      </c>
      <c r="K60" s="22" t="s">
        <v>866</v>
      </c>
      <c r="L60" s="22">
        <v>0</v>
      </c>
      <c r="M60" s="34">
        <v>0</v>
      </c>
      <c r="N60" s="26"/>
      <c r="O60" s="3">
        <f>IFERROR(VLOOKUP(N60,'Puntos XCC Mayor'!$A$1:$B$15,2,FALSE),0)</f>
        <v>0</v>
      </c>
      <c r="P60" s="3"/>
      <c r="Q60" s="34">
        <f>IFERROR(VLOOKUP(P60,'Puntos XCO'!$A$1:$B$63,2,FALSE),0)</f>
        <v>0</v>
      </c>
      <c r="R60" s="16">
        <v>0</v>
      </c>
      <c r="S60" s="15">
        <f>IFERROR(VLOOKUP(R60,'Puntos XCC Mayor'!$A$1:$B$15,2,FALSE),0)</f>
        <v>0</v>
      </c>
      <c r="T60" s="15">
        <v>0</v>
      </c>
      <c r="U60" s="25">
        <f>IFERROR(VLOOKUP(T60,'Puntos XCO'!$A$1:$B$63,2,FALSE),0)</f>
        <v>0</v>
      </c>
      <c r="V60" s="16">
        <f>IFERROR(VLOOKUP(C60,RESXCC_1,9,FALSE),0)</f>
        <v>0</v>
      </c>
      <c r="W60" s="15">
        <f>IFERROR(VLOOKUP(V60,'Puntos XCC Mayor'!$A$1:$B$15,2,FALSE),0)</f>
        <v>0</v>
      </c>
      <c r="X60" s="15">
        <f>IFERROR(VLOOKUP(C60,RESXCO,9,FALSE),0)</f>
        <v>0</v>
      </c>
      <c r="Y60" s="25">
        <f>IFERROR(VLOOKUP(X60,'Puntos XCO'!$A$1:$B$63,2,FALSE),0)</f>
        <v>0</v>
      </c>
      <c r="Z60" s="27">
        <f>G60+I60+K60+M60+O60+Q60+S60+U60+W60+Y60</f>
        <v>0</v>
      </c>
      <c r="AB60" s="3"/>
    </row>
    <row r="61" spans="1:28" ht="24.95" customHeight="1">
      <c r="A61" s="3"/>
      <c r="B61" s="3"/>
      <c r="C61" s="113"/>
      <c r="D61" s="23"/>
      <c r="E61" s="53"/>
      <c r="F61" s="64"/>
      <c r="G61" s="15"/>
      <c r="H61" s="3"/>
      <c r="I61" s="63"/>
      <c r="J61" s="106"/>
      <c r="K61" s="22"/>
      <c r="L61" s="22"/>
      <c r="M61" s="106"/>
      <c r="N61" s="64"/>
      <c r="O61" s="3"/>
      <c r="P61" s="3"/>
      <c r="Q61" s="106"/>
      <c r="R61" s="63"/>
      <c r="S61" s="15"/>
      <c r="T61" s="15"/>
      <c r="U61" s="63"/>
      <c r="V61" s="63"/>
      <c r="W61" s="15"/>
      <c r="X61" s="15"/>
      <c r="Y61" s="63"/>
      <c r="Z61" s="27"/>
      <c r="AB61" s="3"/>
    </row>
    <row r="62" spans="1:28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74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8">
      <c r="M63" s="9"/>
      <c r="N63" s="9"/>
      <c r="O63" s="9"/>
      <c r="P63" s="10"/>
      <c r="Q63" s="9"/>
      <c r="R63" s="9"/>
      <c r="S63" s="9"/>
      <c r="T63" s="9"/>
      <c r="U63" s="9"/>
    </row>
    <row r="64" spans="1:28" ht="97.5" customHeight="1"/>
    <row r="65" spans="1:26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6"/>
      <c r="Q65" s="75"/>
      <c r="R65" s="75"/>
      <c r="S65" s="75"/>
      <c r="T65" s="75"/>
      <c r="U65" s="75"/>
      <c r="V65" s="75"/>
      <c r="W65" s="75"/>
      <c r="X65" s="75"/>
      <c r="Y65" s="75"/>
      <c r="Z65" s="75"/>
    </row>
  </sheetData>
  <sortState ref="B15:Z60">
    <sortCondition descending="1" ref="Z15:Z60"/>
    <sortCondition ref="X15:X60"/>
  </sortState>
  <mergeCells count="10">
    <mergeCell ref="Z13:Z14"/>
    <mergeCell ref="A8:Z8"/>
    <mergeCell ref="A10:Z10"/>
    <mergeCell ref="A11:Z11"/>
    <mergeCell ref="A13:B13"/>
    <mergeCell ref="F13:I13"/>
    <mergeCell ref="J13:M13"/>
    <mergeCell ref="V13:Y13"/>
    <mergeCell ref="N13:Q13"/>
    <mergeCell ref="R13:U13"/>
  </mergeCells>
  <phoneticPr fontId="7" type="noConversion"/>
  <conditionalFormatting sqref="C11">
    <cfRule type="duplicateValues" dxfId="531" priority="85" stopIfTrue="1"/>
  </conditionalFormatting>
  <conditionalFormatting sqref="C11">
    <cfRule type="duplicateValues" dxfId="530" priority="86" stopIfTrue="1"/>
  </conditionalFormatting>
  <conditionalFormatting sqref="D11">
    <cfRule type="duplicateValues" dxfId="529" priority="84" stopIfTrue="1"/>
  </conditionalFormatting>
  <conditionalFormatting sqref="C62:C65540 C1:C9 C12:C14">
    <cfRule type="duplicateValues" dxfId="528" priority="6395" stopIfTrue="1"/>
  </conditionalFormatting>
  <conditionalFormatting sqref="C10">
    <cfRule type="duplicateValues" dxfId="527" priority="26" stopIfTrue="1"/>
  </conditionalFormatting>
  <conditionalFormatting sqref="C10">
    <cfRule type="duplicateValues" dxfId="526" priority="27" stopIfTrue="1"/>
  </conditionalFormatting>
  <conditionalFormatting sqref="C24">
    <cfRule type="duplicateValues" dxfId="525" priority="5"/>
  </conditionalFormatting>
  <conditionalFormatting sqref="C32">
    <cfRule type="duplicateValues" dxfId="524" priority="6"/>
  </conditionalFormatting>
  <conditionalFormatting sqref="C50:C55">
    <cfRule type="duplicateValues" dxfId="523" priority="3"/>
  </conditionalFormatting>
  <conditionalFormatting sqref="C33:C49">
    <cfRule type="duplicateValues" dxfId="522" priority="7826"/>
  </conditionalFormatting>
  <conditionalFormatting sqref="AB15:AB61">
    <cfRule type="duplicateValues" dxfId="521" priority="7827"/>
  </conditionalFormatting>
  <conditionalFormatting sqref="C56 C61">
    <cfRule type="duplicateValues" dxfId="520" priority="7828"/>
  </conditionalFormatting>
  <conditionalFormatting sqref="C57:C60">
    <cfRule type="duplicateValues" dxfId="519" priority="1"/>
  </conditionalFormatting>
  <pageMargins left="0.70866141732283472" right="0.70866141732283472" top="0.74803149606299213" bottom="0.74803149606299213" header="0.31496062992125984" footer="0.31496062992125984"/>
  <pageSetup paperSize="9" scale="50" fitToHeight="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2:G21"/>
  <sheetViews>
    <sheetView topLeftCell="A19" workbookViewId="0">
      <selection activeCell="C21" sqref="C21"/>
    </sheetView>
  </sheetViews>
  <sheetFormatPr baseColWidth="10" defaultRowHeight="15"/>
  <cols>
    <col min="1" max="2" width="11.42578125" customWidth="1"/>
    <col min="3" max="3" width="26" bestFit="1" customWidth="1"/>
    <col min="4" max="4" width="12.42578125" bestFit="1" customWidth="1"/>
    <col min="5" max="5" width="33.28515625" bestFit="1" customWidth="1"/>
  </cols>
  <sheetData>
    <row r="2" spans="1:7">
      <c r="A2" s="2"/>
      <c r="B2" s="2"/>
      <c r="G2" s="3"/>
    </row>
    <row r="3" spans="1:7">
      <c r="A3" s="2"/>
      <c r="B3" s="2"/>
      <c r="G3" s="3"/>
    </row>
    <row r="4" spans="1:7">
      <c r="A4" s="2"/>
      <c r="B4" s="2"/>
      <c r="D4" s="5"/>
      <c r="F4" s="2"/>
      <c r="G4" s="3"/>
    </row>
    <row r="5" spans="1:7">
      <c r="A5" s="2"/>
      <c r="B5" s="2"/>
      <c r="D5" s="5"/>
      <c r="F5" s="2"/>
      <c r="G5" s="3"/>
    </row>
    <row r="6" spans="1:7">
      <c r="A6" s="2"/>
      <c r="B6" s="2"/>
      <c r="D6" s="5"/>
      <c r="F6" s="2"/>
      <c r="G6" s="3"/>
    </row>
    <row r="7" spans="1:7">
      <c r="A7" s="2"/>
      <c r="B7" s="2"/>
      <c r="D7" s="5"/>
      <c r="F7" s="2"/>
      <c r="G7" s="3"/>
    </row>
    <row r="8" spans="1:7">
      <c r="A8" s="2"/>
      <c r="B8" s="2"/>
      <c r="D8" s="5"/>
      <c r="F8" s="2"/>
      <c r="G8" s="3"/>
    </row>
    <row r="9" spans="1:7">
      <c r="A9" s="2"/>
      <c r="B9" s="2"/>
      <c r="D9" s="5"/>
      <c r="F9" s="2"/>
      <c r="G9" s="3"/>
    </row>
    <row r="10" spans="1:7">
      <c r="A10" s="2"/>
      <c r="B10" s="2"/>
      <c r="D10" s="5"/>
      <c r="F10" s="2"/>
      <c r="G10" s="3"/>
    </row>
    <row r="11" spans="1:7">
      <c r="A11" s="2"/>
      <c r="B11" s="2"/>
      <c r="D11" s="5"/>
      <c r="F11" s="2"/>
      <c r="G11" s="3"/>
    </row>
    <row r="12" spans="1:7">
      <c r="A12" s="2"/>
      <c r="B12" s="2"/>
      <c r="D12" s="5"/>
      <c r="F12" s="2"/>
      <c r="G12" s="3"/>
    </row>
    <row r="13" spans="1:7">
      <c r="A13" s="2"/>
      <c r="B13" s="2"/>
      <c r="D13" s="5"/>
      <c r="F13" s="2"/>
      <c r="G13" s="3"/>
    </row>
    <row r="14" spans="1:7">
      <c r="G14" s="2"/>
    </row>
    <row r="15" spans="1:7">
      <c r="G15" s="2"/>
    </row>
    <row r="16" spans="1:7">
      <c r="G16" s="2"/>
    </row>
    <row r="17" spans="7:7">
      <c r="G17" s="2"/>
    </row>
    <row r="18" spans="7:7">
      <c r="G18" s="2"/>
    </row>
    <row r="19" spans="7:7">
      <c r="G19" s="2"/>
    </row>
    <row r="20" spans="7:7">
      <c r="G20" s="2"/>
    </row>
    <row r="21" spans="7:7">
      <c r="G21" s="2"/>
    </row>
  </sheetData>
  <phoneticPr fontId="7" type="noConversion"/>
  <conditionalFormatting sqref="G2">
    <cfRule type="duplicateValues" dxfId="518" priority="7" stopIfTrue="1"/>
  </conditionalFormatting>
  <conditionalFormatting sqref="B4:B13">
    <cfRule type="duplicateValues" dxfId="517" priority="13" stopIfTrue="1"/>
  </conditionalFormatting>
  <conditionalFormatting sqref="G4:G13">
    <cfRule type="duplicateValues" dxfId="516" priority="14" stopIfTrue="1"/>
  </conditionalFormatting>
  <conditionalFormatting sqref="G4:G6">
    <cfRule type="duplicateValues" dxfId="515" priority="3" stopIfTrue="1"/>
  </conditionalFormatting>
  <conditionalFormatting sqref="G2:G21 B2:B13">
    <cfRule type="duplicateValues" dxfId="514" priority="16" stopIfTrue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G376"/>
  <sheetViews>
    <sheetView workbookViewId="0">
      <selection activeCell="C18" sqref="C18"/>
    </sheetView>
  </sheetViews>
  <sheetFormatPr baseColWidth="10" defaultRowHeight="15"/>
  <cols>
    <col min="1" max="1" width="20.140625" bestFit="1" customWidth="1"/>
    <col min="2" max="2" width="23.28515625" bestFit="1" customWidth="1"/>
    <col min="3" max="3" width="26" bestFit="1" customWidth="1"/>
    <col min="4" max="4" width="44.7109375" bestFit="1" customWidth="1"/>
    <col min="5" max="5" width="33.28515625" bestFit="1" customWidth="1"/>
  </cols>
  <sheetData>
    <row r="1" spans="1:7">
      <c r="A1" t="s">
        <v>8</v>
      </c>
    </row>
    <row r="2" spans="1:7">
      <c r="A2" s="2"/>
      <c r="B2" s="2"/>
      <c r="G2" s="3"/>
    </row>
    <row r="3" spans="1:7">
      <c r="A3" s="2">
        <v>2</v>
      </c>
      <c r="B3" s="2"/>
      <c r="G3" s="3"/>
    </row>
    <row r="4" spans="1:7">
      <c r="A4" s="2">
        <v>1</v>
      </c>
      <c r="B4" s="2"/>
      <c r="E4" s="8"/>
      <c r="F4" s="2"/>
      <c r="G4" s="3"/>
    </row>
    <row r="5" spans="1:7">
      <c r="A5" s="2">
        <v>20</v>
      </c>
      <c r="B5" s="2"/>
      <c r="E5" s="8"/>
      <c r="F5" s="2"/>
      <c r="G5" s="3"/>
    </row>
    <row r="6" spans="1:7">
      <c r="A6" s="2">
        <v>3</v>
      </c>
      <c r="B6" s="2"/>
      <c r="E6" s="8"/>
      <c r="F6" s="2"/>
      <c r="G6" s="3"/>
    </row>
    <row r="7" spans="1:7">
      <c r="A7" s="2">
        <v>28</v>
      </c>
      <c r="B7" s="2"/>
      <c r="E7" s="8"/>
      <c r="F7" s="2"/>
      <c r="G7" s="3"/>
    </row>
    <row r="8" spans="1:7">
      <c r="A8" s="2">
        <v>34</v>
      </c>
      <c r="B8" s="2"/>
      <c r="E8" s="8"/>
      <c r="F8" s="2"/>
      <c r="G8" s="3"/>
    </row>
    <row r="9" spans="1:7">
      <c r="A9" s="2">
        <v>109</v>
      </c>
      <c r="B9" s="2" t="s">
        <v>42</v>
      </c>
      <c r="E9" s="8"/>
      <c r="F9" s="2"/>
      <c r="G9" s="3"/>
    </row>
    <row r="10" spans="1:7">
      <c r="A10" s="2">
        <v>10</v>
      </c>
      <c r="B10" s="2"/>
      <c r="E10" s="8"/>
      <c r="F10" s="2"/>
      <c r="G10" s="3"/>
    </row>
    <row r="11" spans="1:7">
      <c r="A11" s="2">
        <v>7</v>
      </c>
      <c r="B11" s="2"/>
      <c r="E11" s="8"/>
      <c r="F11" s="2"/>
      <c r="G11" s="3"/>
    </row>
    <row r="12" spans="1:7">
      <c r="A12" s="2">
        <v>31</v>
      </c>
      <c r="B12" s="2"/>
      <c r="E12" s="8"/>
      <c r="F12" s="2"/>
      <c r="G12" s="3"/>
    </row>
    <row r="13" spans="1:7">
      <c r="A13" s="2">
        <v>6</v>
      </c>
      <c r="B13" s="2"/>
      <c r="E13" s="8"/>
      <c r="F13" s="2"/>
      <c r="G13" s="3"/>
    </row>
    <row r="14" spans="1:7">
      <c r="A14" s="2">
        <v>15</v>
      </c>
      <c r="B14" s="2"/>
      <c r="E14" s="8"/>
      <c r="F14" s="2"/>
      <c r="G14" s="3"/>
    </row>
    <row r="15" spans="1:7">
      <c r="A15" s="2">
        <v>33</v>
      </c>
      <c r="B15" s="2"/>
      <c r="E15" s="8"/>
      <c r="F15" s="2"/>
      <c r="G15" s="3"/>
    </row>
    <row r="16" spans="1:7">
      <c r="A16" s="2">
        <v>32</v>
      </c>
      <c r="B16" s="2"/>
      <c r="E16" s="8"/>
      <c r="F16" s="2"/>
      <c r="G16" s="3"/>
    </row>
    <row r="17" spans="1:7">
      <c r="A17" s="2">
        <v>128</v>
      </c>
      <c r="B17" s="2" t="s">
        <v>42</v>
      </c>
      <c r="E17" s="8"/>
      <c r="F17" s="2"/>
      <c r="G17" s="3"/>
    </row>
    <row r="18" spans="1:7">
      <c r="A18" s="2">
        <v>9</v>
      </c>
      <c r="B18" s="2"/>
      <c r="E18" s="8"/>
      <c r="F18" s="2"/>
      <c r="G18" s="3"/>
    </row>
    <row r="19" spans="1:7">
      <c r="A19" s="2">
        <v>121</v>
      </c>
      <c r="B19" s="2" t="s">
        <v>42</v>
      </c>
      <c r="E19" s="8"/>
      <c r="F19" s="2"/>
      <c r="G19" s="3"/>
    </row>
    <row r="20" spans="1:7">
      <c r="A20" s="2">
        <v>12</v>
      </c>
      <c r="B20" s="2"/>
      <c r="E20" s="8"/>
      <c r="F20" s="2"/>
      <c r="G20" s="3"/>
    </row>
    <row r="21" spans="1:7">
      <c r="A21" s="2">
        <v>124</v>
      </c>
      <c r="B21" s="2" t="s">
        <v>42</v>
      </c>
      <c r="E21" s="8"/>
      <c r="F21" s="2"/>
      <c r="G21" s="3"/>
    </row>
    <row r="22" spans="1:7">
      <c r="A22" s="2">
        <v>11</v>
      </c>
      <c r="B22" s="2"/>
      <c r="E22" s="8"/>
      <c r="F22" s="2"/>
      <c r="G22" s="3"/>
    </row>
    <row r="23" spans="1:7">
      <c r="A23" s="2">
        <v>22</v>
      </c>
      <c r="B23" s="2"/>
      <c r="E23" s="8"/>
      <c r="F23" s="2"/>
      <c r="G23" s="3"/>
    </row>
    <row r="24" spans="1:7">
      <c r="A24" s="2">
        <v>4</v>
      </c>
      <c r="B24" s="2"/>
      <c r="E24" s="8"/>
      <c r="F24" s="2"/>
      <c r="G24" s="3"/>
    </row>
    <row r="25" spans="1:7">
      <c r="A25" s="2">
        <v>125</v>
      </c>
      <c r="B25" s="2" t="s">
        <v>42</v>
      </c>
      <c r="E25" s="8"/>
      <c r="F25" s="2"/>
      <c r="G25" s="3"/>
    </row>
    <row r="26" spans="1:7">
      <c r="A26" s="2">
        <v>115</v>
      </c>
      <c r="B26" s="2" t="s">
        <v>42</v>
      </c>
      <c r="E26" s="8"/>
      <c r="F26" s="2"/>
      <c r="G26" s="3"/>
    </row>
    <row r="27" spans="1:7">
      <c r="A27" s="2">
        <v>24</v>
      </c>
      <c r="B27" s="2"/>
      <c r="E27" s="8"/>
      <c r="F27" s="2"/>
      <c r="G27" s="3"/>
    </row>
    <row r="28" spans="1:7" ht="18">
      <c r="A28" s="2">
        <v>35</v>
      </c>
      <c r="B28" s="6"/>
      <c r="C28" s="4"/>
      <c r="D28" s="7"/>
      <c r="E28" s="8"/>
      <c r="F28" s="2"/>
      <c r="G28" s="3"/>
    </row>
    <row r="29" spans="1:7">
      <c r="A29" s="2">
        <v>117</v>
      </c>
      <c r="B29" s="2" t="s">
        <v>42</v>
      </c>
      <c r="C29" s="4"/>
      <c r="D29" s="7"/>
      <c r="E29" s="8"/>
      <c r="F29" s="2"/>
      <c r="G29" s="3"/>
    </row>
    <row r="30" spans="1:7">
      <c r="A30" s="2">
        <v>8</v>
      </c>
      <c r="B30" s="2"/>
      <c r="C30" s="4"/>
      <c r="D30" s="7"/>
      <c r="E30" s="8"/>
      <c r="F30" s="2"/>
      <c r="G30" s="3"/>
    </row>
    <row r="31" spans="1:7">
      <c r="A31" s="2">
        <v>127</v>
      </c>
      <c r="B31" s="2" t="s">
        <v>42</v>
      </c>
      <c r="C31" s="4"/>
      <c r="D31" s="7"/>
      <c r="E31" s="8"/>
      <c r="F31" s="2"/>
      <c r="G31" s="3"/>
    </row>
    <row r="32" spans="1:7">
      <c r="A32" s="2">
        <v>37</v>
      </c>
      <c r="B32" s="2"/>
      <c r="C32" s="4"/>
      <c r="D32" s="7"/>
      <c r="E32" s="8"/>
      <c r="F32" s="2"/>
      <c r="G32" s="3"/>
    </row>
    <row r="33" spans="1:7">
      <c r="A33" s="2">
        <v>110</v>
      </c>
      <c r="B33" s="2" t="s">
        <v>42</v>
      </c>
      <c r="C33" s="4"/>
      <c r="D33" s="7"/>
      <c r="E33" s="8"/>
      <c r="F33" s="2"/>
      <c r="G33" s="3"/>
    </row>
    <row r="34" spans="1:7">
      <c r="A34" s="2">
        <v>36</v>
      </c>
      <c r="B34" s="2"/>
      <c r="C34" s="4"/>
      <c r="D34" s="7"/>
      <c r="E34" s="8"/>
      <c r="F34" s="2"/>
      <c r="G34" s="3"/>
    </row>
    <row r="35" spans="1:7">
      <c r="A35" s="2">
        <v>23</v>
      </c>
      <c r="B35" s="2"/>
      <c r="C35" s="4"/>
      <c r="D35" s="7"/>
      <c r="E35" s="8"/>
      <c r="F35" s="2"/>
      <c r="G35" s="3"/>
    </row>
    <row r="36" spans="1:7">
      <c r="A36" s="2">
        <v>116</v>
      </c>
      <c r="B36" s="2" t="s">
        <v>42</v>
      </c>
      <c r="C36" s="4"/>
      <c r="D36" s="7"/>
      <c r="E36" s="8"/>
      <c r="F36" s="2"/>
      <c r="G36" s="3"/>
    </row>
    <row r="37" spans="1:7">
      <c r="A37" s="2">
        <v>123</v>
      </c>
      <c r="B37" s="2" t="s">
        <v>42</v>
      </c>
      <c r="C37" s="4"/>
      <c r="D37" s="7"/>
      <c r="E37" s="8"/>
      <c r="F37" s="2"/>
      <c r="G37" s="3"/>
    </row>
    <row r="38" spans="1:7">
      <c r="A38" s="2">
        <v>18</v>
      </c>
      <c r="B38" s="2"/>
      <c r="C38" s="4"/>
      <c r="D38" s="7"/>
      <c r="E38" s="8"/>
      <c r="F38" s="2"/>
      <c r="G38" s="3"/>
    </row>
    <row r="39" spans="1:7">
      <c r="A39" s="2">
        <v>27</v>
      </c>
      <c r="B39" s="2"/>
      <c r="C39" s="4"/>
      <c r="D39" s="7"/>
      <c r="E39" s="8"/>
      <c r="F39" s="2"/>
      <c r="G39" s="3"/>
    </row>
    <row r="40" spans="1:7">
      <c r="A40" s="2">
        <v>26</v>
      </c>
      <c r="B40" s="2"/>
      <c r="C40" s="4"/>
      <c r="D40" s="7"/>
      <c r="E40" s="8"/>
      <c r="F40" s="2"/>
      <c r="G40" s="3"/>
    </row>
    <row r="41" spans="1:7">
      <c r="A41" s="2">
        <v>16</v>
      </c>
      <c r="B41" s="2"/>
      <c r="C41" s="4"/>
      <c r="D41" s="7"/>
      <c r="E41" s="8"/>
      <c r="F41" s="2"/>
      <c r="G41" s="3"/>
    </row>
    <row r="42" spans="1:7">
      <c r="A42" s="2">
        <v>42</v>
      </c>
      <c r="B42" s="2"/>
      <c r="C42" s="4"/>
      <c r="D42" s="7"/>
      <c r="E42" s="8"/>
      <c r="F42" s="2"/>
      <c r="G42" s="3"/>
    </row>
    <row r="43" spans="1:7">
      <c r="A43" s="2">
        <v>41</v>
      </c>
      <c r="B43" s="2"/>
      <c r="C43" s="4"/>
      <c r="D43" s="7"/>
      <c r="E43" s="8"/>
      <c r="F43" s="2"/>
      <c r="G43" s="3"/>
    </row>
    <row r="44" spans="1:7">
      <c r="A44" s="2">
        <v>40</v>
      </c>
      <c r="B44" s="2"/>
      <c r="C44" s="4"/>
      <c r="D44" s="7"/>
      <c r="E44" s="8"/>
      <c r="F44" s="2"/>
      <c r="G44" s="3"/>
    </row>
    <row r="45" spans="1:7">
      <c r="A45" s="2">
        <v>43</v>
      </c>
      <c r="B45" s="2"/>
      <c r="C45" s="4"/>
      <c r="D45" s="7"/>
      <c r="E45" s="8"/>
      <c r="F45" s="2"/>
      <c r="G45" s="3"/>
    </row>
    <row r="46" spans="1:7">
      <c r="A46" s="2"/>
      <c r="B46" s="2"/>
      <c r="C46" s="4"/>
      <c r="D46" s="7"/>
      <c r="E46" s="8"/>
      <c r="F46" s="2"/>
      <c r="G46" s="3"/>
    </row>
    <row r="47" spans="1:7">
      <c r="A47" s="2">
        <v>1</v>
      </c>
      <c r="B47" s="2">
        <v>1</v>
      </c>
      <c r="C47" s="4"/>
      <c r="D47" s="7"/>
      <c r="E47" s="8"/>
      <c r="F47" s="2"/>
      <c r="G47" s="3"/>
    </row>
    <row r="48" spans="1:7">
      <c r="A48" s="2">
        <v>20</v>
      </c>
      <c r="B48" s="2">
        <v>2</v>
      </c>
      <c r="C48" s="4"/>
      <c r="D48" s="7"/>
      <c r="E48" s="8"/>
      <c r="F48" s="2"/>
      <c r="G48" s="3"/>
    </row>
    <row r="49" spans="1:7">
      <c r="A49" s="2">
        <v>109</v>
      </c>
      <c r="B49" s="2">
        <v>3</v>
      </c>
      <c r="C49" s="4"/>
      <c r="D49" s="7"/>
      <c r="E49" s="8"/>
      <c r="F49" s="2"/>
      <c r="G49" s="3"/>
    </row>
    <row r="50" spans="1:7">
      <c r="A50" s="2">
        <v>31</v>
      </c>
      <c r="B50" s="2">
        <v>4</v>
      </c>
      <c r="C50" s="4"/>
      <c r="D50" s="7"/>
      <c r="E50" s="8"/>
      <c r="F50" s="2"/>
      <c r="G50" s="3"/>
    </row>
    <row r="51" spans="1:7">
      <c r="A51" s="2">
        <v>34</v>
      </c>
      <c r="B51" s="2">
        <v>5</v>
      </c>
      <c r="C51" s="4"/>
      <c r="D51" s="7"/>
      <c r="E51" s="8"/>
      <c r="F51" s="2"/>
      <c r="G51" s="3"/>
    </row>
    <row r="52" spans="1:7">
      <c r="A52" s="2">
        <v>28</v>
      </c>
      <c r="B52" s="2">
        <v>6</v>
      </c>
      <c r="C52" s="4"/>
      <c r="D52" s="7"/>
      <c r="E52" s="8"/>
      <c r="F52" s="2"/>
      <c r="G52" s="3"/>
    </row>
    <row r="53" spans="1:7">
      <c r="A53" s="2">
        <v>121</v>
      </c>
      <c r="B53" s="2">
        <v>7</v>
      </c>
      <c r="C53" s="4"/>
      <c r="D53" s="7"/>
      <c r="E53" s="8"/>
      <c r="F53" s="2"/>
      <c r="G53" s="3"/>
    </row>
    <row r="54" spans="1:7">
      <c r="A54" s="2">
        <v>10</v>
      </c>
      <c r="B54" s="2">
        <v>8</v>
      </c>
      <c r="C54" s="4"/>
      <c r="D54" s="7"/>
      <c r="E54" s="8"/>
      <c r="F54" s="2"/>
      <c r="G54" s="3"/>
    </row>
    <row r="55" spans="1:7">
      <c r="A55" s="2">
        <v>6</v>
      </c>
      <c r="B55" s="2">
        <v>9</v>
      </c>
      <c r="C55" s="4"/>
      <c r="D55" s="7"/>
      <c r="E55" s="8"/>
      <c r="F55" s="2"/>
      <c r="G55" s="3"/>
    </row>
    <row r="56" spans="1:7">
      <c r="A56" s="2">
        <v>128</v>
      </c>
      <c r="B56" s="2">
        <v>10</v>
      </c>
      <c r="C56" s="4"/>
      <c r="D56" s="7"/>
      <c r="E56" s="8"/>
      <c r="F56" s="2"/>
      <c r="G56" s="3"/>
    </row>
    <row r="57" spans="1:7">
      <c r="A57" s="2">
        <v>44</v>
      </c>
      <c r="B57" s="2">
        <v>11</v>
      </c>
      <c r="C57" s="4"/>
      <c r="D57" s="7"/>
      <c r="E57" s="8"/>
      <c r="F57" s="2"/>
      <c r="G57" s="3"/>
    </row>
    <row r="58" spans="1:7">
      <c r="A58" s="2">
        <v>132</v>
      </c>
      <c r="B58" s="2">
        <v>12</v>
      </c>
      <c r="C58" s="4"/>
      <c r="D58" s="7"/>
      <c r="E58" s="8"/>
      <c r="F58" s="2"/>
      <c r="G58" s="3"/>
    </row>
    <row r="59" spans="1:7">
      <c r="A59" s="2">
        <v>124</v>
      </c>
      <c r="B59" s="2">
        <v>13</v>
      </c>
      <c r="C59" s="4"/>
      <c r="D59" s="7"/>
      <c r="E59" s="8"/>
      <c r="F59" s="2"/>
      <c r="G59" s="3"/>
    </row>
    <row r="60" spans="1:7">
      <c r="A60" s="2">
        <v>48</v>
      </c>
      <c r="B60" s="2">
        <v>14</v>
      </c>
      <c r="C60" s="4"/>
      <c r="D60" s="7"/>
      <c r="E60" s="8"/>
      <c r="F60" s="2"/>
      <c r="G60" s="3"/>
    </row>
    <row r="61" spans="1:7">
      <c r="A61" s="2">
        <v>47</v>
      </c>
      <c r="B61" s="2">
        <v>15</v>
      </c>
      <c r="C61" s="4"/>
      <c r="D61" s="7"/>
      <c r="E61" s="8"/>
      <c r="F61" s="2"/>
      <c r="G61" s="3"/>
    </row>
    <row r="62" spans="1:7">
      <c r="A62" s="2">
        <v>125</v>
      </c>
      <c r="B62" s="2">
        <v>16</v>
      </c>
      <c r="C62" s="4"/>
      <c r="D62" s="7"/>
      <c r="E62" s="8"/>
      <c r="F62" s="2"/>
      <c r="G62" s="3"/>
    </row>
    <row r="63" spans="1:7">
      <c r="A63" s="2">
        <v>129</v>
      </c>
      <c r="B63" s="2">
        <v>17</v>
      </c>
      <c r="C63" s="4"/>
      <c r="D63" s="7"/>
      <c r="E63" s="8"/>
      <c r="F63" s="2"/>
      <c r="G63" s="3"/>
    </row>
    <row r="64" spans="1:7">
      <c r="A64" s="2">
        <v>117</v>
      </c>
      <c r="B64" s="2">
        <v>18</v>
      </c>
      <c r="C64" s="4"/>
      <c r="D64" s="7"/>
      <c r="E64" s="8"/>
      <c r="F64" s="2"/>
      <c r="G64" s="3"/>
    </row>
    <row r="65" spans="1:7">
      <c r="A65" s="2">
        <v>130</v>
      </c>
      <c r="B65" s="2">
        <v>19</v>
      </c>
      <c r="C65" s="4"/>
      <c r="D65" s="7"/>
      <c r="E65" s="8"/>
      <c r="F65" s="2"/>
      <c r="G65" s="3"/>
    </row>
    <row r="66" spans="1:7">
      <c r="A66" s="2">
        <v>127</v>
      </c>
      <c r="B66" s="2">
        <v>20</v>
      </c>
      <c r="C66" s="4"/>
      <c r="D66" s="7"/>
      <c r="E66" s="8"/>
      <c r="F66" s="2"/>
      <c r="G66" s="3"/>
    </row>
    <row r="67" spans="1:7">
      <c r="A67" s="2">
        <v>45</v>
      </c>
      <c r="B67" s="2">
        <v>21</v>
      </c>
      <c r="C67" s="4"/>
      <c r="D67" s="7"/>
      <c r="E67" s="8"/>
      <c r="F67" s="2"/>
      <c r="G67" s="3"/>
    </row>
    <row r="68" spans="1:7">
      <c r="A68" s="2">
        <v>131</v>
      </c>
      <c r="B68" s="2">
        <v>22</v>
      </c>
      <c r="C68" s="4"/>
      <c r="D68" s="7"/>
      <c r="E68" s="8"/>
      <c r="F68" s="2"/>
      <c r="G68" s="3"/>
    </row>
    <row r="69" spans="1:7">
      <c r="A69" s="2">
        <v>116</v>
      </c>
      <c r="B69" s="2">
        <v>23</v>
      </c>
      <c r="C69" s="4"/>
      <c r="D69" s="7"/>
      <c r="E69" s="8"/>
      <c r="F69" s="2"/>
      <c r="G69" s="3"/>
    </row>
    <row r="70" spans="1:7">
      <c r="A70" s="2">
        <v>110</v>
      </c>
      <c r="B70" s="2">
        <v>24</v>
      </c>
      <c r="C70" s="4"/>
      <c r="D70" s="7"/>
      <c r="E70" s="8"/>
      <c r="F70" s="2"/>
      <c r="G70" s="3"/>
    </row>
    <row r="71" spans="1:7">
      <c r="A71" s="2">
        <v>134</v>
      </c>
      <c r="B71" s="2">
        <v>25</v>
      </c>
      <c r="C71" s="4"/>
      <c r="D71" s="7"/>
      <c r="E71" s="8"/>
      <c r="F71" s="2"/>
      <c r="G71" s="3"/>
    </row>
    <row r="72" spans="1:7">
      <c r="B72" s="2"/>
      <c r="C72" s="4"/>
      <c r="D72" s="7"/>
      <c r="E72" s="8"/>
      <c r="F72" s="2"/>
      <c r="G72" s="3"/>
    </row>
    <row r="73" spans="1:7">
      <c r="B73" s="2"/>
      <c r="C73" s="4"/>
      <c r="D73" s="7"/>
      <c r="E73" s="8"/>
      <c r="F73" s="2"/>
      <c r="G73" s="3"/>
    </row>
    <row r="74" spans="1:7">
      <c r="B74" s="2"/>
      <c r="C74" s="4"/>
      <c r="D74" s="7"/>
      <c r="E74" s="8"/>
      <c r="F74" s="2"/>
      <c r="G74" s="3"/>
    </row>
    <row r="75" spans="1:7">
      <c r="B75" s="2"/>
      <c r="C75" s="4"/>
      <c r="D75" s="7"/>
      <c r="E75" s="8"/>
      <c r="F75" s="2"/>
      <c r="G75" s="3"/>
    </row>
    <row r="76" spans="1:7">
      <c r="B76" s="2"/>
      <c r="C76" s="4"/>
      <c r="D76" s="7"/>
      <c r="E76" s="8"/>
      <c r="F76" s="2"/>
      <c r="G76" s="3"/>
    </row>
    <row r="77" spans="1:7">
      <c r="B77" s="2"/>
      <c r="C77" s="4"/>
      <c r="D77" s="7"/>
      <c r="E77" s="8"/>
      <c r="F77" s="2"/>
      <c r="G77" s="3"/>
    </row>
    <row r="78" spans="1:7">
      <c r="B78" s="2"/>
      <c r="C78" s="4"/>
      <c r="D78" s="7"/>
      <c r="E78" s="8"/>
      <c r="F78" s="2"/>
      <c r="G78" s="3"/>
    </row>
    <row r="79" spans="1:7">
      <c r="B79" s="2"/>
      <c r="C79" s="4"/>
      <c r="D79" s="7"/>
      <c r="E79" s="8"/>
      <c r="F79" s="2"/>
      <c r="G79" s="3"/>
    </row>
    <row r="80" spans="1:7">
      <c r="B80" s="2"/>
      <c r="C80" s="4"/>
      <c r="D80" s="7"/>
      <c r="E80" s="8"/>
      <c r="F80" s="2"/>
      <c r="G80" s="3"/>
    </row>
    <row r="81" spans="1:7">
      <c r="B81" s="2"/>
      <c r="C81" s="4"/>
      <c r="D81" s="7"/>
      <c r="E81" s="8"/>
      <c r="F81" s="2"/>
      <c r="G81" s="3"/>
    </row>
    <row r="82" spans="1:7">
      <c r="B82" s="2"/>
      <c r="C82" s="4"/>
      <c r="D82" s="7"/>
      <c r="E82" s="8"/>
      <c r="F82" s="2"/>
      <c r="G82" s="3"/>
    </row>
    <row r="83" spans="1:7">
      <c r="B83" s="2"/>
      <c r="C83" s="4"/>
      <c r="D83" s="7"/>
      <c r="E83" s="8"/>
      <c r="F83" s="2"/>
      <c r="G83" s="3"/>
    </row>
    <row r="84" spans="1:7">
      <c r="B84" s="2"/>
      <c r="C84" s="4"/>
      <c r="D84" s="7"/>
      <c r="E84" s="8"/>
      <c r="F84" s="2"/>
      <c r="G84" s="3"/>
    </row>
    <row r="85" spans="1:7">
      <c r="B85" s="2"/>
      <c r="C85" s="4"/>
      <c r="D85" s="7"/>
      <c r="E85" s="8"/>
      <c r="F85" s="2"/>
      <c r="G85" s="3"/>
    </row>
    <row r="86" spans="1:7" ht="18">
      <c r="B86" s="6"/>
      <c r="C86" s="4"/>
      <c r="D86" s="7"/>
      <c r="E86" s="8"/>
      <c r="F86" s="2"/>
      <c r="G86" s="3"/>
    </row>
    <row r="87" spans="1:7" ht="18">
      <c r="B87" s="6"/>
      <c r="C87" s="4"/>
      <c r="D87" s="7"/>
      <c r="E87" s="8"/>
      <c r="F87" s="2"/>
      <c r="G87" s="3"/>
    </row>
    <row r="88" spans="1:7" ht="18">
      <c r="A88" t="s">
        <v>36</v>
      </c>
      <c r="B88" s="6"/>
      <c r="C88" s="4"/>
      <c r="D88" s="7"/>
      <c r="E88" s="8"/>
      <c r="F88" s="2"/>
      <c r="G88" s="3"/>
    </row>
    <row r="89" spans="1:7" ht="18">
      <c r="B89" s="6"/>
      <c r="C89" s="4"/>
      <c r="D89" s="7"/>
      <c r="E89" s="8"/>
      <c r="F89" s="2"/>
      <c r="G89" s="3"/>
    </row>
    <row r="90" spans="1:7">
      <c r="A90" s="2">
        <v>716</v>
      </c>
      <c r="B90" t="s">
        <v>11</v>
      </c>
      <c r="C90" t="s">
        <v>10</v>
      </c>
      <c r="D90" s="2">
        <v>1</v>
      </c>
      <c r="E90" s="8"/>
      <c r="F90" s="2"/>
      <c r="G90" s="3"/>
    </row>
    <row r="91" spans="1:7">
      <c r="A91" s="2">
        <v>735</v>
      </c>
      <c r="B91" t="s">
        <v>12</v>
      </c>
      <c r="C91" t="s">
        <v>33</v>
      </c>
      <c r="D91" s="2">
        <v>2</v>
      </c>
      <c r="E91" s="8"/>
      <c r="F91" s="2"/>
      <c r="G91" s="3"/>
    </row>
    <row r="92" spans="1:7">
      <c r="A92" s="2">
        <v>741</v>
      </c>
      <c r="B92" t="s">
        <v>26</v>
      </c>
      <c r="C92" t="s">
        <v>7</v>
      </c>
      <c r="D92" s="2">
        <v>3</v>
      </c>
      <c r="E92" s="8"/>
      <c r="F92" s="2"/>
      <c r="G92" s="3"/>
    </row>
    <row r="93" spans="1:7">
      <c r="A93" s="2">
        <v>738</v>
      </c>
      <c r="B93" t="s">
        <v>27</v>
      </c>
      <c r="C93" t="s">
        <v>7</v>
      </c>
      <c r="D93" s="2">
        <v>4</v>
      </c>
      <c r="F93" s="2"/>
      <c r="G93" s="3"/>
    </row>
    <row r="94" spans="1:7">
      <c r="A94" s="2">
        <v>734</v>
      </c>
      <c r="B94" t="s">
        <v>28</v>
      </c>
      <c r="C94" t="s">
        <v>34</v>
      </c>
      <c r="D94" s="2">
        <v>5</v>
      </c>
      <c r="F94" s="2"/>
      <c r="G94" s="3"/>
    </row>
    <row r="95" spans="1:7">
      <c r="A95" s="2">
        <v>747</v>
      </c>
      <c r="B95" t="s">
        <v>14</v>
      </c>
      <c r="C95" t="s">
        <v>6</v>
      </c>
      <c r="D95" s="2">
        <v>6</v>
      </c>
      <c r="F95" s="2"/>
      <c r="G95" s="3"/>
    </row>
    <row r="96" spans="1:7">
      <c r="A96" s="2">
        <v>736</v>
      </c>
      <c r="B96" t="s">
        <v>13</v>
      </c>
      <c r="C96" t="s">
        <v>7</v>
      </c>
      <c r="D96" s="2">
        <v>7</v>
      </c>
      <c r="F96" s="2"/>
      <c r="G96" s="3"/>
    </row>
    <row r="97" spans="1:7">
      <c r="A97" s="2">
        <v>749</v>
      </c>
      <c r="B97" t="s">
        <v>16</v>
      </c>
      <c r="C97" t="s">
        <v>6</v>
      </c>
      <c r="D97" s="2">
        <v>8</v>
      </c>
      <c r="F97" s="2"/>
      <c r="G97" s="3"/>
    </row>
    <row r="98" spans="1:7">
      <c r="A98" s="2">
        <v>733</v>
      </c>
      <c r="B98" t="s">
        <v>15</v>
      </c>
      <c r="C98" t="s">
        <v>10</v>
      </c>
      <c r="D98" s="2">
        <v>9</v>
      </c>
      <c r="F98" s="2"/>
      <c r="G98" s="3"/>
    </row>
    <row r="99" spans="1:7">
      <c r="A99" s="2">
        <v>737</v>
      </c>
      <c r="B99" t="s">
        <v>17</v>
      </c>
      <c r="C99" t="s">
        <v>23</v>
      </c>
      <c r="D99" s="2">
        <v>10</v>
      </c>
      <c r="F99" s="2"/>
      <c r="G99" s="3"/>
    </row>
    <row r="100" spans="1:7">
      <c r="A100" s="2">
        <v>748</v>
      </c>
      <c r="B100" t="s">
        <v>18</v>
      </c>
      <c r="C100" t="s">
        <v>6</v>
      </c>
      <c r="D100" s="2">
        <v>11</v>
      </c>
      <c r="F100" s="2"/>
      <c r="G100" s="3"/>
    </row>
    <row r="101" spans="1:7">
      <c r="A101" s="2">
        <v>744</v>
      </c>
      <c r="B101" t="s">
        <v>29</v>
      </c>
      <c r="C101" t="s">
        <v>35</v>
      </c>
      <c r="D101" s="10">
        <v>12</v>
      </c>
      <c r="F101" s="2"/>
      <c r="G101" s="3"/>
    </row>
    <row r="102" spans="1:7">
      <c r="A102" s="2">
        <v>743</v>
      </c>
      <c r="B102" t="s">
        <v>20</v>
      </c>
      <c r="C102" t="s">
        <v>24</v>
      </c>
      <c r="D102" s="10">
        <v>13</v>
      </c>
      <c r="F102" s="2"/>
      <c r="G102" s="3"/>
    </row>
    <row r="103" spans="1:7">
      <c r="A103" s="2">
        <v>740</v>
      </c>
      <c r="B103" t="s">
        <v>19</v>
      </c>
      <c r="C103" t="s">
        <v>7</v>
      </c>
      <c r="D103" s="10">
        <v>14</v>
      </c>
      <c r="F103" s="2"/>
      <c r="G103" s="3"/>
    </row>
    <row r="104" spans="1:7">
      <c r="A104" s="2">
        <v>739</v>
      </c>
      <c r="B104" t="s">
        <v>21</v>
      </c>
      <c r="C104" t="s">
        <v>7</v>
      </c>
      <c r="D104" s="10">
        <v>15</v>
      </c>
      <c r="F104" s="2"/>
      <c r="G104" s="3"/>
    </row>
    <row r="105" spans="1:7">
      <c r="A105" s="2">
        <v>726</v>
      </c>
      <c r="B105" t="s">
        <v>30</v>
      </c>
      <c r="C105" t="s">
        <v>10</v>
      </c>
      <c r="D105" s="10">
        <v>16</v>
      </c>
      <c r="F105" s="2"/>
      <c r="G105" s="3"/>
    </row>
    <row r="106" spans="1:7">
      <c r="A106" s="2">
        <v>746</v>
      </c>
      <c r="B106" t="s">
        <v>22</v>
      </c>
      <c r="C106" t="s">
        <v>25</v>
      </c>
      <c r="D106" s="10">
        <v>17</v>
      </c>
      <c r="F106" s="2"/>
      <c r="G106" s="3"/>
    </row>
    <row r="107" spans="1:7">
      <c r="A107" s="2">
        <v>742</v>
      </c>
      <c r="B107" t="s">
        <v>31</v>
      </c>
      <c r="C107" t="s">
        <v>24</v>
      </c>
      <c r="D107" s="10">
        <v>18</v>
      </c>
      <c r="F107" s="2"/>
      <c r="G107" s="3"/>
    </row>
    <row r="108" spans="1:7">
      <c r="A108" s="2">
        <v>745</v>
      </c>
      <c r="B108" t="s">
        <v>32</v>
      </c>
      <c r="C108" t="s">
        <v>9</v>
      </c>
      <c r="D108" s="10">
        <v>19</v>
      </c>
      <c r="F108" s="2"/>
      <c r="G108" s="3"/>
    </row>
    <row r="109" spans="1:7">
      <c r="F109" s="2"/>
      <c r="G109" s="3"/>
    </row>
    <row r="110" spans="1:7">
      <c r="A110" s="2">
        <v>716</v>
      </c>
      <c r="D110" s="10">
        <v>1</v>
      </c>
      <c r="F110" s="2"/>
      <c r="G110" s="3"/>
    </row>
    <row r="111" spans="1:7">
      <c r="A111" s="2">
        <v>735</v>
      </c>
      <c r="D111" s="10">
        <v>2</v>
      </c>
      <c r="F111" s="2"/>
      <c r="G111" s="3"/>
    </row>
    <row r="112" spans="1:7">
      <c r="A112" s="2">
        <v>741</v>
      </c>
      <c r="D112" s="10">
        <v>3</v>
      </c>
      <c r="F112" s="2"/>
      <c r="G112" s="3"/>
    </row>
    <row r="113" spans="1:7">
      <c r="A113" s="2">
        <v>738</v>
      </c>
      <c r="D113" s="10">
        <v>4</v>
      </c>
      <c r="F113" s="2"/>
      <c r="G113" s="3"/>
    </row>
    <row r="114" spans="1:7">
      <c r="A114" s="2">
        <v>736</v>
      </c>
      <c r="D114" s="10">
        <v>5</v>
      </c>
      <c r="F114" s="2"/>
      <c r="G114" s="3"/>
    </row>
    <row r="115" spans="1:7">
      <c r="A115" s="2">
        <v>747</v>
      </c>
      <c r="D115" s="10">
        <v>6</v>
      </c>
      <c r="F115" s="2"/>
      <c r="G115" s="3"/>
    </row>
    <row r="116" spans="1:7">
      <c r="A116" s="2">
        <v>733</v>
      </c>
      <c r="D116" s="10">
        <v>7</v>
      </c>
      <c r="F116" s="2"/>
      <c r="G116" s="3"/>
    </row>
    <row r="117" spans="1:7">
      <c r="A117" s="2">
        <v>749</v>
      </c>
      <c r="D117" s="10">
        <v>8</v>
      </c>
      <c r="F117" s="2"/>
      <c r="G117" s="3"/>
    </row>
    <row r="118" spans="1:7">
      <c r="A118" s="2">
        <v>737</v>
      </c>
      <c r="D118" s="10">
        <v>9</v>
      </c>
    </row>
    <row r="119" spans="1:7">
      <c r="A119" s="2">
        <v>750</v>
      </c>
      <c r="D119" s="10">
        <v>10</v>
      </c>
    </row>
    <row r="120" spans="1:7">
      <c r="A120" s="2">
        <v>748</v>
      </c>
      <c r="D120" s="10">
        <v>11</v>
      </c>
    </row>
    <row r="121" spans="1:7">
      <c r="A121" s="2">
        <v>751</v>
      </c>
      <c r="D121" s="10">
        <v>12</v>
      </c>
    </row>
    <row r="122" spans="1:7">
      <c r="A122" s="2">
        <v>740</v>
      </c>
      <c r="D122" s="10">
        <v>13</v>
      </c>
    </row>
    <row r="123" spans="1:7">
      <c r="A123" s="2">
        <v>743</v>
      </c>
      <c r="D123" s="10">
        <v>14</v>
      </c>
    </row>
    <row r="124" spans="1:7">
      <c r="A124" s="2">
        <v>739</v>
      </c>
      <c r="D124" s="10">
        <v>15</v>
      </c>
    </row>
    <row r="125" spans="1:7">
      <c r="A125" s="2">
        <v>746</v>
      </c>
      <c r="D125" s="10">
        <v>16</v>
      </c>
    </row>
    <row r="128" spans="1:7">
      <c r="A128" t="s">
        <v>37</v>
      </c>
    </row>
    <row r="130" spans="1:7">
      <c r="A130" s="2">
        <v>982</v>
      </c>
      <c r="B130" s="2"/>
    </row>
    <row r="131" spans="1:7">
      <c r="A131" s="2">
        <v>981</v>
      </c>
      <c r="B131" s="2"/>
    </row>
    <row r="132" spans="1:7">
      <c r="A132" s="2">
        <v>926</v>
      </c>
      <c r="B132" s="2"/>
    </row>
    <row r="133" spans="1:7">
      <c r="A133" s="2">
        <v>931</v>
      </c>
      <c r="B133" s="2"/>
      <c r="C133" s="4"/>
      <c r="D133" s="7"/>
      <c r="E133" s="8"/>
      <c r="F133" s="2"/>
      <c r="G133" s="3"/>
    </row>
    <row r="134" spans="1:7">
      <c r="A134" s="2">
        <v>928</v>
      </c>
      <c r="B134" s="2"/>
      <c r="C134" s="4"/>
      <c r="D134" s="7"/>
      <c r="E134" s="8"/>
      <c r="F134" s="2"/>
      <c r="G134" s="3"/>
    </row>
    <row r="135" spans="1:7">
      <c r="A135" s="2">
        <v>907</v>
      </c>
      <c r="B135" s="2"/>
      <c r="C135" s="4"/>
      <c r="D135" s="7"/>
      <c r="E135" s="8"/>
      <c r="F135" s="2"/>
      <c r="G135" s="3"/>
    </row>
    <row r="136" spans="1:7">
      <c r="A136" s="2">
        <v>980</v>
      </c>
      <c r="B136" s="2"/>
      <c r="C136" s="4"/>
      <c r="D136" s="7"/>
      <c r="E136" s="8"/>
      <c r="F136" s="2"/>
      <c r="G136" s="3"/>
    </row>
    <row r="137" spans="1:7">
      <c r="A137" s="2">
        <v>979</v>
      </c>
      <c r="B137" s="2"/>
      <c r="C137" s="4"/>
      <c r="D137" s="7"/>
      <c r="E137" s="8"/>
      <c r="F137" s="2"/>
      <c r="G137" s="3"/>
    </row>
    <row r="138" spans="1:7">
      <c r="A138" s="2">
        <v>937</v>
      </c>
      <c r="B138" s="2"/>
      <c r="C138" s="4"/>
      <c r="D138" s="7"/>
      <c r="E138" s="8"/>
      <c r="F138" s="2"/>
      <c r="G138" s="3"/>
    </row>
    <row r="139" spans="1:7">
      <c r="A139" s="2">
        <v>935</v>
      </c>
      <c r="B139" s="2"/>
      <c r="C139" s="4"/>
      <c r="D139" s="7"/>
      <c r="E139" s="8"/>
      <c r="F139" s="2"/>
      <c r="G139" s="3"/>
    </row>
    <row r="140" spans="1:7">
      <c r="A140" s="2">
        <v>940</v>
      </c>
      <c r="B140" s="2"/>
      <c r="C140" s="4"/>
      <c r="D140" s="7"/>
      <c r="E140" s="8"/>
      <c r="F140" s="2"/>
      <c r="G140" s="3"/>
    </row>
    <row r="141" spans="1:7">
      <c r="A141" s="2">
        <v>992</v>
      </c>
      <c r="B141" s="2"/>
      <c r="C141" s="4"/>
      <c r="D141" s="7"/>
      <c r="E141" s="8"/>
      <c r="F141" s="2"/>
      <c r="G141" s="3"/>
    </row>
    <row r="142" spans="1:7">
      <c r="A142" s="2">
        <v>990</v>
      </c>
      <c r="B142" s="2"/>
      <c r="C142" s="4"/>
      <c r="D142" s="7"/>
      <c r="E142" s="8"/>
      <c r="F142" s="2"/>
      <c r="G142" s="3"/>
    </row>
    <row r="143" spans="1:7">
      <c r="A143" s="2">
        <v>991</v>
      </c>
      <c r="B143" s="2"/>
      <c r="C143" s="4"/>
      <c r="D143" s="7"/>
      <c r="E143" s="8"/>
      <c r="F143" s="2"/>
      <c r="G143" s="3"/>
    </row>
    <row r="144" spans="1:7">
      <c r="A144" s="2">
        <v>993</v>
      </c>
      <c r="B144" s="2"/>
      <c r="C144" s="4"/>
      <c r="D144" s="7"/>
      <c r="E144" s="8"/>
      <c r="F144" s="2"/>
      <c r="G144" s="3"/>
    </row>
    <row r="145" spans="1:7">
      <c r="A145" s="2">
        <v>945</v>
      </c>
      <c r="B145" s="2"/>
      <c r="C145" s="4"/>
      <c r="D145" s="7"/>
      <c r="E145" s="8"/>
      <c r="F145" s="2"/>
      <c r="G145" s="3"/>
    </row>
    <row r="146" spans="1:7">
      <c r="A146" s="2">
        <v>936</v>
      </c>
      <c r="B146" s="2"/>
      <c r="C146" s="4"/>
      <c r="D146" s="7"/>
      <c r="E146" s="8"/>
      <c r="F146" s="2"/>
      <c r="G146" s="3"/>
    </row>
    <row r="147" spans="1:7">
      <c r="A147" s="2">
        <v>948</v>
      </c>
      <c r="B147" s="2"/>
      <c r="C147" s="4"/>
      <c r="D147" s="7"/>
      <c r="E147" s="8"/>
      <c r="F147" s="2"/>
      <c r="G147" s="3"/>
    </row>
    <row r="148" spans="1:7">
      <c r="A148" s="2">
        <v>976</v>
      </c>
      <c r="B148" s="2"/>
      <c r="C148" s="4"/>
      <c r="D148" s="7"/>
      <c r="E148" s="8"/>
      <c r="F148" s="2"/>
      <c r="G148" s="3"/>
    </row>
    <row r="149" spans="1:7">
      <c r="A149" s="2">
        <v>934</v>
      </c>
      <c r="B149" s="2"/>
      <c r="C149" s="4"/>
      <c r="D149" s="7"/>
      <c r="E149" s="8"/>
      <c r="F149" s="2"/>
      <c r="G149" s="3"/>
    </row>
    <row r="150" spans="1:7">
      <c r="A150" s="2">
        <v>939</v>
      </c>
      <c r="B150" s="2"/>
      <c r="C150" s="4"/>
      <c r="D150" s="7"/>
      <c r="E150" s="8"/>
      <c r="F150" s="2"/>
      <c r="G150" s="3"/>
    </row>
    <row r="151" spans="1:7">
      <c r="A151" s="2">
        <v>949</v>
      </c>
      <c r="B151" s="2"/>
      <c r="C151" s="4"/>
      <c r="D151" s="7"/>
      <c r="E151" s="8"/>
      <c r="F151" s="2"/>
      <c r="G151" s="3"/>
    </row>
    <row r="152" spans="1:7">
      <c r="A152" s="2">
        <v>988</v>
      </c>
      <c r="B152" s="2"/>
      <c r="C152" s="4"/>
      <c r="D152" s="7"/>
      <c r="E152" s="8"/>
      <c r="F152" s="2"/>
      <c r="G152" s="3"/>
    </row>
    <row r="153" spans="1:7">
      <c r="A153" s="2">
        <v>951</v>
      </c>
      <c r="B153" s="2"/>
      <c r="C153" s="4"/>
      <c r="D153" s="7"/>
      <c r="E153" s="8"/>
      <c r="F153" s="2"/>
      <c r="G153" s="3"/>
    </row>
    <row r="154" spans="1:7">
      <c r="A154" s="2">
        <v>938</v>
      </c>
      <c r="B154" s="2"/>
      <c r="C154" s="4"/>
      <c r="D154" s="7"/>
      <c r="E154" s="8"/>
      <c r="F154" s="2"/>
      <c r="G154" s="3"/>
    </row>
    <row r="155" spans="1:7">
      <c r="A155" s="2">
        <v>987</v>
      </c>
      <c r="B155" s="2"/>
      <c r="C155" s="4"/>
      <c r="D155" s="7"/>
      <c r="E155" s="8"/>
      <c r="F155" s="2"/>
      <c r="G155" s="3"/>
    </row>
    <row r="156" spans="1:7">
      <c r="A156" s="2">
        <v>983</v>
      </c>
      <c r="B156" s="2"/>
      <c r="C156" s="4"/>
      <c r="D156" s="7"/>
      <c r="E156" s="8"/>
      <c r="F156" s="2"/>
      <c r="G156" s="3"/>
    </row>
    <row r="157" spans="1:7">
      <c r="A157" s="2">
        <v>946</v>
      </c>
      <c r="B157" s="2"/>
      <c r="C157" s="4"/>
      <c r="D157" s="7"/>
      <c r="E157" s="8"/>
      <c r="F157" s="2"/>
      <c r="G157" s="3"/>
    </row>
    <row r="158" spans="1:7">
      <c r="A158" s="2">
        <v>958</v>
      </c>
      <c r="B158" s="2"/>
      <c r="C158" s="4"/>
      <c r="D158" s="7"/>
      <c r="E158" s="8"/>
      <c r="F158" s="2"/>
      <c r="G158" s="3"/>
    </row>
    <row r="159" spans="1:7">
      <c r="A159" s="2">
        <v>953</v>
      </c>
      <c r="B159" s="2"/>
      <c r="C159" s="4"/>
      <c r="D159" s="7"/>
      <c r="E159" s="8"/>
      <c r="F159" s="2"/>
      <c r="G159" s="3"/>
    </row>
    <row r="160" spans="1:7">
      <c r="A160" s="2">
        <v>977</v>
      </c>
      <c r="B160" s="2"/>
      <c r="C160" s="4"/>
      <c r="D160" s="7"/>
      <c r="E160" s="8"/>
      <c r="F160" s="2"/>
      <c r="G160" s="3"/>
    </row>
    <row r="161" spans="1:7">
      <c r="A161" s="2">
        <v>975</v>
      </c>
      <c r="B161" s="2"/>
      <c r="C161" s="4"/>
      <c r="D161" s="7"/>
      <c r="E161" s="8"/>
      <c r="F161" s="2"/>
      <c r="G161" s="3"/>
    </row>
    <row r="162" spans="1:7">
      <c r="A162" s="2">
        <v>947</v>
      </c>
      <c r="B162" s="2"/>
      <c r="C162" s="4"/>
      <c r="D162" s="7"/>
      <c r="E162" s="8"/>
      <c r="F162" s="2"/>
      <c r="G162" s="3"/>
    </row>
    <row r="163" spans="1:7">
      <c r="A163" s="2">
        <v>989</v>
      </c>
      <c r="B163" s="2"/>
      <c r="C163" s="4"/>
      <c r="D163" s="7"/>
      <c r="E163" s="8"/>
      <c r="F163" s="2"/>
      <c r="G163" s="3"/>
    </row>
    <row r="164" spans="1:7">
      <c r="A164" s="2">
        <v>952</v>
      </c>
      <c r="B164" s="2"/>
      <c r="C164" s="4"/>
      <c r="D164" s="7"/>
      <c r="E164" s="8"/>
      <c r="F164" s="2"/>
      <c r="G164" s="3"/>
    </row>
    <row r="165" spans="1:7">
      <c r="A165" s="2">
        <v>943</v>
      </c>
      <c r="B165" s="2"/>
      <c r="C165" s="4"/>
      <c r="D165" s="7"/>
      <c r="E165" s="8"/>
      <c r="F165" s="2"/>
      <c r="G165" s="3"/>
    </row>
    <row r="166" spans="1:7">
      <c r="A166" s="2">
        <v>941</v>
      </c>
      <c r="B166" s="2"/>
      <c r="C166" s="4"/>
      <c r="D166" s="7"/>
      <c r="E166" s="8"/>
      <c r="F166" s="2"/>
      <c r="G166" s="3"/>
    </row>
    <row r="167" spans="1:7">
      <c r="A167" s="2">
        <v>944</v>
      </c>
      <c r="B167" s="2"/>
      <c r="C167" s="4"/>
      <c r="D167" s="7"/>
      <c r="E167" s="8"/>
      <c r="F167" s="2"/>
      <c r="G167" s="3"/>
    </row>
    <row r="168" spans="1:7" ht="18">
      <c r="A168" s="2">
        <v>942</v>
      </c>
      <c r="B168" s="6"/>
      <c r="C168" s="4"/>
      <c r="D168" s="7"/>
      <c r="E168" s="8"/>
      <c r="F168" s="2"/>
      <c r="G168" s="3"/>
    </row>
    <row r="169" spans="1:7" ht="18">
      <c r="A169" s="2">
        <v>986</v>
      </c>
      <c r="B169" s="6"/>
      <c r="C169" s="4"/>
      <c r="D169" s="7"/>
      <c r="E169" s="8"/>
      <c r="F169" s="2"/>
      <c r="G169" s="3"/>
    </row>
    <row r="170" spans="1:7" ht="18">
      <c r="A170" s="2">
        <v>984</v>
      </c>
      <c r="B170" s="6"/>
      <c r="C170" s="4"/>
      <c r="D170" s="7"/>
      <c r="E170" s="8"/>
      <c r="F170" s="2"/>
      <c r="G170" s="3"/>
    </row>
    <row r="171" spans="1:7" ht="18">
      <c r="A171" s="2">
        <v>978</v>
      </c>
      <c r="B171" s="6"/>
      <c r="C171" s="4"/>
      <c r="D171" s="7"/>
      <c r="E171" s="8"/>
      <c r="F171" s="2"/>
      <c r="G171" s="3"/>
    </row>
    <row r="172" spans="1:7" ht="18">
      <c r="A172" s="2" t="s">
        <v>38</v>
      </c>
      <c r="B172" s="6"/>
      <c r="C172" s="4"/>
      <c r="D172" s="7"/>
      <c r="E172" s="8"/>
      <c r="F172" s="2"/>
      <c r="G172" s="3"/>
    </row>
    <row r="173" spans="1:7">
      <c r="A173" s="2">
        <v>982</v>
      </c>
      <c r="B173" s="2">
        <v>1</v>
      </c>
      <c r="C173" s="4"/>
      <c r="D173" s="7"/>
      <c r="E173" s="8"/>
      <c r="F173" s="2"/>
      <c r="G173" s="3"/>
    </row>
    <row r="174" spans="1:7">
      <c r="A174" s="2">
        <v>907</v>
      </c>
      <c r="B174" s="2">
        <v>2</v>
      </c>
      <c r="C174" s="4"/>
      <c r="D174" s="7"/>
      <c r="E174" s="8"/>
      <c r="F174" s="2"/>
      <c r="G174" s="3"/>
    </row>
    <row r="175" spans="1:7">
      <c r="A175" s="2">
        <v>981</v>
      </c>
      <c r="B175" s="2">
        <v>3</v>
      </c>
      <c r="G175" s="3"/>
    </row>
    <row r="176" spans="1:7">
      <c r="A176" s="2">
        <v>926</v>
      </c>
      <c r="B176" s="2">
        <v>4</v>
      </c>
      <c r="G176" s="3"/>
    </row>
    <row r="177" spans="1:7">
      <c r="A177" s="2">
        <v>931</v>
      </c>
      <c r="B177" s="2">
        <v>5</v>
      </c>
      <c r="G177" s="3"/>
    </row>
    <row r="178" spans="1:7">
      <c r="A178" s="2">
        <v>951</v>
      </c>
      <c r="B178" s="2">
        <v>6</v>
      </c>
      <c r="G178" s="3"/>
    </row>
    <row r="179" spans="1:7">
      <c r="A179" s="2">
        <v>980</v>
      </c>
      <c r="B179" s="2">
        <v>7</v>
      </c>
      <c r="G179" s="3"/>
    </row>
    <row r="180" spans="1:7">
      <c r="A180" s="2">
        <v>990</v>
      </c>
      <c r="B180" s="2">
        <v>8</v>
      </c>
      <c r="G180" s="3"/>
    </row>
    <row r="181" spans="1:7">
      <c r="A181" s="2">
        <v>935</v>
      </c>
      <c r="B181" s="2">
        <v>9</v>
      </c>
      <c r="G181" s="3"/>
    </row>
    <row r="182" spans="1:7">
      <c r="A182" s="2">
        <v>992</v>
      </c>
      <c r="B182" s="2">
        <v>10</v>
      </c>
      <c r="G182" s="3"/>
    </row>
    <row r="183" spans="1:7">
      <c r="A183" s="2">
        <v>985</v>
      </c>
      <c r="B183" s="2">
        <v>11</v>
      </c>
      <c r="G183" s="3"/>
    </row>
    <row r="184" spans="1:7">
      <c r="A184" s="2">
        <v>934</v>
      </c>
      <c r="B184" s="2">
        <v>12</v>
      </c>
      <c r="G184" s="3"/>
    </row>
    <row r="185" spans="1:7">
      <c r="A185" s="2">
        <v>979</v>
      </c>
      <c r="B185" s="2">
        <v>13</v>
      </c>
      <c r="G185" s="3"/>
    </row>
    <row r="186" spans="1:7">
      <c r="A186" s="2">
        <v>937</v>
      </c>
      <c r="B186" s="2">
        <v>14</v>
      </c>
      <c r="G186" s="3"/>
    </row>
    <row r="187" spans="1:7">
      <c r="A187" s="2">
        <v>991</v>
      </c>
      <c r="B187" s="2">
        <v>15</v>
      </c>
      <c r="G187" s="3"/>
    </row>
    <row r="188" spans="1:7">
      <c r="A188" s="2">
        <v>988</v>
      </c>
      <c r="B188" s="2">
        <v>16</v>
      </c>
    </row>
    <row r="189" spans="1:7">
      <c r="A189" s="2">
        <v>948</v>
      </c>
      <c r="B189" s="2">
        <v>17</v>
      </c>
    </row>
    <row r="190" spans="1:7">
      <c r="A190" s="2">
        <v>936</v>
      </c>
      <c r="B190" s="2">
        <v>18</v>
      </c>
    </row>
    <row r="191" spans="1:7">
      <c r="A191" s="2">
        <v>939</v>
      </c>
      <c r="B191" s="2">
        <v>19</v>
      </c>
    </row>
    <row r="192" spans="1:7">
      <c r="A192" s="2">
        <v>945</v>
      </c>
      <c r="B192" s="2">
        <v>20</v>
      </c>
    </row>
    <row r="193" spans="1:2">
      <c r="A193" s="2">
        <v>953</v>
      </c>
      <c r="B193" s="2">
        <v>21</v>
      </c>
    </row>
    <row r="194" spans="1:2">
      <c r="A194" s="2">
        <v>977</v>
      </c>
      <c r="B194" s="2">
        <v>22</v>
      </c>
    </row>
    <row r="195" spans="1:2">
      <c r="A195" s="2">
        <v>911</v>
      </c>
      <c r="B195" s="2">
        <v>23</v>
      </c>
    </row>
    <row r="196" spans="1:2">
      <c r="A196" s="2">
        <v>910</v>
      </c>
      <c r="B196" s="2">
        <v>24</v>
      </c>
    </row>
    <row r="197" spans="1:2">
      <c r="A197" s="2">
        <v>938</v>
      </c>
      <c r="B197" s="2">
        <v>25</v>
      </c>
    </row>
    <row r="198" spans="1:2">
      <c r="A198" s="2">
        <v>946</v>
      </c>
      <c r="B198" s="2">
        <v>26</v>
      </c>
    </row>
    <row r="199" spans="1:2">
      <c r="A199" s="2">
        <v>947</v>
      </c>
      <c r="B199" s="2">
        <v>27</v>
      </c>
    </row>
    <row r="200" spans="1:2">
      <c r="A200" s="2">
        <v>998</v>
      </c>
      <c r="B200" s="2">
        <v>28</v>
      </c>
    </row>
    <row r="201" spans="1:2">
      <c r="A201" s="2">
        <v>909</v>
      </c>
      <c r="B201" s="2">
        <v>29</v>
      </c>
    </row>
    <row r="202" spans="1:2">
      <c r="A202" s="2">
        <v>975</v>
      </c>
      <c r="B202" s="2">
        <v>30</v>
      </c>
    </row>
    <row r="203" spans="1:2">
      <c r="A203" s="2">
        <v>912</v>
      </c>
      <c r="B203" s="2">
        <v>31</v>
      </c>
    </row>
    <row r="204" spans="1:2">
      <c r="A204" s="2">
        <v>989</v>
      </c>
      <c r="B204" s="2">
        <v>32</v>
      </c>
    </row>
    <row r="205" spans="1:2">
      <c r="A205" s="2">
        <v>944</v>
      </c>
      <c r="B205" s="2">
        <v>33</v>
      </c>
    </row>
    <row r="206" spans="1:2">
      <c r="A206" s="2">
        <v>994</v>
      </c>
      <c r="B206" s="2">
        <v>34</v>
      </c>
    </row>
    <row r="207" spans="1:2">
      <c r="A207" s="2">
        <v>941</v>
      </c>
      <c r="B207" s="2">
        <v>35</v>
      </c>
    </row>
    <row r="208" spans="1:2">
      <c r="A208" s="2">
        <v>943</v>
      </c>
      <c r="B208" s="2">
        <v>36</v>
      </c>
    </row>
    <row r="209" spans="1:2">
      <c r="A209" s="2">
        <v>978</v>
      </c>
      <c r="B209" s="2">
        <v>37</v>
      </c>
    </row>
    <row r="210" spans="1:2">
      <c r="A210" s="11">
        <v>942</v>
      </c>
      <c r="B210" s="2">
        <v>38</v>
      </c>
    </row>
    <row r="211" spans="1:2">
      <c r="A211" s="2"/>
    </row>
    <row r="212" spans="1:2">
      <c r="A212" s="2">
        <v>987</v>
      </c>
    </row>
    <row r="213" spans="1:2">
      <c r="A213" s="2">
        <v>983</v>
      </c>
    </row>
    <row r="214" spans="1:2">
      <c r="A214" s="2">
        <v>908</v>
      </c>
    </row>
    <row r="215" spans="1:2">
      <c r="A215" s="2">
        <v>928</v>
      </c>
    </row>
    <row r="216" spans="1:2">
      <c r="A216" s="2">
        <v>940</v>
      </c>
    </row>
    <row r="217" spans="1:2">
      <c r="A217" s="2">
        <v>976</v>
      </c>
    </row>
    <row r="218" spans="1:2">
      <c r="A218" s="2">
        <v>958</v>
      </c>
    </row>
    <row r="219" spans="1:2">
      <c r="A219" s="2">
        <v>993</v>
      </c>
    </row>
    <row r="220" spans="1:2">
      <c r="A220" s="2">
        <v>995</v>
      </c>
    </row>
    <row r="221" spans="1:2">
      <c r="A221" s="2">
        <v>996</v>
      </c>
    </row>
    <row r="222" spans="1:2">
      <c r="A222" s="2"/>
    </row>
    <row r="224" spans="1:2">
      <c r="A224" t="s">
        <v>39</v>
      </c>
    </row>
    <row r="226" spans="1:1">
      <c r="A226" s="2">
        <v>836</v>
      </c>
    </row>
    <row r="227" spans="1:1">
      <c r="A227" s="2">
        <v>813</v>
      </c>
    </row>
    <row r="228" spans="1:1">
      <c r="A228" s="2">
        <v>807</v>
      </c>
    </row>
    <row r="229" spans="1:1">
      <c r="A229" s="2">
        <v>835</v>
      </c>
    </row>
    <row r="230" spans="1:1">
      <c r="A230" s="2">
        <v>838</v>
      </c>
    </row>
    <row r="231" spans="1:1">
      <c r="A231" s="2">
        <v>827</v>
      </c>
    </row>
    <row r="232" spans="1:1">
      <c r="A232" s="2">
        <v>811</v>
      </c>
    </row>
    <row r="233" spans="1:1">
      <c r="A233" s="2">
        <v>833</v>
      </c>
    </row>
    <row r="234" spans="1:1">
      <c r="A234" s="2">
        <v>837</v>
      </c>
    </row>
    <row r="235" spans="1:1">
      <c r="A235" s="2">
        <v>839</v>
      </c>
    </row>
    <row r="236" spans="1:1">
      <c r="A236" s="2">
        <v>810</v>
      </c>
    </row>
    <row r="237" spans="1:1">
      <c r="A237" s="2">
        <v>817</v>
      </c>
    </row>
    <row r="238" spans="1:1">
      <c r="A238" s="2">
        <v>826</v>
      </c>
    </row>
    <row r="239" spans="1:1">
      <c r="A239" s="2">
        <v>803</v>
      </c>
    </row>
    <row r="240" spans="1:1">
      <c r="A240" s="2">
        <v>809</v>
      </c>
    </row>
    <row r="241" spans="1:1">
      <c r="A241" s="2">
        <v>828</v>
      </c>
    </row>
    <row r="242" spans="1:1">
      <c r="A242" s="2">
        <v>834</v>
      </c>
    </row>
    <row r="243" spans="1:1">
      <c r="A243" s="2">
        <v>830</v>
      </c>
    </row>
    <row r="244" spans="1:1">
      <c r="A244" s="2">
        <v>819</v>
      </c>
    </row>
    <row r="245" spans="1:1">
      <c r="A245" s="2">
        <v>804</v>
      </c>
    </row>
    <row r="246" spans="1:1">
      <c r="A246" s="2">
        <v>814</v>
      </c>
    </row>
    <row r="247" spans="1:1">
      <c r="A247" s="2">
        <v>808</v>
      </c>
    </row>
    <row r="248" spans="1:1">
      <c r="A248" s="2">
        <v>840</v>
      </c>
    </row>
    <row r="249" spans="1:1">
      <c r="A249" s="2">
        <v>802</v>
      </c>
    </row>
    <row r="250" spans="1:1">
      <c r="A250" s="2">
        <v>822</v>
      </c>
    </row>
    <row r="251" spans="1:1">
      <c r="A251" s="2">
        <v>801</v>
      </c>
    </row>
    <row r="252" spans="1:1">
      <c r="A252" s="2">
        <v>831</v>
      </c>
    </row>
    <row r="253" spans="1:1">
      <c r="A253" s="2">
        <v>824</v>
      </c>
    </row>
    <row r="254" spans="1:1">
      <c r="A254" s="2">
        <v>821</v>
      </c>
    </row>
    <row r="255" spans="1:1">
      <c r="A255" s="2">
        <v>816</v>
      </c>
    </row>
    <row r="256" spans="1:1">
      <c r="A256" s="2">
        <v>815</v>
      </c>
    </row>
    <row r="257" spans="1:2">
      <c r="A257" s="2">
        <v>823</v>
      </c>
    </row>
    <row r="258" spans="1:2">
      <c r="A258" s="2">
        <v>832</v>
      </c>
    </row>
    <row r="259" spans="1:2">
      <c r="A259" s="2">
        <v>829</v>
      </c>
    </row>
    <row r="260" spans="1:2">
      <c r="A260" s="2">
        <v>820</v>
      </c>
    </row>
    <row r="261" spans="1:2">
      <c r="A261" s="2"/>
    </row>
    <row r="262" spans="1:2">
      <c r="A262" s="2"/>
    </row>
    <row r="263" spans="1:2">
      <c r="A263" s="2"/>
    </row>
    <row r="268" spans="1:2">
      <c r="A268" s="2">
        <v>836</v>
      </c>
      <c r="B268" s="2">
        <v>1</v>
      </c>
    </row>
    <row r="269" spans="1:2">
      <c r="A269" s="2">
        <v>827</v>
      </c>
      <c r="B269" s="2">
        <v>2</v>
      </c>
    </row>
    <row r="270" spans="1:2">
      <c r="A270" s="2">
        <v>807</v>
      </c>
      <c r="B270" s="2">
        <v>3</v>
      </c>
    </row>
    <row r="271" spans="1:2">
      <c r="A271" s="2">
        <v>835</v>
      </c>
      <c r="B271" s="2">
        <v>4</v>
      </c>
    </row>
    <row r="272" spans="1:2">
      <c r="A272" s="2">
        <v>841</v>
      </c>
      <c r="B272" s="2">
        <v>5</v>
      </c>
    </row>
    <row r="273" spans="1:2">
      <c r="A273" s="2">
        <v>845</v>
      </c>
      <c r="B273" s="2">
        <v>6</v>
      </c>
    </row>
    <row r="274" spans="1:2">
      <c r="A274" s="2">
        <v>838</v>
      </c>
      <c r="B274" s="2">
        <v>7</v>
      </c>
    </row>
    <row r="275" spans="1:2">
      <c r="A275" s="2">
        <v>851</v>
      </c>
      <c r="B275" s="2">
        <v>8</v>
      </c>
    </row>
    <row r="276" spans="1:2">
      <c r="A276" s="2">
        <v>859</v>
      </c>
      <c r="B276" s="2">
        <v>9</v>
      </c>
    </row>
    <row r="277" spans="1:2">
      <c r="A277" s="2">
        <v>803</v>
      </c>
      <c r="B277" s="2">
        <v>10</v>
      </c>
    </row>
    <row r="278" spans="1:2">
      <c r="A278" s="2">
        <v>811</v>
      </c>
      <c r="B278" s="2">
        <v>11</v>
      </c>
    </row>
    <row r="279" spans="1:2">
      <c r="A279" s="2">
        <v>837</v>
      </c>
      <c r="B279" s="2">
        <v>12</v>
      </c>
    </row>
    <row r="280" spans="1:2">
      <c r="A280" s="2">
        <v>833</v>
      </c>
      <c r="B280" s="2">
        <v>13</v>
      </c>
    </row>
    <row r="281" spans="1:2">
      <c r="A281" s="2">
        <v>854</v>
      </c>
      <c r="B281" s="2">
        <v>14</v>
      </c>
    </row>
    <row r="282" spans="1:2">
      <c r="A282" s="2">
        <v>810</v>
      </c>
      <c r="B282" s="2">
        <v>15</v>
      </c>
    </row>
    <row r="283" spans="1:2">
      <c r="A283" s="2">
        <v>817</v>
      </c>
      <c r="B283" s="2">
        <v>16</v>
      </c>
    </row>
    <row r="284" spans="1:2">
      <c r="A284" s="2">
        <v>808</v>
      </c>
      <c r="B284" s="2">
        <v>17</v>
      </c>
    </row>
    <row r="285" spans="1:2">
      <c r="A285" s="2">
        <v>850</v>
      </c>
      <c r="B285" s="2">
        <v>18</v>
      </c>
    </row>
    <row r="286" spans="1:2">
      <c r="A286" s="2">
        <v>804</v>
      </c>
      <c r="B286" s="2">
        <v>19</v>
      </c>
    </row>
    <row r="287" spans="1:2">
      <c r="A287" s="2">
        <v>819</v>
      </c>
      <c r="B287" s="2">
        <v>20</v>
      </c>
    </row>
    <row r="288" spans="1:2">
      <c r="A288" s="2">
        <v>822</v>
      </c>
      <c r="B288" s="2">
        <v>21</v>
      </c>
    </row>
    <row r="289" spans="1:2">
      <c r="A289" s="2">
        <v>839</v>
      </c>
      <c r="B289" s="2">
        <v>22</v>
      </c>
    </row>
    <row r="290" spans="1:2">
      <c r="A290" s="2">
        <v>821</v>
      </c>
      <c r="B290" s="2">
        <v>23</v>
      </c>
    </row>
    <row r="291" spans="1:2">
      <c r="A291" s="2">
        <v>801</v>
      </c>
      <c r="B291" s="2">
        <v>24</v>
      </c>
    </row>
    <row r="292" spans="1:2">
      <c r="A292" s="2">
        <v>802</v>
      </c>
      <c r="B292" s="2">
        <v>25</v>
      </c>
    </row>
    <row r="293" spans="1:2">
      <c r="A293" s="2">
        <v>858</v>
      </c>
      <c r="B293" s="2">
        <v>26</v>
      </c>
    </row>
    <row r="294" spans="1:2">
      <c r="A294" s="2">
        <v>846</v>
      </c>
      <c r="B294" s="2">
        <v>27</v>
      </c>
    </row>
    <row r="295" spans="1:2">
      <c r="A295" s="2">
        <v>844</v>
      </c>
      <c r="B295" s="2">
        <v>28</v>
      </c>
    </row>
    <row r="296" spans="1:2">
      <c r="A296" s="2">
        <v>848</v>
      </c>
      <c r="B296" s="2">
        <v>29</v>
      </c>
    </row>
    <row r="297" spans="1:2">
      <c r="A297" s="2">
        <v>816</v>
      </c>
      <c r="B297" s="2">
        <v>30</v>
      </c>
    </row>
    <row r="298" spans="1:2">
      <c r="A298" s="2">
        <v>832</v>
      </c>
      <c r="B298" s="2">
        <v>31</v>
      </c>
    </row>
    <row r="299" spans="1:2">
      <c r="A299" s="2">
        <v>815</v>
      </c>
      <c r="B299" s="2">
        <v>32</v>
      </c>
    </row>
    <row r="300" spans="1:2">
      <c r="A300" s="2">
        <v>818</v>
      </c>
      <c r="B300" s="2">
        <v>33</v>
      </c>
    </row>
    <row r="301" spans="1:2">
      <c r="A301" s="2">
        <v>840</v>
      </c>
      <c r="B301" s="2">
        <v>34</v>
      </c>
    </row>
    <row r="302" spans="1:2">
      <c r="A302" s="2">
        <v>855</v>
      </c>
      <c r="B302" s="2">
        <v>35</v>
      </c>
    </row>
    <row r="303" spans="1:2">
      <c r="A303" s="2">
        <v>853</v>
      </c>
      <c r="B303" s="2">
        <v>36</v>
      </c>
    </row>
    <row r="304" spans="1:2">
      <c r="A304" s="2">
        <v>805</v>
      </c>
      <c r="B304" s="2">
        <v>37</v>
      </c>
    </row>
    <row r="305" spans="1:2">
      <c r="A305" s="2">
        <v>820</v>
      </c>
      <c r="B305" s="2">
        <v>38</v>
      </c>
    </row>
    <row r="306" spans="1:2">
      <c r="A306" s="2">
        <v>856</v>
      </c>
      <c r="B306" s="2">
        <v>39</v>
      </c>
    </row>
    <row r="309" spans="1:2">
      <c r="A309" t="s">
        <v>40</v>
      </c>
    </row>
    <row r="311" spans="1:2">
      <c r="A311" s="2">
        <v>432</v>
      </c>
    </row>
    <row r="312" spans="1:2">
      <c r="A312" s="2">
        <v>433</v>
      </c>
    </row>
    <row r="313" spans="1:2">
      <c r="A313" s="2">
        <v>410</v>
      </c>
    </row>
    <row r="314" spans="1:2">
      <c r="A314" s="2">
        <v>427</v>
      </c>
    </row>
    <row r="315" spans="1:2">
      <c r="A315" s="2">
        <v>402</v>
      </c>
    </row>
    <row r="316" spans="1:2">
      <c r="A316" s="2">
        <v>438</v>
      </c>
    </row>
    <row r="317" spans="1:2">
      <c r="A317" s="2">
        <v>401</v>
      </c>
    </row>
    <row r="318" spans="1:2">
      <c r="A318" s="2">
        <v>446</v>
      </c>
    </row>
    <row r="319" spans="1:2">
      <c r="A319" s="2">
        <v>450</v>
      </c>
    </row>
    <row r="320" spans="1:2">
      <c r="A320" s="2">
        <v>447</v>
      </c>
    </row>
    <row r="321" spans="1:2">
      <c r="A321" s="2">
        <v>403</v>
      </c>
    </row>
    <row r="322" spans="1:2">
      <c r="A322" s="2">
        <v>437</v>
      </c>
    </row>
    <row r="323" spans="1:2">
      <c r="A323" s="2">
        <v>435</v>
      </c>
    </row>
    <row r="324" spans="1:2">
      <c r="A324" s="2">
        <v>441</v>
      </c>
    </row>
    <row r="325" spans="1:2">
      <c r="A325" s="2">
        <v>452</v>
      </c>
    </row>
    <row r="326" spans="1:2">
      <c r="A326" s="2">
        <v>451</v>
      </c>
    </row>
    <row r="327" spans="1:2">
      <c r="A327" s="2">
        <v>436</v>
      </c>
    </row>
    <row r="328" spans="1:2">
      <c r="A328" s="2">
        <v>448</v>
      </c>
    </row>
    <row r="329" spans="1:2">
      <c r="A329" s="2">
        <v>429</v>
      </c>
    </row>
    <row r="330" spans="1:2">
      <c r="A330" s="2">
        <v>439</v>
      </c>
    </row>
    <row r="331" spans="1:2">
      <c r="A331" s="2">
        <v>404</v>
      </c>
    </row>
    <row r="332" spans="1:2">
      <c r="A332" s="2">
        <v>449</v>
      </c>
    </row>
    <row r="334" spans="1:2">
      <c r="A334" s="2">
        <v>401</v>
      </c>
      <c r="B334" s="2">
        <v>1</v>
      </c>
    </row>
    <row r="335" spans="1:2">
      <c r="A335" s="2">
        <v>410</v>
      </c>
      <c r="B335" s="2">
        <v>2</v>
      </c>
    </row>
    <row r="336" spans="1:2">
      <c r="A336" s="2">
        <v>427</v>
      </c>
      <c r="B336" s="2">
        <v>3</v>
      </c>
    </row>
    <row r="337" spans="1:2">
      <c r="A337" s="2">
        <v>438</v>
      </c>
      <c r="B337" s="2">
        <v>4</v>
      </c>
    </row>
    <row r="338" spans="1:2">
      <c r="A338" s="2">
        <v>446</v>
      </c>
      <c r="B338" s="2">
        <v>5</v>
      </c>
    </row>
    <row r="339" spans="1:2">
      <c r="A339" s="2">
        <v>402</v>
      </c>
      <c r="B339" s="2">
        <v>6</v>
      </c>
    </row>
    <row r="340" spans="1:2">
      <c r="A340" s="2">
        <v>433</v>
      </c>
      <c r="B340" s="2">
        <v>7</v>
      </c>
    </row>
    <row r="341" spans="1:2">
      <c r="A341" s="2">
        <v>447</v>
      </c>
      <c r="B341" s="2">
        <v>8</v>
      </c>
    </row>
    <row r="342" spans="1:2">
      <c r="A342" s="2">
        <v>403</v>
      </c>
      <c r="B342" s="2">
        <v>9</v>
      </c>
    </row>
    <row r="343" spans="1:2">
      <c r="A343" s="2">
        <v>437</v>
      </c>
      <c r="B343" s="2">
        <v>10</v>
      </c>
    </row>
    <row r="344" spans="1:2">
      <c r="A344" s="2">
        <v>435</v>
      </c>
      <c r="B344" s="2">
        <v>11</v>
      </c>
    </row>
    <row r="345" spans="1:2">
      <c r="A345" s="2">
        <v>452</v>
      </c>
      <c r="B345" s="2">
        <v>12</v>
      </c>
    </row>
    <row r="346" spans="1:2">
      <c r="A346" s="2">
        <v>404</v>
      </c>
      <c r="B346" s="2">
        <v>13</v>
      </c>
    </row>
    <row r="348" spans="1:2">
      <c r="A348" t="s">
        <v>41</v>
      </c>
    </row>
    <row r="350" spans="1:2">
      <c r="A350" s="2">
        <v>501</v>
      </c>
      <c r="B350" s="2"/>
    </row>
    <row r="351" spans="1:2">
      <c r="A351" s="2">
        <v>537</v>
      </c>
      <c r="B351" s="2"/>
    </row>
    <row r="352" spans="1:2">
      <c r="A352" s="2">
        <v>579</v>
      </c>
      <c r="B352" s="2"/>
    </row>
    <row r="353" spans="1:2">
      <c r="A353" s="2">
        <v>570</v>
      </c>
      <c r="B353" s="2"/>
    </row>
    <row r="354" spans="1:2">
      <c r="A354" s="2">
        <v>571</v>
      </c>
      <c r="B354" s="2"/>
    </row>
    <row r="355" spans="1:2">
      <c r="A355" s="2">
        <v>545</v>
      </c>
      <c r="B355" s="2"/>
    </row>
    <row r="356" spans="1:2">
      <c r="A356" s="2">
        <v>543</v>
      </c>
      <c r="B356" s="2"/>
    </row>
    <row r="357" spans="1:2">
      <c r="A357" s="2">
        <v>574</v>
      </c>
      <c r="B357" s="2"/>
    </row>
    <row r="358" spans="1:2">
      <c r="A358" s="2">
        <v>573</v>
      </c>
      <c r="B358" s="2"/>
    </row>
    <row r="359" spans="1:2">
      <c r="A359" s="2">
        <v>576</v>
      </c>
      <c r="B359" s="2"/>
    </row>
    <row r="360" spans="1:2">
      <c r="A360" s="2">
        <v>577</v>
      </c>
      <c r="B360" s="2"/>
    </row>
    <row r="361" spans="1:2">
      <c r="A361" s="2">
        <v>544</v>
      </c>
      <c r="B361" s="2"/>
    </row>
    <row r="362" spans="1:2">
      <c r="A362" s="2">
        <v>569</v>
      </c>
      <c r="B362" s="2"/>
    </row>
    <row r="363" spans="1:2">
      <c r="A363" s="2">
        <v>578</v>
      </c>
      <c r="B363" s="2"/>
    </row>
    <row r="364" spans="1:2">
      <c r="A364" s="2">
        <v>575</v>
      </c>
      <c r="B364" s="2"/>
    </row>
    <row r="365" spans="1:2">
      <c r="A365" s="2">
        <v>572</v>
      </c>
      <c r="B365" s="2"/>
    </row>
    <row r="367" spans="1:2">
      <c r="A367" s="2">
        <v>501</v>
      </c>
      <c r="B367" s="2">
        <v>1</v>
      </c>
    </row>
    <row r="368" spans="1:2">
      <c r="A368" s="2">
        <v>545</v>
      </c>
      <c r="B368" s="2">
        <v>2</v>
      </c>
    </row>
    <row r="369" spans="1:2">
      <c r="A369" s="2">
        <v>570</v>
      </c>
      <c r="B369" s="2">
        <v>3</v>
      </c>
    </row>
    <row r="370" spans="1:2">
      <c r="A370" s="2">
        <v>579</v>
      </c>
      <c r="B370" s="2">
        <v>4</v>
      </c>
    </row>
    <row r="371" spans="1:2">
      <c r="A371" s="2">
        <v>582</v>
      </c>
      <c r="B371" s="2">
        <v>5</v>
      </c>
    </row>
    <row r="372" spans="1:2">
      <c r="A372" s="2">
        <v>571</v>
      </c>
      <c r="B372" s="2">
        <v>6</v>
      </c>
    </row>
    <row r="373" spans="1:2">
      <c r="A373" s="2">
        <v>543</v>
      </c>
      <c r="B373" s="2">
        <v>7</v>
      </c>
    </row>
    <row r="374" spans="1:2">
      <c r="A374" s="2">
        <v>578</v>
      </c>
      <c r="B374" s="2">
        <v>8</v>
      </c>
    </row>
    <row r="375" spans="1:2">
      <c r="A375" s="2">
        <v>577</v>
      </c>
      <c r="B375" s="2">
        <v>9</v>
      </c>
    </row>
    <row r="376" spans="1:2">
      <c r="A376" s="2">
        <v>544</v>
      </c>
      <c r="B376" s="2">
        <v>10</v>
      </c>
    </row>
  </sheetData>
  <phoneticPr fontId="7" type="noConversion"/>
  <conditionalFormatting sqref="G2">
    <cfRule type="duplicateValues" dxfId="513" priority="11" stopIfTrue="1"/>
  </conditionalFormatting>
  <conditionalFormatting sqref="B4:B13">
    <cfRule type="duplicateValues" dxfId="512" priority="10" stopIfTrue="1"/>
  </conditionalFormatting>
  <conditionalFormatting sqref="G4:G11">
    <cfRule type="duplicateValues" dxfId="511" priority="9" stopIfTrue="1"/>
  </conditionalFormatting>
  <conditionalFormatting sqref="G4:G5">
    <cfRule type="duplicateValues" dxfId="510" priority="8" stopIfTrue="1"/>
  </conditionalFormatting>
  <conditionalFormatting sqref="B2:B13 G20:G21 G2:G16">
    <cfRule type="duplicateValues" dxfId="509" priority="16" stopIfTrue="1"/>
  </conditionalFormatting>
  <conditionalFormatting sqref="B4:B37 G4:G41">
    <cfRule type="duplicateValues" dxfId="508" priority="5" stopIfTrue="1"/>
  </conditionalFormatting>
  <conditionalFormatting sqref="G44:G117">
    <cfRule type="duplicateValues" dxfId="507" priority="4" stopIfTrue="1"/>
  </conditionalFormatting>
  <conditionalFormatting sqref="G98:G103">
    <cfRule type="duplicateValues" dxfId="506" priority="3" stopIfTrue="1"/>
  </conditionalFormatting>
  <conditionalFormatting sqref="B1:B1021 G1:G1021">
    <cfRule type="duplicateValues" dxfId="505" priority="2" stopIfTrue="1"/>
  </conditionalFormatting>
  <conditionalFormatting sqref="A1:A1048576">
    <cfRule type="duplicateValues" dxfId="504" priority="1" stopIfTrue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>
    <pageSetUpPr fitToPage="1"/>
  </sheetPr>
  <dimension ref="A8:AE49"/>
  <sheetViews>
    <sheetView showGridLines="0" topLeftCell="A26" zoomScale="70" zoomScaleNormal="70" workbookViewId="0">
      <selection activeCell="A15" sqref="A15:A42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style="22" customWidth="1"/>
    <col min="4" max="4" width="29.28515625" bestFit="1" customWidth="1"/>
    <col min="5" max="5" width="42.5703125" bestFit="1" customWidth="1"/>
    <col min="6" max="6" width="7.7109375" style="2" customWidth="1"/>
    <col min="7" max="7" width="7.85546875" bestFit="1" customWidth="1"/>
    <col min="8" max="8" width="7.85546875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12.28515625" style="2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26.25">
      <c r="A8" s="118" t="s">
        <v>68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20.100000000000001" customHeight="1">
      <c r="A13" s="125" t="s">
        <v>0</v>
      </c>
      <c r="B13" s="125"/>
      <c r="C13" s="65"/>
      <c r="D13" s="65"/>
      <c r="E13" s="66"/>
      <c r="F13" s="127">
        <v>1</v>
      </c>
      <c r="G13" s="125"/>
      <c r="H13" s="125"/>
      <c r="I13" s="126"/>
      <c r="J13" s="127">
        <v>2</v>
      </c>
      <c r="K13" s="128"/>
      <c r="L13" s="128"/>
      <c r="M13" s="126"/>
      <c r="N13" s="127">
        <v>3</v>
      </c>
      <c r="O13" s="128"/>
      <c r="P13" s="128"/>
      <c r="Q13" s="126"/>
      <c r="R13" s="127">
        <v>4</v>
      </c>
      <c r="S13" s="128"/>
      <c r="T13" s="128"/>
      <c r="U13" s="126"/>
      <c r="V13" s="127">
        <v>5</v>
      </c>
      <c r="W13" s="128"/>
      <c r="X13" s="128"/>
      <c r="Y13" s="126"/>
      <c r="Z13" s="117" t="s">
        <v>47</v>
      </c>
    </row>
    <row r="14" spans="1:31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117"/>
    </row>
    <row r="15" spans="1:31" ht="24.95" customHeight="1">
      <c r="A15" s="22">
        <v>1</v>
      </c>
      <c r="B15" s="22">
        <v>2</v>
      </c>
      <c r="C15" s="113">
        <v>25</v>
      </c>
      <c r="D15" s="23" t="s">
        <v>173</v>
      </c>
      <c r="E15" s="24" t="s">
        <v>114</v>
      </c>
      <c r="F15" s="3">
        <v>3</v>
      </c>
      <c r="G15" s="15">
        <f>IFERROR(VLOOKUP(F15,'Puntos XCC Mayor'!$A$1:$B$15,2,FALSE),0)</f>
        <v>16</v>
      </c>
      <c r="H15" s="3">
        <v>1</v>
      </c>
      <c r="I15" s="25">
        <f>IFERROR(VLOOKUP(H15,'Puntos XCO'!$A$1:$B$63,2,FALSE),0)</f>
        <v>200</v>
      </c>
      <c r="J15" s="33">
        <v>2</v>
      </c>
      <c r="K15" s="22">
        <f>IFERROR(VLOOKUP(J15,'Puntos XCC Mayor'!$A$1:$B$15,2,FALSE),"0")</f>
        <v>20</v>
      </c>
      <c r="L15" s="22">
        <v>1</v>
      </c>
      <c r="M15" s="34">
        <f>IFERROR(VLOOKUP(L15,'Puntos XCO'!$A$1:$B$63,2,FALSE),0)</f>
        <v>200</v>
      </c>
      <c r="N15" s="26">
        <v>5</v>
      </c>
      <c r="O15" s="3">
        <f>IFERROR(VLOOKUP(N15,'Puntos XCC Mayor'!$A$1:$B$15,2,FALSE),0)</f>
        <v>12</v>
      </c>
      <c r="P15" s="3">
        <v>4</v>
      </c>
      <c r="Q15" s="39">
        <f>IFERROR(VLOOKUP(P15,'Puntos XCO'!$A$1:$B$63,2,FALSE),0)</f>
        <v>110</v>
      </c>
      <c r="R15" s="26">
        <v>2</v>
      </c>
      <c r="S15" s="3">
        <f>IFERROR(VLOOKUP(R15,'Puntos XCC Mayor'!$A$1:$B$15,2,FALSE),0)</f>
        <v>20</v>
      </c>
      <c r="T15" s="3"/>
      <c r="U15" s="39">
        <f>IFERROR(VLOOKUP(T15,'Puntos XCO'!$A$1:$B$63,2,FALSE),0)</f>
        <v>0</v>
      </c>
      <c r="V15" s="16">
        <v>2</v>
      </c>
      <c r="W15" s="15">
        <f>IFERROR(VLOOKUP(V15,'Puntos XCC Mayor'!$A$1:$B$15,2,FALSE),0)</f>
        <v>20</v>
      </c>
      <c r="X15" s="15">
        <v>2</v>
      </c>
      <c r="Y15" s="25">
        <f>IFERROR(VLOOKUP(X15,'Puntos XCO'!$A$1:$B$63,2,FALSE),0)</f>
        <v>150</v>
      </c>
      <c r="Z15" s="27">
        <f>G15+I15+K15+M15+O15+Q15+S15+U15+W15+Y15</f>
        <v>748</v>
      </c>
      <c r="AB15" s="2"/>
      <c r="AC15" s="13"/>
      <c r="AD15" s="12"/>
      <c r="AE15" s="14"/>
    </row>
    <row r="16" spans="1:31" ht="24.95" customHeight="1">
      <c r="A16" s="22">
        <v>2</v>
      </c>
      <c r="B16" s="22">
        <v>1</v>
      </c>
      <c r="C16" s="113">
        <v>27</v>
      </c>
      <c r="D16" s="23" t="s">
        <v>180</v>
      </c>
      <c r="E16" s="24" t="s">
        <v>114</v>
      </c>
      <c r="F16" s="3">
        <v>7</v>
      </c>
      <c r="G16" s="15">
        <f>IFERROR(VLOOKUP(F16,'Puntos XCC Mayor'!$A$1:$B$15,2,FALSE),0)</f>
        <v>9</v>
      </c>
      <c r="H16" s="3">
        <v>2</v>
      </c>
      <c r="I16" s="25">
        <f>IFERROR(VLOOKUP(H16,'Puntos XCO'!$A$1:$B$63,2,FALSE),0)</f>
        <v>150</v>
      </c>
      <c r="J16" s="33">
        <v>6</v>
      </c>
      <c r="K16" s="22">
        <f>IFERROR(VLOOKUP(J16,'Puntos XCC Mayor'!$A$1:$B$15,2,FALSE),"0")</f>
        <v>10</v>
      </c>
      <c r="L16" s="22">
        <v>2</v>
      </c>
      <c r="M16" s="34">
        <f>IFERROR(VLOOKUP(L16,'Puntos XCO'!$A$1:$B$63,2,FALSE),0)</f>
        <v>150</v>
      </c>
      <c r="N16" s="26">
        <v>6</v>
      </c>
      <c r="O16" s="3">
        <f>IFERROR(VLOOKUP(N16,'Puntos XCC Mayor'!$A$1:$B$15,2,FALSE),0)</f>
        <v>10</v>
      </c>
      <c r="P16" s="3">
        <v>3</v>
      </c>
      <c r="Q16" s="39">
        <f>IFERROR(VLOOKUP(P16,'Puntos XCO'!$A$1:$B$63,2,FALSE),0)</f>
        <v>120</v>
      </c>
      <c r="R16" s="26">
        <v>3</v>
      </c>
      <c r="S16" s="3">
        <f>IFERROR(VLOOKUP(R16,'Puntos XCC Mayor'!$A$1:$B$15,2,FALSE),0)</f>
        <v>16</v>
      </c>
      <c r="T16" s="3">
        <v>2</v>
      </c>
      <c r="U16" s="39">
        <f>IFERROR(VLOOKUP(T16,'Puntos XCO'!$A$1:$B$63,2,FALSE),0)</f>
        <v>150</v>
      </c>
      <c r="V16" s="16">
        <v>7</v>
      </c>
      <c r="W16" s="15">
        <f>IFERROR(VLOOKUP(V16,'Puntos XCC Mayor'!$A$1:$B$15,2,FALSE),0)</f>
        <v>9</v>
      </c>
      <c r="X16" s="15">
        <v>4</v>
      </c>
      <c r="Y16" s="25">
        <f>IFERROR(VLOOKUP(X16,'Puntos XCO'!$A$1:$B$63,2,FALSE),0)</f>
        <v>110</v>
      </c>
      <c r="Z16" s="27">
        <f>G16+I16+K16+M16+O16+Q16+S16+U16+W16+Y16</f>
        <v>734</v>
      </c>
      <c r="AB16" s="3"/>
    </row>
    <row r="17" spans="1:28" ht="24.95" customHeight="1">
      <c r="A17" s="22">
        <v>3</v>
      </c>
      <c r="B17" s="22">
        <v>3</v>
      </c>
      <c r="C17" s="113">
        <v>28</v>
      </c>
      <c r="D17" s="23" t="s">
        <v>186</v>
      </c>
      <c r="E17" s="24" t="s">
        <v>100</v>
      </c>
      <c r="F17" s="3">
        <v>9</v>
      </c>
      <c r="G17" s="15">
        <f>IFERROR(VLOOKUP(F17,'Puntos XCC Mayor'!$A$1:$B$15,2,FALSE),0)</f>
        <v>7</v>
      </c>
      <c r="H17" s="3">
        <v>4</v>
      </c>
      <c r="I17" s="25">
        <f>IFERROR(VLOOKUP(H17,'Puntos XCO'!$A$1:$B$63,2,FALSE),0)</f>
        <v>110</v>
      </c>
      <c r="J17" s="33">
        <v>3</v>
      </c>
      <c r="K17" s="22">
        <f>IFERROR(VLOOKUP(J17,'Puntos XCC Mayor'!$A$1:$B$15,2,FALSE),"0")</f>
        <v>16</v>
      </c>
      <c r="L17" s="22">
        <v>4</v>
      </c>
      <c r="M17" s="34">
        <f>IFERROR(VLOOKUP(L17,'Puntos XCO'!$A$1:$B$63,2,FALSE),0)</f>
        <v>110</v>
      </c>
      <c r="N17" s="26">
        <v>7</v>
      </c>
      <c r="O17" s="3">
        <f>IFERROR(VLOOKUP(N17,'Puntos XCC Mayor'!$A$1:$B$15,2,FALSE),0)</f>
        <v>9</v>
      </c>
      <c r="P17" s="3">
        <v>6</v>
      </c>
      <c r="Q17" s="39">
        <f>IFERROR(VLOOKUP(P17,'Puntos XCO'!$A$1:$B$63,2,FALSE),0)</f>
        <v>95</v>
      </c>
      <c r="R17" s="26">
        <v>1</v>
      </c>
      <c r="S17" s="3">
        <f>IFERROR(VLOOKUP(R17,'Puntos XCC Mayor'!$A$1:$B$15,2,FALSE),0)</f>
        <v>25</v>
      </c>
      <c r="T17" s="3">
        <v>1</v>
      </c>
      <c r="U17" s="39">
        <f>IFERROR(VLOOKUP(T17,'Puntos XCO'!$A$1:$B$63,2,FALSE),0)</f>
        <v>200</v>
      </c>
      <c r="V17" s="16">
        <v>3</v>
      </c>
      <c r="W17" s="15">
        <f>IFERROR(VLOOKUP(V17,'Puntos XCC Mayor'!$A$1:$B$15,2,FALSE),0)</f>
        <v>16</v>
      </c>
      <c r="X17" s="15">
        <v>8</v>
      </c>
      <c r="Y17" s="25">
        <f>IFERROR(VLOOKUP(X17,'Puntos XCO'!$A$1:$B$63,2,FALSE),0)</f>
        <v>85</v>
      </c>
      <c r="Z17" s="27">
        <f>G17+I17+K17+M17+O17+Q17+S17+U17+W17+Y17</f>
        <v>673</v>
      </c>
      <c r="AB17" s="3"/>
    </row>
    <row r="18" spans="1:28" ht="24.95" customHeight="1">
      <c r="A18" s="22">
        <v>4</v>
      </c>
      <c r="B18" s="22">
        <v>4</v>
      </c>
      <c r="C18" s="113">
        <v>26</v>
      </c>
      <c r="D18" s="23" t="s">
        <v>1005</v>
      </c>
      <c r="E18" s="24" t="s">
        <v>114</v>
      </c>
      <c r="F18" s="3"/>
      <c r="G18" s="15"/>
      <c r="H18" s="3"/>
      <c r="I18" s="25"/>
      <c r="J18" s="33">
        <v>5</v>
      </c>
      <c r="K18" s="22">
        <f>IFERROR(VLOOKUP(J18,'Puntos XCC Mayor'!$A$1:$B$15,2,FALSE),"0")</f>
        <v>12</v>
      </c>
      <c r="L18" s="22">
        <v>3</v>
      </c>
      <c r="M18" s="34">
        <f>IFERROR(VLOOKUP(L18,'Puntos XCO'!$A$1:$B$63,2,FALSE),0)</f>
        <v>120</v>
      </c>
      <c r="N18" s="26">
        <v>11</v>
      </c>
      <c r="O18" s="3">
        <f>IFERROR(VLOOKUP(N18,'Puntos XCC Mayor'!$A$1:$B$15,2,FALSE),0)</f>
        <v>5</v>
      </c>
      <c r="P18" s="3">
        <v>10</v>
      </c>
      <c r="Q18" s="39">
        <f>IFERROR(VLOOKUP(P18,'Puntos XCO'!$A$1:$B$63,2,FALSE),0)</f>
        <v>78</v>
      </c>
      <c r="R18" s="26">
        <v>5</v>
      </c>
      <c r="S18" s="3">
        <f>IFERROR(VLOOKUP(R18,'Puntos XCC Mayor'!$A$1:$B$15,2,FALSE),0)</f>
        <v>12</v>
      </c>
      <c r="T18" s="3">
        <v>3</v>
      </c>
      <c r="U18" s="39">
        <f>IFERROR(VLOOKUP(T18,'Puntos XCO'!$A$1:$B$63,2,FALSE),0)</f>
        <v>120</v>
      </c>
      <c r="V18" s="16">
        <v>9</v>
      </c>
      <c r="W18" s="15">
        <f>IFERROR(VLOOKUP(V18,'Puntos XCC Mayor'!$A$1:$B$15,2,FALSE),0)</f>
        <v>7</v>
      </c>
      <c r="X18" s="15">
        <v>3</v>
      </c>
      <c r="Y18" s="25">
        <f>IFERROR(VLOOKUP(X18,'Puntos XCO'!$A$1:$B$63,2,FALSE),0)</f>
        <v>120</v>
      </c>
      <c r="Z18" s="27">
        <f>G18+I18+K18+M18+O18+Q18+S18+U18+W18+Y18</f>
        <v>474</v>
      </c>
      <c r="AB18" s="3"/>
    </row>
    <row r="19" spans="1:28" ht="24.95" customHeight="1">
      <c r="A19" s="22">
        <v>5</v>
      </c>
      <c r="B19" s="22">
        <v>9</v>
      </c>
      <c r="C19" s="113">
        <v>23</v>
      </c>
      <c r="D19" s="23" t="s">
        <v>171</v>
      </c>
      <c r="E19" s="24" t="s">
        <v>100</v>
      </c>
      <c r="F19" s="3">
        <v>1</v>
      </c>
      <c r="G19" s="15">
        <f>IFERROR(VLOOKUP(F19,'Puntos XCC Mayor'!$A$1:$B$15,2,FALSE),0)</f>
        <v>25</v>
      </c>
      <c r="H19" s="3">
        <v>3</v>
      </c>
      <c r="I19" s="25">
        <f>IFERROR(VLOOKUP(H19,'Puntos XCO'!$A$1:$B$63,2,FALSE),0)</f>
        <v>120</v>
      </c>
      <c r="J19" s="33">
        <v>1</v>
      </c>
      <c r="K19" s="22">
        <f>IFERROR(VLOOKUP(J19,'Puntos XCC Mayor'!$A$1:$B$15,2,FALSE),"0")</f>
        <v>25</v>
      </c>
      <c r="L19" s="22">
        <v>0</v>
      </c>
      <c r="M19" s="34">
        <f>IFERROR(VLOOKUP(L19,'Puntos XCO'!$A$1:$B$63,2,FALSE),0)</f>
        <v>0</v>
      </c>
      <c r="N19" s="26">
        <v>4</v>
      </c>
      <c r="O19" s="3">
        <f>IFERROR(VLOOKUP(N19,'Puntos XCC Mayor'!$A$1:$B$15,2,FALSE),0)</f>
        <v>14</v>
      </c>
      <c r="P19" s="3"/>
      <c r="Q19" s="39">
        <f>IFERROR(VLOOKUP(P19,'Puntos XCO'!$A$1:$B$63,2,FALSE),0)</f>
        <v>0</v>
      </c>
      <c r="R19" s="26"/>
      <c r="S19" s="3">
        <f>IFERROR(VLOOKUP(R19,'Puntos XCC Mayor'!$A$1:$B$15,2,FALSE),0)</f>
        <v>0</v>
      </c>
      <c r="T19" s="3"/>
      <c r="U19" s="39">
        <f>IFERROR(VLOOKUP(T19,'Puntos XCO'!$A$1:$B$63,2,FALSE),0)</f>
        <v>0</v>
      </c>
      <c r="V19" s="16">
        <v>1</v>
      </c>
      <c r="W19" s="15">
        <f>IFERROR(VLOOKUP(V19,'Puntos XCC Mayor'!$A$1:$B$15,2,FALSE),0)</f>
        <v>25</v>
      </c>
      <c r="X19" s="15">
        <v>1</v>
      </c>
      <c r="Y19" s="25">
        <f>IFERROR(VLOOKUP(X19,'Puntos XCO'!$A$1:$B$63,2,FALSE),0)</f>
        <v>200</v>
      </c>
      <c r="Z19" s="27">
        <f>G19+I19+K19+M19+O19+Q19+S19+U19+W19+Y19</f>
        <v>409</v>
      </c>
      <c r="AB19" s="3"/>
    </row>
    <row r="20" spans="1:28" ht="24.95" customHeight="1">
      <c r="A20" s="22">
        <v>6</v>
      </c>
      <c r="B20" s="22">
        <v>5</v>
      </c>
      <c r="C20" s="113">
        <v>29</v>
      </c>
      <c r="D20" s="23" t="s">
        <v>1006</v>
      </c>
      <c r="E20" s="24" t="s">
        <v>100</v>
      </c>
      <c r="F20" s="3">
        <v>4</v>
      </c>
      <c r="G20" s="15">
        <f>IFERROR(VLOOKUP(F20,'Puntos XCC Mayor'!$A$1:$B$15,2,FALSE),0)</f>
        <v>14</v>
      </c>
      <c r="H20" s="3">
        <v>7</v>
      </c>
      <c r="I20" s="25">
        <f>IFERROR(VLOOKUP(H20,'Puntos XCO'!$A$1:$B$63,2,FALSE),0)</f>
        <v>90</v>
      </c>
      <c r="J20" s="33">
        <v>4</v>
      </c>
      <c r="K20" s="22">
        <f>IFERROR(VLOOKUP(J20,'Puntos XCC Mayor'!$A$1:$B$15,2,FALSE),"0")</f>
        <v>14</v>
      </c>
      <c r="L20" s="22">
        <v>5</v>
      </c>
      <c r="M20" s="34">
        <f>IFERROR(VLOOKUP(L20,'Puntos XCO'!$A$1:$B$63,2,FALSE),0)</f>
        <v>100</v>
      </c>
      <c r="N20" s="26">
        <v>12</v>
      </c>
      <c r="O20" s="3">
        <f>IFERROR(VLOOKUP(N20,'Puntos XCC Mayor'!$A$1:$B$15,2,FALSE),0)</f>
        <v>4</v>
      </c>
      <c r="P20" s="3">
        <v>11</v>
      </c>
      <c r="Q20" s="39">
        <f>IFERROR(VLOOKUP(P20,'Puntos XCO'!$A$1:$B$63,2,FALSE),0)</f>
        <v>76</v>
      </c>
      <c r="R20" s="26">
        <v>4</v>
      </c>
      <c r="S20" s="3">
        <f>IFERROR(VLOOKUP(R20,'Puntos XCC Mayor'!$A$1:$B$15,2,FALSE),0)</f>
        <v>14</v>
      </c>
      <c r="T20" s="3"/>
      <c r="U20" s="39">
        <f>IFERROR(VLOOKUP(T20,'Puntos XCO'!$A$1:$B$63,2,FALSE),0)</f>
        <v>0</v>
      </c>
      <c r="V20" s="16">
        <v>4</v>
      </c>
      <c r="W20" s="15">
        <f>IFERROR(VLOOKUP(V20,'Puntos XCC Mayor'!$A$1:$B$15,2,FALSE),0)</f>
        <v>14</v>
      </c>
      <c r="X20" s="15">
        <v>9</v>
      </c>
      <c r="Y20" s="25">
        <f>IFERROR(VLOOKUP(X20,'Puntos XCO'!$A$1:$B$63,2,FALSE),0)</f>
        <v>80</v>
      </c>
      <c r="Z20" s="27">
        <f>G20+I20+K20+M20+O20+Q20+S20+U20+W20+Y20</f>
        <v>406</v>
      </c>
      <c r="AB20" s="3"/>
    </row>
    <row r="21" spans="1:28" ht="24.95" customHeight="1">
      <c r="A21" s="22">
        <v>7</v>
      </c>
      <c r="B21" s="22">
        <v>6</v>
      </c>
      <c r="C21" s="113">
        <v>37</v>
      </c>
      <c r="D21" s="23" t="s">
        <v>192</v>
      </c>
      <c r="E21" s="24" t="s">
        <v>577</v>
      </c>
      <c r="F21" s="3">
        <v>10</v>
      </c>
      <c r="G21" s="15">
        <f>IFERROR(VLOOKUP(F21,'Puntos XCC Mayor'!$A$1:$B$15,2,FALSE),0)</f>
        <v>6</v>
      </c>
      <c r="H21" s="3">
        <v>9</v>
      </c>
      <c r="I21" s="25">
        <f>IFERROR(VLOOKUP(H21,'Puntos XCO'!$A$1:$B$63,2,FALSE),0)</f>
        <v>80</v>
      </c>
      <c r="J21" s="33">
        <v>7</v>
      </c>
      <c r="K21" s="22">
        <f>IFERROR(VLOOKUP(J21,'Puntos XCC Mayor'!$A$1:$B$15,2,FALSE),"0")</f>
        <v>9</v>
      </c>
      <c r="L21" s="22">
        <v>8</v>
      </c>
      <c r="M21" s="34">
        <f>IFERROR(VLOOKUP(L21,'Puntos XCO'!$A$1:$B$63,2,FALSE),0)</f>
        <v>85</v>
      </c>
      <c r="N21" s="26"/>
      <c r="O21" s="3">
        <f>IFERROR(VLOOKUP(N21,'Puntos XCC Mayor'!$A$1:$B$15,2,FALSE),0)</f>
        <v>0</v>
      </c>
      <c r="P21" s="3"/>
      <c r="Q21" s="39">
        <f>IFERROR(VLOOKUP(P21,'Puntos XCO'!$A$1:$B$63,2,FALSE),0)</f>
        <v>0</v>
      </c>
      <c r="R21" s="26">
        <v>6</v>
      </c>
      <c r="S21" s="3">
        <f>IFERROR(VLOOKUP(R21,'Puntos XCC Mayor'!$A$1:$B$15,2,FALSE),0)</f>
        <v>10</v>
      </c>
      <c r="T21" s="3">
        <v>4</v>
      </c>
      <c r="U21" s="39">
        <f>IFERROR(VLOOKUP(T21,'Puntos XCO'!$A$1:$B$63,2,FALSE),0)</f>
        <v>110</v>
      </c>
      <c r="V21" s="16">
        <v>5</v>
      </c>
      <c r="W21" s="15">
        <f>IFERROR(VLOOKUP(V21,'Puntos XCC Mayor'!$A$1:$B$15,2,FALSE),0)</f>
        <v>12</v>
      </c>
      <c r="X21" s="15">
        <v>10</v>
      </c>
      <c r="Y21" s="25">
        <f>IFERROR(VLOOKUP(X21,'Puntos XCO'!$A$1:$B$63,2,FALSE),0)</f>
        <v>78</v>
      </c>
      <c r="Z21" s="27">
        <f>G21+I21+K21+M21+O21+Q21+S21+U21+W21+Y21</f>
        <v>390</v>
      </c>
      <c r="AB21" s="3"/>
    </row>
    <row r="22" spans="1:28" ht="24.95" customHeight="1">
      <c r="A22" s="22">
        <v>8</v>
      </c>
      <c r="B22" s="22">
        <v>8</v>
      </c>
      <c r="C22" s="113">
        <v>30</v>
      </c>
      <c r="D22" s="23" t="s">
        <v>176</v>
      </c>
      <c r="E22" s="24" t="s">
        <v>85</v>
      </c>
      <c r="F22" s="3">
        <v>6</v>
      </c>
      <c r="G22" s="15">
        <f>IFERROR(VLOOKUP(F22,'Puntos XCC Mayor'!$A$1:$B$15,2,FALSE),0)</f>
        <v>10</v>
      </c>
      <c r="H22" s="3">
        <v>6</v>
      </c>
      <c r="I22" s="25">
        <f>IFERROR(VLOOKUP(H22,'Puntos XCO'!$A$1:$B$63,2,FALSE),0)</f>
        <v>95</v>
      </c>
      <c r="J22" s="33">
        <v>12</v>
      </c>
      <c r="K22" s="22">
        <f>IFERROR(VLOOKUP(J22,'Puntos XCC Mayor'!$A$1:$B$15,2,FALSE),"0")</f>
        <v>4</v>
      </c>
      <c r="L22" s="22">
        <v>6</v>
      </c>
      <c r="M22" s="34">
        <f>IFERROR(VLOOKUP(L22,'Puntos XCO'!$A$1:$B$63,2,FALSE),0)</f>
        <v>95</v>
      </c>
      <c r="N22" s="26">
        <v>9</v>
      </c>
      <c r="O22" s="3">
        <f>IFERROR(VLOOKUP(N22,'Puntos XCC Mayor'!$A$1:$B$15,2,FALSE),0)</f>
        <v>7</v>
      </c>
      <c r="P22" s="3"/>
      <c r="Q22" s="39">
        <f>IFERROR(VLOOKUP(P22,'Puntos XCO'!$A$1:$B$63,2,FALSE),0)</f>
        <v>0</v>
      </c>
      <c r="R22" s="26">
        <v>7</v>
      </c>
      <c r="S22" s="3">
        <f>IFERROR(VLOOKUP(R22,'Puntos XCC Mayor'!$A$1:$B$15,2,FALSE),0)</f>
        <v>9</v>
      </c>
      <c r="T22" s="3"/>
      <c r="U22" s="39">
        <f>IFERROR(VLOOKUP(T22,'Puntos XCO'!$A$1:$B$63,2,FALSE),0)</f>
        <v>0</v>
      </c>
      <c r="V22" s="16">
        <v>10</v>
      </c>
      <c r="W22" s="15">
        <f>IFERROR(VLOOKUP(V22,'Puntos XCC Mayor'!$A$1:$B$15,2,FALSE),0)</f>
        <v>6</v>
      </c>
      <c r="X22" s="15">
        <v>5</v>
      </c>
      <c r="Y22" s="25">
        <f>IFERROR(VLOOKUP(X22,'Puntos XCO'!$A$1:$B$63,2,FALSE),0)</f>
        <v>100</v>
      </c>
      <c r="Z22" s="27">
        <f>G22+I22+K22+M22+O22+Q22+S22+U22+W22+Y22</f>
        <v>326</v>
      </c>
      <c r="AB22" s="3"/>
    </row>
    <row r="23" spans="1:28" ht="24.95" customHeight="1">
      <c r="A23" s="22">
        <v>9</v>
      </c>
      <c r="B23" s="22">
        <v>7</v>
      </c>
      <c r="C23" s="113">
        <v>22</v>
      </c>
      <c r="D23" s="23" t="s">
        <v>1001</v>
      </c>
      <c r="E23" s="24" t="s">
        <v>1002</v>
      </c>
      <c r="F23" s="3"/>
      <c r="G23" s="15"/>
      <c r="H23" s="3"/>
      <c r="I23" s="25"/>
      <c r="J23" s="33"/>
      <c r="K23" s="22"/>
      <c r="L23" s="22"/>
      <c r="M23" s="34"/>
      <c r="N23" s="26">
        <v>2</v>
      </c>
      <c r="O23" s="3">
        <f>IFERROR(VLOOKUP(N23,'Puntos XCC Mayor'!$A$1:$B$15,2,FALSE),0)</f>
        <v>20</v>
      </c>
      <c r="P23" s="3">
        <v>1</v>
      </c>
      <c r="Q23" s="39">
        <f>IFERROR(VLOOKUP(P23,'Puntos XCO'!$A$1:$B$63,2,FALSE),0)</f>
        <v>200</v>
      </c>
      <c r="R23" s="26"/>
      <c r="S23" s="3">
        <f>IFERROR(VLOOKUP(R23,'Puntos XCC Mayor'!$A$1:$B$15,2,FALSE),0)</f>
        <v>0</v>
      </c>
      <c r="T23" s="3"/>
      <c r="U23" s="39">
        <f>IFERROR(VLOOKUP(T23,'Puntos XCO'!$A$1:$B$63,2,FALSE),0)</f>
        <v>0</v>
      </c>
      <c r="V23" s="16"/>
      <c r="W23" s="15">
        <f>IFERROR(VLOOKUP(V23,'Puntos XCC Mayor'!$A$1:$B$15,2,FALSE),0)</f>
        <v>0</v>
      </c>
      <c r="X23" s="15"/>
      <c r="Y23" s="25">
        <f>IFERROR(VLOOKUP(X23,'Puntos XCO'!$A$1:$B$63,2,FALSE),0)</f>
        <v>0</v>
      </c>
      <c r="Z23" s="27">
        <f>G23+I23+K23+M23+O23+Q23+S23+U23+W23+Y23</f>
        <v>220</v>
      </c>
      <c r="AB23" s="3"/>
    </row>
    <row r="24" spans="1:28" ht="24.95" customHeight="1">
      <c r="A24" s="22">
        <v>10</v>
      </c>
      <c r="B24" s="22">
        <v>16</v>
      </c>
      <c r="C24" s="113">
        <v>35</v>
      </c>
      <c r="D24" s="23" t="s">
        <v>1011</v>
      </c>
      <c r="E24" s="24" t="s">
        <v>114</v>
      </c>
      <c r="F24" s="3"/>
      <c r="G24" s="15"/>
      <c r="H24" s="3"/>
      <c r="I24" s="25"/>
      <c r="J24" s="33"/>
      <c r="K24" s="22"/>
      <c r="L24" s="22"/>
      <c r="M24" s="34"/>
      <c r="N24" s="26">
        <v>13</v>
      </c>
      <c r="O24" s="3">
        <f>IFERROR(VLOOKUP(N24,'Puntos XCC Mayor'!$A$1:$B$15,2,FALSE),0)</f>
        <v>3</v>
      </c>
      <c r="P24" s="3"/>
      <c r="Q24" s="39">
        <f>IFERROR(VLOOKUP(P24,'Puntos XCO'!$A$1:$B$63,2,FALSE),0)</f>
        <v>0</v>
      </c>
      <c r="R24" s="26"/>
      <c r="S24" s="3">
        <f>IFERROR(VLOOKUP(R24,'Puntos XCC Mayor'!$A$1:$B$15,2,FALSE),0)</f>
        <v>0</v>
      </c>
      <c r="T24" s="3">
        <v>5</v>
      </c>
      <c r="U24" s="39">
        <f>IFERROR(VLOOKUP(T24,'Puntos XCO'!$A$1:$B$63,2,FALSE),0)</f>
        <v>100</v>
      </c>
      <c r="V24" s="16">
        <v>6</v>
      </c>
      <c r="W24" s="15">
        <f>IFERROR(VLOOKUP(V24,'Puntos XCC Mayor'!$A$1:$B$15,2,FALSE),0)</f>
        <v>10</v>
      </c>
      <c r="X24" s="15">
        <v>6</v>
      </c>
      <c r="Y24" s="25">
        <f>IFERROR(VLOOKUP(X24,'Puntos XCO'!$A$1:$B$63,2,FALSE),0)</f>
        <v>95</v>
      </c>
      <c r="Z24" s="27">
        <f>G24+I24+K24+M24+O24+Q24+S24+U24+W24+Y24</f>
        <v>208</v>
      </c>
      <c r="AB24" s="3"/>
    </row>
    <row r="25" spans="1:28" ht="24.95" customHeight="1">
      <c r="A25" s="22">
        <v>11</v>
      </c>
      <c r="B25" s="22">
        <v>10</v>
      </c>
      <c r="C25" s="113">
        <v>21</v>
      </c>
      <c r="D25" s="23" t="s">
        <v>999</v>
      </c>
      <c r="E25" s="24" t="s">
        <v>1000</v>
      </c>
      <c r="F25" s="3"/>
      <c r="G25" s="15"/>
      <c r="H25" s="3"/>
      <c r="I25" s="25"/>
      <c r="J25" s="33"/>
      <c r="K25" s="22"/>
      <c r="L25" s="22"/>
      <c r="M25" s="34"/>
      <c r="N25" s="26">
        <v>3</v>
      </c>
      <c r="O25" s="3">
        <f>IFERROR(VLOOKUP(N25,'Puntos XCC Mayor'!$A$1:$B$15,2,FALSE),0)</f>
        <v>16</v>
      </c>
      <c r="P25" s="3">
        <v>2</v>
      </c>
      <c r="Q25" s="39">
        <f>IFERROR(VLOOKUP(P25,'Puntos XCO'!$A$1:$B$63,2,FALSE),0)</f>
        <v>150</v>
      </c>
      <c r="R25" s="26"/>
      <c r="S25" s="3">
        <f>IFERROR(VLOOKUP(R25,'Puntos XCC Mayor'!$A$1:$B$15,2,FALSE),0)</f>
        <v>0</v>
      </c>
      <c r="T25" s="3"/>
      <c r="U25" s="39">
        <f>IFERROR(VLOOKUP(T25,'Puntos XCO'!$A$1:$B$63,2,FALSE),0)</f>
        <v>0</v>
      </c>
      <c r="V25" s="16"/>
      <c r="W25" s="15">
        <f>IFERROR(VLOOKUP(V25,'Puntos XCC Mayor'!$A$1:$B$15,2,FALSE),0)</f>
        <v>0</v>
      </c>
      <c r="X25" s="15"/>
      <c r="Y25" s="25">
        <f>IFERROR(VLOOKUP(X25,'Puntos XCO'!$A$1:$B$63,2,FALSE),0)</f>
        <v>0</v>
      </c>
      <c r="Z25" s="27">
        <f>G25+I25+K25+M25+O25+Q25+S25+U25+W25+Y25</f>
        <v>166</v>
      </c>
      <c r="AB25" s="3"/>
    </row>
    <row r="26" spans="1:28" ht="24.95" customHeight="1">
      <c r="A26" s="22">
        <v>12</v>
      </c>
      <c r="B26" s="22">
        <v>11</v>
      </c>
      <c r="C26" s="113">
        <v>31</v>
      </c>
      <c r="D26" s="23" t="s">
        <v>1007</v>
      </c>
      <c r="E26" s="24" t="s">
        <v>71</v>
      </c>
      <c r="F26" s="3">
        <v>12</v>
      </c>
      <c r="G26" s="15">
        <f>IFERROR(VLOOKUP(F26,'Puntos XCC Mayor'!$A$1:$B$15,2,FALSE),0)</f>
        <v>4</v>
      </c>
      <c r="H26" s="3">
        <v>12</v>
      </c>
      <c r="I26" s="25">
        <f>IFERROR(VLOOKUP(H26,'Puntos XCO'!$A$1:$B$63,2,FALSE),0)</f>
        <v>74</v>
      </c>
      <c r="J26" s="33">
        <v>9</v>
      </c>
      <c r="K26" s="22">
        <f>IFERROR(VLOOKUP(J26,'Puntos XCC Mayor'!$A$1:$B$15,2,FALSE),"0")</f>
        <v>7</v>
      </c>
      <c r="L26" s="22">
        <v>10</v>
      </c>
      <c r="M26" s="34">
        <f>IFERROR(VLOOKUP(L26,'Puntos XCO'!$A$1:$B$63,2,FALSE),0)</f>
        <v>78</v>
      </c>
      <c r="N26" s="26"/>
      <c r="O26" s="3">
        <f>IFERROR(VLOOKUP(N26,'Puntos XCC Mayor'!$A$1:$B$15,2,FALSE),0)</f>
        <v>0</v>
      </c>
      <c r="P26" s="3"/>
      <c r="Q26" s="39">
        <f>IFERROR(VLOOKUP(P26,'Puntos XCO'!$A$1:$B$63,2,FALSE),0)</f>
        <v>0</v>
      </c>
      <c r="R26" s="26"/>
      <c r="S26" s="3">
        <f>IFERROR(VLOOKUP(R26,'Puntos XCC Mayor'!$A$1:$B$15,2,FALSE),0)</f>
        <v>0</v>
      </c>
      <c r="T26" s="3"/>
      <c r="U26" s="39">
        <f>IFERROR(VLOOKUP(T26,'Puntos XCO'!$A$1:$B$63,2,FALSE),0)</f>
        <v>0</v>
      </c>
      <c r="V26" s="16"/>
      <c r="W26" s="15">
        <f>IFERROR(VLOOKUP(V26,'Puntos XCC Mayor'!$A$1:$B$15,2,FALSE),0)</f>
        <v>0</v>
      </c>
      <c r="X26" s="15"/>
      <c r="Y26" s="25">
        <f>IFERROR(VLOOKUP(X26,'Puntos XCO'!$A$1:$B$63,2,FALSE),0)</f>
        <v>0</v>
      </c>
      <c r="Z26" s="27">
        <f>G26+I26+K26+M26+O26+Q26+S26+U26+W26+Y26</f>
        <v>163</v>
      </c>
      <c r="AB26" s="3"/>
    </row>
    <row r="27" spans="1:28" ht="24.95" customHeight="1">
      <c r="A27" s="22">
        <v>13</v>
      </c>
      <c r="B27" s="22">
        <v>12</v>
      </c>
      <c r="C27" s="113">
        <v>32</v>
      </c>
      <c r="D27" s="23" t="s">
        <v>182</v>
      </c>
      <c r="E27" s="24" t="s">
        <v>1008</v>
      </c>
      <c r="F27" s="3">
        <v>11</v>
      </c>
      <c r="G27" s="15">
        <f>IFERROR(VLOOKUP(F27,'Puntos XCC Mayor'!$A$1:$B$15,2,FALSE),0)</f>
        <v>5</v>
      </c>
      <c r="H27" s="3">
        <v>11</v>
      </c>
      <c r="I27" s="25">
        <f>IFERROR(VLOOKUP(H27,'Puntos XCO'!$A$1:$B$63,2,FALSE),0)</f>
        <v>76</v>
      </c>
      <c r="J27" s="33">
        <v>0</v>
      </c>
      <c r="K27" s="22" t="str">
        <f>IFERROR(VLOOKUP(J27,'Puntos XCC Mayor'!$A$1:$B$15,2,FALSE),"0")</f>
        <v>0</v>
      </c>
      <c r="L27" s="22">
        <v>0</v>
      </c>
      <c r="M27" s="34">
        <f>IFERROR(VLOOKUP(L27,'Puntos XCO'!$A$1:$B$63,2,FALSE),0)</f>
        <v>0</v>
      </c>
      <c r="N27" s="26">
        <v>14</v>
      </c>
      <c r="O27" s="3">
        <f>IFERROR(VLOOKUP(N27,'Puntos XCC Mayor'!$A$1:$B$15,2,FALSE),0)</f>
        <v>2</v>
      </c>
      <c r="P27" s="3">
        <v>12</v>
      </c>
      <c r="Q27" s="39">
        <f>IFERROR(VLOOKUP(P27,'Puntos XCO'!$A$1:$B$63,2,FALSE),0)</f>
        <v>74</v>
      </c>
      <c r="R27" s="26"/>
      <c r="S27" s="3">
        <f>IFERROR(VLOOKUP(R27,'Puntos XCC Mayor'!$A$1:$B$15,2,FALSE),0)</f>
        <v>0</v>
      </c>
      <c r="T27" s="3"/>
      <c r="U27" s="39">
        <f>IFERROR(VLOOKUP(T27,'Puntos XCO'!$A$1:$B$63,2,FALSE),0)</f>
        <v>0</v>
      </c>
      <c r="V27" s="16"/>
      <c r="W27" s="15">
        <f>IFERROR(VLOOKUP(V27,'Puntos XCC Mayor'!$A$1:$B$15,2,FALSE),0)</f>
        <v>0</v>
      </c>
      <c r="X27" s="15"/>
      <c r="Y27" s="25">
        <f>IFERROR(VLOOKUP(X27,'Puntos XCO'!$A$1:$B$63,2,FALSE),0)</f>
        <v>0</v>
      </c>
      <c r="Z27" s="27">
        <f>G27+I27+K27+M27+O27+Q27+S27+U27+W27+Y27</f>
        <v>157</v>
      </c>
      <c r="AB27" s="3"/>
    </row>
    <row r="28" spans="1:28" ht="24.95" customHeight="1">
      <c r="A28" s="22">
        <v>14</v>
      </c>
      <c r="B28" s="22">
        <v>13</v>
      </c>
      <c r="C28" s="113"/>
      <c r="D28" s="23" t="s">
        <v>179</v>
      </c>
      <c r="E28" s="24" t="s">
        <v>113</v>
      </c>
      <c r="F28" s="3">
        <v>8</v>
      </c>
      <c r="G28" s="15">
        <f>IFERROR(VLOOKUP(F28,'Puntos XCC Mayor'!$A$1:$B$15,2,FALSE),0)</f>
        <v>8</v>
      </c>
      <c r="H28" s="3">
        <v>5</v>
      </c>
      <c r="I28" s="25">
        <f>IFERROR(VLOOKUP(H28,'Puntos XCO'!$A$1:$B$63,2,FALSE),0)</f>
        <v>100</v>
      </c>
      <c r="J28" s="33">
        <v>0</v>
      </c>
      <c r="K28" s="22" t="str">
        <f>IFERROR(VLOOKUP(J28,'Puntos XCC Mayor'!$A$1:$B$15,2,FALSE),"0")</f>
        <v>0</v>
      </c>
      <c r="L28" s="22">
        <v>0</v>
      </c>
      <c r="M28" s="34">
        <f>IFERROR(VLOOKUP(L28,'Puntos XCO'!$A$1:$B$63,2,FALSE),0)</f>
        <v>0</v>
      </c>
      <c r="N28" s="26"/>
      <c r="O28" s="3">
        <f>IFERROR(VLOOKUP(N28,'Puntos XCC Mayor'!$A$1:$B$15,2,FALSE),0)</f>
        <v>0</v>
      </c>
      <c r="P28" s="3"/>
      <c r="Q28" s="39">
        <f>IFERROR(VLOOKUP(P28,'Puntos XCO'!$A$1:$B$63,2,FALSE),0)</f>
        <v>0</v>
      </c>
      <c r="R28" s="26"/>
      <c r="S28" s="3">
        <f>IFERROR(VLOOKUP(R28,'Puntos XCC Mayor'!$A$1:$B$15,2,FALSE),0)</f>
        <v>0</v>
      </c>
      <c r="T28" s="3"/>
      <c r="U28" s="39">
        <f>IFERROR(VLOOKUP(T28,'Puntos XCO'!$A$1:$B$63,2,FALSE),0)</f>
        <v>0</v>
      </c>
      <c r="V28" s="16"/>
      <c r="W28" s="15">
        <f>IFERROR(VLOOKUP(V28,'Puntos XCC Mayor'!$A$1:$B$15,2,FALSE),0)</f>
        <v>0</v>
      </c>
      <c r="X28" s="15"/>
      <c r="Y28" s="25">
        <f>IFERROR(VLOOKUP(X28,'Puntos XCO'!$A$1:$B$63,2,FALSE),0)</f>
        <v>0</v>
      </c>
      <c r="Z28" s="27">
        <f>G28+I28+K28+M28+O28+Q28+S28+U28+W28+Y28</f>
        <v>108</v>
      </c>
      <c r="AB28" s="3"/>
    </row>
    <row r="29" spans="1:28" ht="24.95" customHeight="1">
      <c r="A29" s="22">
        <v>15</v>
      </c>
      <c r="B29" s="22">
        <v>14</v>
      </c>
      <c r="C29" s="113"/>
      <c r="D29" s="23" t="s">
        <v>154</v>
      </c>
      <c r="E29" s="24" t="s">
        <v>178</v>
      </c>
      <c r="F29" s="3">
        <v>2</v>
      </c>
      <c r="G29" s="15">
        <f>IFERROR(VLOOKUP(F29,'Puntos XCC Mayor'!$A$1:$B$15,2,FALSE),0)</f>
        <v>20</v>
      </c>
      <c r="H29" s="3">
        <v>8</v>
      </c>
      <c r="I29" s="25">
        <f>IFERROR(VLOOKUP(H29,'Puntos XCO'!$A$1:$B$63,2,FALSE),0)</f>
        <v>85</v>
      </c>
      <c r="J29" s="33">
        <v>0</v>
      </c>
      <c r="K29" s="22" t="str">
        <f>IFERROR(VLOOKUP(J29,'Puntos XCC Mayor'!$A$1:$B$15,2,FALSE),"0")</f>
        <v>0</v>
      </c>
      <c r="L29" s="22">
        <v>0</v>
      </c>
      <c r="M29" s="34">
        <f>IFERROR(VLOOKUP(L29,'Puntos XCO'!$A$1:$B$63,2,FALSE),0)</f>
        <v>0</v>
      </c>
      <c r="N29" s="26"/>
      <c r="O29" s="3">
        <f>IFERROR(VLOOKUP(N29,'Puntos XCC Mayor'!$A$1:$B$15,2,FALSE),0)</f>
        <v>0</v>
      </c>
      <c r="P29" s="3"/>
      <c r="Q29" s="39">
        <f>IFERROR(VLOOKUP(P29,'Puntos XCO'!$A$1:$B$63,2,FALSE),0)</f>
        <v>0</v>
      </c>
      <c r="R29" s="26"/>
      <c r="S29" s="3">
        <f>IFERROR(VLOOKUP(R29,'Puntos XCC Mayor'!$A$1:$B$15,2,FALSE),0)</f>
        <v>0</v>
      </c>
      <c r="T29" s="3"/>
      <c r="U29" s="39">
        <f>IFERROR(VLOOKUP(T29,'Puntos XCO'!$A$1:$B$63,2,FALSE),0)</f>
        <v>0</v>
      </c>
      <c r="V29" s="16"/>
      <c r="W29" s="15">
        <f>IFERROR(VLOOKUP(V29,'Puntos XCC Mayor'!$A$1:$B$15,2,FALSE),0)</f>
        <v>0</v>
      </c>
      <c r="X29" s="15"/>
      <c r="Y29" s="25">
        <f>IFERROR(VLOOKUP(X29,'Puntos XCO'!$A$1:$B$63,2,FALSE),0)</f>
        <v>0</v>
      </c>
      <c r="Z29" s="27">
        <f>G29+I29+K29+M29+O29+Q29+S29+U29+W29+Y29</f>
        <v>105</v>
      </c>
      <c r="AB29" s="3"/>
    </row>
    <row r="30" spans="1:28" ht="24.95" customHeight="1">
      <c r="A30" s="22">
        <v>16</v>
      </c>
      <c r="B30" s="22">
        <v>15</v>
      </c>
      <c r="C30" s="113">
        <v>24</v>
      </c>
      <c r="D30" s="23" t="s">
        <v>1003</v>
      </c>
      <c r="E30" s="24" t="s">
        <v>1004</v>
      </c>
      <c r="F30" s="3"/>
      <c r="G30" s="15"/>
      <c r="H30" s="3"/>
      <c r="I30" s="25"/>
      <c r="J30" s="33"/>
      <c r="K30" s="22"/>
      <c r="L30" s="22"/>
      <c r="M30" s="34"/>
      <c r="N30" s="26">
        <v>1</v>
      </c>
      <c r="O30" s="3">
        <f>IFERROR(VLOOKUP(N30,'Puntos XCC Mayor'!$A$1:$B$15,2,FALSE),0)</f>
        <v>25</v>
      </c>
      <c r="P30" s="3">
        <v>9</v>
      </c>
      <c r="Q30" s="39">
        <f>IFERROR(VLOOKUP(P30,'Puntos XCO'!$A$1:$B$63,2,FALSE),0)</f>
        <v>80</v>
      </c>
      <c r="R30" s="26"/>
      <c r="S30" s="3">
        <f>IFERROR(VLOOKUP(R30,'Puntos XCC Mayor'!$A$1:$B$15,2,FALSE),0)</f>
        <v>0</v>
      </c>
      <c r="T30" s="3"/>
      <c r="U30" s="39">
        <f>IFERROR(VLOOKUP(T30,'Puntos XCO'!$A$1:$B$63,2,FALSE),0)</f>
        <v>0</v>
      </c>
      <c r="V30" s="16"/>
      <c r="W30" s="15">
        <f>IFERROR(VLOOKUP(V30,'Puntos XCC Mayor'!$A$1:$B$15,2,FALSE),0)</f>
        <v>0</v>
      </c>
      <c r="X30" s="15"/>
      <c r="Y30" s="25">
        <f>IFERROR(VLOOKUP(X30,'Puntos XCO'!$A$1:$B$63,2,FALSE),0)</f>
        <v>0</v>
      </c>
      <c r="Z30" s="27">
        <f>G30+I30+K30+M30+O30+Q30+S30+U30+W30+Y30</f>
        <v>105</v>
      </c>
      <c r="AB30" s="3"/>
    </row>
    <row r="31" spans="1:28" ht="24.95" customHeight="1">
      <c r="A31" s="22">
        <v>17</v>
      </c>
      <c r="B31" s="22">
        <v>17</v>
      </c>
      <c r="C31" s="113">
        <v>33</v>
      </c>
      <c r="D31" s="23" t="s">
        <v>1009</v>
      </c>
      <c r="E31" s="24" t="s">
        <v>1004</v>
      </c>
      <c r="F31" s="3"/>
      <c r="G31" s="15"/>
      <c r="H31" s="3"/>
      <c r="I31" s="25"/>
      <c r="J31" s="33"/>
      <c r="K31" s="22"/>
      <c r="L31" s="22"/>
      <c r="M31" s="34"/>
      <c r="N31" s="26"/>
      <c r="O31" s="3">
        <f>IFERROR(VLOOKUP(N31,'Puntos XCC Mayor'!$A$1:$B$15,2,FALSE),0)</f>
        <v>0</v>
      </c>
      <c r="P31" s="3">
        <v>5</v>
      </c>
      <c r="Q31" s="39">
        <f>IFERROR(VLOOKUP(P31,'Puntos XCO'!$A$1:$B$63,2,FALSE),0)</f>
        <v>100</v>
      </c>
      <c r="R31" s="26"/>
      <c r="S31" s="3">
        <f>IFERROR(VLOOKUP(R31,'Puntos XCC Mayor'!$A$1:$B$15,2,FALSE),0)</f>
        <v>0</v>
      </c>
      <c r="T31" s="3"/>
      <c r="U31" s="39">
        <f>IFERROR(VLOOKUP(T31,'Puntos XCO'!$A$1:$B$63,2,FALSE),0)</f>
        <v>0</v>
      </c>
      <c r="V31" s="16"/>
      <c r="W31" s="15">
        <f>IFERROR(VLOOKUP(V31,'Puntos XCC Mayor'!$A$1:$B$15,2,FALSE),0)</f>
        <v>0</v>
      </c>
      <c r="X31" s="15"/>
      <c r="Y31" s="25">
        <f>IFERROR(VLOOKUP(X31,'Puntos XCO'!$A$1:$B$63,2,FALSE),0)</f>
        <v>0</v>
      </c>
      <c r="Z31" s="27">
        <f>G31+I31+K31+M31+O31+Q31+S31+U31+W31+Y31</f>
        <v>100</v>
      </c>
      <c r="AB31" s="3"/>
    </row>
    <row r="32" spans="1:28" ht="24.95" customHeight="1">
      <c r="A32" s="22">
        <v>18</v>
      </c>
      <c r="B32" s="22">
        <v>18</v>
      </c>
      <c r="C32" s="113"/>
      <c r="D32" s="23" t="s">
        <v>584</v>
      </c>
      <c r="E32" s="24" t="s">
        <v>585</v>
      </c>
      <c r="F32" s="3"/>
      <c r="G32" s="15"/>
      <c r="H32" s="3"/>
      <c r="I32" s="25"/>
      <c r="J32" s="33">
        <v>8</v>
      </c>
      <c r="K32" s="22">
        <f>IFERROR(VLOOKUP(J32,'Puntos XCC Mayor'!$A$1:$B$15,2,FALSE),"0")</f>
        <v>8</v>
      </c>
      <c r="L32" s="22">
        <v>7</v>
      </c>
      <c r="M32" s="34">
        <f>IFERROR(VLOOKUP(L32,'Puntos XCO'!$A$1:$B$63,2,FALSE),0)</f>
        <v>90</v>
      </c>
      <c r="N32" s="26"/>
      <c r="O32" s="3">
        <f>IFERROR(VLOOKUP(N32,'Puntos XCC Mayor'!$A$1:$B$15,2,FALSE),0)</f>
        <v>0</v>
      </c>
      <c r="P32" s="3"/>
      <c r="Q32" s="39">
        <f>IFERROR(VLOOKUP(P32,'Puntos XCO'!$A$1:$B$63,2,FALSE),0)</f>
        <v>0</v>
      </c>
      <c r="R32" s="26"/>
      <c r="S32" s="3">
        <f>IFERROR(VLOOKUP(R32,'Puntos XCC Mayor'!$A$1:$B$15,2,FALSE),0)</f>
        <v>0</v>
      </c>
      <c r="T32" s="3"/>
      <c r="U32" s="39">
        <f>IFERROR(VLOOKUP(T32,'Puntos XCO'!$A$1:$B$63,2,FALSE),0)</f>
        <v>0</v>
      </c>
      <c r="V32" s="16"/>
      <c r="W32" s="15">
        <f>IFERROR(VLOOKUP(V32,'Puntos XCC Mayor'!$A$1:$B$15,2,FALSE),0)</f>
        <v>0</v>
      </c>
      <c r="X32" s="15"/>
      <c r="Y32" s="25">
        <f>IFERROR(VLOOKUP(X32,'Puntos XCO'!$A$1:$B$63,2,FALSE),0)</f>
        <v>0</v>
      </c>
      <c r="Z32" s="27">
        <f>G32+I32+K32+M32+O32+Q32+S32+U32+W32+Y32</f>
        <v>98</v>
      </c>
      <c r="AB32" s="3"/>
    </row>
    <row r="33" spans="1:28" ht="24.95" customHeight="1">
      <c r="A33" s="22">
        <v>19</v>
      </c>
      <c r="B33" s="22"/>
      <c r="C33" s="133">
        <v>39</v>
      </c>
      <c r="D33" s="23" t="str">
        <f>VLOOKUP(C33,PLANILLA,2,FALSE)</f>
        <v>ROJAS Juan Diego*</v>
      </c>
      <c r="E33" s="24" t="str">
        <f>VLOOKUP(C33,PLANILLA,4,FALSE)</f>
        <v>MEGAMO MANZATÉ LA SELVA</v>
      </c>
      <c r="F33" s="3"/>
      <c r="G33" s="15"/>
      <c r="H33" s="3"/>
      <c r="I33" s="25"/>
      <c r="J33" s="33"/>
      <c r="K33" s="22"/>
      <c r="L33" s="22"/>
      <c r="M33" s="34"/>
      <c r="N33" s="26"/>
      <c r="O33" s="3"/>
      <c r="P33" s="3"/>
      <c r="Q33" s="39"/>
      <c r="R33" s="26"/>
      <c r="S33" s="3"/>
      <c r="T33" s="3"/>
      <c r="U33" s="39"/>
      <c r="V33" s="16">
        <v>8</v>
      </c>
      <c r="W33" s="15">
        <f>IFERROR(VLOOKUP(V33,'Puntos XCC Mayor'!$A$1:$B$15,2,FALSE),0)</f>
        <v>8</v>
      </c>
      <c r="X33" s="15">
        <v>7</v>
      </c>
      <c r="Y33" s="25">
        <f>IFERROR(VLOOKUP(X33,'Puntos XCO'!$A$1:$B$63,2,FALSE),0)</f>
        <v>90</v>
      </c>
      <c r="Z33" s="27">
        <f>G33+I33+K33+M33+O33+Q33+S33+U33+W33+Y33</f>
        <v>98</v>
      </c>
      <c r="AB33" s="3"/>
    </row>
    <row r="34" spans="1:28" ht="24.95" customHeight="1">
      <c r="A34" s="22">
        <v>20</v>
      </c>
      <c r="B34" s="22">
        <v>19</v>
      </c>
      <c r="C34" s="113">
        <v>34</v>
      </c>
      <c r="D34" s="23" t="s">
        <v>1010</v>
      </c>
      <c r="E34" s="24" t="s">
        <v>932</v>
      </c>
      <c r="F34" s="3"/>
      <c r="G34" s="15"/>
      <c r="H34" s="3"/>
      <c r="I34" s="25"/>
      <c r="J34" s="33"/>
      <c r="K34" s="22"/>
      <c r="L34" s="22"/>
      <c r="M34" s="34"/>
      <c r="N34" s="26">
        <v>10</v>
      </c>
      <c r="O34" s="3">
        <f>IFERROR(VLOOKUP(N34,'Puntos XCC Mayor'!$A$1:$B$15,2,FALSE),0)</f>
        <v>6</v>
      </c>
      <c r="P34" s="3">
        <v>7</v>
      </c>
      <c r="Q34" s="39">
        <f>IFERROR(VLOOKUP(P34,'Puntos XCO'!$A$1:$B$63,2,FALSE),0)</f>
        <v>90</v>
      </c>
      <c r="R34" s="26"/>
      <c r="S34" s="3">
        <f>IFERROR(VLOOKUP(R34,'Puntos XCC Mayor'!$A$1:$B$15,2,FALSE),0)</f>
        <v>0</v>
      </c>
      <c r="T34" s="3"/>
      <c r="U34" s="39">
        <f>IFERROR(VLOOKUP(T34,'Puntos XCO'!$A$1:$B$63,2,FALSE),0)</f>
        <v>0</v>
      </c>
      <c r="V34" s="16"/>
      <c r="W34" s="15">
        <f>IFERROR(VLOOKUP(V34,'Puntos XCC Mayor'!$A$1:$B$15,2,FALSE),0)</f>
        <v>0</v>
      </c>
      <c r="X34" s="15"/>
      <c r="Y34" s="25">
        <f>IFERROR(VLOOKUP(X34,'Puntos XCO'!$A$1:$B$63,2,FALSE),0)</f>
        <v>0</v>
      </c>
      <c r="Z34" s="27">
        <f>G34+I34+K34+M34+O34+Q34+S34+U34+W34+Y34</f>
        <v>96</v>
      </c>
      <c r="AB34" s="3"/>
    </row>
    <row r="35" spans="1:28" ht="24.95" customHeight="1">
      <c r="A35" s="22">
        <v>21</v>
      </c>
      <c r="B35" s="22"/>
      <c r="C35" s="113">
        <v>38</v>
      </c>
      <c r="D35" s="23" t="str">
        <f>VLOOKUP(C35,PLANILLA,2,FALSE)</f>
        <v>ARAYA  Roberto*</v>
      </c>
      <c r="E35" s="24" t="str">
        <f>VLOOKUP(C35,PLANILLA,4,FALSE)</f>
        <v xml:space="preserve">CCDR PARAÍSO </v>
      </c>
      <c r="F35" s="3"/>
      <c r="G35" s="15"/>
      <c r="H35" s="3"/>
      <c r="I35" s="25"/>
      <c r="J35" s="33"/>
      <c r="K35" s="22"/>
      <c r="L35" s="22"/>
      <c r="M35" s="34"/>
      <c r="N35" s="26"/>
      <c r="O35" s="3"/>
      <c r="P35" s="3"/>
      <c r="Q35" s="39"/>
      <c r="R35" s="26"/>
      <c r="S35" s="3">
        <f>IFERROR(VLOOKUP(R35,'Puntos XCC Mayor'!$A$1:$B$15,2,FALSE),0)</f>
        <v>0</v>
      </c>
      <c r="T35" s="3">
        <v>6</v>
      </c>
      <c r="U35" s="39">
        <f>IFERROR(VLOOKUP(T35,'Puntos XCO'!$A$1:$B$63,2,FALSE),0)</f>
        <v>95</v>
      </c>
      <c r="V35" s="16"/>
      <c r="W35" s="15">
        <f>IFERROR(VLOOKUP(V35,'Puntos XCC Mayor'!$A$1:$B$15,2,FALSE),0)</f>
        <v>0</v>
      </c>
      <c r="X35" s="15"/>
      <c r="Y35" s="25">
        <f>IFERROR(VLOOKUP(X35,'Puntos XCO'!$A$1:$B$63,2,FALSE),0)</f>
        <v>0</v>
      </c>
      <c r="Z35" s="27">
        <f>G35+I35+K35+M35+O35+Q35+S35+U35+W35+Y35</f>
        <v>95</v>
      </c>
      <c r="AB35" s="3"/>
    </row>
    <row r="36" spans="1:28" ht="24.95" customHeight="1">
      <c r="A36" s="22">
        <v>22</v>
      </c>
      <c r="B36" s="22">
        <v>20</v>
      </c>
      <c r="C36" s="113">
        <v>36</v>
      </c>
      <c r="D36" s="23" t="s">
        <v>1012</v>
      </c>
      <c r="E36" s="24" t="s">
        <v>1013</v>
      </c>
      <c r="F36" s="3"/>
      <c r="G36" s="15"/>
      <c r="H36" s="3"/>
      <c r="I36" s="25"/>
      <c r="J36" s="33"/>
      <c r="K36" s="22"/>
      <c r="L36" s="22"/>
      <c r="M36" s="34"/>
      <c r="N36" s="26">
        <v>8</v>
      </c>
      <c r="O36" s="3">
        <f>IFERROR(VLOOKUP(N36,'Puntos XCC Mayor'!$A$1:$B$15,2,FALSE),0)</f>
        <v>8</v>
      </c>
      <c r="P36" s="3">
        <v>8</v>
      </c>
      <c r="Q36" s="39">
        <f>IFERROR(VLOOKUP(P36,'Puntos XCO'!$A$1:$B$63,2,FALSE),0)</f>
        <v>85</v>
      </c>
      <c r="R36" s="26"/>
      <c r="S36" s="3">
        <f>IFERROR(VLOOKUP(R36,'Puntos XCC Mayor'!$A$1:$B$15,2,FALSE),0)</f>
        <v>0</v>
      </c>
      <c r="T36" s="3"/>
      <c r="U36" s="39">
        <f>IFERROR(VLOOKUP(T36,'Puntos XCO'!$A$1:$B$63,2,FALSE),0)</f>
        <v>0</v>
      </c>
      <c r="V36" s="16"/>
      <c r="W36" s="15">
        <f>IFERROR(VLOOKUP(V36,'Puntos XCC Mayor'!$A$1:$B$15,2,FALSE),0)</f>
        <v>0</v>
      </c>
      <c r="X36" s="15"/>
      <c r="Y36" s="25">
        <f>IFERROR(VLOOKUP(X36,'Puntos XCO'!$A$1:$B$63,2,FALSE),0)</f>
        <v>0</v>
      </c>
      <c r="Z36" s="27">
        <f>G36+I36+K36+M36+O36+Q36+S36+U36+W36+Y36</f>
        <v>93</v>
      </c>
      <c r="AB36" s="3"/>
    </row>
    <row r="37" spans="1:28" ht="24.95" customHeight="1">
      <c r="A37" s="22">
        <v>23</v>
      </c>
      <c r="B37" s="22">
        <v>21</v>
      </c>
      <c r="C37" s="113"/>
      <c r="D37" s="23" t="s">
        <v>580</v>
      </c>
      <c r="E37" s="24" t="s">
        <v>70</v>
      </c>
      <c r="F37" s="3"/>
      <c r="G37" s="15"/>
      <c r="H37" s="3"/>
      <c r="I37" s="25"/>
      <c r="J37" s="33">
        <v>10</v>
      </c>
      <c r="K37" s="22">
        <f>IFERROR(VLOOKUP(J37,'Puntos XCC Mayor'!$A$1:$B$15,2,FALSE),"0")</f>
        <v>6</v>
      </c>
      <c r="L37" s="22">
        <v>9</v>
      </c>
      <c r="M37" s="34">
        <f>IFERROR(VLOOKUP(L37,'Puntos XCO'!$A$1:$B$63,2,FALSE),0)</f>
        <v>80</v>
      </c>
      <c r="N37" s="26"/>
      <c r="O37" s="3">
        <f>IFERROR(VLOOKUP(N37,'Puntos XCC Mayor'!$A$1:$B$15,2,FALSE),0)</f>
        <v>0</v>
      </c>
      <c r="P37" s="3"/>
      <c r="Q37" s="39">
        <f>IFERROR(VLOOKUP(P37,'Puntos XCO'!$A$1:$B$63,2,FALSE),0)</f>
        <v>0</v>
      </c>
      <c r="R37" s="26"/>
      <c r="S37" s="3">
        <f>IFERROR(VLOOKUP(R37,'Puntos XCC Mayor'!$A$1:$B$15,2,FALSE),0)</f>
        <v>0</v>
      </c>
      <c r="T37" s="3"/>
      <c r="U37" s="39">
        <f>IFERROR(VLOOKUP(T37,'Puntos XCO'!$A$1:$B$63,2,FALSE),0)</f>
        <v>0</v>
      </c>
      <c r="V37" s="16"/>
      <c r="W37" s="15">
        <f>IFERROR(VLOOKUP(V37,'Puntos XCC Mayor'!$A$1:$B$15,2,FALSE),0)</f>
        <v>0</v>
      </c>
      <c r="X37" s="15"/>
      <c r="Y37" s="25">
        <f>IFERROR(VLOOKUP(X37,'Puntos XCO'!$A$1:$B$63,2,FALSE),0)</f>
        <v>0</v>
      </c>
      <c r="Z37" s="27">
        <f>G37+I37+K37+M37+O37+Q37+S37+U37+W37+Y37</f>
        <v>86</v>
      </c>
      <c r="AB37" s="3"/>
    </row>
    <row r="38" spans="1:28" ht="24.95" customHeight="1">
      <c r="A38" s="22">
        <v>24</v>
      </c>
      <c r="B38" s="22">
        <v>22</v>
      </c>
      <c r="C38" s="113"/>
      <c r="D38" s="23" t="s">
        <v>581</v>
      </c>
      <c r="E38" s="24" t="s">
        <v>70</v>
      </c>
      <c r="F38" s="3"/>
      <c r="G38" s="15"/>
      <c r="H38" s="3"/>
      <c r="I38" s="25"/>
      <c r="J38" s="33">
        <v>11</v>
      </c>
      <c r="K38" s="22">
        <f>IFERROR(VLOOKUP(J38,'Puntos XCC Mayor'!$A$1:$B$15,2,FALSE),"0")</f>
        <v>5</v>
      </c>
      <c r="L38" s="22">
        <v>11</v>
      </c>
      <c r="M38" s="34">
        <f>IFERROR(VLOOKUP(L38,'Puntos XCO'!$A$1:$B$63,2,FALSE),0)</f>
        <v>76</v>
      </c>
      <c r="N38" s="26"/>
      <c r="O38" s="3">
        <f>IFERROR(VLOOKUP(N38,'Puntos XCC Mayor'!$A$1:$B$15,2,FALSE),0)</f>
        <v>0</v>
      </c>
      <c r="P38" s="3"/>
      <c r="Q38" s="39">
        <f>IFERROR(VLOOKUP(P38,'Puntos XCO'!$A$1:$B$63,2,FALSE),0)</f>
        <v>0</v>
      </c>
      <c r="R38" s="26"/>
      <c r="S38" s="3">
        <f>IFERROR(VLOOKUP(R38,'Puntos XCC Mayor'!$A$1:$B$15,2,FALSE),0)</f>
        <v>0</v>
      </c>
      <c r="T38" s="3"/>
      <c r="U38" s="39">
        <f>IFERROR(VLOOKUP(T38,'Puntos XCO'!$A$1:$B$63,2,FALSE),0)</f>
        <v>0</v>
      </c>
      <c r="V38" s="16"/>
      <c r="W38" s="15">
        <f>IFERROR(VLOOKUP(V38,'Puntos XCC Mayor'!$A$1:$B$15,2,FALSE),0)</f>
        <v>0</v>
      </c>
      <c r="X38" s="15"/>
      <c r="Y38" s="25">
        <f>IFERROR(VLOOKUP(X38,'Puntos XCO'!$A$1:$B$63,2,FALSE),0)</f>
        <v>0</v>
      </c>
      <c r="Z38" s="27">
        <f>G38+I38+K38+M38+O38+Q38+S38+U38+W38+Y38</f>
        <v>81</v>
      </c>
      <c r="AB38" s="3"/>
    </row>
    <row r="39" spans="1:28" ht="24.95" customHeight="1">
      <c r="A39" s="22">
        <v>25</v>
      </c>
      <c r="B39" s="22"/>
      <c r="C39" s="133">
        <v>40</v>
      </c>
      <c r="D39" s="23" t="str">
        <f>VLOOKUP(C39,PLANILLA,2,FALSE)</f>
        <v>GUTIÉRREZ Carlos Daniel*</v>
      </c>
      <c r="E39" s="24" t="str">
        <f>VLOOKUP(C39,PLANILLA,4,FALSE)</f>
        <v>TURRIALBA</v>
      </c>
      <c r="F39" s="3"/>
      <c r="G39" s="15"/>
      <c r="H39" s="3"/>
      <c r="I39" s="25"/>
      <c r="J39" s="33"/>
      <c r="K39" s="22"/>
      <c r="L39" s="22"/>
      <c r="M39" s="34"/>
      <c r="N39" s="26"/>
      <c r="O39" s="3"/>
      <c r="P39" s="3"/>
      <c r="Q39" s="39"/>
      <c r="R39" s="26"/>
      <c r="S39" s="3"/>
      <c r="T39" s="3"/>
      <c r="U39" s="39"/>
      <c r="V39" s="16">
        <v>11</v>
      </c>
      <c r="W39" s="15">
        <f>IFERROR(VLOOKUP(V39,'Puntos XCC Mayor'!$A$1:$B$15,2,FALSE),0)</f>
        <v>5</v>
      </c>
      <c r="X39" s="15">
        <v>12</v>
      </c>
      <c r="Y39" s="25">
        <f>IFERROR(VLOOKUP(X39,'Puntos XCO'!$A$1:$B$63,2,FALSE),0)</f>
        <v>74</v>
      </c>
      <c r="Z39" s="27">
        <f>G39+I39+K39+M39+O39+Q39+S39+U39+W39+Y39</f>
        <v>79</v>
      </c>
      <c r="AB39" s="3"/>
    </row>
    <row r="40" spans="1:28" ht="24.95" customHeight="1">
      <c r="A40" s="22">
        <v>26</v>
      </c>
      <c r="B40" s="22">
        <v>23</v>
      </c>
      <c r="C40" s="115"/>
      <c r="D40" s="23" t="s">
        <v>193</v>
      </c>
      <c r="E40" s="24" t="s">
        <v>194</v>
      </c>
      <c r="F40" s="3">
        <v>0</v>
      </c>
      <c r="G40" s="15">
        <f>IFERROR(VLOOKUP(F40,'Puntos XCC Mayor'!$A$1:$B$15,2,FALSE),0)</f>
        <v>0</v>
      </c>
      <c r="H40" s="3">
        <v>10</v>
      </c>
      <c r="I40" s="25">
        <f>IFERROR(VLOOKUP(H40,'Puntos XCO'!$A$1:$B$63,2,FALSE),0)</f>
        <v>78</v>
      </c>
      <c r="J40" s="33">
        <v>0</v>
      </c>
      <c r="K40" s="22" t="str">
        <f>IFERROR(VLOOKUP(J40,'Puntos XCC Mayor'!$A$1:$B$15,2,FALSE),"0")</f>
        <v>0</v>
      </c>
      <c r="L40" s="22">
        <v>0</v>
      </c>
      <c r="M40" s="34">
        <f>IFERROR(VLOOKUP(L40,'Puntos XCO'!$A$1:$B$63,2,FALSE),0)</f>
        <v>0</v>
      </c>
      <c r="N40" s="26"/>
      <c r="O40" s="3">
        <f>IFERROR(VLOOKUP(N40,'Puntos XCC Mayor'!$A$1:$B$15,2,FALSE),0)</f>
        <v>0</v>
      </c>
      <c r="P40" s="3"/>
      <c r="Q40" s="39">
        <f>IFERROR(VLOOKUP(P40,'Puntos XCO'!$A$1:$B$63,2,FALSE),0)</f>
        <v>0</v>
      </c>
      <c r="R40" s="26"/>
      <c r="S40" s="3">
        <f>IFERROR(VLOOKUP(R40,'Puntos XCC Mayor'!$A$1:$B$15,2,FALSE),0)</f>
        <v>0</v>
      </c>
      <c r="T40" s="3"/>
      <c r="U40" s="39">
        <f>IFERROR(VLOOKUP(T40,'Puntos XCO'!$A$1:$B$63,2,FALSE),0)</f>
        <v>0</v>
      </c>
      <c r="V40" s="16"/>
      <c r="W40" s="15">
        <f>IFERROR(VLOOKUP(V40,'Puntos XCC Mayor'!$A$1:$B$15,2,FALSE),0)</f>
        <v>0</v>
      </c>
      <c r="X40" s="15"/>
      <c r="Y40" s="25">
        <f>IFERROR(VLOOKUP(X40,'Puntos XCO'!$A$1:$B$63,2,FALSE),0)</f>
        <v>0</v>
      </c>
      <c r="Z40" s="27">
        <f>G40+I40+K40+M40+O40+Q40+S40+U40+W40+Y40</f>
        <v>78</v>
      </c>
      <c r="AB40" s="3"/>
    </row>
    <row r="41" spans="1:28" ht="24.95" customHeight="1">
      <c r="A41" s="22">
        <v>27</v>
      </c>
      <c r="B41" s="22"/>
      <c r="C41" s="133">
        <v>41</v>
      </c>
      <c r="D41" s="23" t="str">
        <f>VLOOKUP(C41,PLANILLA,2,FALSE)</f>
        <v>FERNÁNDEZ  Fabricio Alberto*</v>
      </c>
      <c r="E41" s="24" t="str">
        <f>VLOOKUP(C41,PLANILLA,4,FALSE)</f>
        <v/>
      </c>
      <c r="F41" s="3"/>
      <c r="G41" s="15"/>
      <c r="H41" s="3"/>
      <c r="I41" s="25"/>
      <c r="J41" s="33"/>
      <c r="K41" s="22"/>
      <c r="L41" s="22"/>
      <c r="M41" s="34"/>
      <c r="N41" s="26"/>
      <c r="O41" s="3"/>
      <c r="P41" s="3"/>
      <c r="Q41" s="39"/>
      <c r="R41" s="26"/>
      <c r="S41" s="3"/>
      <c r="T41" s="3"/>
      <c r="U41" s="39"/>
      <c r="V41" s="16"/>
      <c r="W41" s="15">
        <f>IFERROR(VLOOKUP(V41,'Puntos XCC Mayor'!$A$1:$B$15,2,FALSE),0)</f>
        <v>0</v>
      </c>
      <c r="X41" s="15">
        <v>11</v>
      </c>
      <c r="Y41" s="25">
        <f>IFERROR(VLOOKUP(X41,'Puntos XCO'!$A$1:$B$63,2,FALSE),0)</f>
        <v>76</v>
      </c>
      <c r="Z41" s="27">
        <f>G41+I41+K41+M41+O41+Q41+S41+U41+W41+Y41</f>
        <v>76</v>
      </c>
      <c r="AB41" s="3"/>
    </row>
    <row r="42" spans="1:28" ht="24.95" customHeight="1">
      <c r="A42" s="22">
        <v>28</v>
      </c>
      <c r="B42" s="22">
        <v>24</v>
      </c>
      <c r="C42" s="113"/>
      <c r="D42" s="23" t="s">
        <v>184</v>
      </c>
      <c r="E42" s="24" t="s">
        <v>185</v>
      </c>
      <c r="F42" s="3">
        <v>5</v>
      </c>
      <c r="G42" s="15">
        <f>IFERROR(VLOOKUP(F42,'Puntos XCC Mayor'!$A$1:$B$15,2,FALSE),0)</f>
        <v>12</v>
      </c>
      <c r="H42" s="3">
        <v>0</v>
      </c>
      <c r="I42" s="25">
        <f>IFERROR(VLOOKUP(H42,'Puntos XCO'!$A$1:$B$63,2,FALSE),0)</f>
        <v>0</v>
      </c>
      <c r="J42" s="33">
        <v>0</v>
      </c>
      <c r="K42" s="22" t="str">
        <f>IFERROR(VLOOKUP(J42,'Puntos XCC Mayor'!$A$1:$B$15,2,FALSE),"0")</f>
        <v>0</v>
      </c>
      <c r="L42" s="22">
        <v>0</v>
      </c>
      <c r="M42" s="34">
        <f>IFERROR(VLOOKUP(L42,'Puntos XCO'!$A$1:$B$63,2,FALSE),0)</f>
        <v>0</v>
      </c>
      <c r="N42" s="26"/>
      <c r="O42" s="3">
        <f>IFERROR(VLOOKUP(N42,'Puntos XCC Mayor'!$A$1:$B$15,2,FALSE),0)</f>
        <v>0</v>
      </c>
      <c r="P42" s="3"/>
      <c r="Q42" s="39">
        <f>IFERROR(VLOOKUP(P42,'Puntos XCO'!$A$1:$B$63,2,FALSE),0)</f>
        <v>0</v>
      </c>
      <c r="R42" s="26"/>
      <c r="S42" s="3">
        <f>IFERROR(VLOOKUP(R42,'Puntos XCC Mayor'!$A$1:$B$15,2,FALSE),0)</f>
        <v>0</v>
      </c>
      <c r="T42" s="3"/>
      <c r="U42" s="39">
        <f>IFERROR(VLOOKUP(T42,'Puntos XCO'!$A$1:$B$63,2,FALSE),0)</f>
        <v>0</v>
      </c>
      <c r="V42" s="16"/>
      <c r="W42" s="15">
        <f>IFERROR(VLOOKUP(V42,'Puntos XCC Mayor'!$A$1:$B$15,2,FALSE),0)</f>
        <v>0</v>
      </c>
      <c r="X42" s="15"/>
      <c r="Y42" s="25">
        <f>IFERROR(VLOOKUP(X42,'Puntos XCO'!$A$1:$B$63,2,FALSE),0)</f>
        <v>0</v>
      </c>
      <c r="Z42" s="27">
        <f>G42+I42+K42+M42+O42+Q42+S42+U42+W42+Y42</f>
        <v>12</v>
      </c>
      <c r="AB42" s="3"/>
    </row>
    <row r="43" spans="1:28" ht="24.95" customHeight="1">
      <c r="A43" s="22"/>
      <c r="B43" s="22">
        <v>25</v>
      </c>
      <c r="C43" s="113"/>
      <c r="D43" s="23" t="s">
        <v>183</v>
      </c>
      <c r="E43" s="24" t="s">
        <v>86</v>
      </c>
      <c r="F43" s="3">
        <v>0</v>
      </c>
      <c r="G43" s="15">
        <f>IFERROR(VLOOKUP(F43,'Puntos XCC Mayor'!$A$1:$B$15,2,FALSE),0)</f>
        <v>0</v>
      </c>
      <c r="H43" s="3">
        <v>0</v>
      </c>
      <c r="I43" s="25">
        <f>IFERROR(VLOOKUP(H43,'Puntos XCO'!$A$1:$B$63,2,FALSE),0)</f>
        <v>0</v>
      </c>
      <c r="J43" s="33">
        <v>0</v>
      </c>
      <c r="K43" s="22" t="str">
        <f>IFERROR(VLOOKUP(J43,'Puntos XCC Mayor'!$A$1:$B$15,2,FALSE),"0")</f>
        <v>0</v>
      </c>
      <c r="L43" s="22">
        <v>0</v>
      </c>
      <c r="M43" s="34">
        <f>IFERROR(VLOOKUP(L43,'Puntos XCO'!$A$1:$B$63,2,FALSE),0)</f>
        <v>0</v>
      </c>
      <c r="N43" s="26"/>
      <c r="O43" s="3">
        <f>IFERROR(VLOOKUP(N43,'Puntos XCC Mayor'!$A$1:$B$15,2,FALSE),0)</f>
        <v>0</v>
      </c>
      <c r="P43" s="3"/>
      <c r="Q43" s="39">
        <f>IFERROR(VLOOKUP(P43,'Puntos XCO'!$A$1:$B$63,2,FALSE),0)</f>
        <v>0</v>
      </c>
      <c r="R43" s="26"/>
      <c r="S43" s="3">
        <f>IFERROR(VLOOKUP(R43,'Puntos XCC Mayor'!$A$1:$B$15,2,FALSE),0)</f>
        <v>0</v>
      </c>
      <c r="T43" s="3"/>
      <c r="U43" s="39">
        <f>IFERROR(VLOOKUP(T43,'Puntos XCO'!$A$1:$B$63,2,FALSE),0)</f>
        <v>0</v>
      </c>
      <c r="V43" s="16"/>
      <c r="W43" s="15">
        <f>IFERROR(VLOOKUP(V43,'Puntos XCC Mayor'!$A$1:$B$15,2,FALSE),0)</f>
        <v>0</v>
      </c>
      <c r="X43" s="15"/>
      <c r="Y43" s="25">
        <f>IFERROR(VLOOKUP(X43,'Puntos XCO'!$A$1:$B$63,2,FALSE),0)</f>
        <v>0</v>
      </c>
      <c r="Z43" s="27">
        <f>G43+I43+K43+M43+O43+Q43+S43+U43+W43+Y43</f>
        <v>0</v>
      </c>
      <c r="AB43" s="3"/>
    </row>
    <row r="44" spans="1:28" ht="24.95" customHeight="1">
      <c r="A44" s="22"/>
      <c r="B44" s="22"/>
      <c r="C44" s="113"/>
      <c r="D44" s="23"/>
      <c r="E44" s="24"/>
      <c r="F44" s="3"/>
      <c r="G44" s="15"/>
      <c r="H44" s="3"/>
      <c r="I44" s="25"/>
      <c r="J44" s="33"/>
      <c r="K44" s="22"/>
      <c r="L44" s="22"/>
      <c r="M44" s="34"/>
      <c r="N44" s="26"/>
      <c r="O44" s="3"/>
      <c r="P44" s="3"/>
      <c r="Q44" s="39"/>
      <c r="R44" s="32"/>
      <c r="S44" s="30"/>
      <c r="T44" s="3"/>
      <c r="U44" s="25"/>
      <c r="V44" s="16"/>
      <c r="W44" s="15"/>
      <c r="X44" s="15"/>
      <c r="Y44" s="25"/>
      <c r="Z44" s="27"/>
      <c r="AB44" s="3"/>
    </row>
    <row r="45" spans="1:28" ht="24.95" customHeight="1">
      <c r="A45" s="22"/>
      <c r="B45" s="22"/>
      <c r="C45" s="3"/>
      <c r="D45" s="23"/>
      <c r="E45" s="24"/>
      <c r="F45" s="3"/>
      <c r="G45" s="15"/>
      <c r="H45" s="3"/>
      <c r="I45" s="25"/>
      <c r="J45" s="33"/>
      <c r="K45" s="22"/>
      <c r="L45" s="22"/>
      <c r="M45" s="34"/>
      <c r="N45" s="26"/>
      <c r="O45" s="3"/>
      <c r="P45" s="3"/>
      <c r="Q45" s="39"/>
      <c r="R45" s="32"/>
      <c r="S45" s="30"/>
      <c r="T45" s="3"/>
      <c r="U45" s="25"/>
      <c r="V45" s="16"/>
      <c r="W45" s="15"/>
      <c r="X45" s="15"/>
      <c r="Y45" s="25"/>
      <c r="Z45" s="27"/>
      <c r="AB45" s="3"/>
    </row>
    <row r="46" spans="1:28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74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spans="1:28">
      <c r="M47" s="9"/>
      <c r="N47" s="9"/>
      <c r="O47" s="9"/>
      <c r="P47" s="10"/>
      <c r="Q47" s="9"/>
      <c r="R47" s="9"/>
      <c r="S47" s="9"/>
      <c r="T47" s="9"/>
      <c r="U47" s="9"/>
    </row>
    <row r="48" spans="1:28" ht="78" customHeight="1"/>
    <row r="49" spans="1:26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74"/>
      <c r="Q49" s="65"/>
      <c r="R49" s="65"/>
      <c r="S49" s="65"/>
      <c r="T49" s="65"/>
      <c r="U49" s="65"/>
      <c r="V49" s="65"/>
      <c r="W49" s="65"/>
      <c r="X49" s="65"/>
      <c r="Y49" s="65"/>
      <c r="Z49" s="65"/>
    </row>
  </sheetData>
  <sortState ref="B15:Z43">
    <sortCondition descending="1" ref="Z15:Z43"/>
  </sortState>
  <mergeCells count="10">
    <mergeCell ref="A8:Z8"/>
    <mergeCell ref="A10:Z10"/>
    <mergeCell ref="A11:Z11"/>
    <mergeCell ref="A13:B13"/>
    <mergeCell ref="F13:I13"/>
    <mergeCell ref="J13:M13"/>
    <mergeCell ref="N13:Q13"/>
    <mergeCell ref="R13:U13"/>
    <mergeCell ref="V13:Y13"/>
    <mergeCell ref="Z13:Z14"/>
  </mergeCells>
  <conditionalFormatting sqref="C46:C65524 C1:C9 C12:C14">
    <cfRule type="duplicateValues" dxfId="503" priority="65" stopIfTrue="1"/>
  </conditionalFormatting>
  <conditionalFormatting sqref="C27">
    <cfRule type="duplicateValues" dxfId="502" priority="13"/>
  </conditionalFormatting>
  <conditionalFormatting sqref="C20">
    <cfRule type="duplicateValues" dxfId="501" priority="12"/>
  </conditionalFormatting>
  <conditionalFormatting sqref="C11">
    <cfRule type="duplicateValues" dxfId="500" priority="4" stopIfTrue="1"/>
  </conditionalFormatting>
  <conditionalFormatting sqref="C11">
    <cfRule type="duplicateValues" dxfId="499" priority="5" stopIfTrue="1"/>
  </conditionalFormatting>
  <conditionalFormatting sqref="D11">
    <cfRule type="duplicateValues" dxfId="498" priority="3" stopIfTrue="1"/>
  </conditionalFormatting>
  <conditionalFormatting sqref="C10">
    <cfRule type="duplicateValues" dxfId="497" priority="1" stopIfTrue="1"/>
  </conditionalFormatting>
  <conditionalFormatting sqref="C10">
    <cfRule type="duplicateValues" dxfId="496" priority="2" stopIfTrue="1"/>
  </conditionalFormatting>
  <conditionalFormatting sqref="C28:C45">
    <cfRule type="duplicateValues" dxfId="495" priority="7830"/>
  </conditionalFormatting>
  <conditionalFormatting sqref="AB15:AB45">
    <cfRule type="duplicateValues" dxfId="494" priority="7831"/>
  </conditionalFormatting>
  <pageMargins left="0.70866141732283472" right="0.70866141732283472" top="0.74803149606299213" bottom="0.74803149606299213" header="0.31496062992125984" footer="0.31496062992125984"/>
  <pageSetup paperSize="9" scale="50" fitToHeight="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A8:AE38"/>
  <sheetViews>
    <sheetView showGridLines="0" topLeftCell="A16" zoomScale="70" zoomScaleNormal="70" zoomScaleSheetLayoutView="90" workbookViewId="0">
      <selection activeCell="A33" sqref="A33"/>
    </sheetView>
  </sheetViews>
  <sheetFormatPr baseColWidth="10" defaultRowHeight="15"/>
  <cols>
    <col min="1" max="1" width="10.28515625" customWidth="1"/>
    <col min="2" max="2" width="13.7109375" customWidth="1"/>
    <col min="3" max="3" width="8.85546875" customWidth="1"/>
    <col min="4" max="4" width="32.28515625" customWidth="1"/>
    <col min="5" max="5" width="43.140625" customWidth="1"/>
    <col min="6" max="6" width="7.85546875" style="2" customWidth="1"/>
    <col min="7" max="15" width="7.85546875" customWidth="1"/>
    <col min="16" max="16" width="7.85546875" style="38" customWidth="1"/>
    <col min="17" max="25" width="7.85546875" customWidth="1"/>
    <col min="26" max="26" width="10.7109375" style="2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26.25">
      <c r="A8" s="118" t="s">
        <v>81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33.75" customHeight="1">
      <c r="A13" s="125" t="s">
        <v>0</v>
      </c>
      <c r="B13" s="125"/>
      <c r="C13" s="65"/>
      <c r="D13" s="65"/>
      <c r="E13" s="66"/>
      <c r="F13" s="127">
        <v>1</v>
      </c>
      <c r="G13" s="125"/>
      <c r="H13" s="125"/>
      <c r="I13" s="126"/>
      <c r="J13" s="127">
        <v>2</v>
      </c>
      <c r="K13" s="128"/>
      <c r="L13" s="128"/>
      <c r="M13" s="126"/>
      <c r="N13" s="127">
        <v>3</v>
      </c>
      <c r="O13" s="128"/>
      <c r="P13" s="128"/>
      <c r="Q13" s="126"/>
      <c r="R13" s="127">
        <v>4</v>
      </c>
      <c r="S13" s="128"/>
      <c r="T13" s="128"/>
      <c r="U13" s="126"/>
      <c r="V13" s="127">
        <v>5</v>
      </c>
      <c r="W13" s="128"/>
      <c r="X13" s="128"/>
      <c r="Y13" s="126"/>
      <c r="Z13" s="117" t="s">
        <v>47</v>
      </c>
    </row>
    <row r="14" spans="1:31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117"/>
    </row>
    <row r="15" spans="1:31" ht="24.95" customHeight="1">
      <c r="A15" s="22">
        <v>1</v>
      </c>
      <c r="B15" s="22">
        <v>1</v>
      </c>
      <c r="C15" s="115">
        <v>84</v>
      </c>
      <c r="D15" s="23" t="s">
        <v>195</v>
      </c>
      <c r="E15" s="23" t="s">
        <v>1021</v>
      </c>
      <c r="F15" s="26">
        <v>1</v>
      </c>
      <c r="G15" s="15">
        <v>25</v>
      </c>
      <c r="H15" s="3">
        <v>1</v>
      </c>
      <c r="I15" s="25">
        <v>200</v>
      </c>
      <c r="J15" s="33">
        <v>0</v>
      </c>
      <c r="K15" s="22">
        <v>0</v>
      </c>
      <c r="L15" s="22">
        <v>0</v>
      </c>
      <c r="M15" s="34">
        <v>0</v>
      </c>
      <c r="N15" s="16">
        <v>2</v>
      </c>
      <c r="O15" s="15">
        <f>IFERROR(VLOOKUP(N15,'Puntos XCC Mayor'!$A$1:$B$15,2,FALSE),0)</f>
        <v>20</v>
      </c>
      <c r="P15" s="3">
        <v>3</v>
      </c>
      <c r="Q15" s="34">
        <f>IFERROR(VLOOKUP(P15,'Puntos XCO'!$A$1:$B$63,2,FALSE),0)</f>
        <v>120</v>
      </c>
      <c r="R15" s="16">
        <v>1</v>
      </c>
      <c r="S15" s="15">
        <f>IFERROR(VLOOKUP(R15,'Puntos XCC Mayor'!$A$1:$B$15,2,FALSE),0)</f>
        <v>25</v>
      </c>
      <c r="T15" s="15">
        <v>1</v>
      </c>
      <c r="U15" s="25">
        <f>IFERROR(VLOOKUP(T15,'Puntos XCO'!$A$1:$B$63,2,FALSE),0)</f>
        <v>200</v>
      </c>
      <c r="V15" s="16">
        <f>IFERROR(VLOOKUP(C15,RESXCC_1,9,FALSE),0)</f>
        <v>2</v>
      </c>
      <c r="W15" s="15">
        <f>IFERROR(VLOOKUP(V15,'Puntos XCC Mayor'!$A$1:$B$15,2,FALSE),0)</f>
        <v>20</v>
      </c>
      <c r="X15" s="15">
        <f>IFERROR(VLOOKUP(C15,RESXCO,9,FALSE),0)</f>
        <v>2</v>
      </c>
      <c r="Y15" s="25">
        <f>IFERROR(VLOOKUP(X15,'Puntos XCO'!$A$1:$B$63,2,FALSE),0)</f>
        <v>150</v>
      </c>
      <c r="Z15" s="27">
        <f>G15+I15+K15+M15+O15+Q15+S15+U15+W15+Y15</f>
        <v>760</v>
      </c>
      <c r="AB15" s="2"/>
      <c r="AC15" s="13"/>
      <c r="AD15" s="12"/>
      <c r="AE15" s="14"/>
    </row>
    <row r="16" spans="1:31" ht="24.95" customHeight="1">
      <c r="A16" s="3">
        <v>2</v>
      </c>
      <c r="B16" s="22">
        <v>3</v>
      </c>
      <c r="C16" s="113">
        <v>85</v>
      </c>
      <c r="D16" s="23" t="s">
        <v>153</v>
      </c>
      <c r="E16" s="23" t="s">
        <v>1022</v>
      </c>
      <c r="F16" s="26">
        <v>3</v>
      </c>
      <c r="G16" s="15">
        <v>16</v>
      </c>
      <c r="H16" s="3">
        <v>2</v>
      </c>
      <c r="I16" s="25">
        <v>150</v>
      </c>
      <c r="J16" s="33">
        <v>0</v>
      </c>
      <c r="K16" s="22">
        <v>0</v>
      </c>
      <c r="L16" s="22">
        <v>1</v>
      </c>
      <c r="M16" s="34">
        <v>200</v>
      </c>
      <c r="N16" s="16"/>
      <c r="O16" s="15">
        <f>IFERROR(VLOOKUP(N16,'Puntos XCC Mayor'!$A$1:$B$15,2,FALSE),0)</f>
        <v>0</v>
      </c>
      <c r="P16" s="3">
        <v>5</v>
      </c>
      <c r="Q16" s="34">
        <f>IFERROR(VLOOKUP(P16,'Puntos XCO'!$A$1:$B$63,2,FALSE),0)</f>
        <v>100</v>
      </c>
      <c r="R16" s="16">
        <v>0</v>
      </c>
      <c r="S16" s="15">
        <f>IFERROR(VLOOKUP(R16,'Puntos XCC Mayor'!$A$1:$B$15,2,FALSE),0)</f>
        <v>0</v>
      </c>
      <c r="T16" s="15">
        <v>0</v>
      </c>
      <c r="U16" s="25">
        <f>IFERROR(VLOOKUP(T16,'Puntos XCO'!$A$1:$B$63,2,FALSE),0)</f>
        <v>0</v>
      </c>
      <c r="V16" s="16">
        <f>IFERROR(VLOOKUP(C16,RESXCC_1,9,FALSE),0)</f>
        <v>1</v>
      </c>
      <c r="W16" s="15">
        <f>IFERROR(VLOOKUP(V16,'Puntos XCC Mayor'!$A$1:$B$15,2,FALSE),0)</f>
        <v>25</v>
      </c>
      <c r="X16" s="15">
        <f>IFERROR(VLOOKUP(C16,RESXCO,9,FALSE),0)</f>
        <v>1</v>
      </c>
      <c r="Y16" s="25">
        <f>IFERROR(VLOOKUP(X16,'Puntos XCO'!$A$1:$B$63,2,FALSE),0)</f>
        <v>200</v>
      </c>
      <c r="Z16" s="27">
        <f>G16+I16+K16+M16+O16+Q16+S16+U16+W16+Y16</f>
        <v>691</v>
      </c>
      <c r="AB16" s="2"/>
      <c r="AC16" s="13"/>
      <c r="AD16" s="12"/>
      <c r="AE16" s="14"/>
    </row>
    <row r="17" spans="1:31" ht="24.95" customHeight="1">
      <c r="A17" s="22">
        <v>3</v>
      </c>
      <c r="B17" s="3">
        <v>2</v>
      </c>
      <c r="C17" s="113">
        <v>91</v>
      </c>
      <c r="D17" s="23" t="s">
        <v>1026</v>
      </c>
      <c r="E17" s="23" t="s">
        <v>114</v>
      </c>
      <c r="F17" s="26"/>
      <c r="G17" s="15"/>
      <c r="H17" s="3"/>
      <c r="I17" s="25"/>
      <c r="J17" s="33">
        <v>1</v>
      </c>
      <c r="K17" s="22">
        <v>25</v>
      </c>
      <c r="L17" s="22">
        <v>2</v>
      </c>
      <c r="M17" s="34">
        <v>150</v>
      </c>
      <c r="N17" s="16">
        <v>5</v>
      </c>
      <c r="O17" s="15">
        <f>IFERROR(VLOOKUP(N17,'Puntos XCC Mayor'!$A$1:$B$15,2,FALSE),0)</f>
        <v>12</v>
      </c>
      <c r="P17" s="3">
        <v>1</v>
      </c>
      <c r="Q17" s="34">
        <f>IFERROR(VLOOKUP(P17,'Puntos XCO'!$A$1:$B$63,2,FALSE),0)</f>
        <v>200</v>
      </c>
      <c r="R17" s="16">
        <v>3</v>
      </c>
      <c r="S17" s="15">
        <f>IFERROR(VLOOKUP(R17,'Puntos XCC Mayor'!$A$1:$B$15,2,FALSE),0)</f>
        <v>16</v>
      </c>
      <c r="T17" s="15">
        <v>3</v>
      </c>
      <c r="U17" s="25">
        <f>IFERROR(VLOOKUP(T17,'Puntos XCO'!$A$1:$B$63,2,FALSE),0)</f>
        <v>120</v>
      </c>
      <c r="V17" s="16">
        <f>IFERROR(VLOOKUP(C17,RESXCC_1,9,FALSE),0)</f>
        <v>3</v>
      </c>
      <c r="W17" s="15">
        <f>IFERROR(VLOOKUP(V17,'Puntos XCC Mayor'!$A$1:$B$15,2,FALSE),0)</f>
        <v>16</v>
      </c>
      <c r="X17" s="15">
        <f>IFERROR(VLOOKUP(C17,RESXCO,9,FALSE),0)</f>
        <v>3</v>
      </c>
      <c r="Y17" s="25">
        <f>IFERROR(VLOOKUP(X17,'Puntos XCO'!$A$1:$B$63,2,FALSE),0)</f>
        <v>120</v>
      </c>
      <c r="Z17" s="27">
        <f>G17+I17+K17+M17+O17+Q17+S17+U17+W17+Y17</f>
        <v>659</v>
      </c>
      <c r="AB17" s="2"/>
      <c r="AC17" s="13"/>
      <c r="AD17" s="12"/>
      <c r="AE17" s="14"/>
    </row>
    <row r="18" spans="1:31" ht="24.95" customHeight="1">
      <c r="A18" s="3">
        <v>4</v>
      </c>
      <c r="B18" s="3">
        <v>4</v>
      </c>
      <c r="C18" s="115">
        <v>94</v>
      </c>
      <c r="D18" s="23" t="s">
        <v>1030</v>
      </c>
      <c r="E18" s="23" t="s">
        <v>1031</v>
      </c>
      <c r="F18" s="26">
        <v>0</v>
      </c>
      <c r="G18" s="15">
        <v>0</v>
      </c>
      <c r="H18" s="3">
        <v>6</v>
      </c>
      <c r="I18" s="25">
        <v>95</v>
      </c>
      <c r="J18" s="33">
        <v>5</v>
      </c>
      <c r="K18" s="22">
        <v>12</v>
      </c>
      <c r="L18" s="22">
        <v>8</v>
      </c>
      <c r="M18" s="34">
        <v>85</v>
      </c>
      <c r="N18" s="16">
        <v>7</v>
      </c>
      <c r="O18" s="15">
        <f>IFERROR(VLOOKUP(N18,'Puntos XCC Mayor'!$A$1:$B$15,2,FALSE),0)</f>
        <v>9</v>
      </c>
      <c r="P18" s="3">
        <v>3</v>
      </c>
      <c r="Q18" s="34">
        <f>IFERROR(VLOOKUP(P18,'Puntos XCO'!$A$1:$B$63,2,FALSE),0)</f>
        <v>120</v>
      </c>
      <c r="R18" s="16">
        <v>6</v>
      </c>
      <c r="S18" s="15">
        <f>IFERROR(VLOOKUP(R18,'Puntos XCC Mayor'!$A$1:$B$15,2,FALSE),0)</f>
        <v>10</v>
      </c>
      <c r="T18" s="15">
        <v>5</v>
      </c>
      <c r="U18" s="25">
        <f>IFERROR(VLOOKUP(T18,'Puntos XCO'!$A$1:$B$63,2,FALSE),0)</f>
        <v>100</v>
      </c>
      <c r="V18" s="16">
        <f>IFERROR(VLOOKUP(C18,RESXCC_1,9,FALSE),0)</f>
        <v>7</v>
      </c>
      <c r="W18" s="15">
        <f>IFERROR(VLOOKUP(V18,'Puntos XCC Mayor'!$A$1:$B$15,2,FALSE),0)</f>
        <v>9</v>
      </c>
      <c r="X18" s="15">
        <f>IFERROR(VLOOKUP(C18,RESXCO,9,FALSE),0)</f>
        <v>6</v>
      </c>
      <c r="Y18" s="25">
        <f>IFERROR(VLOOKUP(X18,'Puntos XCO'!$A$1:$B$63,2,FALSE),0)</f>
        <v>95</v>
      </c>
      <c r="Z18" s="27">
        <f>G18+I18+K18+M18+O18+Q18+S18+U18+W18+Y18</f>
        <v>535</v>
      </c>
      <c r="AB18" s="2"/>
      <c r="AC18" s="13"/>
      <c r="AD18" s="12"/>
      <c r="AE18" s="14"/>
    </row>
    <row r="19" spans="1:31" ht="24.95" customHeight="1">
      <c r="A19" s="22">
        <v>5</v>
      </c>
      <c r="B19" s="22">
        <v>5</v>
      </c>
      <c r="C19" s="113">
        <v>87</v>
      </c>
      <c r="D19" s="23" t="s">
        <v>1025</v>
      </c>
      <c r="E19" s="23" t="s">
        <v>138</v>
      </c>
      <c r="F19" s="26"/>
      <c r="G19" s="15"/>
      <c r="H19" s="3"/>
      <c r="I19" s="25"/>
      <c r="J19" s="33">
        <v>4</v>
      </c>
      <c r="K19" s="22">
        <v>14</v>
      </c>
      <c r="L19" s="22">
        <v>5</v>
      </c>
      <c r="M19" s="34">
        <v>100</v>
      </c>
      <c r="N19" s="16">
        <v>6</v>
      </c>
      <c r="O19" s="15">
        <f>IFERROR(VLOOKUP(N19,'Puntos XCC Mayor'!$A$1:$B$15,2,FALSE),0)</f>
        <v>10</v>
      </c>
      <c r="P19" s="3">
        <v>7</v>
      </c>
      <c r="Q19" s="34">
        <f>IFERROR(VLOOKUP(P19,'Puntos XCO'!$A$1:$B$63,2,FALSE),0)</f>
        <v>90</v>
      </c>
      <c r="R19" s="16">
        <v>4</v>
      </c>
      <c r="S19" s="15">
        <f>IFERROR(VLOOKUP(R19,'Puntos XCC Mayor'!$A$1:$B$15,2,FALSE),0)</f>
        <v>14</v>
      </c>
      <c r="T19" s="15">
        <v>4</v>
      </c>
      <c r="U19" s="25">
        <f>IFERROR(VLOOKUP(T19,'Puntos XCO'!$A$1:$B$63,2,FALSE),0)</f>
        <v>110</v>
      </c>
      <c r="V19" s="16">
        <f>IFERROR(VLOOKUP(C19,RESXCC_1,9,FALSE),0)</f>
        <v>5</v>
      </c>
      <c r="W19" s="15">
        <f>IFERROR(VLOOKUP(V19,'Puntos XCC Mayor'!$A$1:$B$15,2,FALSE),0)</f>
        <v>12</v>
      </c>
      <c r="X19" s="15">
        <f>IFERROR(VLOOKUP(C19,RESXCO,9,FALSE),0)</f>
        <v>5</v>
      </c>
      <c r="Y19" s="25">
        <f>IFERROR(VLOOKUP(X19,'Puntos XCO'!$A$1:$B$63,2,FALSE),0)</f>
        <v>100</v>
      </c>
      <c r="Z19" s="27">
        <f>G19+I19+K19+M19+O19+Q19+S19+U19+W19+Y19</f>
        <v>450</v>
      </c>
      <c r="AB19" s="2"/>
      <c r="AC19" s="13"/>
      <c r="AD19" s="12"/>
      <c r="AE19" s="14"/>
    </row>
    <row r="20" spans="1:31" ht="24.95" customHeight="1">
      <c r="A20" s="3">
        <v>6</v>
      </c>
      <c r="B20" s="3">
        <v>6</v>
      </c>
      <c r="C20" s="113">
        <v>92</v>
      </c>
      <c r="D20" s="23" t="s">
        <v>1027</v>
      </c>
      <c r="E20" s="23" t="s">
        <v>114</v>
      </c>
      <c r="F20" s="26"/>
      <c r="G20" s="15"/>
      <c r="H20" s="3"/>
      <c r="I20" s="25"/>
      <c r="J20" s="33">
        <v>2</v>
      </c>
      <c r="K20" s="22">
        <v>20</v>
      </c>
      <c r="L20" s="22">
        <v>3</v>
      </c>
      <c r="M20" s="34">
        <v>120</v>
      </c>
      <c r="N20" s="16"/>
      <c r="O20" s="15">
        <f>IFERROR(VLOOKUP(N20,'Puntos XCC Mayor'!$A$1:$B$15,2,FALSE),0)</f>
        <v>0</v>
      </c>
      <c r="P20" s="3"/>
      <c r="Q20" s="34">
        <f>IFERROR(VLOOKUP(P20,'Puntos XCO'!$A$1:$B$63,2,FALSE),0)</f>
        <v>0</v>
      </c>
      <c r="R20" s="16">
        <v>2</v>
      </c>
      <c r="S20" s="15">
        <f>IFERROR(VLOOKUP(R20,'Puntos XCC Mayor'!$A$1:$B$15,2,FALSE),0)</f>
        <v>20</v>
      </c>
      <c r="T20" s="15">
        <v>2</v>
      </c>
      <c r="U20" s="25">
        <f>IFERROR(VLOOKUP(T20,'Puntos XCO'!$A$1:$B$63,2,FALSE),0)</f>
        <v>150</v>
      </c>
      <c r="V20" s="16">
        <f>IFERROR(VLOOKUP(C20,RESXCC_1,9,FALSE),0)</f>
        <v>4</v>
      </c>
      <c r="W20" s="15">
        <f>IFERROR(VLOOKUP(V20,'Puntos XCC Mayor'!$A$1:$B$15,2,FALSE),0)</f>
        <v>14</v>
      </c>
      <c r="X20" s="15">
        <f>IFERROR(VLOOKUP(C20,RESXCO,9,FALSE),0)</f>
        <v>4</v>
      </c>
      <c r="Y20" s="25">
        <f>IFERROR(VLOOKUP(X20,'Puntos XCO'!$A$1:$B$63,2,FALSE),0)</f>
        <v>110</v>
      </c>
      <c r="Z20" s="27">
        <f>G20+I20+K20+M20+O20+Q20+S20+U20+W20+Y20</f>
        <v>434</v>
      </c>
      <c r="AB20" s="2"/>
      <c r="AC20" s="13"/>
      <c r="AD20" s="12"/>
      <c r="AE20" s="14"/>
    </row>
    <row r="21" spans="1:31" ht="24.95" customHeight="1">
      <c r="A21" s="22">
        <v>7</v>
      </c>
      <c r="B21" s="22">
        <v>7</v>
      </c>
      <c r="C21" s="115">
        <v>95</v>
      </c>
      <c r="D21" s="23" t="s">
        <v>593</v>
      </c>
      <c r="E21" s="23" t="s">
        <v>204</v>
      </c>
      <c r="F21" s="26">
        <v>8</v>
      </c>
      <c r="G21" s="15">
        <v>8</v>
      </c>
      <c r="H21" s="3">
        <v>9</v>
      </c>
      <c r="I21" s="25">
        <v>80</v>
      </c>
      <c r="J21" s="33">
        <v>6</v>
      </c>
      <c r="K21" s="22">
        <v>10</v>
      </c>
      <c r="L21" s="22">
        <v>7</v>
      </c>
      <c r="M21" s="34">
        <v>90</v>
      </c>
      <c r="N21" s="16"/>
      <c r="O21" s="15">
        <f>IFERROR(VLOOKUP(N21,'Puntos XCC Mayor'!$A$1:$B$15,2,FALSE),0)</f>
        <v>0</v>
      </c>
      <c r="P21" s="3"/>
      <c r="Q21" s="34">
        <f>IFERROR(VLOOKUP(P21,'Puntos XCO'!$A$1:$B$63,2,FALSE),0)</f>
        <v>0</v>
      </c>
      <c r="R21" s="16">
        <v>7</v>
      </c>
      <c r="S21" s="15">
        <f>IFERROR(VLOOKUP(R21,'Puntos XCC Mayor'!$A$1:$B$15,2,FALSE),0)</f>
        <v>9</v>
      </c>
      <c r="T21" s="15">
        <v>7</v>
      </c>
      <c r="U21" s="25">
        <f>IFERROR(VLOOKUP(T21,'Puntos XCO'!$A$1:$B$63,2,FALSE),0)</f>
        <v>90</v>
      </c>
      <c r="V21" s="16">
        <f>IFERROR(VLOOKUP(C21,RESXCC_1,9,FALSE),0)</f>
        <v>6</v>
      </c>
      <c r="W21" s="15">
        <f>IFERROR(VLOOKUP(V21,'Puntos XCC Mayor'!$A$1:$B$15,2,FALSE),0)</f>
        <v>10</v>
      </c>
      <c r="X21" s="15">
        <f>IFERROR(VLOOKUP(C21,RESXCO,9,FALSE),0)</f>
        <v>7</v>
      </c>
      <c r="Y21" s="25">
        <f>IFERROR(VLOOKUP(X21,'Puntos XCO'!$A$1:$B$63,2,FALSE),0)</f>
        <v>90</v>
      </c>
      <c r="Z21" s="27">
        <f>G21+I21+K21+M21+O21+Q21+S21+U21+W21+Y21</f>
        <v>387</v>
      </c>
      <c r="AB21" s="2"/>
      <c r="AC21" s="13"/>
      <c r="AD21" s="12"/>
      <c r="AE21" s="14"/>
    </row>
    <row r="22" spans="1:31" ht="24.95" customHeight="1">
      <c r="A22" s="3">
        <v>8</v>
      </c>
      <c r="B22" s="3">
        <v>8</v>
      </c>
      <c r="C22" s="113">
        <v>90</v>
      </c>
      <c r="D22" s="23" t="s">
        <v>207</v>
      </c>
      <c r="E22" s="23" t="s">
        <v>100</v>
      </c>
      <c r="F22" s="26">
        <v>0</v>
      </c>
      <c r="G22" s="15">
        <v>0</v>
      </c>
      <c r="H22" s="3">
        <v>8</v>
      </c>
      <c r="I22" s="25">
        <v>85</v>
      </c>
      <c r="J22" s="33">
        <v>0</v>
      </c>
      <c r="K22" s="22">
        <v>0</v>
      </c>
      <c r="L22" s="22">
        <v>6</v>
      </c>
      <c r="M22" s="34">
        <v>95</v>
      </c>
      <c r="N22" s="16"/>
      <c r="O22" s="15">
        <f>IFERROR(VLOOKUP(N22,'Puntos XCC Mayor'!$A$1:$B$15,2,FALSE),0)</f>
        <v>0</v>
      </c>
      <c r="P22" s="3"/>
      <c r="Q22" s="34">
        <f>IFERROR(VLOOKUP(P22,'Puntos XCO'!$A$1:$B$63,2,FALSE),0)</f>
        <v>0</v>
      </c>
      <c r="R22" s="16">
        <v>5</v>
      </c>
      <c r="S22" s="15">
        <f>IFERROR(VLOOKUP(R22,'Puntos XCC Mayor'!$A$1:$B$15,2,FALSE),0)</f>
        <v>12</v>
      </c>
      <c r="T22" s="15">
        <v>6</v>
      </c>
      <c r="U22" s="25">
        <f>IFERROR(VLOOKUP(T22,'Puntos XCO'!$A$1:$B$63,2,FALSE),0)</f>
        <v>95</v>
      </c>
      <c r="V22" s="16">
        <f>IFERROR(VLOOKUP(C22,RESXCC_1,9,FALSE),0)</f>
        <v>0</v>
      </c>
      <c r="W22" s="15">
        <f>IFERROR(VLOOKUP(V22,'Puntos XCC Mayor'!$A$1:$B$15,2,FALSE),0)</f>
        <v>0</v>
      </c>
      <c r="X22" s="15">
        <f>IFERROR(VLOOKUP(C22,RESXCO,9,FALSE),0)</f>
        <v>0</v>
      </c>
      <c r="Y22" s="25">
        <f>IFERROR(VLOOKUP(X22,'Puntos XCO'!$A$1:$B$63,2,FALSE),0)</f>
        <v>0</v>
      </c>
      <c r="Z22" s="27">
        <f>G22+I22+K22+M22+O22+Q22+S22+U22+W22+Y22</f>
        <v>287</v>
      </c>
      <c r="AB22" s="2"/>
      <c r="AC22" s="13"/>
      <c r="AD22" s="12"/>
      <c r="AE22" s="14"/>
    </row>
    <row r="23" spans="1:31" ht="24.95" customHeight="1">
      <c r="A23" s="22">
        <v>9</v>
      </c>
      <c r="B23" s="22">
        <v>9</v>
      </c>
      <c r="C23" s="115">
        <v>88</v>
      </c>
      <c r="D23" s="23" t="s">
        <v>201</v>
      </c>
      <c r="E23" s="23" t="s">
        <v>100</v>
      </c>
      <c r="F23" s="26">
        <v>7</v>
      </c>
      <c r="G23" s="15">
        <v>9</v>
      </c>
      <c r="H23" s="3">
        <v>5</v>
      </c>
      <c r="I23" s="25">
        <v>100</v>
      </c>
      <c r="J23" s="33">
        <v>3</v>
      </c>
      <c r="K23" s="22">
        <v>16</v>
      </c>
      <c r="L23" s="22">
        <v>4</v>
      </c>
      <c r="M23" s="34">
        <v>110</v>
      </c>
      <c r="N23" s="16"/>
      <c r="O23" s="15">
        <f>IFERROR(VLOOKUP(N23,'Puntos XCC Mayor'!$A$1:$B$15,2,FALSE),0)</f>
        <v>0</v>
      </c>
      <c r="P23" s="3"/>
      <c r="Q23" s="34">
        <f>IFERROR(VLOOKUP(P23,'Puntos XCO'!$A$1:$B$63,2,FALSE),0)</f>
        <v>0</v>
      </c>
      <c r="R23" s="16">
        <v>0</v>
      </c>
      <c r="S23" s="15">
        <f>IFERROR(VLOOKUP(R23,'Puntos XCC Mayor'!$A$1:$B$15,2,FALSE),0)</f>
        <v>0</v>
      </c>
      <c r="T23" s="15">
        <v>0</v>
      </c>
      <c r="U23" s="25">
        <f>IFERROR(VLOOKUP(T23,'Puntos XCO'!$A$1:$B$63,2,FALSE),0)</f>
        <v>0</v>
      </c>
      <c r="V23" s="16">
        <f>IFERROR(VLOOKUP(C23,RESXCC_1,9,FALSE),0)</f>
        <v>0</v>
      </c>
      <c r="W23" s="15">
        <f>IFERROR(VLOOKUP(V23,'Puntos XCC Mayor'!$A$1:$B$15,2,FALSE),0)</f>
        <v>0</v>
      </c>
      <c r="X23" s="15">
        <f>IFERROR(VLOOKUP(C23,RESXCO,9,FALSE),0)</f>
        <v>0</v>
      </c>
      <c r="Y23" s="25">
        <f>IFERROR(VLOOKUP(X23,'Puntos XCO'!$A$1:$B$63,2,FALSE),0)</f>
        <v>0</v>
      </c>
      <c r="Z23" s="27">
        <f>G23+I23+K23+M23+O23+Q23+S23+U23+W23+Y23</f>
        <v>235</v>
      </c>
      <c r="AB23" s="2"/>
      <c r="AC23" s="13"/>
      <c r="AD23" s="12"/>
      <c r="AE23" s="14"/>
    </row>
    <row r="24" spans="1:31" ht="24.95" customHeight="1">
      <c r="A24" s="3">
        <v>10</v>
      </c>
      <c r="B24" s="3">
        <v>10</v>
      </c>
      <c r="C24" s="113">
        <v>89</v>
      </c>
      <c r="D24" s="23" t="s">
        <v>1019</v>
      </c>
      <c r="E24" s="23" t="s">
        <v>1144</v>
      </c>
      <c r="F24" s="26"/>
      <c r="G24" s="15"/>
      <c r="H24" s="3"/>
      <c r="I24" s="25"/>
      <c r="J24" s="33"/>
      <c r="K24" s="22"/>
      <c r="L24" s="22"/>
      <c r="M24" s="34"/>
      <c r="N24" s="16"/>
      <c r="O24" s="15">
        <f>IFERROR(VLOOKUP(N24,'Puntos XCC Mayor'!$A$1:$B$15,2,FALSE),0)</f>
        <v>0</v>
      </c>
      <c r="P24" s="3">
        <v>1</v>
      </c>
      <c r="Q24" s="34">
        <f>IFERROR(VLOOKUP(P24,'Puntos XCO'!$A$1:$B$63,2,FALSE),0)</f>
        <v>200</v>
      </c>
      <c r="R24" s="16">
        <v>0</v>
      </c>
      <c r="S24" s="15">
        <f>IFERROR(VLOOKUP(R24,'Puntos XCC Mayor'!$A$1:$B$15,2,FALSE),0)</f>
        <v>0</v>
      </c>
      <c r="T24" s="15">
        <v>0</v>
      </c>
      <c r="U24" s="25">
        <f>IFERROR(VLOOKUP(T24,'Puntos XCO'!$A$1:$B$63,2,FALSE),0)</f>
        <v>0</v>
      </c>
      <c r="V24" s="16">
        <f>IFERROR(VLOOKUP(C24,RESXCC_1,9,FALSE),0)</f>
        <v>0</v>
      </c>
      <c r="W24" s="15">
        <f>IFERROR(VLOOKUP(V24,'Puntos XCC Mayor'!$A$1:$B$15,2,FALSE),0)</f>
        <v>0</v>
      </c>
      <c r="X24" s="15">
        <f>IFERROR(VLOOKUP(C24,RESXCO,9,FALSE),0)</f>
        <v>0</v>
      </c>
      <c r="Y24" s="25">
        <f>IFERROR(VLOOKUP(X24,'Puntos XCO'!$A$1:$B$63,2,FALSE),0)</f>
        <v>0</v>
      </c>
      <c r="Z24" s="27">
        <f>G24+I24+K24+M24+O24+Q24+S24+U24+W24+Y24</f>
        <v>200</v>
      </c>
      <c r="AB24" s="2"/>
      <c r="AC24" s="13"/>
      <c r="AD24" s="12"/>
      <c r="AE24" s="14"/>
    </row>
    <row r="25" spans="1:31" ht="24.95" customHeight="1">
      <c r="A25" s="22">
        <v>11</v>
      </c>
      <c r="B25" s="22">
        <v>11</v>
      </c>
      <c r="C25" s="113">
        <v>82</v>
      </c>
      <c r="D25" s="23" t="s">
        <v>1017</v>
      </c>
      <c r="E25" s="23" t="s">
        <v>1018</v>
      </c>
      <c r="F25" s="26"/>
      <c r="G25" s="15"/>
      <c r="H25" s="3"/>
      <c r="I25" s="25"/>
      <c r="J25" s="33"/>
      <c r="K25" s="22"/>
      <c r="L25" s="22"/>
      <c r="M25" s="34"/>
      <c r="N25" s="16">
        <v>1</v>
      </c>
      <c r="O25" s="15">
        <f>IFERROR(VLOOKUP(N25,'Puntos XCC Mayor'!$A$1:$B$15,2,FALSE),0)</f>
        <v>25</v>
      </c>
      <c r="P25" s="3">
        <v>2</v>
      </c>
      <c r="Q25" s="34">
        <f>IFERROR(VLOOKUP(P25,'Puntos XCO'!$A$1:$B$63,2,FALSE),0)</f>
        <v>150</v>
      </c>
      <c r="R25" s="16">
        <v>0</v>
      </c>
      <c r="S25" s="15">
        <f>IFERROR(VLOOKUP(R25,'Puntos XCC Mayor'!$A$1:$B$15,2,FALSE),0)</f>
        <v>0</v>
      </c>
      <c r="T25" s="15">
        <v>0</v>
      </c>
      <c r="U25" s="25">
        <f>IFERROR(VLOOKUP(T25,'Puntos XCO'!$A$1:$B$63,2,FALSE),0)</f>
        <v>0</v>
      </c>
      <c r="V25" s="16">
        <f>IFERROR(VLOOKUP(C25,RESXCC_1,9,FALSE),0)</f>
        <v>0</v>
      </c>
      <c r="W25" s="15">
        <f>IFERROR(VLOOKUP(V25,'Puntos XCC Mayor'!$A$1:$B$15,2,FALSE),0)</f>
        <v>0</v>
      </c>
      <c r="X25" s="15">
        <f>IFERROR(VLOOKUP(C25,RESXCO,9,FALSE),0)</f>
        <v>0</v>
      </c>
      <c r="Y25" s="25">
        <f>IFERROR(VLOOKUP(X25,'Puntos XCO'!$A$1:$B$63,2,FALSE),0)</f>
        <v>0</v>
      </c>
      <c r="Z25" s="27">
        <f>G25+I25+K25+M25+O25+Q25+S25+U25+W25+Y25</f>
        <v>175</v>
      </c>
      <c r="AB25" s="3"/>
    </row>
    <row r="26" spans="1:31" ht="24.95" customHeight="1">
      <c r="A26" s="3">
        <v>12</v>
      </c>
      <c r="B26" s="3">
        <v>12</v>
      </c>
      <c r="C26" s="113">
        <v>93</v>
      </c>
      <c r="D26" s="23" t="s">
        <v>1028</v>
      </c>
      <c r="E26" s="23" t="s">
        <v>1029</v>
      </c>
      <c r="F26" s="26"/>
      <c r="G26" s="15"/>
      <c r="H26" s="3"/>
      <c r="I26" s="25"/>
      <c r="J26" s="33"/>
      <c r="K26" s="22"/>
      <c r="L26" s="22"/>
      <c r="M26" s="34"/>
      <c r="N26" s="16">
        <v>4</v>
      </c>
      <c r="O26" s="15">
        <f>IFERROR(VLOOKUP(N26,'Puntos XCC Mayor'!$A$1:$B$15,2,FALSE),0)</f>
        <v>14</v>
      </c>
      <c r="P26" s="3">
        <v>2</v>
      </c>
      <c r="Q26" s="34">
        <f>IFERROR(VLOOKUP(P26,'Puntos XCO'!$A$1:$B$63,2,FALSE),0)</f>
        <v>150</v>
      </c>
      <c r="R26" s="16">
        <v>0</v>
      </c>
      <c r="S26" s="15">
        <f>IFERROR(VLOOKUP(R26,'Puntos XCC Mayor'!$A$1:$B$15,2,FALSE),0)</f>
        <v>0</v>
      </c>
      <c r="T26" s="15">
        <v>0</v>
      </c>
      <c r="U26" s="25">
        <f>IFERROR(VLOOKUP(T26,'Puntos XCO'!$A$1:$B$63,2,FALSE),0)</f>
        <v>0</v>
      </c>
      <c r="V26" s="16">
        <f>IFERROR(VLOOKUP(C26,RESXCC_1,9,FALSE),0)</f>
        <v>0</v>
      </c>
      <c r="W26" s="15">
        <f>IFERROR(VLOOKUP(V26,'Puntos XCC Mayor'!$A$1:$B$15,2,FALSE),0)</f>
        <v>0</v>
      </c>
      <c r="X26" s="15">
        <f>IFERROR(VLOOKUP(C26,RESXCO,9,FALSE),0)</f>
        <v>0</v>
      </c>
      <c r="Y26" s="25">
        <f>IFERROR(VLOOKUP(X26,'Puntos XCO'!$A$1:$B$63,2,FALSE),0)</f>
        <v>0</v>
      </c>
      <c r="Z26" s="27">
        <f>G26+I26+K26+M26+O26+Q26+S26+U26+W26+Y26</f>
        <v>164</v>
      </c>
      <c r="AB26" s="3"/>
    </row>
    <row r="27" spans="1:31" ht="24.95" customHeight="1">
      <c r="A27" s="22">
        <v>13</v>
      </c>
      <c r="B27" s="22">
        <v>13</v>
      </c>
      <c r="C27" s="113"/>
      <c r="D27" s="23" t="s">
        <v>199</v>
      </c>
      <c r="E27" s="23" t="s">
        <v>200</v>
      </c>
      <c r="F27" s="26">
        <v>6</v>
      </c>
      <c r="G27" s="15">
        <v>10</v>
      </c>
      <c r="H27" s="3">
        <v>3</v>
      </c>
      <c r="I27" s="25">
        <v>120</v>
      </c>
      <c r="J27" s="33">
        <v>0</v>
      </c>
      <c r="K27" s="22">
        <v>0</v>
      </c>
      <c r="L27" s="22">
        <v>0</v>
      </c>
      <c r="M27" s="34">
        <v>0</v>
      </c>
      <c r="N27" s="16"/>
      <c r="O27" s="15">
        <f>IFERROR(VLOOKUP(N27,'Puntos XCC Mayor'!$A$1:$B$15,2,FALSE),0)</f>
        <v>0</v>
      </c>
      <c r="P27" s="3"/>
      <c r="Q27" s="34">
        <f>IFERROR(VLOOKUP(P27,'Puntos XCO'!$A$1:$B$63,2,FALSE),0)</f>
        <v>0</v>
      </c>
      <c r="R27" s="16">
        <v>0</v>
      </c>
      <c r="S27" s="15">
        <f>IFERROR(VLOOKUP(R27,'Puntos XCC Mayor'!$A$1:$B$15,2,FALSE),0)</f>
        <v>0</v>
      </c>
      <c r="T27" s="15">
        <v>0</v>
      </c>
      <c r="U27" s="25">
        <f>IFERROR(VLOOKUP(T27,'Puntos XCO'!$A$1:$B$63,2,FALSE),0)</f>
        <v>0</v>
      </c>
      <c r="V27" s="16">
        <f>IFERROR(VLOOKUP(C27,RESXCC_1,9,FALSE),0)</f>
        <v>0</v>
      </c>
      <c r="W27" s="15">
        <f>IFERROR(VLOOKUP(V27,'Puntos XCC Mayor'!$A$1:$B$15,2,FALSE),0)</f>
        <v>0</v>
      </c>
      <c r="X27" s="15">
        <f>IFERROR(VLOOKUP(C27,RESXCO,9,FALSE),0)</f>
        <v>0</v>
      </c>
      <c r="Y27" s="25">
        <f>IFERROR(VLOOKUP(X27,'Puntos XCO'!$A$1:$B$63,2,FALSE),0)</f>
        <v>0</v>
      </c>
      <c r="Z27" s="27">
        <f>G27+I27+K27+M27+O27+Q27+S27+U27+W27+Y27</f>
        <v>130</v>
      </c>
      <c r="AB27" s="3"/>
    </row>
    <row r="28" spans="1:31" ht="24.95" customHeight="1">
      <c r="A28" s="3">
        <v>14</v>
      </c>
      <c r="B28" s="3">
        <v>14</v>
      </c>
      <c r="C28" s="115"/>
      <c r="D28" s="23" t="s">
        <v>198</v>
      </c>
      <c r="E28" s="23" t="s">
        <v>114</v>
      </c>
      <c r="F28" s="26">
        <v>2</v>
      </c>
      <c r="G28" s="15">
        <v>20</v>
      </c>
      <c r="H28" s="3">
        <v>4</v>
      </c>
      <c r="I28" s="25">
        <v>110</v>
      </c>
      <c r="J28" s="33">
        <v>0</v>
      </c>
      <c r="K28" s="22">
        <v>0</v>
      </c>
      <c r="L28" s="22">
        <v>0</v>
      </c>
      <c r="M28" s="34">
        <v>0</v>
      </c>
      <c r="N28" s="16"/>
      <c r="O28" s="15">
        <f>IFERROR(VLOOKUP(N28,'Puntos XCC Mayor'!$A$1:$B$15,2,FALSE),0)</f>
        <v>0</v>
      </c>
      <c r="P28" s="3"/>
      <c r="Q28" s="34">
        <f>IFERROR(VLOOKUP(P28,'Puntos XCO'!$A$1:$B$63,2,FALSE),0)</f>
        <v>0</v>
      </c>
      <c r="R28" s="16">
        <v>0</v>
      </c>
      <c r="S28" s="15">
        <f>IFERROR(VLOOKUP(R28,'Puntos XCC Mayor'!$A$1:$B$15,2,FALSE),0)</f>
        <v>0</v>
      </c>
      <c r="T28" s="15">
        <v>0</v>
      </c>
      <c r="U28" s="25">
        <f>IFERROR(VLOOKUP(T28,'Puntos XCO'!$A$1:$B$63,2,FALSE),0)</f>
        <v>0</v>
      </c>
      <c r="V28" s="16">
        <f>IFERROR(VLOOKUP(C28,RESXCC_1,9,FALSE),0)</f>
        <v>0</v>
      </c>
      <c r="W28" s="15">
        <f>IFERROR(VLOOKUP(V28,'Puntos XCC Mayor'!$A$1:$B$15,2,FALSE),0)</f>
        <v>0</v>
      </c>
      <c r="X28" s="15">
        <f>IFERROR(VLOOKUP(C28,RESXCO,9,FALSE),0)</f>
        <v>0</v>
      </c>
      <c r="Y28" s="25">
        <f>IFERROR(VLOOKUP(X28,'Puntos XCO'!$A$1:$B$63,2,FALSE),0)</f>
        <v>0</v>
      </c>
      <c r="Z28" s="27">
        <f>G28+I28+K28+M28+O28+Q28+S28+U28+W28+Y28</f>
        <v>130</v>
      </c>
      <c r="AB28" s="3"/>
    </row>
    <row r="29" spans="1:31" ht="24.95" customHeight="1">
      <c r="A29" s="22">
        <v>15</v>
      </c>
      <c r="B29" s="22">
        <v>15</v>
      </c>
      <c r="C29" s="113">
        <v>86</v>
      </c>
      <c r="D29" s="23" t="s">
        <v>1023</v>
      </c>
      <c r="E29" s="23" t="s">
        <v>1024</v>
      </c>
      <c r="F29" s="26"/>
      <c r="G29" s="15"/>
      <c r="H29" s="3"/>
      <c r="I29" s="25"/>
      <c r="J29" s="33"/>
      <c r="K29" s="22"/>
      <c r="L29" s="22"/>
      <c r="M29" s="34"/>
      <c r="N29" s="16">
        <v>3</v>
      </c>
      <c r="O29" s="15">
        <f>IFERROR(VLOOKUP(N29,'Puntos XCC Mayor'!$A$1:$B$15,2,FALSE),0)</f>
        <v>16</v>
      </c>
      <c r="P29" s="3">
        <v>6</v>
      </c>
      <c r="Q29" s="34">
        <f>IFERROR(VLOOKUP(P29,'Puntos XCO'!$A$1:$B$63,2,FALSE),0)</f>
        <v>95</v>
      </c>
      <c r="R29" s="16">
        <v>0</v>
      </c>
      <c r="S29" s="15">
        <f>IFERROR(VLOOKUP(R29,'Puntos XCC Mayor'!$A$1:$B$15,2,FALSE),0)</f>
        <v>0</v>
      </c>
      <c r="T29" s="15">
        <v>0</v>
      </c>
      <c r="U29" s="25">
        <f>IFERROR(VLOOKUP(T29,'Puntos XCO'!$A$1:$B$63,2,FALSE),0)</f>
        <v>0</v>
      </c>
      <c r="V29" s="16">
        <f>IFERROR(VLOOKUP(C29,RESXCC_1,9,FALSE),0)</f>
        <v>0</v>
      </c>
      <c r="W29" s="15">
        <f>IFERROR(VLOOKUP(V29,'Puntos XCC Mayor'!$A$1:$B$15,2,FALSE),0)</f>
        <v>0</v>
      </c>
      <c r="X29" s="15">
        <f>IFERROR(VLOOKUP(C29,RESXCO,9,FALSE),0)</f>
        <v>0</v>
      </c>
      <c r="Y29" s="25">
        <f>IFERROR(VLOOKUP(X29,'Puntos XCO'!$A$1:$B$63,2,FALSE),0)</f>
        <v>0</v>
      </c>
      <c r="Z29" s="27">
        <f>G29+I29+K29+M29+O29+Q29+S29+U29+W29+Y29</f>
        <v>111</v>
      </c>
      <c r="AB29" s="3"/>
    </row>
    <row r="30" spans="1:31" ht="24.95" customHeight="1">
      <c r="A30" s="3">
        <v>16</v>
      </c>
      <c r="B30" s="3">
        <v>16</v>
      </c>
      <c r="C30" s="113">
        <v>83</v>
      </c>
      <c r="D30" s="23" t="s">
        <v>1020</v>
      </c>
      <c r="E30" s="23" t="s">
        <v>1018</v>
      </c>
      <c r="F30" s="26"/>
      <c r="G30" s="15"/>
      <c r="H30" s="3"/>
      <c r="I30" s="25"/>
      <c r="J30" s="33"/>
      <c r="K30" s="22"/>
      <c r="L30" s="22"/>
      <c r="M30" s="34"/>
      <c r="N30" s="16"/>
      <c r="O30" s="15">
        <f>IFERROR(VLOOKUP(N30,'Puntos XCC Mayor'!$A$1:$B$15,2,FALSE),0)</f>
        <v>0</v>
      </c>
      <c r="P30" s="3">
        <v>4</v>
      </c>
      <c r="Q30" s="34">
        <f>IFERROR(VLOOKUP(P30,'Puntos XCO'!$A$1:$B$63,2,FALSE),0)</f>
        <v>110</v>
      </c>
      <c r="R30" s="16">
        <v>0</v>
      </c>
      <c r="S30" s="15">
        <f>IFERROR(VLOOKUP(R30,'Puntos XCC Mayor'!$A$1:$B$15,2,FALSE),0)</f>
        <v>0</v>
      </c>
      <c r="T30" s="15">
        <v>0</v>
      </c>
      <c r="U30" s="25">
        <f>IFERROR(VLOOKUP(T30,'Puntos XCO'!$A$1:$B$63,2,FALSE),0)</f>
        <v>0</v>
      </c>
      <c r="V30" s="16">
        <f>IFERROR(VLOOKUP(C30,RESXCC_1,9,FALSE),0)</f>
        <v>0</v>
      </c>
      <c r="W30" s="15">
        <f>IFERROR(VLOOKUP(V30,'Puntos XCC Mayor'!$A$1:$B$15,2,FALSE),0)</f>
        <v>0</v>
      </c>
      <c r="X30" s="15">
        <f>IFERROR(VLOOKUP(C30,RESXCO,9,FALSE),0)</f>
        <v>0</v>
      </c>
      <c r="Y30" s="25">
        <f>IFERROR(VLOOKUP(X30,'Puntos XCO'!$A$1:$B$63,2,FALSE),0)</f>
        <v>0</v>
      </c>
      <c r="Z30" s="27">
        <f>G30+I30+K30+M30+O30+Q30+S30+U30+W30+Y30</f>
        <v>110</v>
      </c>
      <c r="AB30" s="3"/>
    </row>
    <row r="31" spans="1:31" ht="24.95" customHeight="1">
      <c r="A31" s="22">
        <v>17</v>
      </c>
      <c r="B31" s="22">
        <v>17</v>
      </c>
      <c r="C31" s="113"/>
      <c r="D31" s="23" t="s">
        <v>202</v>
      </c>
      <c r="E31" s="23" t="s">
        <v>133</v>
      </c>
      <c r="F31" s="26">
        <v>0</v>
      </c>
      <c r="G31" s="15">
        <v>0</v>
      </c>
      <c r="H31" s="3">
        <v>7</v>
      </c>
      <c r="I31" s="25">
        <v>90</v>
      </c>
      <c r="J31" s="33">
        <v>0</v>
      </c>
      <c r="K31" s="22">
        <v>0</v>
      </c>
      <c r="L31" s="22">
        <v>0</v>
      </c>
      <c r="M31" s="34">
        <v>0</v>
      </c>
      <c r="N31" s="16"/>
      <c r="O31" s="15">
        <f>IFERROR(VLOOKUP(N31,'Puntos XCC Mayor'!$A$1:$B$15,2,FALSE),0)</f>
        <v>0</v>
      </c>
      <c r="P31" s="3"/>
      <c r="Q31" s="34">
        <f>IFERROR(VLOOKUP(P31,'Puntos XCO'!$A$1:$B$63,2,FALSE),0)</f>
        <v>0</v>
      </c>
      <c r="R31" s="16">
        <v>0</v>
      </c>
      <c r="S31" s="15">
        <f>IFERROR(VLOOKUP(R31,'Puntos XCC Mayor'!$A$1:$B$15,2,FALSE),0)</f>
        <v>0</v>
      </c>
      <c r="T31" s="15">
        <v>0</v>
      </c>
      <c r="U31" s="25">
        <f>IFERROR(VLOOKUP(T31,'Puntos XCO'!$A$1:$B$63,2,FALSE),0)</f>
        <v>0</v>
      </c>
      <c r="V31" s="16">
        <f>IFERROR(VLOOKUP(C31,RESXCC_1,9,FALSE),0)</f>
        <v>0</v>
      </c>
      <c r="W31" s="15">
        <f>IFERROR(VLOOKUP(V31,'Puntos XCC Mayor'!$A$1:$B$15,2,FALSE),0)</f>
        <v>0</v>
      </c>
      <c r="X31" s="15">
        <f>IFERROR(VLOOKUP(C31,RESXCO,9,FALSE),0)</f>
        <v>0</v>
      </c>
      <c r="Y31" s="25">
        <f>IFERROR(VLOOKUP(X31,'Puntos XCO'!$A$1:$B$63,2,FALSE),0)</f>
        <v>0</v>
      </c>
      <c r="Z31" s="27">
        <f>G31+I31+K31+M31+O31+Q31+S31+U31+W31+Y31</f>
        <v>90</v>
      </c>
      <c r="AB31" s="3"/>
    </row>
    <row r="32" spans="1:31" ht="24.95" customHeight="1">
      <c r="A32" s="3">
        <v>18</v>
      </c>
      <c r="B32" s="3">
        <v>18</v>
      </c>
      <c r="C32" s="115"/>
      <c r="D32" s="23" t="s">
        <v>208</v>
      </c>
      <c r="E32" s="23" t="s">
        <v>200</v>
      </c>
      <c r="F32" s="26">
        <v>4</v>
      </c>
      <c r="G32" s="15">
        <v>14</v>
      </c>
      <c r="H32" s="3">
        <v>0</v>
      </c>
      <c r="I32" s="25">
        <v>0</v>
      </c>
      <c r="J32" s="33">
        <v>0</v>
      </c>
      <c r="K32" s="22">
        <v>0</v>
      </c>
      <c r="L32" s="22">
        <v>0</v>
      </c>
      <c r="M32" s="34">
        <v>0</v>
      </c>
      <c r="N32" s="16"/>
      <c r="O32" s="15">
        <f>IFERROR(VLOOKUP(N32,'Puntos XCC Mayor'!$A$1:$B$15,2,FALSE),0)</f>
        <v>0</v>
      </c>
      <c r="P32" s="3"/>
      <c r="Q32" s="34">
        <f>IFERROR(VLOOKUP(P32,'Puntos XCO'!$A$1:$B$63,2,FALSE),0)</f>
        <v>0</v>
      </c>
      <c r="R32" s="16">
        <v>0</v>
      </c>
      <c r="S32" s="15">
        <f>IFERROR(VLOOKUP(R32,'Puntos XCC Mayor'!$A$1:$B$15,2,FALSE),0)</f>
        <v>0</v>
      </c>
      <c r="T32" s="15">
        <v>0</v>
      </c>
      <c r="U32" s="25">
        <f>IFERROR(VLOOKUP(T32,'Puntos XCO'!$A$1:$B$63,2,FALSE),0)</f>
        <v>0</v>
      </c>
      <c r="V32" s="16">
        <f>IFERROR(VLOOKUP(C32,RESXCC_1,9,FALSE),0)</f>
        <v>0</v>
      </c>
      <c r="W32" s="15">
        <f>IFERROR(VLOOKUP(V32,'Puntos XCC Mayor'!$A$1:$B$15,2,FALSE),0)</f>
        <v>0</v>
      </c>
      <c r="X32" s="15">
        <f>IFERROR(VLOOKUP(C32,RESXCO,9,FALSE),0)</f>
        <v>0</v>
      </c>
      <c r="Y32" s="25">
        <f>IFERROR(VLOOKUP(X32,'Puntos XCO'!$A$1:$B$63,2,FALSE),0)</f>
        <v>0</v>
      </c>
      <c r="Z32" s="27">
        <f>G32+I32+K32+M32+O32+Q32+S32+U32+W32+Y32</f>
        <v>14</v>
      </c>
      <c r="AB32" s="3"/>
    </row>
    <row r="33" spans="1:28" ht="24.95" customHeight="1">
      <c r="A33" s="22">
        <v>19</v>
      </c>
      <c r="B33" s="22">
        <v>19</v>
      </c>
      <c r="C33" s="113"/>
      <c r="D33" s="23" t="s">
        <v>205</v>
      </c>
      <c r="E33" s="23" t="s">
        <v>200</v>
      </c>
      <c r="F33" s="26">
        <v>5</v>
      </c>
      <c r="G33" s="15">
        <v>12</v>
      </c>
      <c r="H33" s="3">
        <v>0</v>
      </c>
      <c r="I33" s="25">
        <v>0</v>
      </c>
      <c r="J33" s="33">
        <v>0</v>
      </c>
      <c r="K33" s="22">
        <v>0</v>
      </c>
      <c r="L33" s="22">
        <v>0</v>
      </c>
      <c r="M33" s="34">
        <v>0</v>
      </c>
      <c r="N33" s="16"/>
      <c r="O33" s="15">
        <f>IFERROR(VLOOKUP(N33,'Puntos XCC Mayor'!$A$1:$B$15,2,FALSE),0)</f>
        <v>0</v>
      </c>
      <c r="P33" s="3"/>
      <c r="Q33" s="34">
        <f>IFERROR(VLOOKUP(P33,'Puntos XCO'!$A$1:$B$63,2,FALSE),0)</f>
        <v>0</v>
      </c>
      <c r="R33" s="16">
        <v>0</v>
      </c>
      <c r="S33" s="15">
        <f>IFERROR(VLOOKUP(R33,'Puntos XCC Mayor'!$A$1:$B$15,2,FALSE),0)</f>
        <v>0</v>
      </c>
      <c r="T33" s="15">
        <v>0</v>
      </c>
      <c r="U33" s="25">
        <f>IFERROR(VLOOKUP(T33,'Puntos XCO'!$A$1:$B$63,2,FALSE),0)</f>
        <v>0</v>
      </c>
      <c r="V33" s="16">
        <f>IFERROR(VLOOKUP(C33,RESXCC_1,9,FALSE),0)</f>
        <v>0</v>
      </c>
      <c r="W33" s="15">
        <f>IFERROR(VLOOKUP(V33,'Puntos XCC Mayor'!$A$1:$B$15,2,FALSE),0)</f>
        <v>0</v>
      </c>
      <c r="X33" s="15">
        <f>IFERROR(VLOOKUP(C33,RESXCO,9,FALSE),0)</f>
        <v>0</v>
      </c>
      <c r="Y33" s="25">
        <f>IFERROR(VLOOKUP(X33,'Puntos XCO'!$A$1:$B$63,2,FALSE),0)</f>
        <v>0</v>
      </c>
      <c r="Z33" s="27">
        <f>G33+I33+K33+M33+O33+Q33+S33+U33+W33+Y33</f>
        <v>12</v>
      </c>
      <c r="AB33" s="3"/>
    </row>
    <row r="34" spans="1:28" ht="24.95" customHeight="1">
      <c r="A34" s="3"/>
      <c r="B34" s="3"/>
      <c r="C34" s="3"/>
      <c r="D34" s="23"/>
      <c r="E34" s="23"/>
      <c r="F34" s="26"/>
      <c r="G34" s="15"/>
      <c r="H34" s="3"/>
      <c r="I34" s="25"/>
      <c r="J34" s="33"/>
      <c r="K34" s="22"/>
      <c r="L34" s="22"/>
      <c r="M34" s="34"/>
      <c r="N34" s="16"/>
      <c r="O34" s="15"/>
      <c r="P34" s="3"/>
      <c r="Q34" s="34"/>
      <c r="R34" s="16"/>
      <c r="S34" s="15"/>
      <c r="T34" s="15"/>
      <c r="U34" s="25"/>
      <c r="V34" s="16"/>
      <c r="W34" s="15"/>
      <c r="X34" s="15"/>
      <c r="Y34" s="25"/>
      <c r="Z34" s="27"/>
      <c r="AB34" s="3"/>
    </row>
    <row r="35" spans="1:28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74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spans="1:28">
      <c r="M36" s="9"/>
      <c r="N36" s="9"/>
      <c r="O36" s="9"/>
      <c r="P36" s="10"/>
      <c r="Q36" s="9"/>
      <c r="R36" s="9"/>
      <c r="S36" s="9"/>
      <c r="T36" s="9"/>
      <c r="U36" s="9"/>
    </row>
    <row r="37" spans="1:28" ht="127.5" customHeight="1"/>
    <row r="38" spans="1:2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74"/>
      <c r="Q38" s="65"/>
      <c r="R38" s="65"/>
      <c r="S38" s="65"/>
      <c r="T38" s="65"/>
      <c r="U38" s="65"/>
      <c r="V38" s="65"/>
      <c r="W38" s="65"/>
      <c r="X38" s="65"/>
      <c r="Y38" s="65"/>
      <c r="Z38" s="65"/>
    </row>
  </sheetData>
  <sortState ref="B15:Z33">
    <sortCondition descending="1" ref="Z15:Z33"/>
  </sortState>
  <mergeCells count="10">
    <mergeCell ref="A8:Z8"/>
    <mergeCell ref="A10:Z10"/>
    <mergeCell ref="A11:Z11"/>
    <mergeCell ref="A13:B13"/>
    <mergeCell ref="F13:I13"/>
    <mergeCell ref="J13:M13"/>
    <mergeCell ref="N13:Q13"/>
    <mergeCell ref="R13:U13"/>
    <mergeCell ref="V13:Y13"/>
    <mergeCell ref="Z13:Z14"/>
  </mergeCells>
  <conditionalFormatting sqref="C35:C65513 C1:C9 C12:C14">
    <cfRule type="duplicateValues" dxfId="493" priority="53" stopIfTrue="1"/>
  </conditionalFormatting>
  <conditionalFormatting sqref="A15 A17 A19 A21 A23 A25 A27 A29 A31 A33">
    <cfRule type="duplicateValues" dxfId="492" priority="16"/>
  </conditionalFormatting>
  <conditionalFormatting sqref="C15 C17 C19 C21 C23 C25:C34">
    <cfRule type="duplicateValues" dxfId="491" priority="15"/>
  </conditionalFormatting>
  <conditionalFormatting sqref="C11">
    <cfRule type="duplicateValues" dxfId="490" priority="6" stopIfTrue="1"/>
  </conditionalFormatting>
  <conditionalFormatting sqref="C11">
    <cfRule type="duplicateValues" dxfId="489" priority="7" stopIfTrue="1"/>
  </conditionalFormatting>
  <conditionalFormatting sqref="D11">
    <cfRule type="duplicateValues" dxfId="488" priority="5" stopIfTrue="1"/>
  </conditionalFormatting>
  <conditionalFormatting sqref="C10">
    <cfRule type="duplicateValues" dxfId="487" priority="3" stopIfTrue="1"/>
  </conditionalFormatting>
  <conditionalFormatting sqref="C10">
    <cfRule type="duplicateValues" dxfId="486" priority="4" stopIfTrue="1"/>
  </conditionalFormatting>
  <conditionalFormatting sqref="AB15:AB34">
    <cfRule type="duplicateValues" dxfId="485" priority="7836"/>
  </conditionalFormatting>
  <conditionalFormatting sqref="B15 B17 B19 B21 B23 B25 B27 B29 B31 B33">
    <cfRule type="duplicateValues" dxfId="484" priority="1"/>
  </conditionalFormatting>
  <pageMargins left="0.70866141732283472" right="0.70866141732283472" top="0.74803149606299213" bottom="0.74803149606299213" header="0.31496062992125984" footer="0.31496062992125984"/>
  <pageSetup paperSize="9" scale="4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>
    <pageSetUpPr fitToPage="1"/>
  </sheetPr>
  <dimension ref="A8:AE29"/>
  <sheetViews>
    <sheetView showGridLines="0" topLeftCell="A10" zoomScale="70" zoomScaleNormal="70" zoomScaleSheetLayoutView="90" workbookViewId="0">
      <selection activeCell="A15" sqref="A15:A24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30.7109375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11" style="2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26.25">
      <c r="A8" s="118" t="s">
        <v>67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20.100000000000001" customHeight="1">
      <c r="A13" s="125" t="s">
        <v>0</v>
      </c>
      <c r="B13" s="125"/>
      <c r="C13" s="65"/>
      <c r="D13" s="65"/>
      <c r="E13" s="66"/>
      <c r="F13" s="125">
        <v>1</v>
      </c>
      <c r="G13" s="125"/>
      <c r="H13" s="125"/>
      <c r="I13" s="126"/>
      <c r="J13" s="127">
        <v>2</v>
      </c>
      <c r="K13" s="125"/>
      <c r="L13" s="125"/>
      <c r="M13" s="126"/>
      <c r="N13" s="127">
        <v>3</v>
      </c>
      <c r="O13" s="125"/>
      <c r="P13" s="125"/>
      <c r="Q13" s="126"/>
      <c r="R13" s="127">
        <v>4</v>
      </c>
      <c r="S13" s="125"/>
      <c r="T13" s="125"/>
      <c r="U13" s="126"/>
      <c r="V13" s="127">
        <v>5</v>
      </c>
      <c r="W13" s="125"/>
      <c r="X13" s="125"/>
      <c r="Y13" s="126"/>
      <c r="Z13" s="117" t="s">
        <v>47</v>
      </c>
    </row>
    <row r="14" spans="1:31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117"/>
    </row>
    <row r="15" spans="1:31" ht="24.95" customHeight="1">
      <c r="A15" s="3">
        <v>1</v>
      </c>
      <c r="B15" s="3">
        <v>1</v>
      </c>
      <c r="C15" s="21">
        <v>91</v>
      </c>
      <c r="D15" s="23" t="s">
        <v>590</v>
      </c>
      <c r="E15" s="24" t="s">
        <v>114</v>
      </c>
      <c r="F15" s="3"/>
      <c r="G15" s="15"/>
      <c r="H15" s="3"/>
      <c r="I15" s="25"/>
      <c r="J15" s="33">
        <v>1</v>
      </c>
      <c r="K15" s="22">
        <f>IFERROR(VLOOKUP(J15,'Puntos XCC Mayor'!$A$1:$B$15,2,FALSE),"0")</f>
        <v>25</v>
      </c>
      <c r="L15" s="22">
        <v>1</v>
      </c>
      <c r="M15" s="34">
        <f>IFERROR(VLOOKUP(L15,'Puntos XCO'!$A$1:$B$63,2,FALSE),0)</f>
        <v>200</v>
      </c>
      <c r="N15" s="16">
        <v>2</v>
      </c>
      <c r="O15" s="15">
        <f>IFERROR(VLOOKUP(N15,'Puntos XCC Mayor'!$A$1:$B$15,2,FALSE),0)</f>
        <v>20</v>
      </c>
      <c r="P15" s="3">
        <v>1</v>
      </c>
      <c r="Q15" s="34">
        <f>IFERROR(VLOOKUP(P15,'Puntos XCO'!$A$1:$B$63,2,FALSE),0)</f>
        <v>200</v>
      </c>
      <c r="R15" s="16">
        <v>2</v>
      </c>
      <c r="S15" s="15">
        <f>IFERROR(VLOOKUP(R15,'Puntos XCC Mayor'!$A$1:$B$15,2,FALSE),0)</f>
        <v>20</v>
      </c>
      <c r="T15" s="15">
        <v>2</v>
      </c>
      <c r="U15" s="25">
        <f>IFERROR(VLOOKUP(T15,'Puntos XCO'!$A$1:$B$63,2,FALSE),0)</f>
        <v>150</v>
      </c>
      <c r="V15" s="16">
        <v>1</v>
      </c>
      <c r="W15" s="15">
        <f>IFERROR(VLOOKUP(V15,'Puntos XCC Mayor'!$A$1:$B$15,2,FALSE),0)</f>
        <v>25</v>
      </c>
      <c r="X15" s="15">
        <v>1</v>
      </c>
      <c r="Y15" s="25">
        <f>IFERROR(VLOOKUP(X15,'Puntos XCO'!$A$1:$B$63,2,FALSE),0)</f>
        <v>200</v>
      </c>
      <c r="Z15" s="27">
        <f>G15+I15+K15+M15+O15+Q15+S15+U15+W15+Y15</f>
        <v>840</v>
      </c>
      <c r="AB15" s="2"/>
      <c r="AC15" s="13"/>
      <c r="AD15" s="12"/>
      <c r="AE15" s="14"/>
    </row>
    <row r="16" spans="1:31" ht="24.95" customHeight="1">
      <c r="A16" s="3">
        <v>2</v>
      </c>
      <c r="B16" s="3">
        <v>2</v>
      </c>
      <c r="C16" s="58">
        <v>94</v>
      </c>
      <c r="D16" s="23" t="s">
        <v>594</v>
      </c>
      <c r="E16" s="24" t="s">
        <v>139</v>
      </c>
      <c r="F16" s="3">
        <v>5</v>
      </c>
      <c r="G16" s="15">
        <f>IFERROR(VLOOKUP(F16,'Puntos XCC Mayor'!$A$1:$B$15,2,FALSE),0)</f>
        <v>12</v>
      </c>
      <c r="H16" s="3">
        <v>2</v>
      </c>
      <c r="I16" s="25">
        <f>IFERROR(VLOOKUP(H16,'Puntos XCO'!$A$1:$B$63,2,FALSE),0)</f>
        <v>150</v>
      </c>
      <c r="J16" s="33">
        <v>3</v>
      </c>
      <c r="K16" s="22">
        <f>IFERROR(VLOOKUP(J16,'Puntos XCC Mayor'!$A$1:$B$15,2,FALSE),"0")</f>
        <v>16</v>
      </c>
      <c r="L16" s="22">
        <v>5</v>
      </c>
      <c r="M16" s="34">
        <f>IFERROR(VLOOKUP(L16,'Puntos XCO'!$A$1:$B$63,2,FALSE),0)</f>
        <v>100</v>
      </c>
      <c r="N16" s="16">
        <v>3</v>
      </c>
      <c r="O16" s="15">
        <f>IFERROR(VLOOKUP(N16,'Puntos XCC Mayor'!$A$1:$B$15,2,FALSE),0)</f>
        <v>16</v>
      </c>
      <c r="P16" s="3">
        <v>3</v>
      </c>
      <c r="Q16" s="34">
        <f>IFERROR(VLOOKUP(P16,'Puntos XCO'!$A$1:$B$63,2,FALSE),0)</f>
        <v>120</v>
      </c>
      <c r="R16" s="16">
        <v>4</v>
      </c>
      <c r="S16" s="15">
        <f>IFERROR(VLOOKUP(R16,'Puntos XCC Mayor'!$A$1:$B$15,2,FALSE),0)</f>
        <v>14</v>
      </c>
      <c r="T16" s="15">
        <v>3</v>
      </c>
      <c r="U16" s="25">
        <f>IFERROR(VLOOKUP(T16,'Puntos XCO'!$A$1:$B$63,2,FALSE),0)</f>
        <v>120</v>
      </c>
      <c r="V16" s="16">
        <v>4</v>
      </c>
      <c r="W16" s="15">
        <f>IFERROR(VLOOKUP(V16,'Puntos XCC Mayor'!$A$1:$B$15,2,FALSE),0)</f>
        <v>14</v>
      </c>
      <c r="X16" s="15">
        <v>3</v>
      </c>
      <c r="Y16" s="25">
        <f>IFERROR(VLOOKUP(X16,'Puntos XCO'!$A$1:$B$63,2,FALSE),0)</f>
        <v>120</v>
      </c>
      <c r="Z16" s="27">
        <f>G16+I16+K16+M16+O16+Q16+S16+U16+W16+Y16</f>
        <v>682</v>
      </c>
      <c r="AB16" s="2"/>
      <c r="AC16" s="13"/>
      <c r="AD16" s="12"/>
      <c r="AE16" s="14"/>
    </row>
    <row r="17" spans="1:31" ht="24.95" customHeight="1">
      <c r="A17" s="3">
        <v>3</v>
      </c>
      <c r="B17" s="3">
        <v>3</v>
      </c>
      <c r="C17" s="21">
        <v>92</v>
      </c>
      <c r="D17" s="23" t="s">
        <v>591</v>
      </c>
      <c r="E17" s="24" t="s">
        <v>114</v>
      </c>
      <c r="F17" s="3"/>
      <c r="G17" s="15"/>
      <c r="H17" s="3"/>
      <c r="I17" s="25"/>
      <c r="J17" s="33">
        <v>2</v>
      </c>
      <c r="K17" s="22">
        <f>IFERROR(VLOOKUP(J17,'Puntos XCC Mayor'!$A$1:$B$15,2,FALSE),"0")</f>
        <v>20</v>
      </c>
      <c r="L17" s="22">
        <v>2</v>
      </c>
      <c r="M17" s="34">
        <f>IFERROR(VLOOKUP(L17,'Puntos XCO'!$A$1:$B$63,2,FALSE),0)</f>
        <v>150</v>
      </c>
      <c r="N17" s="16"/>
      <c r="O17" s="15">
        <f>IFERROR(VLOOKUP(N17,'Puntos XCC Mayor'!$A$1:$B$15,2,FALSE),0)</f>
        <v>0</v>
      </c>
      <c r="P17" s="3"/>
      <c r="Q17" s="34">
        <f>IFERROR(VLOOKUP(P17,'Puntos XCO'!$A$1:$B$63,2,FALSE),0)</f>
        <v>0</v>
      </c>
      <c r="R17" s="16">
        <v>1</v>
      </c>
      <c r="S17" s="15">
        <f>IFERROR(VLOOKUP(R17,'Puntos XCC Mayor'!$A$1:$B$15,2,FALSE),0)</f>
        <v>25</v>
      </c>
      <c r="T17" s="15">
        <v>1</v>
      </c>
      <c r="U17" s="25">
        <f>IFERROR(VLOOKUP(T17,'Puntos XCO'!$A$1:$B$63,2,FALSE),0)</f>
        <v>200</v>
      </c>
      <c r="V17" s="16">
        <v>2</v>
      </c>
      <c r="W17" s="15">
        <f>IFERROR(VLOOKUP(V17,'Puntos XCC Mayor'!$A$1:$B$15,2,FALSE),0)</f>
        <v>20</v>
      </c>
      <c r="X17" s="15">
        <v>2</v>
      </c>
      <c r="Y17" s="25">
        <f>IFERROR(VLOOKUP(X17,'Puntos XCO'!$A$1:$B$63,2,FALSE),0)</f>
        <v>150</v>
      </c>
      <c r="Z17" s="27">
        <f>G17+I17+K17+M17+O17+Q17+S17+U17+W17+Y17</f>
        <v>565</v>
      </c>
      <c r="AB17" s="2"/>
      <c r="AC17" s="13"/>
      <c r="AD17" s="12"/>
      <c r="AE17" s="14"/>
    </row>
    <row r="18" spans="1:31" ht="24.95" customHeight="1">
      <c r="A18" s="3">
        <v>4</v>
      </c>
      <c r="B18" s="3">
        <v>5</v>
      </c>
      <c r="C18" s="58">
        <v>95</v>
      </c>
      <c r="D18" s="23" t="s">
        <v>593</v>
      </c>
      <c r="E18" s="24" t="s">
        <v>204</v>
      </c>
      <c r="F18" s="3">
        <v>4</v>
      </c>
      <c r="G18" s="15">
        <f>IFERROR(VLOOKUP(F18,'Puntos XCC Mayor'!$A$1:$B$15,2,FALSE),0)</f>
        <v>14</v>
      </c>
      <c r="H18" s="3">
        <v>5</v>
      </c>
      <c r="I18" s="25">
        <f>IFERROR(VLOOKUP(H18,'Puntos XCO'!$A$1:$B$63,2,FALSE),0)</f>
        <v>100</v>
      </c>
      <c r="J18" s="33">
        <v>4</v>
      </c>
      <c r="K18" s="22">
        <f>IFERROR(VLOOKUP(J18,'Puntos XCC Mayor'!$A$1:$B$15,2,FALSE),"0")</f>
        <v>14</v>
      </c>
      <c r="L18" s="22">
        <v>4</v>
      </c>
      <c r="M18" s="34">
        <f>IFERROR(VLOOKUP(L18,'Puntos XCO'!$A$1:$B$63,2,FALSE),0)</f>
        <v>110</v>
      </c>
      <c r="N18" s="16"/>
      <c r="O18" s="15">
        <f>IFERROR(VLOOKUP(N18,'Puntos XCC Mayor'!$A$1:$B$15,2,FALSE),0)</f>
        <v>0</v>
      </c>
      <c r="P18" s="3"/>
      <c r="Q18" s="34">
        <f>IFERROR(VLOOKUP(P18,'Puntos XCO'!$A$1:$B$63,2,FALSE),0)</f>
        <v>0</v>
      </c>
      <c r="R18" s="16">
        <v>5</v>
      </c>
      <c r="S18" s="15">
        <f>IFERROR(VLOOKUP(R18,'Puntos XCC Mayor'!$A$1:$B$15,2,FALSE),0)</f>
        <v>12</v>
      </c>
      <c r="T18" s="15">
        <v>5</v>
      </c>
      <c r="U18" s="25">
        <f>IFERROR(VLOOKUP(T18,'Puntos XCO'!$A$1:$B$63,2,FALSE),0)</f>
        <v>100</v>
      </c>
      <c r="V18" s="16">
        <v>3</v>
      </c>
      <c r="W18" s="15">
        <f>IFERROR(VLOOKUP(V18,'Puntos XCC Mayor'!$A$1:$B$15,2,FALSE),0)</f>
        <v>16</v>
      </c>
      <c r="X18" s="15">
        <v>4</v>
      </c>
      <c r="Y18" s="25">
        <f>IFERROR(VLOOKUP(X18,'Puntos XCO'!$A$1:$B$63,2,FALSE),0)</f>
        <v>110</v>
      </c>
      <c r="Z18" s="27">
        <f>G18+I18+K18+M18+O18+Q18+S18+U18+W18+Y18</f>
        <v>476</v>
      </c>
      <c r="AB18" s="3"/>
    </row>
    <row r="19" spans="1:31" ht="24.95" customHeight="1">
      <c r="A19" s="3">
        <v>5</v>
      </c>
      <c r="B19" s="3">
        <v>4</v>
      </c>
      <c r="C19" s="40">
        <v>90</v>
      </c>
      <c r="D19" s="23" t="s">
        <v>207</v>
      </c>
      <c r="E19" s="24" t="s">
        <v>100</v>
      </c>
      <c r="F19" s="3">
        <v>0</v>
      </c>
      <c r="G19" s="15">
        <f>IFERROR(VLOOKUP(F19,'Puntos XCC Mayor'!$A$1:$B$15,2,FALSE),0)</f>
        <v>0</v>
      </c>
      <c r="H19" s="3">
        <v>4</v>
      </c>
      <c r="I19" s="25">
        <f>IFERROR(VLOOKUP(H19,'Puntos XCO'!$A$1:$B$63,2,FALSE),0)</f>
        <v>110</v>
      </c>
      <c r="J19" s="33">
        <v>0</v>
      </c>
      <c r="K19" s="22" t="str">
        <f>IFERROR(VLOOKUP(J19,'Puntos XCC Mayor'!$A$1:$B$15,2,FALSE),"0")</f>
        <v>0</v>
      </c>
      <c r="L19" s="22">
        <v>3</v>
      </c>
      <c r="M19" s="34">
        <f>IFERROR(VLOOKUP(L19,'Puntos XCO'!$A$1:$B$63,2,FALSE),0)</f>
        <v>120</v>
      </c>
      <c r="N19" s="16"/>
      <c r="O19" s="15">
        <f>IFERROR(VLOOKUP(N19,'Puntos XCC Mayor'!$A$1:$B$15,2,FALSE),0)</f>
        <v>0</v>
      </c>
      <c r="P19" s="3"/>
      <c r="Q19" s="34">
        <f>IFERROR(VLOOKUP(P19,'Puntos XCO'!$A$1:$B$63,2,FALSE),0)</f>
        <v>0</v>
      </c>
      <c r="R19" s="16">
        <v>3</v>
      </c>
      <c r="S19" s="15">
        <f>IFERROR(VLOOKUP(R19,'Puntos XCC Mayor'!$A$1:$B$15,2,FALSE),0)</f>
        <v>16</v>
      </c>
      <c r="T19" s="15">
        <v>4</v>
      </c>
      <c r="U19" s="25">
        <f>IFERROR(VLOOKUP(T19,'Puntos XCO'!$A$1:$B$63,2,FALSE),0)</f>
        <v>110</v>
      </c>
      <c r="V19" s="16"/>
      <c r="W19" s="15">
        <f>IFERROR(VLOOKUP(V19,'Puntos XCC Mayor'!$A$1:$B$15,2,FALSE),0)</f>
        <v>0</v>
      </c>
      <c r="X19" s="15"/>
      <c r="Y19" s="25">
        <f>IFERROR(VLOOKUP(X19,'Puntos XCO'!$A$1:$B$63,2,FALSE),0)</f>
        <v>0</v>
      </c>
      <c r="Z19" s="27">
        <f>G19+I19+K19+M19+O19+Q19+S19+U19+W19+Y19</f>
        <v>356</v>
      </c>
      <c r="AB19" s="3"/>
    </row>
    <row r="20" spans="1:31" ht="24.95" customHeight="1">
      <c r="A20" s="3">
        <v>6</v>
      </c>
      <c r="B20" s="3">
        <v>6</v>
      </c>
      <c r="C20" s="58"/>
      <c r="D20" s="23" t="s">
        <v>199</v>
      </c>
      <c r="E20" s="24" t="s">
        <v>200</v>
      </c>
      <c r="F20" s="3">
        <v>3</v>
      </c>
      <c r="G20" s="15">
        <f>IFERROR(VLOOKUP(F20,'Puntos XCC Mayor'!$A$1:$B$15,2,FALSE),0)</f>
        <v>16</v>
      </c>
      <c r="H20" s="3">
        <v>1</v>
      </c>
      <c r="I20" s="25">
        <f>IFERROR(VLOOKUP(H20,'Puntos XCO'!$A$1:$B$63,2,FALSE),0)</f>
        <v>200</v>
      </c>
      <c r="J20" s="33">
        <v>0</v>
      </c>
      <c r="K20" s="22" t="str">
        <f>IFERROR(VLOOKUP(J20,'Puntos XCC Mayor'!$A$1:$B$15,2,FALSE),"0")</f>
        <v>0</v>
      </c>
      <c r="L20" s="22">
        <v>0</v>
      </c>
      <c r="M20" s="34">
        <f>IFERROR(VLOOKUP(L20,'Puntos XCO'!$A$1:$B$63,2,FALSE),0)</f>
        <v>0</v>
      </c>
      <c r="N20" s="16"/>
      <c r="O20" s="15">
        <f>IFERROR(VLOOKUP(N20,'Puntos XCC Mayor'!$A$1:$B$15,2,FALSE),0)</f>
        <v>0</v>
      </c>
      <c r="P20" s="3"/>
      <c r="Q20" s="34">
        <f>IFERROR(VLOOKUP(P20,'Puntos XCO'!$A$1:$B$63,2,FALSE),0)</f>
        <v>0</v>
      </c>
      <c r="R20" s="16"/>
      <c r="S20" s="15">
        <f>IFERROR(VLOOKUP(R20,'Puntos XCC Mayor'!$A$1:$B$15,2,FALSE),0)</f>
        <v>0</v>
      </c>
      <c r="T20" s="15"/>
      <c r="U20" s="25">
        <f>IFERROR(VLOOKUP(T20,'Puntos XCO'!$A$1:$B$63,2,FALSE),0)</f>
        <v>0</v>
      </c>
      <c r="V20" s="16"/>
      <c r="W20" s="15">
        <f>IFERROR(VLOOKUP(V20,'Puntos XCC Mayor'!$A$1:$B$15,2,FALSE),0)</f>
        <v>0</v>
      </c>
      <c r="X20" s="15"/>
      <c r="Y20" s="25">
        <f>IFERROR(VLOOKUP(X20,'Puntos XCO'!$A$1:$B$63,2,FALSE),0)</f>
        <v>0</v>
      </c>
      <c r="Z20" s="27">
        <f>G20+I20+K20+M20+O20+Q20+S20+U20+W20+Y20</f>
        <v>216</v>
      </c>
      <c r="AB20" s="3"/>
    </row>
    <row r="21" spans="1:31" ht="24.95" customHeight="1">
      <c r="A21" s="3">
        <v>7</v>
      </c>
      <c r="B21" s="3">
        <v>7</v>
      </c>
      <c r="C21" s="58">
        <v>93</v>
      </c>
      <c r="D21" s="23" t="s">
        <v>1145</v>
      </c>
      <c r="E21" s="24" t="s">
        <v>1029</v>
      </c>
      <c r="F21" s="3"/>
      <c r="G21" s="15"/>
      <c r="H21" s="3"/>
      <c r="I21" s="25"/>
      <c r="J21" s="33"/>
      <c r="K21" s="22"/>
      <c r="L21" s="22"/>
      <c r="M21" s="34"/>
      <c r="N21" s="16">
        <v>1</v>
      </c>
      <c r="O21" s="15">
        <f>IFERROR(VLOOKUP(N21,'Puntos XCC Mayor'!$A$1:$B$15,2,FALSE),0)</f>
        <v>25</v>
      </c>
      <c r="P21" s="3">
        <v>2</v>
      </c>
      <c r="Q21" s="34">
        <f>IFERROR(VLOOKUP(P21,'Puntos XCO'!$A$1:$B$63,2,FALSE),0)</f>
        <v>150</v>
      </c>
      <c r="R21" s="16"/>
      <c r="S21" s="15">
        <f>IFERROR(VLOOKUP(R21,'Puntos XCC Mayor'!$A$1:$B$15,2,FALSE),0)</f>
        <v>0</v>
      </c>
      <c r="T21" s="15"/>
      <c r="U21" s="25">
        <f>IFERROR(VLOOKUP(T21,'Puntos XCO'!$A$1:$B$63,2,FALSE),0)</f>
        <v>0</v>
      </c>
      <c r="V21" s="16"/>
      <c r="W21" s="15">
        <f>IFERROR(VLOOKUP(V21,'Puntos XCC Mayor'!$A$1:$B$15,2,FALSE),0)</f>
        <v>0</v>
      </c>
      <c r="X21" s="15"/>
      <c r="Y21" s="25">
        <f>IFERROR(VLOOKUP(X21,'Puntos XCO'!$A$1:$B$63,2,FALSE),0)</f>
        <v>0</v>
      </c>
      <c r="Z21" s="27">
        <f>G21+I21+K21+M21+O21+Q21+S21+U21+W21+Y21</f>
        <v>175</v>
      </c>
      <c r="AB21" s="3"/>
    </row>
    <row r="22" spans="1:31" ht="24.95" customHeight="1">
      <c r="A22" s="3">
        <v>8</v>
      </c>
      <c r="B22" s="3">
        <v>8</v>
      </c>
      <c r="C22" s="40"/>
      <c r="D22" s="23" t="s">
        <v>202</v>
      </c>
      <c r="E22" s="24" t="s">
        <v>133</v>
      </c>
      <c r="F22" s="3">
        <v>0</v>
      </c>
      <c r="G22" s="15">
        <f>IFERROR(VLOOKUP(F22,'Puntos XCC Mayor'!$A$1:$B$15,2,FALSE),0)</f>
        <v>0</v>
      </c>
      <c r="H22" s="3">
        <v>3</v>
      </c>
      <c r="I22" s="25">
        <f>IFERROR(VLOOKUP(H22,'Puntos XCO'!$A$1:$B$63,2,FALSE),0)</f>
        <v>120</v>
      </c>
      <c r="J22" s="106">
        <v>0</v>
      </c>
      <c r="K22" s="22" t="str">
        <f>IFERROR(VLOOKUP(J22,'Puntos XCC Mayor'!$A$1:$B$15,2,FALSE),"0")</f>
        <v>0</v>
      </c>
      <c r="L22" s="22">
        <v>0</v>
      </c>
      <c r="M22" s="34">
        <f>IFERROR(VLOOKUP(L22,'Puntos XCO'!$A$1:$B$63,2,FALSE),0)</f>
        <v>0</v>
      </c>
      <c r="N22" s="16"/>
      <c r="O22" s="15">
        <f>IFERROR(VLOOKUP(N22,'Puntos XCC Mayor'!$A$1:$B$15,2,FALSE),0)</f>
        <v>0</v>
      </c>
      <c r="P22" s="3"/>
      <c r="Q22" s="34">
        <f>IFERROR(VLOOKUP(P22,'Puntos XCO'!$A$1:$B$63,2,FALSE),0)</f>
        <v>0</v>
      </c>
      <c r="R22" s="16"/>
      <c r="S22" s="15">
        <f>IFERROR(VLOOKUP(R22,'Puntos XCC Mayor'!$A$1:$B$15,2,FALSE),0)</f>
        <v>0</v>
      </c>
      <c r="T22" s="15"/>
      <c r="U22" s="25">
        <f>IFERROR(VLOOKUP(T22,'Puntos XCO'!$A$1:$B$63,2,FALSE),0)</f>
        <v>0</v>
      </c>
      <c r="V22" s="16"/>
      <c r="W22" s="15">
        <f>IFERROR(VLOOKUP(V22,'Puntos XCC Mayor'!$A$1:$B$15,2,FALSE),0)</f>
        <v>0</v>
      </c>
      <c r="X22" s="15"/>
      <c r="Y22" s="25">
        <f>IFERROR(VLOOKUP(X22,'Puntos XCO'!$A$1:$B$63,2,FALSE),0)</f>
        <v>0</v>
      </c>
      <c r="Z22" s="27">
        <f>G22+I22+K22+M22+O22+Q22+S22+U22+W22+Y22</f>
        <v>120</v>
      </c>
      <c r="AB22" s="3"/>
    </row>
    <row r="23" spans="1:31" ht="24.95" customHeight="1">
      <c r="A23" s="3">
        <v>9</v>
      </c>
      <c r="B23" s="3">
        <v>9</v>
      </c>
      <c r="C23" s="21"/>
      <c r="D23" s="23" t="s">
        <v>208</v>
      </c>
      <c r="E23" s="24" t="s">
        <v>200</v>
      </c>
      <c r="F23" s="3">
        <v>1</v>
      </c>
      <c r="G23" s="15">
        <f>IFERROR(VLOOKUP(F23,'Puntos XCC Mayor'!$A$1:$B$15,2,FALSE),0)</f>
        <v>25</v>
      </c>
      <c r="H23" s="3"/>
      <c r="I23" s="25">
        <f>IFERROR(VLOOKUP(H23,'Puntos XCO'!$A$1:$B$63,2,FALSE),0)</f>
        <v>0</v>
      </c>
      <c r="J23" s="106">
        <v>0</v>
      </c>
      <c r="K23" s="22" t="str">
        <f>IFERROR(VLOOKUP(J23,'Puntos XCC Mayor'!$A$1:$B$15,2,FALSE),"0")</f>
        <v>0</v>
      </c>
      <c r="L23" s="22">
        <v>0</v>
      </c>
      <c r="M23" s="34">
        <f>IFERROR(VLOOKUP(L23,'Puntos XCO'!$A$1:$B$63,2,FALSE),0)</f>
        <v>0</v>
      </c>
      <c r="N23" s="16"/>
      <c r="O23" s="15">
        <f>IFERROR(VLOOKUP(N23,'Puntos XCC Mayor'!$A$1:$B$15,2,FALSE),0)</f>
        <v>0</v>
      </c>
      <c r="P23" s="3"/>
      <c r="Q23" s="34">
        <f>IFERROR(VLOOKUP(P23,'Puntos XCO'!$A$1:$B$63,2,FALSE),0)</f>
        <v>0</v>
      </c>
      <c r="R23" s="16"/>
      <c r="S23" s="15">
        <f>IFERROR(VLOOKUP(R23,'Puntos XCC Mayor'!$A$1:$B$15,2,FALSE),0)</f>
        <v>0</v>
      </c>
      <c r="T23" s="15"/>
      <c r="U23" s="25">
        <f>IFERROR(VLOOKUP(T23,'Puntos XCO'!$A$1:$B$63,2,FALSE),0)</f>
        <v>0</v>
      </c>
      <c r="V23" s="16"/>
      <c r="W23" s="15">
        <f>IFERROR(VLOOKUP(V23,'Puntos XCC Mayor'!$A$1:$B$15,2,FALSE),0)</f>
        <v>0</v>
      </c>
      <c r="X23" s="15"/>
      <c r="Y23" s="25">
        <f>IFERROR(VLOOKUP(X23,'Puntos XCO'!$A$1:$B$63,2,FALSE),0)</f>
        <v>0</v>
      </c>
      <c r="Z23" s="27">
        <f>G23+I23+K23+M23+O23+Q23+S23+U23+W23+Y23</f>
        <v>25</v>
      </c>
      <c r="AB23" s="3"/>
    </row>
    <row r="24" spans="1:31" ht="24.95" customHeight="1">
      <c r="A24" s="3">
        <v>10</v>
      </c>
      <c r="B24" s="3">
        <v>10</v>
      </c>
      <c r="C24" s="58"/>
      <c r="D24" s="23" t="s">
        <v>205</v>
      </c>
      <c r="E24" s="24" t="s">
        <v>200</v>
      </c>
      <c r="F24" s="3">
        <v>2</v>
      </c>
      <c r="G24" s="15">
        <f>IFERROR(VLOOKUP(F24,'Puntos XCC Mayor'!$A$1:$B$15,2,FALSE),0)</f>
        <v>20</v>
      </c>
      <c r="H24" s="3"/>
      <c r="I24" s="25">
        <f>IFERROR(VLOOKUP(H24,'Puntos XCO'!$A$1:$B$63,2,FALSE),0)</f>
        <v>0</v>
      </c>
      <c r="J24" s="106">
        <v>0</v>
      </c>
      <c r="K24" s="22" t="str">
        <f>IFERROR(VLOOKUP(J24,'Puntos XCC Mayor'!$A$1:$B$15,2,FALSE),"0")</f>
        <v>0</v>
      </c>
      <c r="L24" s="22">
        <v>0</v>
      </c>
      <c r="M24" s="34">
        <f>IFERROR(VLOOKUP(L24,'Puntos XCO'!$A$1:$B$63,2,FALSE),0)</f>
        <v>0</v>
      </c>
      <c r="N24" s="16"/>
      <c r="O24" s="15">
        <f>IFERROR(VLOOKUP(N24,'Puntos XCC Mayor'!$A$1:$B$15,2,FALSE),0)</f>
        <v>0</v>
      </c>
      <c r="P24" s="3"/>
      <c r="Q24" s="34">
        <f>IFERROR(VLOOKUP(P24,'Puntos XCO'!$A$1:$B$63,2,FALSE),0)</f>
        <v>0</v>
      </c>
      <c r="R24" s="16"/>
      <c r="S24" s="15">
        <f>IFERROR(VLOOKUP(R24,'Puntos XCC Mayor'!$A$1:$B$15,2,FALSE),0)</f>
        <v>0</v>
      </c>
      <c r="T24" s="15"/>
      <c r="U24" s="25">
        <f>IFERROR(VLOOKUP(T24,'Puntos XCO'!$A$1:$B$63,2,FALSE),0)</f>
        <v>0</v>
      </c>
      <c r="V24" s="16"/>
      <c r="W24" s="15">
        <f>IFERROR(VLOOKUP(V24,'Puntos XCC Mayor'!$A$1:$B$15,2,FALSE),0)</f>
        <v>0</v>
      </c>
      <c r="X24" s="15"/>
      <c r="Y24" s="25">
        <f>IFERROR(VLOOKUP(X24,'Puntos XCO'!$A$1:$B$63,2,FALSE),0)</f>
        <v>0</v>
      </c>
      <c r="Z24" s="27">
        <f>G24+I24+K24+M24+O24+Q24+S24+U24+W24+Y24</f>
        <v>20</v>
      </c>
      <c r="AB24" s="3"/>
    </row>
    <row r="25" spans="1:31" ht="24.95" customHeight="1">
      <c r="A25" s="3"/>
      <c r="B25" s="3"/>
      <c r="C25" s="21"/>
      <c r="D25" s="23"/>
      <c r="E25" s="62"/>
      <c r="F25" s="3"/>
      <c r="G25" s="15"/>
      <c r="H25" s="15"/>
      <c r="I25" s="63"/>
      <c r="J25" s="64"/>
      <c r="K25" s="15"/>
      <c r="L25" s="15"/>
      <c r="M25" s="63"/>
      <c r="N25" s="63"/>
      <c r="O25" s="15"/>
      <c r="P25" s="3"/>
      <c r="Q25" s="63"/>
      <c r="R25" s="63"/>
      <c r="S25" s="15"/>
      <c r="T25" s="15"/>
      <c r="U25" s="63"/>
      <c r="V25" s="63"/>
      <c r="W25" s="15"/>
      <c r="X25" s="15"/>
      <c r="Y25" s="63"/>
      <c r="Z25" s="27"/>
      <c r="AB25" s="3"/>
    </row>
    <row r="26" spans="1:31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6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spans="1:31">
      <c r="M27" s="9"/>
      <c r="N27" s="9"/>
      <c r="O27" s="9"/>
      <c r="P27" s="10"/>
      <c r="Q27" s="9"/>
      <c r="R27" s="9"/>
      <c r="S27" s="9"/>
      <c r="T27" s="9"/>
      <c r="U27" s="9"/>
    </row>
    <row r="28" spans="1:31" ht="108" customHeight="1"/>
    <row r="29" spans="1:3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74"/>
      <c r="Q29" s="65"/>
      <c r="R29" s="65"/>
      <c r="S29" s="65"/>
      <c r="T29" s="65"/>
      <c r="U29" s="65"/>
      <c r="V29" s="65"/>
      <c r="W29" s="65"/>
      <c r="X29" s="65"/>
      <c r="Y29" s="65"/>
      <c r="Z29" s="65"/>
    </row>
  </sheetData>
  <sortState ref="B15:Z24">
    <sortCondition descending="1" ref="Z15:Z24"/>
  </sortState>
  <mergeCells count="10">
    <mergeCell ref="A8:Z8"/>
    <mergeCell ref="A10:Z10"/>
    <mergeCell ref="A11:Z11"/>
    <mergeCell ref="A13:B13"/>
    <mergeCell ref="F13:I13"/>
    <mergeCell ref="J13:M13"/>
    <mergeCell ref="N13:Q13"/>
    <mergeCell ref="R13:U13"/>
    <mergeCell ref="V13:Y13"/>
    <mergeCell ref="Z13:Z14"/>
  </mergeCells>
  <conditionalFormatting sqref="C26:C65504 C1:C9 C12:C14">
    <cfRule type="duplicateValues" dxfId="483" priority="49" stopIfTrue="1"/>
  </conditionalFormatting>
  <conditionalFormatting sqref="F25 F18:F19">
    <cfRule type="duplicateValues" dxfId="482" priority="7146" stopIfTrue="1"/>
  </conditionalFormatting>
  <conditionalFormatting sqref="B25">
    <cfRule type="duplicateValues" dxfId="481" priority="7148" stopIfTrue="1"/>
  </conditionalFormatting>
  <conditionalFormatting sqref="C19 C15">
    <cfRule type="duplicateValues" dxfId="480" priority="14"/>
  </conditionalFormatting>
  <conditionalFormatting sqref="F20">
    <cfRule type="duplicateValues" dxfId="479" priority="13" stopIfTrue="1"/>
  </conditionalFormatting>
  <conditionalFormatting sqref="C11">
    <cfRule type="duplicateValues" dxfId="478" priority="5" stopIfTrue="1"/>
  </conditionalFormatting>
  <conditionalFormatting sqref="C10">
    <cfRule type="duplicateValues" dxfId="477" priority="2" stopIfTrue="1"/>
  </conditionalFormatting>
  <conditionalFormatting sqref="C21:C25">
    <cfRule type="duplicateValues" dxfId="476" priority="7327"/>
  </conditionalFormatting>
  <conditionalFormatting sqref="AB15:AB25">
    <cfRule type="duplicateValues" dxfId="475" priority="7330"/>
  </conditionalFormatting>
  <conditionalFormatting sqref="F21:F23">
    <cfRule type="duplicateValues" dxfId="474" priority="7332" stopIfTrue="1"/>
  </conditionalFormatting>
  <conditionalFormatting sqref="F24">
    <cfRule type="duplicateValues" dxfId="473" priority="6" stopIfTrue="1"/>
  </conditionalFormatting>
  <conditionalFormatting sqref="C11">
    <cfRule type="duplicateValues" dxfId="472" priority="4" stopIfTrue="1"/>
  </conditionalFormatting>
  <conditionalFormatting sqref="D11">
    <cfRule type="duplicateValues" dxfId="471" priority="3" stopIfTrue="1"/>
  </conditionalFormatting>
  <conditionalFormatting sqref="C10">
    <cfRule type="duplicateValues" dxfId="470" priority="1" stopIfTrue="1"/>
  </conditionalFormatting>
  <pageMargins left="0.70866141732283472" right="0.70866141732283472" top="0.74803149606299213" bottom="0.74803149606299213" header="0.31496062992125984" footer="0.31496062992125984"/>
  <pageSetup paperSize="9" scale="5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">
    <pageSetUpPr fitToPage="1"/>
  </sheetPr>
  <dimension ref="A8:AE87"/>
  <sheetViews>
    <sheetView showGridLines="0" topLeftCell="A64" zoomScale="70" zoomScaleNormal="70" zoomScaleSheetLayoutView="90" workbookViewId="0">
      <selection activeCell="A15" sqref="A15:A79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37.28515625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11" style="2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26.25">
      <c r="A8" s="118" t="s">
        <v>52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20.100000000000001" customHeight="1">
      <c r="A13" s="125" t="s">
        <v>0</v>
      </c>
      <c r="B13" s="125"/>
      <c r="C13" s="65"/>
      <c r="D13" s="65"/>
      <c r="E13" s="66"/>
      <c r="F13" s="125">
        <v>1</v>
      </c>
      <c r="G13" s="125"/>
      <c r="H13" s="125"/>
      <c r="I13" s="126"/>
      <c r="J13" s="127">
        <v>2</v>
      </c>
      <c r="K13" s="125"/>
      <c r="L13" s="125"/>
      <c r="M13" s="126"/>
      <c r="N13" s="127">
        <v>3</v>
      </c>
      <c r="O13" s="125"/>
      <c r="P13" s="125"/>
      <c r="Q13" s="126"/>
      <c r="R13" s="127">
        <v>4</v>
      </c>
      <c r="S13" s="125"/>
      <c r="T13" s="125"/>
      <c r="U13" s="126"/>
      <c r="V13" s="127">
        <v>5</v>
      </c>
      <c r="W13" s="125"/>
      <c r="X13" s="125"/>
      <c r="Y13" s="126"/>
      <c r="Z13" s="117" t="s">
        <v>47</v>
      </c>
    </row>
    <row r="14" spans="1:31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117"/>
    </row>
    <row r="15" spans="1:31" ht="24.95" customHeight="1">
      <c r="A15" s="3">
        <v>1</v>
      </c>
      <c r="B15" s="3">
        <v>1</v>
      </c>
      <c r="C15" s="113">
        <v>103</v>
      </c>
      <c r="D15" s="23" t="s">
        <v>211</v>
      </c>
      <c r="E15" s="24" t="s">
        <v>868</v>
      </c>
      <c r="F15" s="3">
        <v>3</v>
      </c>
      <c r="G15" s="15">
        <v>8</v>
      </c>
      <c r="H15" s="3">
        <v>3</v>
      </c>
      <c r="I15" s="25">
        <v>120</v>
      </c>
      <c r="J15" s="33">
        <v>3</v>
      </c>
      <c r="K15" s="22">
        <v>8</v>
      </c>
      <c r="L15" s="22">
        <v>1</v>
      </c>
      <c r="M15" s="34">
        <v>200</v>
      </c>
      <c r="N15" s="26"/>
      <c r="O15" s="3">
        <f>IFERROR(VLOOKUP(N15,'Puntos XCC Menor'!$A$1:$B$15,2,FALSE),0)</f>
        <v>0</v>
      </c>
      <c r="P15" s="3">
        <v>2</v>
      </c>
      <c r="Q15" s="34">
        <f>IFERROR(VLOOKUP(P15,'Puntos XCO'!$A$1:$B$63,2,FALSE),0)</f>
        <v>150</v>
      </c>
      <c r="R15" s="16">
        <v>1</v>
      </c>
      <c r="S15" s="3">
        <f>IFERROR(VLOOKUP(R15,'Puntos XCC Menor'!$A$1:$B$15,2,FALSE),0)</f>
        <v>10</v>
      </c>
      <c r="T15" s="15">
        <v>1</v>
      </c>
      <c r="U15" s="39">
        <f>IFERROR(VLOOKUP(T15,'Puntos XCO'!$A$1:$B$63,2,FALSE),0)</f>
        <v>200</v>
      </c>
      <c r="V15" s="16">
        <f>IFERROR(VLOOKUP(C15,RESXCC_1,9,FALSE),0)</f>
        <v>2</v>
      </c>
      <c r="W15" s="15">
        <f>IFERROR(VLOOKUP(V15,'Puntos XCC Mayor'!$A$1:$B$15,2,FALSE),0)</f>
        <v>20</v>
      </c>
      <c r="X15" s="15">
        <f>IFERROR(VLOOKUP(C15,RESXCO,9,FALSE),0)</f>
        <v>1</v>
      </c>
      <c r="Y15" s="25">
        <f>IFERROR(VLOOKUP(X15,'Puntos XCO'!$A$1:$B$63,2,FALSE),0)</f>
        <v>200</v>
      </c>
      <c r="Z15" s="27">
        <f>G15+I15+K15+M15+O15+Q15+S15+U15+W15+Y15</f>
        <v>916</v>
      </c>
      <c r="AB15" s="2"/>
      <c r="AC15" s="13"/>
      <c r="AD15" s="12"/>
      <c r="AE15" s="14"/>
    </row>
    <row r="16" spans="1:31" ht="24.95" customHeight="1">
      <c r="A16" s="3">
        <v>2</v>
      </c>
      <c r="B16" s="3">
        <v>2</v>
      </c>
      <c r="C16" s="113">
        <v>105</v>
      </c>
      <c r="D16" s="23" t="s">
        <v>213</v>
      </c>
      <c r="E16" s="24" t="s">
        <v>596</v>
      </c>
      <c r="F16" s="3">
        <v>4</v>
      </c>
      <c r="G16" s="15">
        <v>7</v>
      </c>
      <c r="H16" s="3">
        <v>2</v>
      </c>
      <c r="I16" s="25">
        <v>150</v>
      </c>
      <c r="J16" s="33">
        <v>4</v>
      </c>
      <c r="K16" s="22">
        <v>7</v>
      </c>
      <c r="L16" s="22">
        <v>3</v>
      </c>
      <c r="M16" s="34">
        <v>120</v>
      </c>
      <c r="N16" s="26"/>
      <c r="O16" s="3">
        <f>IFERROR(VLOOKUP(N16,'Puntos XCC Menor'!$A$1:$B$15,2,FALSE),0)</f>
        <v>0</v>
      </c>
      <c r="P16" s="3">
        <v>5</v>
      </c>
      <c r="Q16" s="34">
        <f>IFERROR(VLOOKUP(P16,'Puntos XCO'!$A$1:$B$63,2,FALSE),0)</f>
        <v>100</v>
      </c>
      <c r="R16" s="16">
        <v>2</v>
      </c>
      <c r="S16" s="3">
        <f>IFERROR(VLOOKUP(R16,'Puntos XCC Menor'!$A$1:$B$15,2,FALSE),0)</f>
        <v>9</v>
      </c>
      <c r="T16" s="15">
        <v>2</v>
      </c>
      <c r="U16" s="39">
        <f>IFERROR(VLOOKUP(T16,'Puntos XCO'!$A$1:$B$63,2,FALSE),0)</f>
        <v>150</v>
      </c>
      <c r="V16" s="16">
        <f>IFERROR(VLOOKUP(C16,RESXCC_1,9,FALSE),0)</f>
        <v>0</v>
      </c>
      <c r="W16" s="15">
        <f>IFERROR(VLOOKUP(V16,'Puntos XCC Mayor'!$A$1:$B$15,2,FALSE),0)</f>
        <v>0</v>
      </c>
      <c r="X16" s="15">
        <f>IFERROR(VLOOKUP(C16,RESXCO,9,FALSE),0)</f>
        <v>2</v>
      </c>
      <c r="Y16" s="25">
        <f>IFERROR(VLOOKUP(X16,'Puntos XCO'!$A$1:$B$63,2,FALSE),0)</f>
        <v>150</v>
      </c>
      <c r="Z16" s="27">
        <f>G16+I16+K16+M16+O16+Q16+S16+U16+W16+Y16</f>
        <v>693</v>
      </c>
      <c r="AB16" s="2"/>
      <c r="AC16" s="13"/>
      <c r="AD16" s="12"/>
      <c r="AE16" s="14"/>
    </row>
    <row r="17" spans="1:31" ht="24.95" customHeight="1">
      <c r="A17" s="3">
        <v>3</v>
      </c>
      <c r="B17" s="3">
        <v>3</v>
      </c>
      <c r="C17" s="113">
        <v>104</v>
      </c>
      <c r="D17" s="23" t="s">
        <v>595</v>
      </c>
      <c r="E17" s="24" t="s">
        <v>114</v>
      </c>
      <c r="F17" s="3">
        <v>1</v>
      </c>
      <c r="G17" s="15">
        <v>10</v>
      </c>
      <c r="H17" s="3">
        <v>4</v>
      </c>
      <c r="I17" s="25">
        <v>110</v>
      </c>
      <c r="J17" s="33">
        <v>1</v>
      </c>
      <c r="K17" s="22">
        <v>10</v>
      </c>
      <c r="L17" s="22">
        <v>2</v>
      </c>
      <c r="M17" s="34">
        <v>150</v>
      </c>
      <c r="N17" s="26"/>
      <c r="O17" s="3">
        <f>IFERROR(VLOOKUP(N17,'Puntos XCC Menor'!$A$1:$B$15,2,FALSE),0)</f>
        <v>0</v>
      </c>
      <c r="P17" s="3">
        <v>6</v>
      </c>
      <c r="Q17" s="34">
        <f>IFERROR(VLOOKUP(P17,'Puntos XCO'!$A$1:$B$63,2,FALSE),0)</f>
        <v>95</v>
      </c>
      <c r="R17" s="16">
        <v>5</v>
      </c>
      <c r="S17" s="3">
        <f>IFERROR(VLOOKUP(R17,'Puntos XCC Menor'!$A$1:$B$15,2,FALSE),0)</f>
        <v>6</v>
      </c>
      <c r="T17" s="15">
        <v>5</v>
      </c>
      <c r="U17" s="39">
        <f>IFERROR(VLOOKUP(T17,'Puntos XCO'!$A$1:$B$63,2,FALSE),0)</f>
        <v>100</v>
      </c>
      <c r="V17" s="16">
        <f>IFERROR(VLOOKUP(C17,RESXCC_1,9,FALSE),0)</f>
        <v>1</v>
      </c>
      <c r="W17" s="15">
        <f>IFERROR(VLOOKUP(V17,'Puntos XCC Mayor'!$A$1:$B$15,2,FALSE),0)</f>
        <v>25</v>
      </c>
      <c r="X17" s="15">
        <f>IFERROR(VLOOKUP(C17,RESXCO,9,FALSE),0)</f>
        <v>5</v>
      </c>
      <c r="Y17" s="25">
        <f>IFERROR(VLOOKUP(X17,'Puntos XCO'!$A$1:$B$63,2,FALSE),0)</f>
        <v>100</v>
      </c>
      <c r="Z17" s="27">
        <f>G17+I17+K17+M17+O17+Q17+S17+U17+W17+Y17</f>
        <v>606</v>
      </c>
      <c r="AB17" s="2"/>
      <c r="AC17" s="13"/>
      <c r="AD17" s="12"/>
      <c r="AE17" s="14"/>
    </row>
    <row r="18" spans="1:31" ht="24.95" customHeight="1">
      <c r="A18" s="3">
        <v>4</v>
      </c>
      <c r="B18" s="3">
        <v>4</v>
      </c>
      <c r="C18" s="113">
        <v>158</v>
      </c>
      <c r="D18" s="23" t="s">
        <v>209</v>
      </c>
      <c r="E18" s="24" t="s">
        <v>570</v>
      </c>
      <c r="F18" s="3">
        <v>2</v>
      </c>
      <c r="G18" s="15">
        <v>9</v>
      </c>
      <c r="H18" s="3">
        <v>1</v>
      </c>
      <c r="I18" s="25">
        <v>200</v>
      </c>
      <c r="J18" s="33">
        <v>2</v>
      </c>
      <c r="K18" s="22">
        <v>9</v>
      </c>
      <c r="L18" s="22">
        <v>4</v>
      </c>
      <c r="M18" s="34">
        <v>110</v>
      </c>
      <c r="N18" s="26"/>
      <c r="O18" s="3">
        <f>IFERROR(VLOOKUP(N18,'Puntos XCC Menor'!$A$1:$B$15,2,FALSE),0)</f>
        <v>0</v>
      </c>
      <c r="P18" s="3"/>
      <c r="Q18" s="34">
        <f>IFERROR(VLOOKUP(P18,'Puntos XCO'!$A$1:$B$63,2,FALSE),0)</f>
        <v>0</v>
      </c>
      <c r="R18" s="16">
        <v>3</v>
      </c>
      <c r="S18" s="3">
        <f>IFERROR(VLOOKUP(R18,'Puntos XCC Menor'!$A$1:$B$15,2,FALSE),0)</f>
        <v>8</v>
      </c>
      <c r="T18" s="15">
        <v>8</v>
      </c>
      <c r="U18" s="39">
        <f>IFERROR(VLOOKUP(T18,'Puntos XCO'!$A$1:$B$63,2,FALSE),0)</f>
        <v>85</v>
      </c>
      <c r="V18" s="16">
        <f>IFERROR(VLOOKUP(C18,RESXCC_1,9,FALSE),0)</f>
        <v>3</v>
      </c>
      <c r="W18" s="15">
        <f>IFERROR(VLOOKUP(V18,'Puntos XCC Mayor'!$A$1:$B$15,2,FALSE),0)</f>
        <v>16</v>
      </c>
      <c r="X18" s="15">
        <f>IFERROR(VLOOKUP(C18,RESXCO,9,FALSE),0)</f>
        <v>3</v>
      </c>
      <c r="Y18" s="25">
        <f>IFERROR(VLOOKUP(X18,'Puntos XCO'!$A$1:$B$63,2,FALSE),0)</f>
        <v>120</v>
      </c>
      <c r="Z18" s="27">
        <f>G18+I18+K18+M18+O18+Q18+S18+U18+W18+Y18</f>
        <v>557</v>
      </c>
      <c r="AB18" s="2"/>
      <c r="AC18" s="13"/>
      <c r="AD18" s="12"/>
      <c r="AE18" s="14"/>
    </row>
    <row r="19" spans="1:31" ht="24.95" customHeight="1">
      <c r="A19" s="3">
        <v>5</v>
      </c>
      <c r="B19" s="3">
        <v>5</v>
      </c>
      <c r="C19" s="113">
        <v>106</v>
      </c>
      <c r="D19" s="23" t="s">
        <v>240</v>
      </c>
      <c r="E19" s="24" t="s">
        <v>1035</v>
      </c>
      <c r="F19" s="3">
        <v>5</v>
      </c>
      <c r="G19" s="15">
        <v>6</v>
      </c>
      <c r="H19" s="3">
        <v>5</v>
      </c>
      <c r="I19" s="25">
        <v>100</v>
      </c>
      <c r="J19" s="33">
        <v>6</v>
      </c>
      <c r="K19" s="22">
        <v>5</v>
      </c>
      <c r="L19" s="22">
        <v>17</v>
      </c>
      <c r="M19" s="34">
        <v>64</v>
      </c>
      <c r="N19" s="26"/>
      <c r="O19" s="3">
        <f>IFERROR(VLOOKUP(N19,'Puntos XCC Menor'!$A$1:$B$15,2,FALSE),0)</f>
        <v>0</v>
      </c>
      <c r="P19" s="3">
        <v>15</v>
      </c>
      <c r="Q19" s="34">
        <f>IFERROR(VLOOKUP(P19,'Puntos XCO'!$A$1:$B$63,2,FALSE),0)</f>
        <v>68</v>
      </c>
      <c r="R19" s="16">
        <v>4</v>
      </c>
      <c r="S19" s="3">
        <f>IFERROR(VLOOKUP(R19,'Puntos XCC Menor'!$A$1:$B$15,2,FALSE),0)</f>
        <v>7</v>
      </c>
      <c r="T19" s="15">
        <v>3</v>
      </c>
      <c r="U19" s="39">
        <f>IFERROR(VLOOKUP(T19,'Puntos XCO'!$A$1:$B$63,2,FALSE),0)</f>
        <v>120</v>
      </c>
      <c r="V19" s="16">
        <f>IFERROR(VLOOKUP(C19,RESXCC_1,9,FALSE),0)</f>
        <v>31</v>
      </c>
      <c r="W19" s="15">
        <f>IFERROR(VLOOKUP(V19,'Puntos XCC Mayor'!$A$1:$B$15,2,FALSE),0)</f>
        <v>0</v>
      </c>
      <c r="X19" s="15">
        <f>IFERROR(VLOOKUP(C19,RESXCO,9,FALSE),0)</f>
        <v>4</v>
      </c>
      <c r="Y19" s="25">
        <f>IFERROR(VLOOKUP(X19,'Puntos XCO'!$A$1:$B$63,2,FALSE),0)</f>
        <v>110</v>
      </c>
      <c r="Z19" s="27">
        <f>G19+I19+K19+M19+O19+Q19+S19+U19+W19+Y19</f>
        <v>480</v>
      </c>
      <c r="AB19" s="2"/>
      <c r="AC19" s="13"/>
      <c r="AD19" s="12"/>
      <c r="AE19" s="14"/>
    </row>
    <row r="20" spans="1:31" ht="24.95" customHeight="1">
      <c r="A20" s="3">
        <v>6</v>
      </c>
      <c r="B20" s="3">
        <v>7</v>
      </c>
      <c r="C20" s="113">
        <v>109</v>
      </c>
      <c r="D20" s="23" t="s">
        <v>607</v>
      </c>
      <c r="E20" s="24" t="s">
        <v>245</v>
      </c>
      <c r="F20" s="3">
        <v>12</v>
      </c>
      <c r="G20" s="15">
        <v>0</v>
      </c>
      <c r="H20" s="3">
        <v>17</v>
      </c>
      <c r="I20" s="25">
        <v>64</v>
      </c>
      <c r="J20" s="33">
        <v>11</v>
      </c>
      <c r="K20" s="22">
        <v>0</v>
      </c>
      <c r="L20" s="22">
        <v>9</v>
      </c>
      <c r="M20" s="34">
        <v>80</v>
      </c>
      <c r="N20" s="26"/>
      <c r="O20" s="3">
        <f>IFERROR(VLOOKUP(N20,'Puntos XCC Menor'!$A$1:$B$15,2,FALSE),0)</f>
        <v>0</v>
      </c>
      <c r="P20" s="3">
        <v>11</v>
      </c>
      <c r="Q20" s="34">
        <f>IFERROR(VLOOKUP(P20,'Puntos XCO'!$A$1:$B$63,2,FALSE),0)</f>
        <v>76</v>
      </c>
      <c r="R20" s="16">
        <v>6</v>
      </c>
      <c r="S20" s="3">
        <f>IFERROR(VLOOKUP(R20,'Puntos XCC Menor'!$A$1:$B$15,2,FALSE),0)</f>
        <v>5</v>
      </c>
      <c r="T20" s="15">
        <v>6</v>
      </c>
      <c r="U20" s="39">
        <f>IFERROR(VLOOKUP(T20,'Puntos XCO'!$A$1:$B$63,2,FALSE),0)</f>
        <v>95</v>
      </c>
      <c r="V20" s="16">
        <f>IFERROR(VLOOKUP(C20,RESXCC_1,9,FALSE),0)</f>
        <v>5</v>
      </c>
      <c r="W20" s="15">
        <f>IFERROR(VLOOKUP(V20,'Puntos XCC Mayor'!$A$1:$B$15,2,FALSE),0)</f>
        <v>12</v>
      </c>
      <c r="X20" s="15">
        <f>IFERROR(VLOOKUP(C20,RESXCO,9,FALSE),0)</f>
        <v>9</v>
      </c>
      <c r="Y20" s="25">
        <f>IFERROR(VLOOKUP(X20,'Puntos XCO'!$A$1:$B$63,2,FALSE),0)</f>
        <v>80</v>
      </c>
      <c r="Z20" s="27">
        <f>G20+I20+K20+M20+O20+Q20+S20+U20+W20+Y20</f>
        <v>412</v>
      </c>
      <c r="AB20" s="2"/>
      <c r="AC20" s="13"/>
      <c r="AD20" s="12"/>
      <c r="AE20" s="14"/>
    </row>
    <row r="21" spans="1:31" ht="24.95" customHeight="1">
      <c r="A21" s="3">
        <v>7</v>
      </c>
      <c r="B21" s="3">
        <v>8</v>
      </c>
      <c r="C21" s="113">
        <v>107</v>
      </c>
      <c r="D21" s="23" t="s">
        <v>1036</v>
      </c>
      <c r="E21" s="24" t="s">
        <v>70</v>
      </c>
      <c r="F21" s="3">
        <v>19</v>
      </c>
      <c r="G21" s="15">
        <v>0</v>
      </c>
      <c r="H21" s="3">
        <v>11</v>
      </c>
      <c r="I21" s="25">
        <v>76</v>
      </c>
      <c r="J21" s="33">
        <v>12</v>
      </c>
      <c r="K21" s="22">
        <v>0</v>
      </c>
      <c r="L21" s="22">
        <v>8</v>
      </c>
      <c r="M21" s="34">
        <v>85</v>
      </c>
      <c r="N21" s="26"/>
      <c r="O21" s="3">
        <f>IFERROR(VLOOKUP(N21,'Puntos XCC Menor'!$A$1:$B$15,2,FALSE),0)</f>
        <v>0</v>
      </c>
      <c r="P21" s="3">
        <v>16</v>
      </c>
      <c r="Q21" s="34">
        <f>IFERROR(VLOOKUP(P21,'Puntos XCO'!$A$1:$B$63,2,FALSE),0)</f>
        <v>66</v>
      </c>
      <c r="R21" s="16">
        <v>9</v>
      </c>
      <c r="S21" s="3">
        <f>IFERROR(VLOOKUP(R21,'Puntos XCC Menor'!$A$1:$B$15,2,FALSE),0)</f>
        <v>2</v>
      </c>
      <c r="T21" s="15">
        <v>13</v>
      </c>
      <c r="U21" s="39">
        <f>IFERROR(VLOOKUP(T21,'Puntos XCO'!$A$1:$B$63,2,FALSE),0)</f>
        <v>72</v>
      </c>
      <c r="V21" s="16">
        <f>IFERROR(VLOOKUP(C21,RESXCC_1,9,FALSE),0)</f>
        <v>27</v>
      </c>
      <c r="W21" s="15">
        <f>IFERROR(VLOOKUP(V21,'Puntos XCC Mayor'!$A$1:$B$15,2,FALSE),0)</f>
        <v>0</v>
      </c>
      <c r="X21" s="15">
        <f>IFERROR(VLOOKUP(C21,RESXCO,9,FALSE),0)</f>
        <v>10</v>
      </c>
      <c r="Y21" s="25">
        <f>IFERROR(VLOOKUP(X21,'Puntos XCO'!$A$1:$B$63,2,FALSE),0)</f>
        <v>78</v>
      </c>
      <c r="Z21" s="27">
        <f>G21+I21+K21+M21+O21+Q21+S21+U21+W21+Y21</f>
        <v>379</v>
      </c>
      <c r="AB21" s="2"/>
      <c r="AC21" s="13"/>
      <c r="AD21" s="12"/>
      <c r="AE21" s="14"/>
    </row>
    <row r="22" spans="1:31" ht="24.95" customHeight="1">
      <c r="A22" s="3">
        <v>8</v>
      </c>
      <c r="B22" s="3">
        <v>9</v>
      </c>
      <c r="C22" s="113">
        <v>112</v>
      </c>
      <c r="D22" s="23" t="s">
        <v>1041</v>
      </c>
      <c r="E22" s="24" t="s">
        <v>6</v>
      </c>
      <c r="F22" s="3">
        <v>22</v>
      </c>
      <c r="G22" s="15">
        <v>0</v>
      </c>
      <c r="H22" s="3">
        <v>14</v>
      </c>
      <c r="I22" s="25">
        <v>70</v>
      </c>
      <c r="J22" s="33">
        <v>19</v>
      </c>
      <c r="K22" s="22">
        <v>0</v>
      </c>
      <c r="L22" s="22">
        <v>16</v>
      </c>
      <c r="M22" s="34">
        <v>66</v>
      </c>
      <c r="N22" s="26"/>
      <c r="O22" s="3">
        <f>IFERROR(VLOOKUP(N22,'Puntos XCC Menor'!$A$1:$B$15,2,FALSE),0)</f>
        <v>0</v>
      </c>
      <c r="P22" s="3">
        <v>12</v>
      </c>
      <c r="Q22" s="34">
        <f>IFERROR(VLOOKUP(P22,'Puntos XCO'!$A$1:$B$63,2,FALSE),0)</f>
        <v>74</v>
      </c>
      <c r="R22" s="16">
        <v>0</v>
      </c>
      <c r="S22" s="3">
        <f>IFERROR(VLOOKUP(R22,'Puntos XCC Menor'!$A$1:$B$15,2,FALSE),0)</f>
        <v>0</v>
      </c>
      <c r="T22" s="15">
        <v>9</v>
      </c>
      <c r="U22" s="39">
        <f>IFERROR(VLOOKUP(T22,'Puntos XCO'!$A$1:$B$63,2,FALSE),0)</f>
        <v>80</v>
      </c>
      <c r="V22" s="16">
        <f>IFERROR(VLOOKUP(C22,RESXCC_1,9,FALSE),0)</f>
        <v>31</v>
      </c>
      <c r="W22" s="15">
        <f>IFERROR(VLOOKUP(V22,'Puntos XCC Mayor'!$A$1:$B$15,2,FALSE),0)</f>
        <v>0</v>
      </c>
      <c r="X22" s="15">
        <f>IFERROR(VLOOKUP(C22,RESXCO,9,FALSE),0)</f>
        <v>11</v>
      </c>
      <c r="Y22" s="25">
        <f>IFERROR(VLOOKUP(X22,'Puntos XCO'!$A$1:$B$63,2,FALSE),0)</f>
        <v>76</v>
      </c>
      <c r="Z22" s="27">
        <f>G22+I22+K22+M22+O22+Q22+S22+U22+W22+Y22</f>
        <v>366</v>
      </c>
      <c r="AB22" s="2"/>
      <c r="AC22" s="13"/>
      <c r="AD22" s="12"/>
      <c r="AE22" s="14"/>
    </row>
    <row r="23" spans="1:31" ht="24.95" customHeight="1">
      <c r="A23" s="3">
        <v>9</v>
      </c>
      <c r="B23" s="3">
        <v>10</v>
      </c>
      <c r="C23" s="113">
        <v>108</v>
      </c>
      <c r="D23" s="23" t="s">
        <v>1037</v>
      </c>
      <c r="E23" s="24" t="s">
        <v>159</v>
      </c>
      <c r="F23" s="3">
        <v>7</v>
      </c>
      <c r="G23" s="15">
        <v>4</v>
      </c>
      <c r="H23" s="3">
        <v>13</v>
      </c>
      <c r="I23" s="25">
        <v>72</v>
      </c>
      <c r="J23" s="33">
        <v>10</v>
      </c>
      <c r="K23" s="22">
        <v>1</v>
      </c>
      <c r="L23" s="22">
        <v>10</v>
      </c>
      <c r="M23" s="34">
        <v>78</v>
      </c>
      <c r="N23" s="26"/>
      <c r="O23" s="3">
        <f>IFERROR(VLOOKUP(N23,'Puntos XCC Menor'!$A$1:$B$15,2,FALSE),0)</f>
        <v>0</v>
      </c>
      <c r="P23" s="3">
        <v>14</v>
      </c>
      <c r="Q23" s="34">
        <f>IFERROR(VLOOKUP(P23,'Puntos XCO'!$A$1:$B$63,2,FALSE),0)</f>
        <v>70</v>
      </c>
      <c r="R23" s="16">
        <v>17</v>
      </c>
      <c r="S23" s="3">
        <f>IFERROR(VLOOKUP(R23,'Puntos XCC Menor'!$A$1:$B$15,2,FALSE),0)</f>
        <v>0</v>
      </c>
      <c r="T23" s="15">
        <v>19</v>
      </c>
      <c r="U23" s="39">
        <f>IFERROR(VLOOKUP(T23,'Puntos XCO'!$A$1:$B$63,2,FALSE),0)</f>
        <v>60</v>
      </c>
      <c r="V23" s="16">
        <f>IFERROR(VLOOKUP(C23,RESXCC_1,9,FALSE),0)</f>
        <v>22</v>
      </c>
      <c r="W23" s="15">
        <f>IFERROR(VLOOKUP(V23,'Puntos XCC Mayor'!$A$1:$B$15,2,FALSE),0)</f>
        <v>0</v>
      </c>
      <c r="X23" s="15">
        <f>IFERROR(VLOOKUP(C23,RESXCO,9,FALSE),0)</f>
        <v>13</v>
      </c>
      <c r="Y23" s="25">
        <f>IFERROR(VLOOKUP(X23,'Puntos XCO'!$A$1:$B$63,2,FALSE),0)</f>
        <v>72</v>
      </c>
      <c r="Z23" s="27">
        <f>G23+I23+K23+M23+O23+Q23+S23+U23+W23+Y23</f>
        <v>357</v>
      </c>
      <c r="AB23" s="2"/>
      <c r="AC23" s="13"/>
      <c r="AD23" s="12"/>
      <c r="AE23" s="14"/>
    </row>
    <row r="24" spans="1:31" ht="24.95" customHeight="1">
      <c r="A24" s="3">
        <v>10</v>
      </c>
      <c r="B24" s="3">
        <v>6</v>
      </c>
      <c r="C24" s="115">
        <v>113</v>
      </c>
      <c r="D24" s="23" t="s">
        <v>1042</v>
      </c>
      <c r="E24" s="24" t="s">
        <v>84</v>
      </c>
      <c r="F24" s="3"/>
      <c r="G24" s="15"/>
      <c r="H24" s="3"/>
      <c r="I24" s="25"/>
      <c r="J24" s="33">
        <v>7</v>
      </c>
      <c r="K24" s="22">
        <v>4</v>
      </c>
      <c r="L24" s="22">
        <v>5</v>
      </c>
      <c r="M24" s="34">
        <v>100</v>
      </c>
      <c r="N24" s="26"/>
      <c r="O24" s="3">
        <f>IFERROR(VLOOKUP(N24,'Puntos XCC Menor'!$A$1:$B$15,2,FALSE),0)</f>
        <v>0</v>
      </c>
      <c r="P24" s="3">
        <v>4</v>
      </c>
      <c r="Q24" s="34">
        <f>IFERROR(VLOOKUP(P24,'Puntos XCO'!$A$1:$B$63,2,FALSE),0)</f>
        <v>110</v>
      </c>
      <c r="R24" s="16">
        <v>0</v>
      </c>
      <c r="S24" s="3">
        <f>IFERROR(VLOOKUP(R24,'Puntos XCC Menor'!$A$1:$B$15,2,FALSE),0)</f>
        <v>0</v>
      </c>
      <c r="T24" s="15">
        <v>4</v>
      </c>
      <c r="U24" s="39">
        <f>IFERROR(VLOOKUP(T24,'Puntos XCO'!$A$1:$B$63,2,FALSE),0)</f>
        <v>110</v>
      </c>
      <c r="V24" s="16">
        <f>IFERROR(VLOOKUP(C24,RESXCC_1,9,FALSE),0)</f>
        <v>0</v>
      </c>
      <c r="W24" s="15">
        <f>IFERROR(VLOOKUP(V24,'Puntos XCC Mayor'!$A$1:$B$15,2,FALSE),0)</f>
        <v>0</v>
      </c>
      <c r="X24" s="15">
        <f>IFERROR(VLOOKUP(C24,RESXCO,9,FALSE),0)</f>
        <v>0</v>
      </c>
      <c r="Y24" s="25">
        <f>IFERROR(VLOOKUP(X24,'Puntos XCO'!$A$1:$B$63,2,FALSE),0)</f>
        <v>0</v>
      </c>
      <c r="Z24" s="27">
        <f>G24+I24+K24+M24+O24+Q24+S24+U24+W24+Y24</f>
        <v>324</v>
      </c>
      <c r="AB24" s="2"/>
      <c r="AC24" s="13"/>
      <c r="AD24" s="12"/>
      <c r="AE24" s="14"/>
    </row>
    <row r="25" spans="1:31" ht="24.95" customHeight="1">
      <c r="A25" s="3">
        <v>11</v>
      </c>
      <c r="B25" s="3">
        <v>20</v>
      </c>
      <c r="C25" s="113">
        <v>142</v>
      </c>
      <c r="D25" s="23" t="s">
        <v>264</v>
      </c>
      <c r="E25" s="24" t="s">
        <v>625</v>
      </c>
      <c r="F25" s="3">
        <v>17</v>
      </c>
      <c r="G25" s="15">
        <v>0</v>
      </c>
      <c r="H25" s="3">
        <v>0</v>
      </c>
      <c r="I25" s="25">
        <v>0</v>
      </c>
      <c r="J25" s="33">
        <v>15</v>
      </c>
      <c r="K25" s="22">
        <v>0</v>
      </c>
      <c r="L25" s="22">
        <v>12</v>
      </c>
      <c r="M25" s="34">
        <v>74</v>
      </c>
      <c r="N25" s="26"/>
      <c r="O25" s="3">
        <f>IFERROR(VLOOKUP(N25,'Puntos XCC Menor'!$A$1:$B$15,2,FALSE),0)</f>
        <v>0</v>
      </c>
      <c r="P25" s="3"/>
      <c r="Q25" s="34">
        <f>IFERROR(VLOOKUP(P25,'Puntos XCO'!$A$1:$B$63,2,FALSE),0)</f>
        <v>0</v>
      </c>
      <c r="R25" s="16">
        <v>8</v>
      </c>
      <c r="S25" s="3">
        <f>IFERROR(VLOOKUP(R25,'Puntos XCC Menor'!$A$1:$B$15,2,FALSE),0)</f>
        <v>3</v>
      </c>
      <c r="T25" s="15">
        <v>7</v>
      </c>
      <c r="U25" s="39">
        <f>IFERROR(VLOOKUP(T25,'Puntos XCO'!$A$1:$B$63,2,FALSE),0)</f>
        <v>90</v>
      </c>
      <c r="V25" s="16">
        <f>IFERROR(VLOOKUP(C25,RESXCC_1,9,FALSE),0)</f>
        <v>6</v>
      </c>
      <c r="W25" s="15">
        <f>IFERROR(VLOOKUP(V25,'Puntos XCC Mayor'!$A$1:$B$15,2,FALSE),0)</f>
        <v>10</v>
      </c>
      <c r="X25" s="15">
        <f>IFERROR(VLOOKUP(C25,RESXCO,9,FALSE),0)</f>
        <v>8</v>
      </c>
      <c r="Y25" s="25">
        <f>IFERROR(VLOOKUP(X25,'Puntos XCO'!$A$1:$B$63,2,FALSE),0)</f>
        <v>85</v>
      </c>
      <c r="Z25" s="27">
        <f>G25+I25+K25+M25+O25+Q25+S25+U25+W25+Y25</f>
        <v>262</v>
      </c>
      <c r="AB25" s="2"/>
      <c r="AC25" s="13"/>
      <c r="AD25" s="12"/>
      <c r="AE25" s="14"/>
    </row>
    <row r="26" spans="1:31" ht="24.95" customHeight="1">
      <c r="A26" s="3">
        <v>12</v>
      </c>
      <c r="B26" s="3">
        <v>14</v>
      </c>
      <c r="C26" s="113">
        <v>114</v>
      </c>
      <c r="D26" s="23" t="s">
        <v>1043</v>
      </c>
      <c r="E26" s="24" t="s">
        <v>113</v>
      </c>
      <c r="F26" s="3">
        <v>21</v>
      </c>
      <c r="G26" s="15">
        <v>0</v>
      </c>
      <c r="H26" s="3">
        <v>31</v>
      </c>
      <c r="I26" s="25">
        <v>36</v>
      </c>
      <c r="J26" s="33">
        <v>25</v>
      </c>
      <c r="K26" s="22">
        <v>0</v>
      </c>
      <c r="L26" s="22">
        <v>21</v>
      </c>
      <c r="M26" s="34">
        <v>56</v>
      </c>
      <c r="N26" s="26"/>
      <c r="O26" s="3">
        <f>IFERROR(VLOOKUP(N26,'Puntos XCC Menor'!$A$1:$B$15,2,FALSE),0)</f>
        <v>0</v>
      </c>
      <c r="P26" s="3">
        <v>23</v>
      </c>
      <c r="Q26" s="34">
        <f>IFERROR(VLOOKUP(P26,'Puntos XCO'!$A$1:$B$63,2,FALSE),0)</f>
        <v>52</v>
      </c>
      <c r="R26" s="16">
        <v>20</v>
      </c>
      <c r="S26" s="3">
        <f>IFERROR(VLOOKUP(R26,'Puntos XCC Menor'!$A$1:$B$15,2,FALSE),0)</f>
        <v>0</v>
      </c>
      <c r="T26" s="15">
        <v>23</v>
      </c>
      <c r="U26" s="39">
        <f>IFERROR(VLOOKUP(T26,'Puntos XCO'!$A$1:$B$63,2,FALSE),0)</f>
        <v>52</v>
      </c>
      <c r="V26" s="16">
        <f>IFERROR(VLOOKUP(C26,RESXCC_1,9,FALSE),0)</f>
        <v>16</v>
      </c>
      <c r="W26" s="15">
        <f>IFERROR(VLOOKUP(V26,'Puntos XCC Mayor'!$A$1:$B$15,2,FALSE),0)</f>
        <v>0</v>
      </c>
      <c r="X26" s="15">
        <f>IFERROR(VLOOKUP(C26,RESXCO,9,FALSE),0)</f>
        <v>20</v>
      </c>
      <c r="Y26" s="25">
        <f>IFERROR(VLOOKUP(X26,'Puntos XCO'!$A$1:$B$63,2,FALSE),0)</f>
        <v>58</v>
      </c>
      <c r="Z26" s="27">
        <f>G26+I26+K26+M26+O26+Q26+S26+U26+W26+Y26</f>
        <v>254</v>
      </c>
      <c r="AB26" s="2"/>
      <c r="AC26" s="13"/>
      <c r="AD26" s="12"/>
      <c r="AE26" s="14"/>
    </row>
    <row r="27" spans="1:31" ht="24.95" customHeight="1">
      <c r="A27" s="3">
        <v>13</v>
      </c>
      <c r="B27" s="3">
        <v>23</v>
      </c>
      <c r="C27" s="134">
        <v>126</v>
      </c>
      <c r="D27" s="23" t="s">
        <v>1055</v>
      </c>
      <c r="E27" s="24" t="s">
        <v>962</v>
      </c>
      <c r="F27" s="3"/>
      <c r="G27" s="15"/>
      <c r="H27" s="3"/>
      <c r="I27" s="25"/>
      <c r="J27" s="33"/>
      <c r="K27" s="22"/>
      <c r="L27" s="22"/>
      <c r="M27" s="34"/>
      <c r="N27" s="26"/>
      <c r="O27" s="3">
        <f>IFERROR(VLOOKUP(N27,'Puntos XCC Menor'!$A$1:$B$15,2,FALSE),0)</f>
        <v>0</v>
      </c>
      <c r="P27" s="3">
        <v>9</v>
      </c>
      <c r="Q27" s="34">
        <f>IFERROR(VLOOKUP(P27,'Puntos XCO'!$A$1:$B$63,2,FALSE),0)</f>
        <v>80</v>
      </c>
      <c r="R27" s="16">
        <v>10</v>
      </c>
      <c r="S27" s="3">
        <f>IFERROR(VLOOKUP(R27,'Puntos XCC Menor'!$A$1:$B$15,2,FALSE),0)</f>
        <v>1</v>
      </c>
      <c r="T27" s="15">
        <v>11</v>
      </c>
      <c r="U27" s="39">
        <f>IFERROR(VLOOKUP(T27,'Puntos XCO'!$A$1:$B$63,2,FALSE),0)</f>
        <v>76</v>
      </c>
      <c r="V27" s="16">
        <f>IFERROR(VLOOKUP(C27,RESXCC_1,9,FALSE),0)</f>
        <v>30</v>
      </c>
      <c r="W27" s="15">
        <f>IFERROR(VLOOKUP(V27,'Puntos XCC Mayor'!$A$1:$B$15,2,FALSE),0)</f>
        <v>0</v>
      </c>
      <c r="X27" s="15">
        <f>IFERROR(VLOOKUP(C27,RESXCO,9,FALSE),0)</f>
        <v>6</v>
      </c>
      <c r="Y27" s="25">
        <f>IFERROR(VLOOKUP(X27,'Puntos XCO'!$A$1:$B$63,2,FALSE),0)</f>
        <v>95</v>
      </c>
      <c r="Z27" s="27">
        <f>G27+I27+K27+M27+O27+Q27+S27+U27+W27+Y27</f>
        <v>252</v>
      </c>
      <c r="AB27" s="2"/>
      <c r="AC27" s="13"/>
      <c r="AD27" s="12"/>
      <c r="AE27" s="14"/>
    </row>
    <row r="28" spans="1:31" ht="24.95" customHeight="1">
      <c r="A28" s="3">
        <v>14</v>
      </c>
      <c r="B28" s="3">
        <v>13</v>
      </c>
      <c r="C28" s="113">
        <v>110</v>
      </c>
      <c r="D28" s="23" t="s">
        <v>1038</v>
      </c>
      <c r="E28" s="24" t="s">
        <v>251</v>
      </c>
      <c r="F28" s="3">
        <v>20</v>
      </c>
      <c r="G28" s="15">
        <v>0</v>
      </c>
      <c r="H28" s="3">
        <v>18</v>
      </c>
      <c r="I28" s="25">
        <v>62</v>
      </c>
      <c r="J28" s="33">
        <v>9</v>
      </c>
      <c r="K28" s="22">
        <v>2</v>
      </c>
      <c r="L28" s="22">
        <v>11</v>
      </c>
      <c r="M28" s="34">
        <v>76</v>
      </c>
      <c r="N28" s="26"/>
      <c r="O28" s="3">
        <f>IFERROR(VLOOKUP(N28,'Puntos XCC Menor'!$A$1:$B$15,2,FALSE),0)</f>
        <v>0</v>
      </c>
      <c r="P28" s="3"/>
      <c r="Q28" s="34">
        <f>IFERROR(VLOOKUP(P28,'Puntos XCO'!$A$1:$B$63,2,FALSE),0)</f>
        <v>0</v>
      </c>
      <c r="R28" s="16">
        <v>7</v>
      </c>
      <c r="S28" s="3">
        <f>IFERROR(VLOOKUP(R28,'Puntos XCC Menor'!$A$1:$B$15,2,FALSE),0)</f>
        <v>4</v>
      </c>
      <c r="T28" s="15">
        <v>21</v>
      </c>
      <c r="U28" s="39">
        <f>IFERROR(VLOOKUP(T28,'Puntos XCO'!$A$1:$B$63,2,FALSE),0)</f>
        <v>56</v>
      </c>
      <c r="V28" s="16">
        <f>IFERROR(VLOOKUP(C28,RESXCC_1,9,FALSE),0)</f>
        <v>28</v>
      </c>
      <c r="W28" s="15">
        <f>IFERROR(VLOOKUP(V28,'Puntos XCC Mayor'!$A$1:$B$15,2,FALSE),0)</f>
        <v>0</v>
      </c>
      <c r="X28" s="15">
        <f>IFERROR(VLOOKUP(C28,RESXCO,9,FALSE),0)</f>
        <v>23</v>
      </c>
      <c r="Y28" s="25">
        <f>IFERROR(VLOOKUP(X28,'Puntos XCO'!$A$1:$B$63,2,FALSE),0)</f>
        <v>52</v>
      </c>
      <c r="Z28" s="27">
        <f>G28+I28+K28+M28+O28+Q28+S28+U28+W28+Y28</f>
        <v>252</v>
      </c>
      <c r="AB28" s="3"/>
      <c r="AE28" s="29"/>
    </row>
    <row r="29" spans="1:31" ht="24.95" customHeight="1">
      <c r="A29" s="3">
        <v>15</v>
      </c>
      <c r="B29" s="3">
        <v>19</v>
      </c>
      <c r="C29" s="113">
        <v>160</v>
      </c>
      <c r="D29" s="23" t="s">
        <v>241</v>
      </c>
      <c r="E29" s="24" t="s">
        <v>610</v>
      </c>
      <c r="F29" s="3">
        <v>29</v>
      </c>
      <c r="G29" s="15">
        <v>0</v>
      </c>
      <c r="H29" s="3">
        <v>21</v>
      </c>
      <c r="I29" s="25">
        <v>56</v>
      </c>
      <c r="J29" s="33">
        <v>28</v>
      </c>
      <c r="K29" s="22">
        <v>0</v>
      </c>
      <c r="L29" s="22">
        <v>25</v>
      </c>
      <c r="M29" s="34">
        <v>48</v>
      </c>
      <c r="N29" s="26"/>
      <c r="O29" s="3">
        <f>IFERROR(VLOOKUP(N29,'Puntos XCC Menor'!$A$1:$B$15,2,FALSE),0)</f>
        <v>0</v>
      </c>
      <c r="P29" s="3"/>
      <c r="Q29" s="34">
        <f>IFERROR(VLOOKUP(P29,'Puntos XCO'!$A$1:$B$63,2,FALSE),0)</f>
        <v>0</v>
      </c>
      <c r="R29" s="16">
        <v>16</v>
      </c>
      <c r="S29" s="3">
        <f>IFERROR(VLOOKUP(R29,'Puntos XCC Menor'!$A$1:$B$15,2,FALSE),0)</f>
        <v>0</v>
      </c>
      <c r="T29" s="15">
        <v>14</v>
      </c>
      <c r="U29" s="39">
        <f>IFERROR(VLOOKUP(T29,'Puntos XCO'!$A$1:$B$63,2,FALSE),0)</f>
        <v>70</v>
      </c>
      <c r="V29" s="16">
        <f>IFERROR(VLOOKUP(C29,RESXCC_1,9,FALSE),0)</f>
        <v>29</v>
      </c>
      <c r="W29" s="15">
        <f>IFERROR(VLOOKUP(V29,'Puntos XCC Mayor'!$A$1:$B$15,2,FALSE),0)</f>
        <v>0</v>
      </c>
      <c r="X29" s="15">
        <f>IFERROR(VLOOKUP(C29,RESXCO,9,FALSE),0)</f>
        <v>12</v>
      </c>
      <c r="Y29" s="25">
        <f>IFERROR(VLOOKUP(X29,'Puntos XCO'!$A$1:$B$63,2,FALSE),0)</f>
        <v>74</v>
      </c>
      <c r="Z29" s="27">
        <f>G29+I29+K29+M29+O29+Q29+S29+U29+W29+Y29</f>
        <v>248</v>
      </c>
      <c r="AB29" s="3"/>
    </row>
    <row r="30" spans="1:31" ht="24.95" customHeight="1">
      <c r="A30" s="3">
        <v>16</v>
      </c>
      <c r="B30" s="3">
        <v>16</v>
      </c>
      <c r="C30" s="115">
        <v>121</v>
      </c>
      <c r="D30" s="23" t="s">
        <v>1048</v>
      </c>
      <c r="E30" s="24" t="s">
        <v>138</v>
      </c>
      <c r="F30" s="3"/>
      <c r="G30" s="15"/>
      <c r="H30" s="3"/>
      <c r="I30" s="25"/>
      <c r="J30" s="33">
        <v>33</v>
      </c>
      <c r="K30" s="22">
        <v>0</v>
      </c>
      <c r="L30" s="22">
        <v>27</v>
      </c>
      <c r="M30" s="34">
        <v>44</v>
      </c>
      <c r="N30" s="26"/>
      <c r="O30" s="3">
        <f>IFERROR(VLOOKUP(N30,'Puntos XCC Menor'!$A$1:$B$15,2,FALSE),0)</f>
        <v>0</v>
      </c>
      <c r="P30" s="3">
        <v>17</v>
      </c>
      <c r="Q30" s="34">
        <f>IFERROR(VLOOKUP(P30,'Puntos XCO'!$A$1:$B$63,2,FALSE),0)</f>
        <v>64</v>
      </c>
      <c r="R30" s="16">
        <v>11</v>
      </c>
      <c r="S30" s="3">
        <f>IFERROR(VLOOKUP(R30,'Puntos XCC Menor'!$A$1:$B$15,2,FALSE),0)</f>
        <v>0</v>
      </c>
      <c r="T30" s="15">
        <v>12</v>
      </c>
      <c r="U30" s="39">
        <f>IFERROR(VLOOKUP(T30,'Puntos XCO'!$A$1:$B$63,2,FALSE),0)</f>
        <v>74</v>
      </c>
      <c r="V30" s="16">
        <f>IFERROR(VLOOKUP(C30,RESXCC_1,9,FALSE),0)</f>
        <v>14</v>
      </c>
      <c r="W30" s="15">
        <f>IFERROR(VLOOKUP(V30,'Puntos XCC Mayor'!$A$1:$B$15,2,FALSE),0)</f>
        <v>2</v>
      </c>
      <c r="X30" s="15">
        <f>IFERROR(VLOOKUP(C30,RESXCO,9,FALSE),0)</f>
        <v>21</v>
      </c>
      <c r="Y30" s="25">
        <f>IFERROR(VLOOKUP(X30,'Puntos XCO'!$A$1:$B$63,2,FALSE),0)</f>
        <v>56</v>
      </c>
      <c r="Z30" s="27">
        <f>G30+I30+K30+M30+O30+Q30+S30+U30+W30+Y30</f>
        <v>240</v>
      </c>
      <c r="AB30" s="3"/>
    </row>
    <row r="31" spans="1:31" ht="24.95" customHeight="1">
      <c r="A31" s="3">
        <v>17</v>
      </c>
      <c r="B31" s="3">
        <v>27</v>
      </c>
      <c r="C31" s="113">
        <v>119</v>
      </c>
      <c r="D31" s="23" t="s">
        <v>243</v>
      </c>
      <c r="E31" s="24" t="s">
        <v>84</v>
      </c>
      <c r="F31" s="3">
        <v>24</v>
      </c>
      <c r="G31" s="15">
        <v>0</v>
      </c>
      <c r="H31" s="3">
        <v>29</v>
      </c>
      <c r="I31" s="25">
        <v>40</v>
      </c>
      <c r="J31" s="33">
        <v>23</v>
      </c>
      <c r="K31" s="22">
        <v>0</v>
      </c>
      <c r="L31" s="22">
        <v>26</v>
      </c>
      <c r="M31" s="34">
        <v>46</v>
      </c>
      <c r="N31" s="26"/>
      <c r="O31" s="3">
        <f>IFERROR(VLOOKUP(N31,'Puntos XCC Menor'!$A$1:$B$15,2,FALSE),0)</f>
        <v>0</v>
      </c>
      <c r="P31" s="3">
        <v>21</v>
      </c>
      <c r="Q31" s="34">
        <f>IFERROR(VLOOKUP(P31,'Puntos XCO'!$A$1:$B$63,2,FALSE),0)</f>
        <v>56</v>
      </c>
      <c r="R31" s="16">
        <v>0</v>
      </c>
      <c r="S31" s="3">
        <f>IFERROR(VLOOKUP(R31,'Puntos XCC Menor'!$A$1:$B$15,2,FALSE),0)</f>
        <v>0</v>
      </c>
      <c r="T31" s="15">
        <v>0</v>
      </c>
      <c r="U31" s="39">
        <f>IFERROR(VLOOKUP(T31,'Puntos XCO'!$A$1:$B$63,2,FALSE),0)</f>
        <v>0</v>
      </c>
      <c r="V31" s="16">
        <f>IFERROR(VLOOKUP(C31,RESXCC_1,9,FALSE),0)</f>
        <v>0</v>
      </c>
      <c r="W31" s="15">
        <f>IFERROR(VLOOKUP(V31,'Puntos XCC Mayor'!$A$1:$B$15,2,FALSE),0)</f>
        <v>0</v>
      </c>
      <c r="X31" s="15">
        <f>IFERROR(VLOOKUP(C31,RESXCO,9,FALSE),0)</f>
        <v>15</v>
      </c>
      <c r="Y31" s="25">
        <f>IFERROR(VLOOKUP(X31,'Puntos XCO'!$A$1:$B$63,2,FALSE),0)</f>
        <v>68</v>
      </c>
      <c r="Z31" s="27">
        <f>G31+I31+K31+M31+O31+Q31+S31+U31+W31+Y31</f>
        <v>210</v>
      </c>
      <c r="AB31" s="3"/>
    </row>
    <row r="32" spans="1:31" ht="24.95" customHeight="1">
      <c r="A32" s="3">
        <v>18</v>
      </c>
      <c r="B32" s="3">
        <v>11</v>
      </c>
      <c r="C32" s="134">
        <v>101</v>
      </c>
      <c r="D32" s="23" t="s">
        <v>1032</v>
      </c>
      <c r="E32" s="24" t="s">
        <v>906</v>
      </c>
      <c r="F32" s="3"/>
      <c r="G32" s="15"/>
      <c r="H32" s="3"/>
      <c r="I32" s="25"/>
      <c r="J32" s="33"/>
      <c r="K32" s="22"/>
      <c r="L32" s="22"/>
      <c r="M32" s="34"/>
      <c r="N32" s="26"/>
      <c r="O32" s="3">
        <f>IFERROR(VLOOKUP(N32,'Puntos XCC Menor'!$A$1:$B$15,2,FALSE),0)</f>
        <v>0</v>
      </c>
      <c r="P32" s="3">
        <v>1</v>
      </c>
      <c r="Q32" s="34">
        <f>IFERROR(VLOOKUP(P32,'Puntos XCO'!$A$1:$B$63,2,FALSE),0)</f>
        <v>200</v>
      </c>
      <c r="R32" s="16">
        <v>0</v>
      </c>
      <c r="S32" s="3">
        <f>IFERROR(VLOOKUP(R32,'Puntos XCC Menor'!$A$1:$B$15,2,FALSE),0)</f>
        <v>0</v>
      </c>
      <c r="T32" s="15">
        <v>0</v>
      </c>
      <c r="U32" s="39">
        <f>IFERROR(VLOOKUP(T32,'Puntos XCO'!$A$1:$B$63,2,FALSE),0)</f>
        <v>0</v>
      </c>
      <c r="V32" s="16">
        <f>IFERROR(VLOOKUP(C32,RESXCC_1,9,FALSE),0)</f>
        <v>0</v>
      </c>
      <c r="W32" s="15">
        <f>IFERROR(VLOOKUP(V32,'Puntos XCC Mayor'!$A$1:$B$15,2,FALSE),0)</f>
        <v>0</v>
      </c>
      <c r="X32" s="15">
        <f>IFERROR(VLOOKUP(C32,RESXCO,9,FALSE),0)</f>
        <v>0</v>
      </c>
      <c r="Y32" s="25">
        <f>IFERROR(VLOOKUP(X32,'Puntos XCO'!$A$1:$B$63,2,FALSE),0)</f>
        <v>0</v>
      </c>
      <c r="Z32" s="27">
        <f>G32+I32+K32+M32+O32+Q32+S32+U32+W32+Y32</f>
        <v>200</v>
      </c>
      <c r="AB32" s="3"/>
    </row>
    <row r="33" spans="1:28" ht="24.95" customHeight="1">
      <c r="A33" s="3">
        <v>19</v>
      </c>
      <c r="B33" s="3">
        <v>12</v>
      </c>
      <c r="C33" s="113">
        <v>132</v>
      </c>
      <c r="D33" s="23" t="s">
        <v>600</v>
      </c>
      <c r="E33" s="24" t="s">
        <v>132</v>
      </c>
      <c r="F33" s="3">
        <v>23</v>
      </c>
      <c r="G33" s="15">
        <v>0</v>
      </c>
      <c r="H33" s="3">
        <v>10</v>
      </c>
      <c r="I33" s="25">
        <v>78</v>
      </c>
      <c r="J33" s="33">
        <v>22</v>
      </c>
      <c r="K33" s="22">
        <v>0</v>
      </c>
      <c r="L33" s="22">
        <v>19</v>
      </c>
      <c r="M33" s="34">
        <v>60</v>
      </c>
      <c r="N33" s="26"/>
      <c r="O33" s="3">
        <f>IFERROR(VLOOKUP(N33,'Puntos XCC Menor'!$A$1:$B$15,2,FALSE),0)</f>
        <v>0</v>
      </c>
      <c r="P33" s="3"/>
      <c r="Q33" s="34">
        <f>IFERROR(VLOOKUP(P33,'Puntos XCO'!$A$1:$B$63,2,FALSE),0)</f>
        <v>0</v>
      </c>
      <c r="R33" s="16">
        <v>0</v>
      </c>
      <c r="S33" s="3">
        <f>IFERROR(VLOOKUP(R33,'Puntos XCC Menor'!$A$1:$B$15,2,FALSE),0)</f>
        <v>0</v>
      </c>
      <c r="T33" s="15">
        <v>18</v>
      </c>
      <c r="U33" s="39">
        <f>IFERROR(VLOOKUP(T33,'Puntos XCO'!$A$1:$B$63,2,FALSE),0)</f>
        <v>62</v>
      </c>
      <c r="V33" s="16">
        <f>IFERROR(VLOOKUP(C33,RESXCC_1,9,FALSE),0)</f>
        <v>0</v>
      </c>
      <c r="W33" s="15">
        <f>IFERROR(VLOOKUP(V33,'Puntos XCC Mayor'!$A$1:$B$15,2,FALSE),0)</f>
        <v>0</v>
      </c>
      <c r="X33" s="15">
        <f>IFERROR(VLOOKUP(C33,RESXCO,9,FALSE),0)</f>
        <v>0</v>
      </c>
      <c r="Y33" s="25">
        <f>IFERROR(VLOOKUP(X33,'Puntos XCO'!$A$1:$B$63,2,FALSE),0)</f>
        <v>0</v>
      </c>
      <c r="Z33" s="27">
        <f>G33+I33+K33+M33+O33+Q33+S33+U33+W33+Y33</f>
        <v>200</v>
      </c>
      <c r="AB33" s="3"/>
    </row>
    <row r="34" spans="1:28" ht="24.95" customHeight="1">
      <c r="A34" s="3">
        <v>20</v>
      </c>
      <c r="B34" s="3">
        <v>24</v>
      </c>
      <c r="C34" s="134">
        <v>122</v>
      </c>
      <c r="D34" s="23" t="s">
        <v>261</v>
      </c>
      <c r="E34" s="24" t="s">
        <v>1050</v>
      </c>
      <c r="F34" s="3"/>
      <c r="G34" s="15"/>
      <c r="H34" s="3"/>
      <c r="I34" s="25"/>
      <c r="J34" s="33">
        <v>30</v>
      </c>
      <c r="K34" s="22">
        <v>0</v>
      </c>
      <c r="L34" s="22">
        <v>33</v>
      </c>
      <c r="M34" s="34">
        <v>32</v>
      </c>
      <c r="N34" s="26"/>
      <c r="O34" s="3">
        <f>IFERROR(VLOOKUP(N34,'Puntos XCC Menor'!$A$1:$B$15,2,FALSE),0)</f>
        <v>0</v>
      </c>
      <c r="P34" s="3">
        <v>22</v>
      </c>
      <c r="Q34" s="34">
        <f>IFERROR(VLOOKUP(P34,'Puntos XCO'!$A$1:$B$63,2,FALSE),0)</f>
        <v>54</v>
      </c>
      <c r="R34" s="16">
        <v>13</v>
      </c>
      <c r="S34" s="3">
        <f>IFERROR(VLOOKUP(R34,'Puntos XCC Menor'!$A$1:$B$15,2,FALSE),0)</f>
        <v>0</v>
      </c>
      <c r="T34" s="15">
        <v>17</v>
      </c>
      <c r="U34" s="39">
        <f>IFERROR(VLOOKUP(T34,'Puntos XCO'!$A$1:$B$63,2,FALSE),0)</f>
        <v>64</v>
      </c>
      <c r="V34" s="16">
        <f>IFERROR(VLOOKUP(C34,RESXCC_1,9,FALSE),0)</f>
        <v>0</v>
      </c>
      <c r="W34" s="15">
        <f>IFERROR(VLOOKUP(V34,'Puntos XCC Mayor'!$A$1:$B$15,2,FALSE),0)</f>
        <v>0</v>
      </c>
      <c r="X34" s="15">
        <f>IFERROR(VLOOKUP(C34,RESXCO,9,FALSE),0)</f>
        <v>26</v>
      </c>
      <c r="Y34" s="25">
        <f>IFERROR(VLOOKUP(X34,'Puntos XCO'!$A$1:$B$63,2,FALSE),0)</f>
        <v>46</v>
      </c>
      <c r="Z34" s="27">
        <f>G34+I34+K34+M34+O34+Q34+S34+U34+W34+Y34</f>
        <v>196</v>
      </c>
      <c r="AB34" s="3"/>
    </row>
    <row r="35" spans="1:28" ht="24.95" customHeight="1">
      <c r="A35" s="3">
        <v>21</v>
      </c>
      <c r="B35" s="3">
        <v>15</v>
      </c>
      <c r="C35" s="113">
        <v>120</v>
      </c>
      <c r="D35" s="23" t="s">
        <v>260</v>
      </c>
      <c r="E35" s="24" t="s">
        <v>71</v>
      </c>
      <c r="F35" s="3">
        <v>28</v>
      </c>
      <c r="G35" s="15">
        <v>0</v>
      </c>
      <c r="H35" s="3">
        <v>19</v>
      </c>
      <c r="I35" s="25">
        <v>60</v>
      </c>
      <c r="J35" s="33">
        <v>0</v>
      </c>
      <c r="K35" s="22">
        <v>0</v>
      </c>
      <c r="L35" s="22">
        <v>0</v>
      </c>
      <c r="M35" s="34">
        <v>0</v>
      </c>
      <c r="N35" s="26"/>
      <c r="O35" s="3">
        <f>IFERROR(VLOOKUP(N35,'Puntos XCC Menor'!$A$1:$B$15,2,FALSE),0)</f>
        <v>0</v>
      </c>
      <c r="P35" s="3">
        <v>20</v>
      </c>
      <c r="Q35" s="34">
        <f>IFERROR(VLOOKUP(P35,'Puntos XCO'!$A$1:$B$63,2,FALSE),0)</f>
        <v>58</v>
      </c>
      <c r="R35" s="16">
        <v>14</v>
      </c>
      <c r="S35" s="3">
        <f>IFERROR(VLOOKUP(R35,'Puntos XCC Menor'!$A$1:$B$15,2,FALSE),0)</f>
        <v>0</v>
      </c>
      <c r="T35" s="15">
        <v>16</v>
      </c>
      <c r="U35" s="39">
        <f>IFERROR(VLOOKUP(T35,'Puntos XCO'!$A$1:$B$63,2,FALSE),0)</f>
        <v>66</v>
      </c>
      <c r="V35" s="16">
        <f>IFERROR(VLOOKUP(C35,RESXCC_1,9,FALSE),0)</f>
        <v>15</v>
      </c>
      <c r="W35" s="15">
        <f>IFERROR(VLOOKUP(V35,'Puntos XCC Mayor'!$A$1:$B$15,2,FALSE),0)</f>
        <v>1</v>
      </c>
      <c r="X35" s="15">
        <f>IFERROR(VLOOKUP(C35,RESXCO,9,FALSE),0)</f>
        <v>0</v>
      </c>
      <c r="Y35" s="25">
        <f>IFERROR(VLOOKUP(X35,'Puntos XCO'!$A$1:$B$63,2,FALSE),0)</f>
        <v>0</v>
      </c>
      <c r="Z35" s="27">
        <f>G35+I35+K35+M35+O35+Q35+S35+U35+W35+Y35</f>
        <v>185</v>
      </c>
      <c r="AB35" s="3"/>
    </row>
    <row r="36" spans="1:28" ht="24.95" customHeight="1">
      <c r="A36" s="3">
        <v>22</v>
      </c>
      <c r="B36" s="3">
        <v>31</v>
      </c>
      <c r="C36" s="113">
        <v>163</v>
      </c>
      <c r="D36" s="23" t="s">
        <v>620</v>
      </c>
      <c r="E36" s="24" t="s">
        <v>226</v>
      </c>
      <c r="F36" s="3">
        <v>13</v>
      </c>
      <c r="G36" s="15">
        <v>0</v>
      </c>
      <c r="H36" s="3">
        <v>0</v>
      </c>
      <c r="I36" s="25">
        <v>0</v>
      </c>
      <c r="J36" s="33">
        <v>20</v>
      </c>
      <c r="K36" s="22">
        <v>0</v>
      </c>
      <c r="L36" s="22">
        <v>22</v>
      </c>
      <c r="M36" s="34">
        <v>54</v>
      </c>
      <c r="N36" s="26"/>
      <c r="O36" s="3">
        <f>IFERROR(VLOOKUP(N36,'Puntos XCC Menor'!$A$1:$B$15,2,FALSE),0)</f>
        <v>0</v>
      </c>
      <c r="P36" s="3"/>
      <c r="Q36" s="34">
        <f>IFERROR(VLOOKUP(P36,'Puntos XCO'!$A$1:$B$63,2,FALSE),0)</f>
        <v>0</v>
      </c>
      <c r="R36" s="16">
        <v>23</v>
      </c>
      <c r="S36" s="3">
        <f>IFERROR(VLOOKUP(R36,'Puntos XCC Menor'!$A$1:$B$15,2,FALSE),0)</f>
        <v>0</v>
      </c>
      <c r="T36" s="15">
        <v>15</v>
      </c>
      <c r="U36" s="39">
        <f>IFERROR(VLOOKUP(T36,'Puntos XCO'!$A$1:$B$63,2,FALSE),0)</f>
        <v>68</v>
      </c>
      <c r="V36" s="16">
        <f>IFERROR(VLOOKUP(C36,RESXCC_1,9,FALSE),0)</f>
        <v>25</v>
      </c>
      <c r="W36" s="15">
        <f>IFERROR(VLOOKUP(V36,'Puntos XCC Mayor'!$A$1:$B$15,2,FALSE),0)</f>
        <v>0</v>
      </c>
      <c r="X36" s="15">
        <f>IFERROR(VLOOKUP(C36,RESXCO,9,FALSE),0)</f>
        <v>18</v>
      </c>
      <c r="Y36" s="25">
        <f>IFERROR(VLOOKUP(X36,'Puntos XCO'!$A$1:$B$63,2,FALSE),0)</f>
        <v>62</v>
      </c>
      <c r="Z36" s="27">
        <f>G36+I36+K36+M36+O36+Q36+S36+U36+W36+Y36</f>
        <v>184</v>
      </c>
      <c r="AB36" s="3"/>
    </row>
    <row r="37" spans="1:28" ht="24.95" customHeight="1">
      <c r="A37" s="3">
        <v>23</v>
      </c>
      <c r="B37" s="3">
        <v>17</v>
      </c>
      <c r="C37" s="113">
        <v>159</v>
      </c>
      <c r="D37" s="23" t="s">
        <v>221</v>
      </c>
      <c r="E37" s="24" t="s">
        <v>222</v>
      </c>
      <c r="F37" s="3">
        <v>11</v>
      </c>
      <c r="G37" s="15">
        <v>0</v>
      </c>
      <c r="H37" s="3">
        <v>16</v>
      </c>
      <c r="I37" s="25">
        <v>66</v>
      </c>
      <c r="J37" s="33">
        <v>8</v>
      </c>
      <c r="K37" s="22">
        <v>3</v>
      </c>
      <c r="L37" s="22">
        <v>23</v>
      </c>
      <c r="M37" s="34">
        <v>52</v>
      </c>
      <c r="N37" s="26"/>
      <c r="O37" s="3">
        <f>IFERROR(VLOOKUP(N37,'Puntos XCC Menor'!$A$1:$B$15,2,FALSE),0)</f>
        <v>0</v>
      </c>
      <c r="P37" s="3"/>
      <c r="Q37" s="34">
        <f>IFERROR(VLOOKUP(P37,'Puntos XCO'!$A$1:$B$63,2,FALSE),0)</f>
        <v>0</v>
      </c>
      <c r="R37" s="16">
        <v>15</v>
      </c>
      <c r="S37" s="3">
        <f>IFERROR(VLOOKUP(R37,'Puntos XCC Menor'!$A$1:$B$15,2,FALSE),0)</f>
        <v>0</v>
      </c>
      <c r="T37" s="15">
        <v>20</v>
      </c>
      <c r="U37" s="39">
        <f>IFERROR(VLOOKUP(T37,'Puntos XCO'!$A$1:$B$63,2,FALSE),0)</f>
        <v>58</v>
      </c>
      <c r="V37" s="16">
        <f>IFERROR(VLOOKUP(C37,RESXCC_1,9,FALSE),0)</f>
        <v>0</v>
      </c>
      <c r="W37" s="15">
        <f>IFERROR(VLOOKUP(V37,'Puntos XCC Mayor'!$A$1:$B$15,2,FALSE),0)</f>
        <v>0</v>
      </c>
      <c r="X37" s="15">
        <f>IFERROR(VLOOKUP(C37,RESXCO,9,FALSE),0)</f>
        <v>0</v>
      </c>
      <c r="Y37" s="25">
        <f>IFERROR(VLOOKUP(X37,'Puntos XCO'!$A$1:$B$63,2,FALSE),0)</f>
        <v>0</v>
      </c>
      <c r="Z37" s="27">
        <f>G37+I37+K37+M37+O37+Q37+S37+U37+W37+Y37</f>
        <v>179</v>
      </c>
      <c r="AB37" s="3"/>
    </row>
    <row r="38" spans="1:28" ht="24.95" customHeight="1">
      <c r="A38" s="3">
        <v>24</v>
      </c>
      <c r="B38" s="3">
        <v>18</v>
      </c>
      <c r="C38" s="113">
        <v>135</v>
      </c>
      <c r="D38" s="23" t="s">
        <v>601</v>
      </c>
      <c r="E38" s="24" t="s">
        <v>602</v>
      </c>
      <c r="F38" s="3">
        <v>8</v>
      </c>
      <c r="G38" s="15">
        <v>3</v>
      </c>
      <c r="H38" s="3">
        <v>12</v>
      </c>
      <c r="I38" s="25">
        <v>74</v>
      </c>
      <c r="J38" s="33">
        <v>5</v>
      </c>
      <c r="K38" s="22">
        <v>6</v>
      </c>
      <c r="L38" s="22">
        <v>6</v>
      </c>
      <c r="M38" s="34">
        <v>95</v>
      </c>
      <c r="N38" s="26"/>
      <c r="O38" s="3">
        <f>IFERROR(VLOOKUP(N38,'Puntos XCC Menor'!$A$1:$B$15,2,FALSE),0)</f>
        <v>0</v>
      </c>
      <c r="P38" s="3"/>
      <c r="Q38" s="34">
        <f>IFERROR(VLOOKUP(P38,'Puntos XCO'!$A$1:$B$63,2,FALSE),0)</f>
        <v>0</v>
      </c>
      <c r="R38" s="16">
        <v>0</v>
      </c>
      <c r="S38" s="3">
        <f>IFERROR(VLOOKUP(R38,'Puntos XCC Menor'!$A$1:$B$15,2,FALSE),0)</f>
        <v>0</v>
      </c>
      <c r="T38" s="15">
        <v>0</v>
      </c>
      <c r="U38" s="39">
        <f>IFERROR(VLOOKUP(T38,'Puntos XCO'!$A$1:$B$63,2,FALSE),0)</f>
        <v>0</v>
      </c>
      <c r="V38" s="16">
        <f>IFERROR(VLOOKUP(C38,RESXCC_1,9,FALSE),0)</f>
        <v>0</v>
      </c>
      <c r="W38" s="15">
        <f>IFERROR(VLOOKUP(V38,'Puntos XCC Mayor'!$A$1:$B$15,2,FALSE),0)</f>
        <v>0</v>
      </c>
      <c r="X38" s="15">
        <f>IFERROR(VLOOKUP(C38,RESXCO,9,FALSE),0)</f>
        <v>0</v>
      </c>
      <c r="Y38" s="25">
        <f>IFERROR(VLOOKUP(X38,'Puntos XCO'!$A$1:$B$63,2,FALSE),0)</f>
        <v>0</v>
      </c>
      <c r="Z38" s="27">
        <f>G38+I38+K38+M38+O38+Q38+S38+U38+W38+Y38</f>
        <v>178</v>
      </c>
      <c r="AB38" s="3"/>
    </row>
    <row r="39" spans="1:28" ht="24.95" customHeight="1">
      <c r="A39" s="3">
        <v>25</v>
      </c>
      <c r="B39" s="3">
        <v>29</v>
      </c>
      <c r="C39" s="113">
        <v>162</v>
      </c>
      <c r="D39" s="23" t="s">
        <v>611</v>
      </c>
      <c r="E39" s="24" t="s">
        <v>135</v>
      </c>
      <c r="F39" s="3">
        <v>33</v>
      </c>
      <c r="G39" s="15">
        <v>0</v>
      </c>
      <c r="H39" s="3">
        <v>23</v>
      </c>
      <c r="I39" s="25">
        <v>52</v>
      </c>
      <c r="J39" s="33">
        <v>41</v>
      </c>
      <c r="K39" s="22">
        <v>0</v>
      </c>
      <c r="L39" s="22">
        <v>42</v>
      </c>
      <c r="M39" s="34">
        <v>22</v>
      </c>
      <c r="N39" s="26"/>
      <c r="O39" s="3">
        <f>IFERROR(VLOOKUP(N39,'Puntos XCC Menor'!$A$1:$B$15,2,FALSE),0)</f>
        <v>0</v>
      </c>
      <c r="P39" s="3"/>
      <c r="Q39" s="34">
        <f>IFERROR(VLOOKUP(P39,'Puntos XCO'!$A$1:$B$63,2,FALSE),0)</f>
        <v>0</v>
      </c>
      <c r="R39" s="16">
        <v>22</v>
      </c>
      <c r="S39" s="3">
        <f>IFERROR(VLOOKUP(R39,'Puntos XCC Menor'!$A$1:$B$15,2,FALSE),0)</f>
        <v>0</v>
      </c>
      <c r="T39" s="15">
        <v>22</v>
      </c>
      <c r="U39" s="39">
        <f>IFERROR(VLOOKUP(T39,'Puntos XCO'!$A$1:$B$63,2,FALSE),0)</f>
        <v>54</v>
      </c>
      <c r="V39" s="16">
        <f>IFERROR(VLOOKUP(C39,RESXCC_1,9,FALSE),0)</f>
        <v>28</v>
      </c>
      <c r="W39" s="15">
        <f>IFERROR(VLOOKUP(V39,'Puntos XCC Mayor'!$A$1:$B$15,2,FALSE),0)</f>
        <v>0</v>
      </c>
      <c r="X39" s="15">
        <f>IFERROR(VLOOKUP(C39,RESXCO,9,FALSE),0)</f>
        <v>27</v>
      </c>
      <c r="Y39" s="25">
        <f>IFERROR(VLOOKUP(X39,'Puntos XCO'!$A$1:$B$63,2,FALSE),0)</f>
        <v>44</v>
      </c>
      <c r="Z39" s="27">
        <f>G39+I39+K39+M39+O39+Q39+S39+U39+W39+Y39</f>
        <v>172</v>
      </c>
      <c r="AB39" s="3"/>
    </row>
    <row r="40" spans="1:28" ht="24.95" customHeight="1">
      <c r="A40" s="3">
        <v>26</v>
      </c>
      <c r="B40" s="3">
        <v>34</v>
      </c>
      <c r="C40" s="113">
        <v>166</v>
      </c>
      <c r="D40" s="23" t="s">
        <v>617</v>
      </c>
      <c r="E40" s="24" t="s">
        <v>84</v>
      </c>
      <c r="F40" s="3">
        <v>32</v>
      </c>
      <c r="G40" s="15">
        <v>0</v>
      </c>
      <c r="H40" s="3">
        <v>32</v>
      </c>
      <c r="I40" s="25">
        <v>34</v>
      </c>
      <c r="J40" s="33">
        <v>17</v>
      </c>
      <c r="K40" s="22">
        <v>0</v>
      </c>
      <c r="L40" s="22">
        <v>13</v>
      </c>
      <c r="M40" s="34">
        <v>72</v>
      </c>
      <c r="N40" s="26"/>
      <c r="O40" s="3">
        <f>IFERROR(VLOOKUP(N40,'Puntos XCC Menor'!$A$1:$B$15,2,FALSE),0)</f>
        <v>0</v>
      </c>
      <c r="P40" s="3"/>
      <c r="Q40" s="34">
        <f>IFERROR(VLOOKUP(P40,'Puntos XCO'!$A$1:$B$63,2,FALSE),0)</f>
        <v>0</v>
      </c>
      <c r="R40" s="16">
        <v>0</v>
      </c>
      <c r="S40" s="3">
        <f>IFERROR(VLOOKUP(R40,'Puntos XCC Menor'!$A$1:$B$15,2,FALSE),0)</f>
        <v>0</v>
      </c>
      <c r="T40" s="15">
        <v>0</v>
      </c>
      <c r="U40" s="39">
        <f>IFERROR(VLOOKUP(T40,'Puntos XCO'!$A$1:$B$63,2,FALSE),0)</f>
        <v>0</v>
      </c>
      <c r="V40" s="16">
        <f>IFERROR(VLOOKUP(C40,RESXCC_1,9,FALSE),0)</f>
        <v>23</v>
      </c>
      <c r="W40" s="15">
        <f>IFERROR(VLOOKUP(V40,'Puntos XCC Mayor'!$A$1:$B$15,2,FALSE),0)</f>
        <v>0</v>
      </c>
      <c r="X40" s="15">
        <f>IFERROR(VLOOKUP(C40,RESXCO,9,FALSE),0)</f>
        <v>19</v>
      </c>
      <c r="Y40" s="25">
        <f>IFERROR(VLOOKUP(X40,'Puntos XCO'!$A$1:$B$63,2,FALSE),0)</f>
        <v>60</v>
      </c>
      <c r="Z40" s="27">
        <f>G40+I40+K40+M40+O40+Q40+S40+U40+W40+Y40</f>
        <v>166</v>
      </c>
      <c r="AB40" s="3"/>
    </row>
    <row r="41" spans="1:28" ht="24.95" customHeight="1">
      <c r="A41" s="3">
        <v>27</v>
      </c>
      <c r="B41" s="3">
        <v>21</v>
      </c>
      <c r="C41" s="115">
        <v>125</v>
      </c>
      <c r="D41" s="23" t="s">
        <v>1054</v>
      </c>
      <c r="E41" s="24" t="s">
        <v>245</v>
      </c>
      <c r="F41" s="3"/>
      <c r="G41" s="15"/>
      <c r="H41" s="3"/>
      <c r="I41" s="25"/>
      <c r="J41" s="33">
        <v>37</v>
      </c>
      <c r="K41" s="22">
        <v>0</v>
      </c>
      <c r="L41" s="22">
        <v>40</v>
      </c>
      <c r="M41" s="34">
        <v>24</v>
      </c>
      <c r="N41" s="26"/>
      <c r="O41" s="3">
        <f>IFERROR(VLOOKUP(N41,'Puntos XCC Menor'!$A$1:$B$15,2,FALSE),0)</f>
        <v>0</v>
      </c>
      <c r="P41" s="3">
        <v>18</v>
      </c>
      <c r="Q41" s="34">
        <f>IFERROR(VLOOKUP(P41,'Puntos XCO'!$A$1:$B$63,2,FALSE),0)</f>
        <v>62</v>
      </c>
      <c r="R41" s="16">
        <v>0</v>
      </c>
      <c r="S41" s="3">
        <f>IFERROR(VLOOKUP(R41,'Puntos XCC Menor'!$A$1:$B$15,2,FALSE),0)</f>
        <v>0</v>
      </c>
      <c r="T41" s="15">
        <v>10</v>
      </c>
      <c r="U41" s="39">
        <f>IFERROR(VLOOKUP(T41,'Puntos XCO'!$A$1:$B$63,2,FALSE),0)</f>
        <v>78</v>
      </c>
      <c r="V41" s="16">
        <f>IFERROR(VLOOKUP(C41,RESXCC_1,9,FALSE),0)</f>
        <v>0</v>
      </c>
      <c r="W41" s="15">
        <f>IFERROR(VLOOKUP(V41,'Puntos XCC Mayor'!$A$1:$B$15,2,FALSE),0)</f>
        <v>0</v>
      </c>
      <c r="X41" s="15">
        <f>IFERROR(VLOOKUP(C41,RESXCO,9,FALSE),0)</f>
        <v>0</v>
      </c>
      <c r="Y41" s="25">
        <f>IFERROR(VLOOKUP(X41,'Puntos XCO'!$A$1:$B$63,2,FALSE),0)</f>
        <v>0</v>
      </c>
      <c r="Z41" s="27">
        <f>G41+I41+K41+M41+O41+Q41+S41+U41+W41+Y41</f>
        <v>164</v>
      </c>
      <c r="AB41" s="3"/>
    </row>
    <row r="42" spans="1:28" ht="24.95" customHeight="1">
      <c r="A42" s="3">
        <v>28</v>
      </c>
      <c r="B42" s="3">
        <v>22</v>
      </c>
      <c r="C42" s="115">
        <v>115</v>
      </c>
      <c r="D42" s="23" t="s">
        <v>1044</v>
      </c>
      <c r="E42" s="24" t="s">
        <v>1045</v>
      </c>
      <c r="F42" s="3"/>
      <c r="G42" s="15"/>
      <c r="H42" s="3"/>
      <c r="I42" s="25"/>
      <c r="J42" s="33">
        <v>14</v>
      </c>
      <c r="K42" s="22">
        <v>0</v>
      </c>
      <c r="L42" s="22">
        <v>7</v>
      </c>
      <c r="M42" s="34">
        <v>90</v>
      </c>
      <c r="N42" s="26"/>
      <c r="O42" s="3">
        <f>IFERROR(VLOOKUP(N42,'Puntos XCC Menor'!$A$1:$B$15,2,FALSE),0)</f>
        <v>0</v>
      </c>
      <c r="P42" s="3">
        <v>13</v>
      </c>
      <c r="Q42" s="34">
        <f>IFERROR(VLOOKUP(P42,'Puntos XCO'!$A$1:$B$63,2,FALSE),0)</f>
        <v>72</v>
      </c>
      <c r="R42" s="16">
        <v>0</v>
      </c>
      <c r="S42" s="3">
        <f>IFERROR(VLOOKUP(R42,'Puntos XCC Menor'!$A$1:$B$15,2,FALSE),0)</f>
        <v>0</v>
      </c>
      <c r="T42" s="15">
        <v>0</v>
      </c>
      <c r="U42" s="39">
        <f>IFERROR(VLOOKUP(T42,'Puntos XCO'!$A$1:$B$63,2,FALSE),0)</f>
        <v>0</v>
      </c>
      <c r="V42" s="16">
        <f>IFERROR(VLOOKUP(C42,RESXCC_1,9,FALSE),0)</f>
        <v>0</v>
      </c>
      <c r="W42" s="15">
        <f>IFERROR(VLOOKUP(V42,'Puntos XCC Mayor'!$A$1:$B$15,2,FALSE),0)</f>
        <v>0</v>
      </c>
      <c r="X42" s="15">
        <f>IFERROR(VLOOKUP(C42,RESXCO,9,FALSE),0)</f>
        <v>0</v>
      </c>
      <c r="Y42" s="25">
        <f>IFERROR(VLOOKUP(X42,'Puntos XCO'!$A$1:$B$63,2,FALSE),0)</f>
        <v>0</v>
      </c>
      <c r="Z42" s="27">
        <f>G42+I42+K42+M42+O42+Q42+S42+U42+W42+Y42</f>
        <v>162</v>
      </c>
      <c r="AB42" s="3"/>
    </row>
    <row r="43" spans="1:28" ht="24.95" customHeight="1">
      <c r="A43" s="3">
        <v>29</v>
      </c>
      <c r="B43" s="3">
        <v>39</v>
      </c>
      <c r="C43" s="113">
        <v>118</v>
      </c>
      <c r="D43" s="23" t="s">
        <v>1047</v>
      </c>
      <c r="E43" s="24" t="s">
        <v>619</v>
      </c>
      <c r="F43" s="3">
        <v>15</v>
      </c>
      <c r="G43" s="15">
        <v>0</v>
      </c>
      <c r="H43" s="3">
        <v>35</v>
      </c>
      <c r="I43" s="25">
        <v>29</v>
      </c>
      <c r="J43" s="33">
        <v>36</v>
      </c>
      <c r="K43" s="22">
        <v>0</v>
      </c>
      <c r="L43" s="22">
        <v>20</v>
      </c>
      <c r="M43" s="34">
        <v>58</v>
      </c>
      <c r="N43" s="26"/>
      <c r="O43" s="3">
        <f>IFERROR(VLOOKUP(N43,'Puntos XCC Menor'!$A$1:$B$15,2,FALSE),0)</f>
        <v>0</v>
      </c>
      <c r="P43" s="3"/>
      <c r="Q43" s="34">
        <f>IFERROR(VLOOKUP(P43,'Puntos XCO'!$A$1:$B$63,2,FALSE),0)</f>
        <v>0</v>
      </c>
      <c r="R43" s="16">
        <v>0</v>
      </c>
      <c r="S43" s="3">
        <f>IFERROR(VLOOKUP(R43,'Puntos XCC Menor'!$A$1:$B$15,2,FALSE),0)</f>
        <v>0</v>
      </c>
      <c r="T43" s="15">
        <v>0</v>
      </c>
      <c r="U43" s="39">
        <f>IFERROR(VLOOKUP(T43,'Puntos XCO'!$A$1:$B$63,2,FALSE),0)</f>
        <v>0</v>
      </c>
      <c r="V43" s="16">
        <f>IFERROR(VLOOKUP(C43,RESXCC_1,9,FALSE),0)</f>
        <v>17</v>
      </c>
      <c r="W43" s="15">
        <f>IFERROR(VLOOKUP(V43,'Puntos XCC Mayor'!$A$1:$B$15,2,FALSE),0)</f>
        <v>0</v>
      </c>
      <c r="X43" s="15">
        <f>IFERROR(VLOOKUP(C43,RESXCO,9,FALSE),0)</f>
        <v>14</v>
      </c>
      <c r="Y43" s="25">
        <f>IFERROR(VLOOKUP(X43,'Puntos XCO'!$A$1:$B$63,2,FALSE),0)</f>
        <v>70</v>
      </c>
      <c r="Z43" s="27">
        <f>G43+I43+K43+M43+O43+Q43+S43+U43+W43+Y43</f>
        <v>157</v>
      </c>
      <c r="AB43" s="3"/>
    </row>
    <row r="44" spans="1:28" ht="24.95" customHeight="1">
      <c r="A44" s="3">
        <v>30</v>
      </c>
      <c r="B44" s="3">
        <v>37</v>
      </c>
      <c r="C44" s="115">
        <v>147</v>
      </c>
      <c r="D44" s="23" t="s">
        <v>266</v>
      </c>
      <c r="E44" s="24" t="s">
        <v>115</v>
      </c>
      <c r="F44" s="3">
        <v>35</v>
      </c>
      <c r="G44" s="15">
        <v>0</v>
      </c>
      <c r="H44" s="3">
        <v>24</v>
      </c>
      <c r="I44" s="25">
        <v>50</v>
      </c>
      <c r="J44" s="33">
        <v>31</v>
      </c>
      <c r="K44" s="22">
        <v>0</v>
      </c>
      <c r="L44" s="22">
        <v>29</v>
      </c>
      <c r="M44" s="34">
        <v>40</v>
      </c>
      <c r="N44" s="26"/>
      <c r="O44" s="3">
        <f>IFERROR(VLOOKUP(N44,'Puntos XCC Menor'!$A$1:$B$15,2,FALSE),0)</f>
        <v>0</v>
      </c>
      <c r="P44" s="3"/>
      <c r="Q44" s="34">
        <f>IFERROR(VLOOKUP(P44,'Puntos XCO'!$A$1:$B$63,2,FALSE),0)</f>
        <v>0</v>
      </c>
      <c r="R44" s="16">
        <v>12</v>
      </c>
      <c r="S44" s="3">
        <f>IFERROR(VLOOKUP(R44,'Puntos XCC Menor'!$A$1:$B$15,2,FALSE),0)</f>
        <v>0</v>
      </c>
      <c r="T44" s="15">
        <v>0</v>
      </c>
      <c r="U44" s="39">
        <f>IFERROR(VLOOKUP(T44,'Puntos XCO'!$A$1:$B$63,2,FALSE),0)</f>
        <v>0</v>
      </c>
      <c r="V44" s="16">
        <f>IFERROR(VLOOKUP(C44,RESXCC_1,9,FALSE),0)</f>
        <v>19</v>
      </c>
      <c r="W44" s="15">
        <f>IFERROR(VLOOKUP(V44,'Puntos XCC Mayor'!$A$1:$B$15,2,FALSE),0)</f>
        <v>0</v>
      </c>
      <c r="X44" s="15">
        <f>IFERROR(VLOOKUP(C44,RESXCO,9,FALSE),0)</f>
        <v>17</v>
      </c>
      <c r="Y44" s="25">
        <f>IFERROR(VLOOKUP(X44,'Puntos XCO'!$A$1:$B$63,2,FALSE),0)</f>
        <v>64</v>
      </c>
      <c r="Z44" s="27">
        <f>G44+I44+K44+M44+O44+Q44+S44+U44+W44+Y44</f>
        <v>154</v>
      </c>
      <c r="AB44" s="3"/>
    </row>
    <row r="45" spans="1:28" ht="24.95" customHeight="1">
      <c r="A45" s="3">
        <v>31</v>
      </c>
      <c r="B45" s="3">
        <v>25</v>
      </c>
      <c r="C45" s="113"/>
      <c r="D45" s="23" t="s">
        <v>230</v>
      </c>
      <c r="E45" s="24" t="s">
        <v>84</v>
      </c>
      <c r="F45" s="3">
        <v>6</v>
      </c>
      <c r="G45" s="15">
        <v>5</v>
      </c>
      <c r="H45" s="3">
        <v>9</v>
      </c>
      <c r="I45" s="25">
        <v>80</v>
      </c>
      <c r="J45" s="33">
        <v>18</v>
      </c>
      <c r="K45" s="22">
        <v>0</v>
      </c>
      <c r="L45" s="22">
        <v>18</v>
      </c>
      <c r="M45" s="34">
        <v>62</v>
      </c>
      <c r="N45" s="26"/>
      <c r="O45" s="3">
        <f>IFERROR(VLOOKUP(N45,'Puntos XCC Menor'!$A$1:$B$15,2,FALSE),0)</f>
        <v>0</v>
      </c>
      <c r="P45" s="3"/>
      <c r="Q45" s="34">
        <f>IFERROR(VLOOKUP(P45,'Puntos XCO'!$A$1:$B$63,2,FALSE),0)</f>
        <v>0</v>
      </c>
      <c r="R45" s="16">
        <v>0</v>
      </c>
      <c r="S45" s="3">
        <f>IFERROR(VLOOKUP(R45,'Puntos XCC Menor'!$A$1:$B$15,2,FALSE),0)</f>
        <v>0</v>
      </c>
      <c r="T45" s="15">
        <v>0</v>
      </c>
      <c r="U45" s="39">
        <f>IFERROR(VLOOKUP(T45,'Puntos XCO'!$A$1:$B$63,2,FALSE),0)</f>
        <v>0</v>
      </c>
      <c r="V45" s="16">
        <f>IFERROR(VLOOKUP(C45,RESXCC_1,9,FALSE),0)</f>
        <v>0</v>
      </c>
      <c r="W45" s="15">
        <f>IFERROR(VLOOKUP(V45,'Puntos XCC Mayor'!$A$1:$B$15,2,FALSE),0)</f>
        <v>0</v>
      </c>
      <c r="X45" s="15">
        <f>IFERROR(VLOOKUP(C45,RESXCO,9,FALSE),0)</f>
        <v>0</v>
      </c>
      <c r="Y45" s="25">
        <f>IFERROR(VLOOKUP(X45,'Puntos XCO'!$A$1:$B$63,2,FALSE),0)</f>
        <v>0</v>
      </c>
      <c r="Z45" s="27">
        <f>G45+I45+K45+M45+O45+Q45+S45+U45+W45+Y45</f>
        <v>147</v>
      </c>
      <c r="AB45" s="3"/>
    </row>
    <row r="46" spans="1:28" ht="24.95" customHeight="1">
      <c r="A46" s="3">
        <v>32</v>
      </c>
      <c r="B46" s="3">
        <v>26</v>
      </c>
      <c r="C46" s="113">
        <v>131</v>
      </c>
      <c r="D46" s="23" t="s">
        <v>598</v>
      </c>
      <c r="E46" s="24" t="s">
        <v>132</v>
      </c>
      <c r="F46" s="3">
        <v>10</v>
      </c>
      <c r="G46" s="15">
        <v>1</v>
      </c>
      <c r="H46" s="3">
        <v>6</v>
      </c>
      <c r="I46" s="25">
        <v>95</v>
      </c>
      <c r="J46" s="33">
        <v>0</v>
      </c>
      <c r="K46" s="22">
        <v>0</v>
      </c>
      <c r="L46" s="22">
        <v>24</v>
      </c>
      <c r="M46" s="34">
        <v>50</v>
      </c>
      <c r="N46" s="26"/>
      <c r="O46" s="3">
        <f>IFERROR(VLOOKUP(N46,'Puntos XCC Menor'!$A$1:$B$15,2,FALSE),0)</f>
        <v>0</v>
      </c>
      <c r="P46" s="3"/>
      <c r="Q46" s="34">
        <f>IFERROR(VLOOKUP(P46,'Puntos XCO'!$A$1:$B$63,2,FALSE),0)</f>
        <v>0</v>
      </c>
      <c r="R46" s="16">
        <v>0</v>
      </c>
      <c r="S46" s="3">
        <f>IFERROR(VLOOKUP(R46,'Puntos XCC Menor'!$A$1:$B$15,2,FALSE),0)</f>
        <v>0</v>
      </c>
      <c r="T46" s="15">
        <v>0</v>
      </c>
      <c r="U46" s="39">
        <f>IFERROR(VLOOKUP(T46,'Puntos XCO'!$A$1:$B$63,2,FALSE),0)</f>
        <v>0</v>
      </c>
      <c r="V46" s="16">
        <f>IFERROR(VLOOKUP(C46,RESXCC_1,9,FALSE),0)</f>
        <v>0</v>
      </c>
      <c r="W46" s="15">
        <f>IFERROR(VLOOKUP(V46,'Puntos XCC Mayor'!$A$1:$B$15,2,FALSE),0)</f>
        <v>0</v>
      </c>
      <c r="X46" s="15">
        <f>IFERROR(VLOOKUP(C46,RESXCO,9,FALSE),0)</f>
        <v>0</v>
      </c>
      <c r="Y46" s="25">
        <f>IFERROR(VLOOKUP(X46,'Puntos XCO'!$A$1:$B$63,2,FALSE),0)</f>
        <v>0</v>
      </c>
      <c r="Z46" s="27">
        <f>G46+I46+K46+M46+O46+Q46+S46+U46+W46+Y46</f>
        <v>146</v>
      </c>
      <c r="AB46" s="3"/>
    </row>
    <row r="47" spans="1:28" ht="24.95" customHeight="1">
      <c r="A47" s="3">
        <v>33</v>
      </c>
      <c r="B47" s="3">
        <v>35</v>
      </c>
      <c r="C47" s="113">
        <v>161</v>
      </c>
      <c r="D47" s="23" t="s">
        <v>609</v>
      </c>
      <c r="E47" s="24" t="s">
        <v>177</v>
      </c>
      <c r="F47" s="3">
        <v>18</v>
      </c>
      <c r="G47" s="15">
        <v>0</v>
      </c>
      <c r="H47" s="3">
        <v>20</v>
      </c>
      <c r="I47" s="25">
        <v>58</v>
      </c>
      <c r="J47" s="33">
        <v>24</v>
      </c>
      <c r="K47" s="22">
        <v>0</v>
      </c>
      <c r="L47" s="22">
        <v>30</v>
      </c>
      <c r="M47" s="34">
        <v>38</v>
      </c>
      <c r="N47" s="26"/>
      <c r="O47" s="3">
        <f>IFERROR(VLOOKUP(N47,'Puntos XCC Menor'!$A$1:$B$15,2,FALSE),0)</f>
        <v>0</v>
      </c>
      <c r="P47" s="3"/>
      <c r="Q47" s="34">
        <f>IFERROR(VLOOKUP(P47,'Puntos XCO'!$A$1:$B$63,2,FALSE),0)</f>
        <v>0</v>
      </c>
      <c r="R47" s="16">
        <v>18</v>
      </c>
      <c r="S47" s="3">
        <f>IFERROR(VLOOKUP(R47,'Puntos XCC Menor'!$A$1:$B$15,2,FALSE),0)</f>
        <v>0</v>
      </c>
      <c r="T47" s="15">
        <v>0</v>
      </c>
      <c r="U47" s="39">
        <f>IFERROR(VLOOKUP(T47,'Puntos XCO'!$A$1:$B$63,2,FALSE),0)</f>
        <v>0</v>
      </c>
      <c r="V47" s="16">
        <f>IFERROR(VLOOKUP(C47,RESXCC_1,9,FALSE),0)</f>
        <v>21</v>
      </c>
      <c r="W47" s="15">
        <f>IFERROR(VLOOKUP(V47,'Puntos XCC Mayor'!$A$1:$B$15,2,FALSE),0)</f>
        <v>0</v>
      </c>
      <c r="X47" s="15">
        <f>IFERROR(VLOOKUP(C47,RESXCO,9,FALSE),0)</f>
        <v>24</v>
      </c>
      <c r="Y47" s="25">
        <f>IFERROR(VLOOKUP(X47,'Puntos XCO'!$A$1:$B$63,2,FALSE),0)</f>
        <v>50</v>
      </c>
      <c r="Z47" s="27">
        <f>G47+I47+K47+M47+O47+Q47+S47+U47+W47+Y47</f>
        <v>146</v>
      </c>
      <c r="AB47" s="3"/>
    </row>
    <row r="48" spans="1:28" ht="24.95" customHeight="1">
      <c r="A48" s="3">
        <v>34</v>
      </c>
      <c r="B48" s="3">
        <v>28</v>
      </c>
      <c r="C48" s="113"/>
      <c r="D48" s="23" t="s">
        <v>227</v>
      </c>
      <c r="E48" s="24" t="s">
        <v>606</v>
      </c>
      <c r="F48" s="3">
        <v>34</v>
      </c>
      <c r="G48" s="15">
        <v>0</v>
      </c>
      <c r="H48" s="3">
        <v>15</v>
      </c>
      <c r="I48" s="25">
        <v>68</v>
      </c>
      <c r="J48" s="33">
        <v>13</v>
      </c>
      <c r="K48" s="22">
        <v>0</v>
      </c>
      <c r="L48" s="22">
        <v>14</v>
      </c>
      <c r="M48" s="34">
        <v>70</v>
      </c>
      <c r="N48" s="26"/>
      <c r="O48" s="3">
        <f>IFERROR(VLOOKUP(N48,'Puntos XCC Menor'!$A$1:$B$15,2,FALSE),0)</f>
        <v>0</v>
      </c>
      <c r="P48" s="3"/>
      <c r="Q48" s="34">
        <f>IFERROR(VLOOKUP(P48,'Puntos XCO'!$A$1:$B$63,2,FALSE),0)</f>
        <v>0</v>
      </c>
      <c r="R48" s="16">
        <v>0</v>
      </c>
      <c r="S48" s="3">
        <f>IFERROR(VLOOKUP(R48,'Puntos XCC Menor'!$A$1:$B$15,2,FALSE),0)</f>
        <v>0</v>
      </c>
      <c r="T48" s="15">
        <v>0</v>
      </c>
      <c r="U48" s="39">
        <f>IFERROR(VLOOKUP(T48,'Puntos XCO'!$A$1:$B$63,2,FALSE),0)</f>
        <v>0</v>
      </c>
      <c r="V48" s="16">
        <f>IFERROR(VLOOKUP(C48,RESXCC_1,9,FALSE),0)</f>
        <v>0</v>
      </c>
      <c r="W48" s="15">
        <f>IFERROR(VLOOKUP(V48,'Puntos XCC Mayor'!$A$1:$B$15,2,FALSE),0)</f>
        <v>0</v>
      </c>
      <c r="X48" s="15">
        <f>IFERROR(VLOOKUP(C48,RESXCO,9,FALSE),0)</f>
        <v>0</v>
      </c>
      <c r="Y48" s="25">
        <f>IFERROR(VLOOKUP(X48,'Puntos XCO'!$A$1:$B$63,2,FALSE),0)</f>
        <v>0</v>
      </c>
      <c r="Z48" s="27">
        <f>G48+I48+K48+M48+O48+Q48+S48+U48+W48+Y48</f>
        <v>138</v>
      </c>
      <c r="AB48" s="3"/>
    </row>
    <row r="49" spans="1:28" ht="24.95" customHeight="1">
      <c r="A49" s="3">
        <v>35</v>
      </c>
      <c r="B49" s="3">
        <v>30</v>
      </c>
      <c r="C49" s="113">
        <v>130</v>
      </c>
      <c r="D49" s="23" t="s">
        <v>599</v>
      </c>
      <c r="E49" s="24" t="s">
        <v>132</v>
      </c>
      <c r="F49" s="3">
        <v>26</v>
      </c>
      <c r="G49" s="15">
        <v>0</v>
      </c>
      <c r="H49" s="3">
        <v>7</v>
      </c>
      <c r="I49" s="25">
        <v>90</v>
      </c>
      <c r="J49" s="33">
        <v>0</v>
      </c>
      <c r="K49" s="22">
        <v>0</v>
      </c>
      <c r="L49" s="22">
        <v>31</v>
      </c>
      <c r="M49" s="34">
        <v>36</v>
      </c>
      <c r="N49" s="26"/>
      <c r="O49" s="3">
        <f>IFERROR(VLOOKUP(N49,'Puntos XCC Menor'!$A$1:$B$15,2,FALSE),0)</f>
        <v>0</v>
      </c>
      <c r="P49" s="3"/>
      <c r="Q49" s="34">
        <f>IFERROR(VLOOKUP(P49,'Puntos XCO'!$A$1:$B$63,2,FALSE),0)</f>
        <v>0</v>
      </c>
      <c r="R49" s="16">
        <v>0</v>
      </c>
      <c r="S49" s="3">
        <f>IFERROR(VLOOKUP(R49,'Puntos XCC Menor'!$A$1:$B$15,2,FALSE),0)</f>
        <v>0</v>
      </c>
      <c r="T49" s="15">
        <v>0</v>
      </c>
      <c r="U49" s="39">
        <f>IFERROR(VLOOKUP(T49,'Puntos XCO'!$A$1:$B$63,2,FALSE),0)</f>
        <v>0</v>
      </c>
      <c r="V49" s="16">
        <f>IFERROR(VLOOKUP(C49,RESXCC_1,9,FALSE),0)</f>
        <v>0</v>
      </c>
      <c r="W49" s="15">
        <f>IFERROR(VLOOKUP(V49,'Puntos XCC Mayor'!$A$1:$B$15,2,FALSE),0)</f>
        <v>0</v>
      </c>
      <c r="X49" s="15">
        <f>IFERROR(VLOOKUP(C49,RESXCO,9,FALSE),0)</f>
        <v>0</v>
      </c>
      <c r="Y49" s="25">
        <f>IFERROR(VLOOKUP(X49,'Puntos XCO'!$A$1:$B$63,2,FALSE),0)</f>
        <v>0</v>
      </c>
      <c r="Z49" s="27">
        <f>G49+I49+K49+M49+O49+Q49+S49+U49+W49+Y49</f>
        <v>126</v>
      </c>
      <c r="AB49" s="3"/>
    </row>
    <row r="50" spans="1:28" s="38" customFormat="1" ht="24.95" customHeight="1">
      <c r="A50" s="3">
        <v>36</v>
      </c>
      <c r="B50" s="3">
        <v>32</v>
      </c>
      <c r="C50" s="134">
        <v>102</v>
      </c>
      <c r="D50" s="23" t="s">
        <v>1033</v>
      </c>
      <c r="E50" s="24" t="s">
        <v>1034</v>
      </c>
      <c r="F50" s="3"/>
      <c r="G50" s="15"/>
      <c r="H50" s="3"/>
      <c r="I50" s="25"/>
      <c r="J50" s="33"/>
      <c r="K50" s="22"/>
      <c r="L50" s="22"/>
      <c r="M50" s="34"/>
      <c r="N50" s="26"/>
      <c r="O50" s="3">
        <f>IFERROR(VLOOKUP(N50,'Puntos XCC Menor'!$A$1:$B$15,2,FALSE),0)</f>
        <v>0</v>
      </c>
      <c r="P50" s="3">
        <v>3</v>
      </c>
      <c r="Q50" s="34">
        <f>IFERROR(VLOOKUP(P50,'Puntos XCO'!$A$1:$B$63,2,FALSE),0)</f>
        <v>120</v>
      </c>
      <c r="R50" s="16">
        <v>0</v>
      </c>
      <c r="S50" s="3">
        <f>IFERROR(VLOOKUP(R50,'Puntos XCC Menor'!$A$1:$B$15,2,FALSE),0)</f>
        <v>0</v>
      </c>
      <c r="T50" s="15">
        <v>0</v>
      </c>
      <c r="U50" s="39">
        <f>IFERROR(VLOOKUP(T50,'Puntos XCO'!$A$1:$B$63,2,FALSE),0)</f>
        <v>0</v>
      </c>
      <c r="V50" s="16">
        <f>IFERROR(VLOOKUP(C50,RESXCC_1,9,FALSE),0)</f>
        <v>0</v>
      </c>
      <c r="W50" s="15">
        <f>IFERROR(VLOOKUP(V50,'Puntos XCC Mayor'!$A$1:$B$15,2,FALSE),0)</f>
        <v>0</v>
      </c>
      <c r="X50" s="15">
        <f>IFERROR(VLOOKUP(C50,RESXCO,9,FALSE),0)</f>
        <v>0</v>
      </c>
      <c r="Y50" s="25">
        <f>IFERROR(VLOOKUP(X50,'Puntos XCO'!$A$1:$B$63,2,FALSE),0)</f>
        <v>0</v>
      </c>
      <c r="Z50" s="27">
        <f>G50+I50+K50+M50+O50+Q50+S50+U50+W50+Y50</f>
        <v>120</v>
      </c>
      <c r="AB50" s="3"/>
    </row>
    <row r="51" spans="1:28" ht="24.95" customHeight="1">
      <c r="A51" s="3">
        <v>37</v>
      </c>
      <c r="B51" s="3">
        <v>33</v>
      </c>
      <c r="C51" s="113"/>
      <c r="D51" s="23" t="s">
        <v>612</v>
      </c>
      <c r="E51" s="24" t="s">
        <v>85</v>
      </c>
      <c r="F51" s="3">
        <v>31</v>
      </c>
      <c r="G51" s="15">
        <v>0</v>
      </c>
      <c r="H51" s="3">
        <v>25</v>
      </c>
      <c r="I51" s="25">
        <v>48</v>
      </c>
      <c r="J51" s="33">
        <v>21</v>
      </c>
      <c r="K51" s="22">
        <v>0</v>
      </c>
      <c r="L51" s="22">
        <v>15</v>
      </c>
      <c r="M51" s="34">
        <v>68</v>
      </c>
      <c r="N51" s="26"/>
      <c r="O51" s="3">
        <f>IFERROR(VLOOKUP(N51,'Puntos XCC Menor'!$A$1:$B$15,2,FALSE),0)</f>
        <v>0</v>
      </c>
      <c r="P51" s="3"/>
      <c r="Q51" s="34">
        <f>IFERROR(VLOOKUP(P51,'Puntos XCO'!$A$1:$B$63,2,FALSE),0)</f>
        <v>0</v>
      </c>
      <c r="R51" s="16">
        <v>0</v>
      </c>
      <c r="S51" s="3">
        <f>IFERROR(VLOOKUP(R51,'Puntos XCC Menor'!$A$1:$B$15,2,FALSE),0)</f>
        <v>0</v>
      </c>
      <c r="T51" s="15">
        <v>0</v>
      </c>
      <c r="U51" s="39">
        <f>IFERROR(VLOOKUP(T51,'Puntos XCO'!$A$1:$B$63,2,FALSE),0)</f>
        <v>0</v>
      </c>
      <c r="V51" s="16">
        <f>IFERROR(VLOOKUP(C51,RESXCC_1,9,FALSE),0)</f>
        <v>0</v>
      </c>
      <c r="W51" s="15">
        <f>IFERROR(VLOOKUP(V51,'Puntos XCC Mayor'!$A$1:$B$15,2,FALSE),0)</f>
        <v>0</v>
      </c>
      <c r="X51" s="15">
        <f>IFERROR(VLOOKUP(C51,RESXCO,9,FALSE),0)</f>
        <v>0</v>
      </c>
      <c r="Y51" s="25">
        <f>IFERROR(VLOOKUP(X51,'Puntos XCO'!$A$1:$B$63,2,FALSE),0)</f>
        <v>0</v>
      </c>
      <c r="Z51" s="27">
        <f>G51+I51+K51+M51+O51+Q51+S51+U51+W51+Y51</f>
        <v>116</v>
      </c>
      <c r="AB51" s="3"/>
    </row>
    <row r="52" spans="1:28" ht="24.95" customHeight="1">
      <c r="A52" s="3">
        <v>38</v>
      </c>
      <c r="B52" s="3"/>
      <c r="C52" s="116">
        <v>171</v>
      </c>
      <c r="D52" s="23" t="str">
        <f>VLOOKUP(C52,PLANILLA,2,FALSE)</f>
        <v>MORA Jeferson*</v>
      </c>
      <c r="E52" s="24" t="str">
        <f>VLOOKUP(C52,PLANILLA,4,FALSE)</f>
        <v xml:space="preserve">PZ CYCLING TEAM </v>
      </c>
      <c r="F52" s="3"/>
      <c r="G52" s="15"/>
      <c r="H52" s="3"/>
      <c r="I52" s="25"/>
      <c r="J52" s="33"/>
      <c r="K52" s="22"/>
      <c r="L52" s="22"/>
      <c r="M52" s="34"/>
      <c r="N52" s="26"/>
      <c r="O52" s="3"/>
      <c r="P52" s="3"/>
      <c r="Q52" s="34"/>
      <c r="R52" s="16"/>
      <c r="S52" s="3"/>
      <c r="T52" s="15"/>
      <c r="U52" s="39"/>
      <c r="V52" s="16">
        <f>IFERROR(VLOOKUP(C52,RESXCC_1,9,FALSE),0)</f>
        <v>4</v>
      </c>
      <c r="W52" s="15">
        <f>IFERROR(VLOOKUP(V52,'Puntos XCC Mayor'!$A$1:$B$15,2,FALSE),0)</f>
        <v>14</v>
      </c>
      <c r="X52" s="15">
        <f>IFERROR(VLOOKUP(C52,RESXCO,9,FALSE),0)</f>
        <v>7</v>
      </c>
      <c r="Y52" s="25">
        <f>IFERROR(VLOOKUP(X52,'Puntos XCO'!$A$1:$B$63,2,FALSE),0)</f>
        <v>90</v>
      </c>
      <c r="Z52" s="27">
        <f>G52+I52+K52+M52+O52+Q52+S52+U52+W52+Y52</f>
        <v>104</v>
      </c>
      <c r="AB52" s="3"/>
    </row>
    <row r="53" spans="1:28" ht="24.95" customHeight="1">
      <c r="A53" s="3">
        <v>39</v>
      </c>
      <c r="B53" s="3">
        <v>47</v>
      </c>
      <c r="C53" s="113">
        <v>168</v>
      </c>
      <c r="D53" s="23" t="s">
        <v>238</v>
      </c>
      <c r="E53" s="24" t="s">
        <v>239</v>
      </c>
      <c r="F53" s="3">
        <v>25</v>
      </c>
      <c r="G53" s="15">
        <v>0</v>
      </c>
      <c r="H53" s="3">
        <v>22</v>
      </c>
      <c r="I53" s="25">
        <v>54</v>
      </c>
      <c r="J53" s="33">
        <v>0</v>
      </c>
      <c r="K53" s="22">
        <v>0</v>
      </c>
      <c r="L53" s="22">
        <v>0</v>
      </c>
      <c r="M53" s="34">
        <v>0</v>
      </c>
      <c r="N53" s="26"/>
      <c r="O53" s="3">
        <f>IFERROR(VLOOKUP(N53,'Puntos XCC Menor'!$A$1:$B$15,2,FALSE),0)</f>
        <v>0</v>
      </c>
      <c r="P53" s="3"/>
      <c r="Q53" s="34">
        <f>IFERROR(VLOOKUP(P53,'Puntos XCO'!$A$1:$B$63,2,FALSE),0)</f>
        <v>0</v>
      </c>
      <c r="R53" s="16">
        <v>0</v>
      </c>
      <c r="S53" s="3">
        <f>IFERROR(VLOOKUP(R53,'Puntos XCC Menor'!$A$1:$B$15,2,FALSE),0)</f>
        <v>0</v>
      </c>
      <c r="T53" s="15">
        <v>0</v>
      </c>
      <c r="U53" s="39">
        <f>IFERROR(VLOOKUP(T53,'Puntos XCO'!$A$1:$B$63,2,FALSE),0)</f>
        <v>0</v>
      </c>
      <c r="V53" s="16">
        <f>IFERROR(VLOOKUP(C53,RESXCC_1,9,FALSE),0)</f>
        <v>24</v>
      </c>
      <c r="W53" s="15">
        <f>IFERROR(VLOOKUP(V53,'Puntos XCC Mayor'!$A$1:$B$15,2,FALSE),0)</f>
        <v>0</v>
      </c>
      <c r="X53" s="15">
        <f>IFERROR(VLOOKUP(C53,RESXCO,9,FALSE),0)</f>
        <v>25</v>
      </c>
      <c r="Y53" s="25">
        <f>IFERROR(VLOOKUP(X53,'Puntos XCO'!$A$1:$B$63,2,FALSE),0)</f>
        <v>48</v>
      </c>
      <c r="Z53" s="27">
        <f>G53+I53+K53+M53+O53+Q53+S53+U53+W53+Y53</f>
        <v>102</v>
      </c>
      <c r="AB53" s="3"/>
    </row>
    <row r="54" spans="1:28" ht="24.95" customHeight="1">
      <c r="A54" s="3">
        <v>40</v>
      </c>
      <c r="B54" s="3">
        <v>36</v>
      </c>
      <c r="C54" s="134">
        <v>111</v>
      </c>
      <c r="D54" s="23" t="s">
        <v>1039</v>
      </c>
      <c r="E54" s="24" t="s">
        <v>1040</v>
      </c>
      <c r="F54" s="3"/>
      <c r="G54" s="15"/>
      <c r="H54" s="3"/>
      <c r="I54" s="25"/>
      <c r="J54" s="33"/>
      <c r="K54" s="22"/>
      <c r="L54" s="22"/>
      <c r="M54" s="34"/>
      <c r="N54" s="26"/>
      <c r="O54" s="3">
        <f>IFERROR(VLOOKUP(N54,'Puntos XCC Menor'!$A$1:$B$15,2,FALSE),0)</f>
        <v>0</v>
      </c>
      <c r="P54" s="3">
        <v>7</v>
      </c>
      <c r="Q54" s="34">
        <f>IFERROR(VLOOKUP(P54,'Puntos XCO'!$A$1:$B$63,2,FALSE),0)</f>
        <v>90</v>
      </c>
      <c r="R54" s="16">
        <v>0</v>
      </c>
      <c r="S54" s="3">
        <f>IFERROR(VLOOKUP(R54,'Puntos XCC Menor'!$A$1:$B$15,2,FALSE),0)</f>
        <v>0</v>
      </c>
      <c r="T54" s="15">
        <v>0</v>
      </c>
      <c r="U54" s="39">
        <f>IFERROR(VLOOKUP(T54,'Puntos XCO'!$A$1:$B$63,2,FALSE),0)</f>
        <v>0</v>
      </c>
      <c r="V54" s="16">
        <f>IFERROR(VLOOKUP(C54,RESXCC_1,9,FALSE),0)</f>
        <v>0</v>
      </c>
      <c r="W54" s="15">
        <f>IFERROR(VLOOKUP(V54,'Puntos XCC Mayor'!$A$1:$B$15,2,FALSE),0)</f>
        <v>0</v>
      </c>
      <c r="X54" s="15">
        <f>IFERROR(VLOOKUP(C54,RESXCO,9,FALSE),0)</f>
        <v>0</v>
      </c>
      <c r="Y54" s="25">
        <f>IFERROR(VLOOKUP(X54,'Puntos XCO'!$A$1:$B$63,2,FALSE),0)</f>
        <v>0</v>
      </c>
      <c r="Z54" s="27">
        <f>G54+I54+K54+M54+O54+Q54+S54+U54+W54+Y54</f>
        <v>90</v>
      </c>
      <c r="AB54" s="3"/>
    </row>
    <row r="55" spans="1:28" ht="24.95" customHeight="1">
      <c r="A55" s="3">
        <v>41</v>
      </c>
      <c r="B55" s="3">
        <v>38</v>
      </c>
      <c r="C55" s="113"/>
      <c r="D55" s="23" t="s">
        <v>613</v>
      </c>
      <c r="E55" s="24" t="s">
        <v>113</v>
      </c>
      <c r="F55" s="3">
        <v>37</v>
      </c>
      <c r="G55" s="15">
        <v>0</v>
      </c>
      <c r="H55" s="3">
        <v>26</v>
      </c>
      <c r="I55" s="25">
        <v>46</v>
      </c>
      <c r="J55" s="33">
        <v>32</v>
      </c>
      <c r="K55" s="22">
        <v>0</v>
      </c>
      <c r="L55" s="22">
        <v>28</v>
      </c>
      <c r="M55" s="34">
        <v>42</v>
      </c>
      <c r="N55" s="26"/>
      <c r="O55" s="3">
        <f>IFERROR(VLOOKUP(N55,'Puntos XCC Menor'!$A$1:$B$15,2,FALSE),0)</f>
        <v>0</v>
      </c>
      <c r="P55" s="3"/>
      <c r="Q55" s="34">
        <f>IFERROR(VLOOKUP(P55,'Puntos XCO'!$A$1:$B$63,2,FALSE),0)</f>
        <v>0</v>
      </c>
      <c r="R55" s="16">
        <v>0</v>
      </c>
      <c r="S55" s="3">
        <f>IFERROR(VLOOKUP(R55,'Puntos XCC Menor'!$A$1:$B$15,2,FALSE),0)</f>
        <v>0</v>
      </c>
      <c r="T55" s="15">
        <v>0</v>
      </c>
      <c r="U55" s="39">
        <f>IFERROR(VLOOKUP(T55,'Puntos XCO'!$A$1:$B$63,2,FALSE),0)</f>
        <v>0</v>
      </c>
      <c r="V55" s="16">
        <f>IFERROR(VLOOKUP(C55,RESXCC_1,9,FALSE),0)</f>
        <v>0</v>
      </c>
      <c r="W55" s="15">
        <f>IFERROR(VLOOKUP(V55,'Puntos XCC Mayor'!$A$1:$B$15,2,FALSE),0)</f>
        <v>0</v>
      </c>
      <c r="X55" s="15">
        <f>IFERROR(VLOOKUP(C55,RESXCO,9,FALSE),0)</f>
        <v>0</v>
      </c>
      <c r="Y55" s="25">
        <f>IFERROR(VLOOKUP(X55,'Puntos XCO'!$A$1:$B$63,2,FALSE),0)</f>
        <v>0</v>
      </c>
      <c r="Z55" s="27">
        <f>G55+I55+K55+M55+O55+Q55+S55+U55+W55+Y55</f>
        <v>88</v>
      </c>
      <c r="AB55" s="3"/>
    </row>
    <row r="56" spans="1:28" ht="24.95" customHeight="1">
      <c r="A56" s="3">
        <v>42</v>
      </c>
      <c r="B56" s="3">
        <v>40</v>
      </c>
      <c r="C56" s="134">
        <v>117</v>
      </c>
      <c r="D56" s="23" t="s">
        <v>1046</v>
      </c>
      <c r="E56" s="24" t="s">
        <v>1029</v>
      </c>
      <c r="F56" s="3"/>
      <c r="G56" s="15"/>
      <c r="H56" s="3"/>
      <c r="I56" s="25"/>
      <c r="J56" s="33"/>
      <c r="K56" s="22"/>
      <c r="L56" s="22"/>
      <c r="M56" s="34"/>
      <c r="N56" s="26"/>
      <c r="O56" s="3">
        <f>IFERROR(VLOOKUP(N56,'Puntos XCC Menor'!$A$1:$B$15,2,FALSE),0)</f>
        <v>0</v>
      </c>
      <c r="P56" s="3">
        <v>8</v>
      </c>
      <c r="Q56" s="34">
        <f>IFERROR(VLOOKUP(P56,'Puntos XCO'!$A$1:$B$63,2,FALSE),0)</f>
        <v>85</v>
      </c>
      <c r="R56" s="16">
        <v>0</v>
      </c>
      <c r="S56" s="3">
        <f>IFERROR(VLOOKUP(R56,'Puntos XCC Menor'!$A$1:$B$15,2,FALSE),0)</f>
        <v>0</v>
      </c>
      <c r="T56" s="15">
        <v>0</v>
      </c>
      <c r="U56" s="39">
        <f>IFERROR(VLOOKUP(T56,'Puntos XCO'!$A$1:$B$63,2,FALSE),0)</f>
        <v>0</v>
      </c>
      <c r="V56" s="16">
        <f>IFERROR(VLOOKUP(C56,RESXCC_1,9,FALSE),0)</f>
        <v>0</v>
      </c>
      <c r="W56" s="15">
        <f>IFERROR(VLOOKUP(V56,'Puntos XCC Mayor'!$A$1:$B$15,2,FALSE),0)</f>
        <v>0</v>
      </c>
      <c r="X56" s="15">
        <f>IFERROR(VLOOKUP(C56,RESXCO,9,FALSE),0)</f>
        <v>0</v>
      </c>
      <c r="Y56" s="25">
        <f>IFERROR(VLOOKUP(X56,'Puntos XCO'!$A$1:$B$63,2,FALSE),0)</f>
        <v>0</v>
      </c>
      <c r="Z56" s="27">
        <f>G56+I56+K56+M56+O56+Q56+S56+U56+W56+Y56</f>
        <v>85</v>
      </c>
      <c r="AB56" s="3"/>
    </row>
    <row r="57" spans="1:28" ht="24.95" customHeight="1">
      <c r="A57" s="3">
        <v>43</v>
      </c>
      <c r="B57" s="3">
        <v>41</v>
      </c>
      <c r="C57" s="113"/>
      <c r="D57" s="23" t="s">
        <v>231</v>
      </c>
      <c r="E57" s="24" t="s">
        <v>84</v>
      </c>
      <c r="F57" s="3">
        <v>14</v>
      </c>
      <c r="G57" s="15">
        <v>0</v>
      </c>
      <c r="H57" s="3">
        <v>8</v>
      </c>
      <c r="I57" s="25">
        <v>85</v>
      </c>
      <c r="J57" s="33">
        <v>0</v>
      </c>
      <c r="K57" s="22">
        <v>0</v>
      </c>
      <c r="L57" s="22">
        <v>0</v>
      </c>
      <c r="M57" s="34">
        <v>0</v>
      </c>
      <c r="N57" s="26"/>
      <c r="O57" s="3">
        <f>IFERROR(VLOOKUP(N57,'Puntos XCC Menor'!$A$1:$B$15,2,FALSE),0)</f>
        <v>0</v>
      </c>
      <c r="P57" s="3"/>
      <c r="Q57" s="34">
        <f>IFERROR(VLOOKUP(P57,'Puntos XCO'!$A$1:$B$63,2,FALSE),0)</f>
        <v>0</v>
      </c>
      <c r="R57" s="16">
        <v>0</v>
      </c>
      <c r="S57" s="3">
        <f>IFERROR(VLOOKUP(R57,'Puntos XCC Menor'!$A$1:$B$15,2,FALSE),0)</f>
        <v>0</v>
      </c>
      <c r="T57" s="15">
        <v>0</v>
      </c>
      <c r="U57" s="39">
        <f>IFERROR(VLOOKUP(T57,'Puntos XCO'!$A$1:$B$63,2,FALSE),0)</f>
        <v>0</v>
      </c>
      <c r="V57" s="16">
        <f>IFERROR(VLOOKUP(C57,RESXCC_1,9,FALSE),0)</f>
        <v>0</v>
      </c>
      <c r="W57" s="15">
        <f>IFERROR(VLOOKUP(V57,'Puntos XCC Mayor'!$A$1:$B$15,2,FALSE),0)</f>
        <v>0</v>
      </c>
      <c r="X57" s="15">
        <f>IFERROR(VLOOKUP(C57,RESXCO,9,FALSE),0)</f>
        <v>0</v>
      </c>
      <c r="Y57" s="25">
        <f>IFERROR(VLOOKUP(X57,'Puntos XCO'!$A$1:$B$63,2,FALSE),0)</f>
        <v>0</v>
      </c>
      <c r="Z57" s="27">
        <f>G57+I57+K57+M57+O57+Q57+S57+U57+W57+Y57</f>
        <v>85</v>
      </c>
      <c r="AB57" s="3"/>
    </row>
    <row r="58" spans="1:28" ht="24.95" customHeight="1">
      <c r="A58" s="3">
        <v>44</v>
      </c>
      <c r="B58" s="3">
        <v>51</v>
      </c>
      <c r="C58" s="113">
        <v>124</v>
      </c>
      <c r="D58" s="23" t="s">
        <v>218</v>
      </c>
      <c r="E58" s="24" t="s">
        <v>1053</v>
      </c>
      <c r="F58" s="3">
        <v>36</v>
      </c>
      <c r="G58" s="15">
        <v>0</v>
      </c>
      <c r="H58" s="3">
        <v>0</v>
      </c>
      <c r="I58" s="25">
        <v>0</v>
      </c>
      <c r="J58" s="33">
        <v>35</v>
      </c>
      <c r="K58" s="22">
        <v>0</v>
      </c>
      <c r="L58" s="22">
        <v>34</v>
      </c>
      <c r="M58" s="34">
        <v>30</v>
      </c>
      <c r="N58" s="26"/>
      <c r="O58" s="3">
        <f>IFERROR(VLOOKUP(N58,'Puntos XCC Menor'!$A$1:$B$15,2,FALSE),0)</f>
        <v>0</v>
      </c>
      <c r="P58" s="3"/>
      <c r="Q58" s="34">
        <f>IFERROR(VLOOKUP(P58,'Puntos XCO'!$A$1:$B$63,2,FALSE),0)</f>
        <v>0</v>
      </c>
      <c r="R58" s="16">
        <v>0</v>
      </c>
      <c r="S58" s="3">
        <f>IFERROR(VLOOKUP(R58,'Puntos XCC Menor'!$A$1:$B$15,2,FALSE),0)</f>
        <v>0</v>
      </c>
      <c r="T58" s="15">
        <v>0</v>
      </c>
      <c r="U58" s="39">
        <f>IFERROR(VLOOKUP(T58,'Puntos XCO'!$A$1:$B$63,2,FALSE),0)</f>
        <v>0</v>
      </c>
      <c r="V58" s="16">
        <f>IFERROR(VLOOKUP(C58,RESXCC_1,9,FALSE),0)</f>
        <v>20</v>
      </c>
      <c r="W58" s="15">
        <f>IFERROR(VLOOKUP(V58,'Puntos XCC Mayor'!$A$1:$B$15,2,FALSE),0)</f>
        <v>0</v>
      </c>
      <c r="X58" s="15">
        <f>IFERROR(VLOOKUP(C58,RESXCO,9,FALSE),0)</f>
        <v>22</v>
      </c>
      <c r="Y58" s="25">
        <f>IFERROR(VLOOKUP(X58,'Puntos XCO'!$A$1:$B$63,2,FALSE),0)</f>
        <v>54</v>
      </c>
      <c r="Z58" s="27">
        <f>G58+I58+K58+M58+O58+Q58+S58+U58+W58+Y58</f>
        <v>84</v>
      </c>
      <c r="AB58" s="3"/>
    </row>
    <row r="59" spans="1:28" ht="24.95" customHeight="1">
      <c r="A59" s="3">
        <v>45</v>
      </c>
      <c r="B59" s="3">
        <v>42</v>
      </c>
      <c r="C59" s="134">
        <v>123</v>
      </c>
      <c r="D59" s="23" t="s">
        <v>1051</v>
      </c>
      <c r="E59" s="24" t="s">
        <v>1052</v>
      </c>
      <c r="F59" s="3"/>
      <c r="G59" s="15"/>
      <c r="H59" s="3"/>
      <c r="I59" s="25"/>
      <c r="J59" s="33"/>
      <c r="K59" s="22"/>
      <c r="L59" s="22"/>
      <c r="M59" s="34"/>
      <c r="N59" s="26"/>
      <c r="O59" s="3">
        <f>IFERROR(VLOOKUP(N59,'Puntos XCC Menor'!$A$1:$B$15,2,FALSE),0)</f>
        <v>0</v>
      </c>
      <c r="P59" s="3">
        <v>10</v>
      </c>
      <c r="Q59" s="34">
        <f>IFERROR(VLOOKUP(P59,'Puntos XCO'!$A$1:$B$63,2,FALSE),0)</f>
        <v>78</v>
      </c>
      <c r="R59" s="16">
        <v>0</v>
      </c>
      <c r="S59" s="3">
        <f>IFERROR(VLOOKUP(R59,'Puntos XCC Menor'!$A$1:$B$15,2,FALSE),0)</f>
        <v>0</v>
      </c>
      <c r="T59" s="15">
        <v>0</v>
      </c>
      <c r="U59" s="39">
        <f>IFERROR(VLOOKUP(T59,'Puntos XCO'!$A$1:$B$63,2,FALSE),0)</f>
        <v>0</v>
      </c>
      <c r="V59" s="16">
        <f>IFERROR(VLOOKUP(C59,RESXCC_1,9,FALSE),0)</f>
        <v>0</v>
      </c>
      <c r="W59" s="15">
        <f>IFERROR(VLOOKUP(V59,'Puntos XCC Mayor'!$A$1:$B$15,2,FALSE),0)</f>
        <v>0</v>
      </c>
      <c r="X59" s="15">
        <f>IFERROR(VLOOKUP(C59,RESXCO,9,FALSE),0)</f>
        <v>0</v>
      </c>
      <c r="Y59" s="25">
        <f>IFERROR(VLOOKUP(X59,'Puntos XCO'!$A$1:$B$63,2,FALSE),0)</f>
        <v>0</v>
      </c>
      <c r="Z59" s="27">
        <f>G59+I59+K59+M59+O59+Q59+S59+U59+W59+Y59</f>
        <v>78</v>
      </c>
      <c r="AB59" s="3"/>
    </row>
    <row r="60" spans="1:28" ht="24.95" customHeight="1">
      <c r="A60" s="3">
        <v>46</v>
      </c>
      <c r="B60" s="3"/>
      <c r="C60" s="116">
        <v>170</v>
      </c>
      <c r="D60" s="23" t="str">
        <f>VLOOKUP(C60,PLANILLA,2,FALSE)</f>
        <v>PEREIRA Keiner*</v>
      </c>
      <c r="E60" s="24" t="str">
        <f>VLOOKUP(C60,PLANILLA,4,FALSE)</f>
        <v>TEAM TIERNITICOS-ELKY FERRETERÍA BIORACER</v>
      </c>
      <c r="F60" s="3"/>
      <c r="G60" s="15"/>
      <c r="H60" s="3"/>
      <c r="I60" s="25"/>
      <c r="J60" s="33"/>
      <c r="K60" s="22"/>
      <c r="L60" s="22"/>
      <c r="M60" s="34"/>
      <c r="N60" s="26"/>
      <c r="O60" s="3"/>
      <c r="P60" s="3"/>
      <c r="Q60" s="34"/>
      <c r="R60" s="16"/>
      <c r="S60" s="3"/>
      <c r="T60" s="15"/>
      <c r="U60" s="39"/>
      <c r="V60" s="16">
        <f>IFERROR(VLOOKUP(C60,RESXCC_1,9,FALSE),0)</f>
        <v>18</v>
      </c>
      <c r="W60" s="15">
        <f>IFERROR(VLOOKUP(V60,'Puntos XCC Mayor'!$A$1:$B$15,2,FALSE),0)</f>
        <v>0</v>
      </c>
      <c r="X60" s="15">
        <f>IFERROR(VLOOKUP(C60,RESXCO,9,FALSE),0)</f>
        <v>16</v>
      </c>
      <c r="Y60" s="25">
        <f>IFERROR(VLOOKUP(X60,'Puntos XCO'!$A$1:$B$63,2,FALSE),0)</f>
        <v>66</v>
      </c>
      <c r="Z60" s="27">
        <f>G60+I60+K60+M60+O60+Q60+S60+U60+W60+Y60</f>
        <v>66</v>
      </c>
      <c r="AB60" s="3"/>
    </row>
    <row r="61" spans="1:28" ht="24.95" customHeight="1">
      <c r="A61" s="3">
        <v>47</v>
      </c>
      <c r="B61" s="3">
        <v>43</v>
      </c>
      <c r="C61" s="113">
        <v>167</v>
      </c>
      <c r="D61" s="23" t="s">
        <v>220</v>
      </c>
      <c r="E61" s="24" t="s">
        <v>177</v>
      </c>
      <c r="F61" s="3">
        <v>39</v>
      </c>
      <c r="G61" s="15">
        <v>0</v>
      </c>
      <c r="H61" s="3">
        <v>33</v>
      </c>
      <c r="I61" s="25">
        <v>32</v>
      </c>
      <c r="J61" s="33">
        <v>43</v>
      </c>
      <c r="K61" s="22">
        <v>0</v>
      </c>
      <c r="L61" s="22">
        <v>35</v>
      </c>
      <c r="M61" s="34">
        <v>29</v>
      </c>
      <c r="N61" s="26"/>
      <c r="O61" s="3">
        <f>IFERROR(VLOOKUP(N61,'Puntos XCC Menor'!$A$1:$B$15,2,FALSE),0)</f>
        <v>0</v>
      </c>
      <c r="P61" s="3"/>
      <c r="Q61" s="34">
        <f>IFERROR(VLOOKUP(P61,'Puntos XCO'!$A$1:$B$63,2,FALSE),0)</f>
        <v>0</v>
      </c>
      <c r="R61" s="16">
        <v>0</v>
      </c>
      <c r="S61" s="3">
        <f>IFERROR(VLOOKUP(R61,'Puntos XCC Menor'!$A$1:$B$15,2,FALSE),0)</f>
        <v>0</v>
      </c>
      <c r="T61" s="15">
        <v>0</v>
      </c>
      <c r="U61" s="39">
        <f>IFERROR(VLOOKUP(T61,'Puntos XCO'!$A$1:$B$63,2,FALSE),0)</f>
        <v>0</v>
      </c>
      <c r="V61" s="16">
        <f>IFERROR(VLOOKUP(C61,RESXCC_1,9,FALSE),0)</f>
        <v>30</v>
      </c>
      <c r="W61" s="15">
        <f>IFERROR(VLOOKUP(V61,'Puntos XCC Mayor'!$A$1:$B$15,2,FALSE),0)</f>
        <v>0</v>
      </c>
      <c r="X61" s="15">
        <f>IFERROR(VLOOKUP(C61,RESXCO,9,FALSE),0)</f>
        <v>0</v>
      </c>
      <c r="Y61" s="25">
        <f>IFERROR(VLOOKUP(X61,'Puntos XCO'!$A$1:$B$63,2,FALSE),0)</f>
        <v>0</v>
      </c>
      <c r="Z61" s="27">
        <f>G61+I61+K61+M61+O61+Q61+S61+U61+W61+Y61</f>
        <v>61</v>
      </c>
      <c r="AB61" s="3"/>
    </row>
    <row r="62" spans="1:28" ht="24.95" customHeight="1">
      <c r="A62" s="3">
        <v>48</v>
      </c>
      <c r="B62" s="3">
        <v>44</v>
      </c>
      <c r="C62" s="134">
        <v>127</v>
      </c>
      <c r="D62" s="23" t="s">
        <v>1056</v>
      </c>
      <c r="E62" s="24" t="s">
        <v>128</v>
      </c>
      <c r="F62" s="3"/>
      <c r="G62" s="15"/>
      <c r="H62" s="3"/>
      <c r="I62" s="25"/>
      <c r="J62" s="33"/>
      <c r="K62" s="22"/>
      <c r="L62" s="22"/>
      <c r="M62" s="34"/>
      <c r="N62" s="26"/>
      <c r="O62" s="3">
        <f>IFERROR(VLOOKUP(N62,'Puntos XCC Menor'!$A$1:$B$15,2,FALSE),0)</f>
        <v>0</v>
      </c>
      <c r="P62" s="3">
        <v>19</v>
      </c>
      <c r="Q62" s="34">
        <f>IFERROR(VLOOKUP(P62,'Puntos XCO'!$A$1:$B$63,2,FALSE),0)</f>
        <v>60</v>
      </c>
      <c r="R62" s="16">
        <v>0</v>
      </c>
      <c r="S62" s="3">
        <f>IFERROR(VLOOKUP(R62,'Puntos XCC Menor'!$A$1:$B$15,2,FALSE),0)</f>
        <v>0</v>
      </c>
      <c r="T62" s="15">
        <v>0</v>
      </c>
      <c r="U62" s="39">
        <f>IFERROR(VLOOKUP(T62,'Puntos XCO'!$A$1:$B$63,2,FALSE),0)</f>
        <v>0</v>
      </c>
      <c r="V62" s="16">
        <f>IFERROR(VLOOKUP(C62,RESXCC_1,9,FALSE),0)</f>
        <v>0</v>
      </c>
      <c r="W62" s="15">
        <f>IFERROR(VLOOKUP(V62,'Puntos XCC Mayor'!$A$1:$B$15,2,FALSE),0)</f>
        <v>0</v>
      </c>
      <c r="X62" s="15">
        <f>IFERROR(VLOOKUP(C62,RESXCO,9,FALSE),0)</f>
        <v>0</v>
      </c>
      <c r="Y62" s="25">
        <f>IFERROR(VLOOKUP(X62,'Puntos XCO'!$A$1:$B$63,2,FALSE),0)</f>
        <v>0</v>
      </c>
      <c r="Z62" s="27">
        <f>G62+I62+K62+M62+O62+Q62+S62+U62+W62+Y62</f>
        <v>60</v>
      </c>
      <c r="AB62" s="3"/>
    </row>
    <row r="63" spans="1:28" ht="24.95" customHeight="1">
      <c r="A63" s="3">
        <v>49</v>
      </c>
      <c r="B63" s="3">
        <v>45</v>
      </c>
      <c r="C63" s="113"/>
      <c r="D63" s="23" t="s">
        <v>229</v>
      </c>
      <c r="E63" s="24" t="s">
        <v>177</v>
      </c>
      <c r="F63" s="3">
        <v>16</v>
      </c>
      <c r="G63" s="15">
        <v>0</v>
      </c>
      <c r="H63" s="3">
        <v>34</v>
      </c>
      <c r="I63" s="25">
        <v>30</v>
      </c>
      <c r="J63" s="33">
        <v>27</v>
      </c>
      <c r="K63" s="22">
        <v>0</v>
      </c>
      <c r="L63" s="22">
        <v>36</v>
      </c>
      <c r="M63" s="34">
        <v>28</v>
      </c>
      <c r="N63" s="26"/>
      <c r="O63" s="3">
        <f>IFERROR(VLOOKUP(N63,'Puntos XCC Menor'!$A$1:$B$15,2,FALSE),0)</f>
        <v>0</v>
      </c>
      <c r="P63" s="3"/>
      <c r="Q63" s="34">
        <f>IFERROR(VLOOKUP(P63,'Puntos XCO'!$A$1:$B$63,2,FALSE),0)</f>
        <v>0</v>
      </c>
      <c r="R63" s="16">
        <v>0</v>
      </c>
      <c r="S63" s="3">
        <f>IFERROR(VLOOKUP(R63,'Puntos XCC Menor'!$A$1:$B$15,2,FALSE),0)</f>
        <v>0</v>
      </c>
      <c r="T63" s="15">
        <v>0</v>
      </c>
      <c r="U63" s="39">
        <f>IFERROR(VLOOKUP(T63,'Puntos XCO'!$A$1:$B$63,2,FALSE),0)</f>
        <v>0</v>
      </c>
      <c r="V63" s="16">
        <f>IFERROR(VLOOKUP(C63,RESXCC_1,9,FALSE),0)</f>
        <v>0</v>
      </c>
      <c r="W63" s="15">
        <f>IFERROR(VLOOKUP(V63,'Puntos XCC Mayor'!$A$1:$B$15,2,FALSE),0)</f>
        <v>0</v>
      </c>
      <c r="X63" s="15">
        <f>IFERROR(VLOOKUP(C63,RESXCO,9,FALSE),0)</f>
        <v>0</v>
      </c>
      <c r="Y63" s="25">
        <f>IFERROR(VLOOKUP(X63,'Puntos XCO'!$A$1:$B$63,2,FALSE),0)</f>
        <v>0</v>
      </c>
      <c r="Z63" s="27">
        <f>G63+I63+K63+M63+O63+Q63+S63+U63+W63+Y63</f>
        <v>58</v>
      </c>
      <c r="AB63" s="3"/>
    </row>
    <row r="64" spans="1:28" ht="24.95" customHeight="1">
      <c r="A64" s="3">
        <v>50</v>
      </c>
      <c r="B64" s="3">
        <v>46</v>
      </c>
      <c r="C64" s="113">
        <v>137</v>
      </c>
      <c r="D64" s="23" t="s">
        <v>615</v>
      </c>
      <c r="E64" s="24" t="s">
        <v>297</v>
      </c>
      <c r="F64" s="3">
        <v>40</v>
      </c>
      <c r="G64" s="15">
        <v>0</v>
      </c>
      <c r="H64" s="3">
        <v>30</v>
      </c>
      <c r="I64" s="25">
        <v>38</v>
      </c>
      <c r="J64" s="33">
        <v>45</v>
      </c>
      <c r="K64" s="22">
        <v>0</v>
      </c>
      <c r="L64" s="22">
        <v>45</v>
      </c>
      <c r="M64" s="34">
        <v>19</v>
      </c>
      <c r="N64" s="26"/>
      <c r="O64" s="3">
        <f>IFERROR(VLOOKUP(N64,'Puntos XCC Menor'!$A$1:$B$15,2,FALSE),0)</f>
        <v>0</v>
      </c>
      <c r="P64" s="3"/>
      <c r="Q64" s="34">
        <f>IFERROR(VLOOKUP(P64,'Puntos XCO'!$A$1:$B$63,2,FALSE),0)</f>
        <v>0</v>
      </c>
      <c r="R64" s="16">
        <v>0</v>
      </c>
      <c r="S64" s="3">
        <f>IFERROR(VLOOKUP(R64,'Puntos XCC Menor'!$A$1:$B$15,2,FALSE),0)</f>
        <v>0</v>
      </c>
      <c r="T64" s="15">
        <v>0</v>
      </c>
      <c r="U64" s="39">
        <f>IFERROR(VLOOKUP(T64,'Puntos XCO'!$A$1:$B$63,2,FALSE),0)</f>
        <v>0</v>
      </c>
      <c r="V64" s="16">
        <f>IFERROR(VLOOKUP(C64,RESXCC_1,9,FALSE),0)</f>
        <v>0</v>
      </c>
      <c r="W64" s="15">
        <f>IFERROR(VLOOKUP(V64,'Puntos XCC Mayor'!$A$1:$B$15,2,FALSE),0)</f>
        <v>0</v>
      </c>
      <c r="X64" s="15">
        <f>IFERROR(VLOOKUP(C64,RESXCO,9,FALSE),0)</f>
        <v>0</v>
      </c>
      <c r="Y64" s="25">
        <f>IFERROR(VLOOKUP(X64,'Puntos XCO'!$A$1:$B$63,2,FALSE),0)</f>
        <v>0</v>
      </c>
      <c r="Z64" s="27">
        <f>G64+I64+K64+M64+O64+Q64+S64+U64+W64+Y64</f>
        <v>57</v>
      </c>
      <c r="AB64" s="3"/>
    </row>
    <row r="65" spans="1:28" ht="24.95" customHeight="1">
      <c r="A65" s="3">
        <v>51</v>
      </c>
      <c r="B65" s="3">
        <v>48</v>
      </c>
      <c r="C65" s="113">
        <v>138</v>
      </c>
      <c r="D65" s="23" t="s">
        <v>259</v>
      </c>
      <c r="E65" s="24" t="s">
        <v>7</v>
      </c>
      <c r="F65" s="3">
        <v>27</v>
      </c>
      <c r="G65" s="15">
        <v>0</v>
      </c>
      <c r="H65" s="3">
        <v>27</v>
      </c>
      <c r="I65" s="25">
        <v>44</v>
      </c>
      <c r="J65" s="33">
        <v>0</v>
      </c>
      <c r="K65" s="22">
        <v>0</v>
      </c>
      <c r="L65" s="22">
        <v>0</v>
      </c>
      <c r="M65" s="34">
        <v>0</v>
      </c>
      <c r="N65" s="26"/>
      <c r="O65" s="3">
        <f>IFERROR(VLOOKUP(N65,'Puntos XCC Menor'!$A$1:$B$15,2,FALSE),0)</f>
        <v>0</v>
      </c>
      <c r="P65" s="3"/>
      <c r="Q65" s="34">
        <f>IFERROR(VLOOKUP(P65,'Puntos XCO'!$A$1:$B$63,2,FALSE),0)</f>
        <v>0</v>
      </c>
      <c r="R65" s="16">
        <v>0</v>
      </c>
      <c r="S65" s="3">
        <f>IFERROR(VLOOKUP(R65,'Puntos XCC Menor'!$A$1:$B$15,2,FALSE),0)</f>
        <v>0</v>
      </c>
      <c r="T65" s="15">
        <v>0</v>
      </c>
      <c r="U65" s="39">
        <f>IFERROR(VLOOKUP(T65,'Puntos XCO'!$A$1:$B$63,2,FALSE),0)</f>
        <v>0</v>
      </c>
      <c r="V65" s="16">
        <f>IFERROR(VLOOKUP(C65,RESXCC_1,9,FALSE),0)</f>
        <v>0</v>
      </c>
      <c r="W65" s="15">
        <f>IFERROR(VLOOKUP(V65,'Puntos XCC Mayor'!$A$1:$B$15,2,FALSE),0)</f>
        <v>0</v>
      </c>
      <c r="X65" s="15">
        <f>IFERROR(VLOOKUP(C65,RESXCO,9,FALSE),0)</f>
        <v>0</v>
      </c>
      <c r="Y65" s="25">
        <f>IFERROR(VLOOKUP(X65,'Puntos XCO'!$A$1:$B$63,2,FALSE),0)</f>
        <v>0</v>
      </c>
      <c r="Z65" s="27">
        <f>G65+I65+K65+M65+O65+Q65+S65+U65+W65+Y65</f>
        <v>44</v>
      </c>
      <c r="AB65" s="3"/>
    </row>
    <row r="66" spans="1:28" ht="24.95" customHeight="1">
      <c r="A66" s="3">
        <v>52</v>
      </c>
      <c r="B66" s="3">
        <v>49</v>
      </c>
      <c r="C66" s="113">
        <v>129</v>
      </c>
      <c r="D66" s="23" t="s">
        <v>246</v>
      </c>
      <c r="E66" s="24" t="s">
        <v>155</v>
      </c>
      <c r="F66" s="3">
        <v>38</v>
      </c>
      <c r="G66" s="15">
        <v>0</v>
      </c>
      <c r="H66" s="3">
        <v>28</v>
      </c>
      <c r="I66" s="25">
        <v>42</v>
      </c>
      <c r="J66" s="33">
        <v>0</v>
      </c>
      <c r="K66" s="22">
        <v>0</v>
      </c>
      <c r="L66" s="22">
        <v>0</v>
      </c>
      <c r="M66" s="34">
        <v>0</v>
      </c>
      <c r="N66" s="26"/>
      <c r="O66" s="3">
        <f>IFERROR(VLOOKUP(N66,'Puntos XCC Menor'!$A$1:$B$15,2,FALSE),0)</f>
        <v>0</v>
      </c>
      <c r="P66" s="3"/>
      <c r="Q66" s="34">
        <f>IFERROR(VLOOKUP(P66,'Puntos XCO'!$A$1:$B$63,2,FALSE),0)</f>
        <v>0</v>
      </c>
      <c r="R66" s="16">
        <v>0</v>
      </c>
      <c r="S66" s="3">
        <f>IFERROR(VLOOKUP(R66,'Puntos XCC Menor'!$A$1:$B$15,2,FALSE),0)</f>
        <v>0</v>
      </c>
      <c r="T66" s="15">
        <v>0</v>
      </c>
      <c r="U66" s="39">
        <f>IFERROR(VLOOKUP(T66,'Puntos XCO'!$A$1:$B$63,2,FALSE),0)</f>
        <v>0</v>
      </c>
      <c r="V66" s="16">
        <f>IFERROR(VLOOKUP(C66,RESXCC_1,9,FALSE),0)</f>
        <v>0</v>
      </c>
      <c r="W66" s="15">
        <f>IFERROR(VLOOKUP(V66,'Puntos XCC Mayor'!$A$1:$B$15,2,FALSE),0)</f>
        <v>0</v>
      </c>
      <c r="X66" s="15">
        <f>IFERROR(VLOOKUP(C66,RESXCO,9,FALSE),0)</f>
        <v>0</v>
      </c>
      <c r="Y66" s="25">
        <f>IFERROR(VLOOKUP(X66,'Puntos XCO'!$A$1:$B$63,2,FALSE),0)</f>
        <v>0</v>
      </c>
      <c r="Z66" s="27">
        <f>G66+I66+K66+M66+O66+Q66+S66+U66+W66+Y66</f>
        <v>42</v>
      </c>
      <c r="AB66" s="3"/>
    </row>
    <row r="67" spans="1:28" ht="24.95" customHeight="1">
      <c r="A67" s="3">
        <v>53</v>
      </c>
      <c r="B67" s="3"/>
      <c r="C67" s="116">
        <v>169</v>
      </c>
      <c r="D67" s="23" t="str">
        <f>VLOOKUP(C67,PLANILLA,2,FALSE)</f>
        <v xml:space="preserve">VARGAS  Justin </v>
      </c>
      <c r="E67" s="24" t="str">
        <f>VLOOKUP(C67,PLANILLA,4,FALSE)</f>
        <v>SOTO TRAINING -CCDR LIBERIA</v>
      </c>
      <c r="F67" s="3"/>
      <c r="G67" s="15"/>
      <c r="H67" s="3"/>
      <c r="I67" s="25"/>
      <c r="J67" s="33"/>
      <c r="K67" s="22"/>
      <c r="L67" s="22"/>
      <c r="M67" s="34"/>
      <c r="N67" s="26"/>
      <c r="O67" s="3"/>
      <c r="P67" s="3"/>
      <c r="Q67" s="34"/>
      <c r="R67" s="16"/>
      <c r="S67" s="3"/>
      <c r="T67" s="15"/>
      <c r="U67" s="39"/>
      <c r="V67" s="16">
        <f>IFERROR(VLOOKUP(C67,RESXCC_1,9,FALSE),0)</f>
        <v>27</v>
      </c>
      <c r="W67" s="15">
        <f>IFERROR(VLOOKUP(V67,'Puntos XCC Mayor'!$A$1:$B$15,2,FALSE),0)</f>
        <v>0</v>
      </c>
      <c r="X67" s="15">
        <f>IFERROR(VLOOKUP(C67,RESXCO,9,FALSE),0)</f>
        <v>28</v>
      </c>
      <c r="Y67" s="25">
        <f>IFERROR(VLOOKUP(X67,'Puntos XCO'!$A$1:$B$63,2,FALSE),0)</f>
        <v>42</v>
      </c>
      <c r="Z67" s="27">
        <f>G67+I67+K67+M67+O67+Q67+S67+U67+W67+Y67</f>
        <v>42</v>
      </c>
      <c r="AB67" s="3"/>
    </row>
    <row r="68" spans="1:28" ht="24.95" customHeight="1">
      <c r="A68" s="3">
        <v>54</v>
      </c>
      <c r="B68" s="3"/>
      <c r="C68" s="115">
        <v>165</v>
      </c>
      <c r="D68" s="23" t="str">
        <f>VLOOKUP(C68,PLANILLA,2,FALSE)</f>
        <v>GUILLEN Samuel</v>
      </c>
      <c r="E68" s="24" t="str">
        <f>VLOOKUP(C68,PLANILLA,4,FALSE)</f>
        <v>CCDR SAN JOSE</v>
      </c>
      <c r="F68" s="3"/>
      <c r="G68" s="15"/>
      <c r="H68" s="3"/>
      <c r="I68" s="25"/>
      <c r="J68" s="33"/>
      <c r="K68" s="22"/>
      <c r="L68" s="22"/>
      <c r="M68" s="34"/>
      <c r="N68" s="26"/>
      <c r="O68" s="3"/>
      <c r="P68" s="3"/>
      <c r="Q68" s="34"/>
      <c r="R68" s="16">
        <v>21</v>
      </c>
      <c r="S68" s="3">
        <f>IFERROR(VLOOKUP(R68,'Puntos XCC Menor'!$A$1:$B$15,2,FALSE),0)</f>
        <v>0</v>
      </c>
      <c r="T68" s="15">
        <v>0</v>
      </c>
      <c r="U68" s="39">
        <f>IFERROR(VLOOKUP(T68,'Puntos XCO'!$A$1:$B$63,2,FALSE),0)</f>
        <v>0</v>
      </c>
      <c r="V68" s="16">
        <f>IFERROR(VLOOKUP(C68,RESXCC_1,9,FALSE),0)</f>
        <v>0</v>
      </c>
      <c r="W68" s="15">
        <f>IFERROR(VLOOKUP(V68,'Puntos XCC Mayor'!$A$1:$B$15,2,FALSE),0)</f>
        <v>0</v>
      </c>
      <c r="X68" s="15">
        <f>IFERROR(VLOOKUP(C68,RESXCO,9,FALSE),0)</f>
        <v>29</v>
      </c>
      <c r="Y68" s="25">
        <f>IFERROR(VLOOKUP(X68,'Puntos XCO'!$A$1:$B$63,2,FALSE),0)</f>
        <v>40</v>
      </c>
      <c r="Z68" s="27">
        <f>G68+I68+K68+M68+O68+Q68+S68+U68+W68+Y68</f>
        <v>40</v>
      </c>
      <c r="AB68" s="3"/>
    </row>
    <row r="69" spans="1:28" ht="24.95" customHeight="1">
      <c r="A69" s="3">
        <v>55</v>
      </c>
      <c r="B69" s="3"/>
      <c r="C69" s="113">
        <v>143</v>
      </c>
      <c r="D69" s="23" t="s">
        <v>265</v>
      </c>
      <c r="E69" s="24" t="s">
        <v>131</v>
      </c>
      <c r="F69" s="3">
        <v>0</v>
      </c>
      <c r="G69" s="15">
        <v>0</v>
      </c>
      <c r="H69" s="3">
        <v>0</v>
      </c>
      <c r="I69" s="25">
        <v>0</v>
      </c>
      <c r="J69" s="33">
        <v>0</v>
      </c>
      <c r="K69" s="22">
        <v>0</v>
      </c>
      <c r="L69" s="22">
        <v>0</v>
      </c>
      <c r="M69" s="34">
        <v>0</v>
      </c>
      <c r="N69" s="26"/>
      <c r="O69" s="3">
        <f>IFERROR(VLOOKUP(N69,'Puntos XCC Menor'!$A$1:$B$15,2,FALSE),0)</f>
        <v>0</v>
      </c>
      <c r="P69" s="3"/>
      <c r="Q69" s="34">
        <f>IFERROR(VLOOKUP(P69,'Puntos XCO'!$A$1:$B$63,2,FALSE),0)</f>
        <v>0</v>
      </c>
      <c r="R69" s="16">
        <v>0</v>
      </c>
      <c r="S69" s="3">
        <f>IFERROR(VLOOKUP(R69,'Puntos XCC Menor'!$A$1:$B$15,2,FALSE),0)</f>
        <v>0</v>
      </c>
      <c r="T69" s="15">
        <v>0</v>
      </c>
      <c r="U69" s="39">
        <f>IFERROR(VLOOKUP(T69,'Puntos XCO'!$A$1:$B$63,2,FALSE),0)</f>
        <v>0</v>
      </c>
      <c r="V69" s="16">
        <f>IFERROR(VLOOKUP(C69,RESXCC_1,9,FALSE),0)</f>
        <v>26</v>
      </c>
      <c r="W69" s="15">
        <f>IFERROR(VLOOKUP(V69,'Puntos XCC Mayor'!$A$1:$B$15,2,FALSE),0)</f>
        <v>0</v>
      </c>
      <c r="X69" s="15">
        <f>IFERROR(VLOOKUP(C69,RESXCO,9,FALSE),0)</f>
        <v>30</v>
      </c>
      <c r="Y69" s="25">
        <f>IFERROR(VLOOKUP(X69,'Puntos XCO'!$A$1:$B$63,2,FALSE),0)</f>
        <v>38</v>
      </c>
      <c r="Z69" s="27">
        <f>G69+I69+K69+M69+O69+Q69+S69+U69+W69+Y69</f>
        <v>38</v>
      </c>
      <c r="AB69" s="3"/>
    </row>
    <row r="70" spans="1:28" ht="24.95" customHeight="1">
      <c r="A70" s="3">
        <v>56</v>
      </c>
      <c r="B70" s="3"/>
      <c r="C70" s="115">
        <v>164</v>
      </c>
      <c r="D70" s="23" t="str">
        <f>VLOOKUP(C70,PLANILLA,2,FALSE)</f>
        <v xml:space="preserve">SÁNCHEZ  Bruce </v>
      </c>
      <c r="E70" s="24" t="str">
        <f>VLOOKUP(C70,PLANILLA,4,FALSE)</f>
        <v xml:space="preserve">ACISA SARAPIQUI </v>
      </c>
      <c r="F70" s="3"/>
      <c r="G70" s="15"/>
      <c r="H70" s="3"/>
      <c r="I70" s="25"/>
      <c r="J70" s="33"/>
      <c r="K70" s="22"/>
      <c r="L70" s="22"/>
      <c r="M70" s="34"/>
      <c r="N70" s="26"/>
      <c r="O70" s="3"/>
      <c r="P70" s="3"/>
      <c r="Q70" s="34"/>
      <c r="R70" s="16">
        <v>19</v>
      </c>
      <c r="S70" s="3">
        <f>IFERROR(VLOOKUP(R70,'Puntos XCC Menor'!$A$1:$B$15,2,FALSE),0)</f>
        <v>0</v>
      </c>
      <c r="T70" s="15">
        <v>0</v>
      </c>
      <c r="U70" s="39">
        <f>IFERROR(VLOOKUP(T70,'Puntos XCO'!$A$1:$B$63,2,FALSE),0)</f>
        <v>0</v>
      </c>
      <c r="V70" s="16">
        <f>IFERROR(VLOOKUP(C70,RESXCC_1,9,FALSE),0)</f>
        <v>29</v>
      </c>
      <c r="W70" s="15">
        <f>IFERROR(VLOOKUP(V70,'Puntos XCC Mayor'!$A$1:$B$15,2,FALSE),0)</f>
        <v>0</v>
      </c>
      <c r="X70" s="15">
        <f>IFERROR(VLOOKUP(C70,RESXCO,9,FALSE),0)</f>
        <v>31</v>
      </c>
      <c r="Y70" s="25">
        <f>IFERROR(VLOOKUP(X70,'Puntos XCO'!$A$1:$B$63,2,FALSE),0)</f>
        <v>36</v>
      </c>
      <c r="Z70" s="27">
        <f>G70+I70+K70+M70+O70+Q70+S70+U70+W70+Y70</f>
        <v>36</v>
      </c>
      <c r="AB70" s="3"/>
    </row>
    <row r="71" spans="1:28" ht="24.95" customHeight="1">
      <c r="A71" s="3">
        <v>57</v>
      </c>
      <c r="B71" s="3">
        <v>50</v>
      </c>
      <c r="C71" s="115">
        <v>151</v>
      </c>
      <c r="D71" s="23" t="s">
        <v>634</v>
      </c>
      <c r="E71" s="24" t="s">
        <v>71</v>
      </c>
      <c r="F71" s="3"/>
      <c r="G71" s="15"/>
      <c r="H71" s="3"/>
      <c r="I71" s="25"/>
      <c r="J71" s="33">
        <v>16</v>
      </c>
      <c r="K71" s="22">
        <v>0</v>
      </c>
      <c r="L71" s="22">
        <v>32</v>
      </c>
      <c r="M71" s="34">
        <v>34</v>
      </c>
      <c r="N71" s="26"/>
      <c r="O71" s="3">
        <f>IFERROR(VLOOKUP(N71,'Puntos XCC Menor'!$A$1:$B$15,2,FALSE),0)</f>
        <v>0</v>
      </c>
      <c r="P71" s="3"/>
      <c r="Q71" s="34">
        <f>IFERROR(VLOOKUP(P71,'Puntos XCO'!$A$1:$B$63,2,FALSE),0)</f>
        <v>0</v>
      </c>
      <c r="R71" s="16">
        <v>0</v>
      </c>
      <c r="S71" s="3">
        <f>IFERROR(VLOOKUP(R71,'Puntos XCC Menor'!$A$1:$B$15,2,FALSE),0)</f>
        <v>0</v>
      </c>
      <c r="T71" s="15">
        <v>0</v>
      </c>
      <c r="U71" s="39">
        <f>IFERROR(VLOOKUP(T71,'Puntos XCO'!$A$1:$B$63,2,FALSE),0)</f>
        <v>0</v>
      </c>
      <c r="V71" s="16">
        <f>IFERROR(VLOOKUP(C71,RESXCC_1,9,FALSE),0)</f>
        <v>0</v>
      </c>
      <c r="W71" s="15">
        <f>IFERROR(VLOOKUP(V71,'Puntos XCC Mayor'!$A$1:$B$15,2,FALSE),0)</f>
        <v>0</v>
      </c>
      <c r="X71" s="15">
        <f>IFERROR(VLOOKUP(C71,RESXCO,9,FALSE),0)</f>
        <v>0</v>
      </c>
      <c r="Y71" s="25">
        <f>IFERROR(VLOOKUP(X71,'Puntos XCO'!$A$1:$B$63,2,FALSE),0)</f>
        <v>0</v>
      </c>
      <c r="Z71" s="27">
        <f>G71+I71+K71+M71+O71+Q71+S71+U71+W71+Y71</f>
        <v>34</v>
      </c>
      <c r="AB71" s="3"/>
    </row>
    <row r="72" spans="1:28" ht="24.95" customHeight="1">
      <c r="A72" s="3">
        <v>58</v>
      </c>
      <c r="B72" s="3">
        <v>52</v>
      </c>
      <c r="C72" s="113"/>
      <c r="D72" s="23" t="s">
        <v>621</v>
      </c>
      <c r="E72" s="24" t="s">
        <v>84</v>
      </c>
      <c r="F72" s="3">
        <v>0</v>
      </c>
      <c r="G72" s="15">
        <v>0</v>
      </c>
      <c r="H72" s="3">
        <v>0</v>
      </c>
      <c r="I72" s="25">
        <v>0</v>
      </c>
      <c r="J72" s="33">
        <v>42</v>
      </c>
      <c r="K72" s="22">
        <v>0</v>
      </c>
      <c r="L72" s="22">
        <v>37</v>
      </c>
      <c r="M72" s="34">
        <v>27</v>
      </c>
      <c r="N72" s="26"/>
      <c r="O72" s="3">
        <f>IFERROR(VLOOKUP(N72,'Puntos XCC Menor'!$A$1:$B$15,2,FALSE),0)</f>
        <v>0</v>
      </c>
      <c r="P72" s="3"/>
      <c r="Q72" s="34">
        <f>IFERROR(VLOOKUP(P72,'Puntos XCO'!$A$1:$B$63,2,FALSE),0)</f>
        <v>0</v>
      </c>
      <c r="R72" s="16">
        <v>0</v>
      </c>
      <c r="S72" s="3">
        <f>IFERROR(VLOOKUP(R72,'Puntos XCC Menor'!$A$1:$B$15,2,FALSE),0)</f>
        <v>0</v>
      </c>
      <c r="T72" s="15">
        <v>0</v>
      </c>
      <c r="U72" s="39">
        <f>IFERROR(VLOOKUP(T72,'Puntos XCO'!$A$1:$B$63,2,FALSE),0)</f>
        <v>0</v>
      </c>
      <c r="V72" s="16">
        <f>IFERROR(VLOOKUP(C72,RESXCC_1,9,FALSE),0)</f>
        <v>0</v>
      </c>
      <c r="W72" s="15">
        <f>IFERROR(VLOOKUP(V72,'Puntos XCC Mayor'!$A$1:$B$15,2,FALSE),0)</f>
        <v>0</v>
      </c>
      <c r="X72" s="15">
        <f>IFERROR(VLOOKUP(C72,RESXCO,9,FALSE),0)</f>
        <v>0</v>
      </c>
      <c r="Y72" s="25">
        <f>IFERROR(VLOOKUP(X72,'Puntos XCO'!$A$1:$B$63,2,FALSE),0)</f>
        <v>0</v>
      </c>
      <c r="Z72" s="27">
        <f>G72+I72+K72+M72+O72+Q72+S72+U72+W72+Y72</f>
        <v>27</v>
      </c>
      <c r="AB72" s="3"/>
    </row>
    <row r="73" spans="1:28" ht="24.95" customHeight="1">
      <c r="A73" s="3">
        <v>59</v>
      </c>
      <c r="B73" s="3">
        <v>53</v>
      </c>
      <c r="C73" s="115">
        <v>149</v>
      </c>
      <c r="D73" s="23" t="s">
        <v>630</v>
      </c>
      <c r="E73" s="24" t="s">
        <v>631</v>
      </c>
      <c r="F73" s="3"/>
      <c r="G73" s="15"/>
      <c r="H73" s="3"/>
      <c r="I73" s="25"/>
      <c r="J73" s="33">
        <v>40</v>
      </c>
      <c r="K73" s="22">
        <v>0</v>
      </c>
      <c r="L73" s="22">
        <v>38</v>
      </c>
      <c r="M73" s="34">
        <v>26</v>
      </c>
      <c r="N73" s="26"/>
      <c r="O73" s="3">
        <f>IFERROR(VLOOKUP(N73,'Puntos XCC Menor'!$A$1:$B$15,2,FALSE),0)</f>
        <v>0</v>
      </c>
      <c r="P73" s="3"/>
      <c r="Q73" s="34">
        <f>IFERROR(VLOOKUP(P73,'Puntos XCO'!$A$1:$B$63,2,FALSE),0)</f>
        <v>0</v>
      </c>
      <c r="R73" s="16">
        <v>0</v>
      </c>
      <c r="S73" s="3">
        <f>IFERROR(VLOOKUP(R73,'Puntos XCC Menor'!$A$1:$B$15,2,FALSE),0)</f>
        <v>0</v>
      </c>
      <c r="T73" s="15">
        <v>0</v>
      </c>
      <c r="U73" s="39">
        <f>IFERROR(VLOOKUP(T73,'Puntos XCO'!$A$1:$B$63,2,FALSE),0)</f>
        <v>0</v>
      </c>
      <c r="V73" s="16">
        <f>IFERROR(VLOOKUP(C73,RESXCC_1,9,FALSE),0)</f>
        <v>0</v>
      </c>
      <c r="W73" s="15">
        <f>IFERROR(VLOOKUP(V73,'Puntos XCC Mayor'!$A$1:$B$15,2,FALSE),0)</f>
        <v>0</v>
      </c>
      <c r="X73" s="15">
        <f>IFERROR(VLOOKUP(C73,RESXCO,9,FALSE),0)</f>
        <v>0</v>
      </c>
      <c r="Y73" s="25">
        <f>IFERROR(VLOOKUP(X73,'Puntos XCO'!$A$1:$B$63,2,FALSE),0)</f>
        <v>0</v>
      </c>
      <c r="Z73" s="27">
        <f>G73+I73+K73+M73+O73+Q73+S73+U73+W73+Y73</f>
        <v>26</v>
      </c>
      <c r="AB73" s="3"/>
    </row>
    <row r="74" spans="1:28" ht="24.95" customHeight="1">
      <c r="A74" s="3">
        <v>60</v>
      </c>
      <c r="B74" s="3">
        <v>54</v>
      </c>
      <c r="C74" s="115">
        <v>155</v>
      </c>
      <c r="D74" s="23" t="s">
        <v>640</v>
      </c>
      <c r="E74" s="24" t="s">
        <v>641</v>
      </c>
      <c r="F74" s="3"/>
      <c r="G74" s="15"/>
      <c r="H74" s="3"/>
      <c r="I74" s="25"/>
      <c r="J74" s="33">
        <v>0</v>
      </c>
      <c r="K74" s="22">
        <v>0</v>
      </c>
      <c r="L74" s="22">
        <v>39</v>
      </c>
      <c r="M74" s="34">
        <v>25</v>
      </c>
      <c r="N74" s="26"/>
      <c r="O74" s="3">
        <f>IFERROR(VLOOKUP(N74,'Puntos XCC Menor'!$A$1:$B$15,2,FALSE),0)</f>
        <v>0</v>
      </c>
      <c r="P74" s="3"/>
      <c r="Q74" s="34">
        <f>IFERROR(VLOOKUP(P74,'Puntos XCO'!$A$1:$B$63,2,FALSE),0)</f>
        <v>0</v>
      </c>
      <c r="R74" s="16">
        <v>0</v>
      </c>
      <c r="S74" s="3">
        <f>IFERROR(VLOOKUP(R74,'Puntos XCC Menor'!$A$1:$B$15,2,FALSE),0)</f>
        <v>0</v>
      </c>
      <c r="T74" s="15">
        <v>0</v>
      </c>
      <c r="U74" s="39">
        <f>IFERROR(VLOOKUP(T74,'Puntos XCO'!$A$1:$B$63,2,FALSE),0)</f>
        <v>0</v>
      </c>
      <c r="V74" s="16">
        <f>IFERROR(VLOOKUP(C74,RESXCC_1,9,FALSE),0)</f>
        <v>0</v>
      </c>
      <c r="W74" s="15">
        <f>IFERROR(VLOOKUP(V74,'Puntos XCC Mayor'!$A$1:$B$15,2,FALSE),0)</f>
        <v>0</v>
      </c>
      <c r="X74" s="15">
        <f>IFERROR(VLOOKUP(C74,RESXCO,9,FALSE),0)</f>
        <v>0</v>
      </c>
      <c r="Y74" s="25">
        <f>IFERROR(VLOOKUP(X74,'Puntos XCO'!$A$1:$B$63,2,FALSE),0)</f>
        <v>0</v>
      </c>
      <c r="Z74" s="27">
        <f>G74+I74+K74+M74+O74+Q74+S74+U74+W74+Y74</f>
        <v>25</v>
      </c>
      <c r="AB74" s="3"/>
    </row>
    <row r="75" spans="1:28" ht="24.95" customHeight="1">
      <c r="A75" s="3">
        <v>61</v>
      </c>
      <c r="B75" s="3">
        <v>55</v>
      </c>
      <c r="C75" s="115">
        <v>156</v>
      </c>
      <c r="D75" s="23" t="s">
        <v>545</v>
      </c>
      <c r="E75" s="24" t="s">
        <v>116</v>
      </c>
      <c r="F75" s="3"/>
      <c r="G75" s="15"/>
      <c r="H75" s="3"/>
      <c r="I75" s="25"/>
      <c r="J75" s="33">
        <v>34</v>
      </c>
      <c r="K75" s="22">
        <v>0</v>
      </c>
      <c r="L75" s="22">
        <v>41</v>
      </c>
      <c r="M75" s="34">
        <v>23</v>
      </c>
      <c r="N75" s="26"/>
      <c r="O75" s="3">
        <f>IFERROR(VLOOKUP(N75,'Puntos XCC Menor'!$A$1:$B$15,2,FALSE),0)</f>
        <v>0</v>
      </c>
      <c r="P75" s="3"/>
      <c r="Q75" s="34">
        <f>IFERROR(VLOOKUP(P75,'Puntos XCO'!$A$1:$B$63,2,FALSE),0)</f>
        <v>0</v>
      </c>
      <c r="R75" s="16">
        <v>0</v>
      </c>
      <c r="S75" s="3">
        <f>IFERROR(VLOOKUP(R75,'Puntos XCC Menor'!$A$1:$B$15,2,FALSE),0)</f>
        <v>0</v>
      </c>
      <c r="T75" s="15">
        <v>0</v>
      </c>
      <c r="U75" s="39">
        <f>IFERROR(VLOOKUP(T75,'Puntos XCO'!$A$1:$B$63,2,FALSE),0)</f>
        <v>0</v>
      </c>
      <c r="V75" s="16">
        <f>IFERROR(VLOOKUP(C75,RESXCC_1,9,FALSE),0)</f>
        <v>0</v>
      </c>
      <c r="W75" s="15">
        <f>IFERROR(VLOOKUP(V75,'Puntos XCC Mayor'!$A$1:$B$15,2,FALSE),0)</f>
        <v>0</v>
      </c>
      <c r="X75" s="15">
        <f>IFERROR(VLOOKUP(C75,RESXCO,9,FALSE),0)</f>
        <v>0</v>
      </c>
      <c r="Y75" s="25">
        <f>IFERROR(VLOOKUP(X75,'Puntos XCO'!$A$1:$B$63,2,FALSE),0)</f>
        <v>0</v>
      </c>
      <c r="Z75" s="27">
        <f>G75+I75+K75+M75+O75+Q75+S75+U75+W75+Y75</f>
        <v>23</v>
      </c>
      <c r="AB75" s="3"/>
    </row>
    <row r="76" spans="1:28" ht="24.95" customHeight="1">
      <c r="A76" s="3">
        <v>62</v>
      </c>
      <c r="B76" s="3">
        <v>56</v>
      </c>
      <c r="C76" s="115">
        <v>152</v>
      </c>
      <c r="D76" s="23" t="s">
        <v>635</v>
      </c>
      <c r="E76" s="24" t="s">
        <v>101</v>
      </c>
      <c r="F76" s="3"/>
      <c r="G76" s="15"/>
      <c r="H76" s="3"/>
      <c r="I76" s="25"/>
      <c r="J76" s="33">
        <v>38</v>
      </c>
      <c r="K76" s="22">
        <v>0</v>
      </c>
      <c r="L76" s="22">
        <v>43</v>
      </c>
      <c r="M76" s="34">
        <v>21</v>
      </c>
      <c r="N76" s="26"/>
      <c r="O76" s="3">
        <f>IFERROR(VLOOKUP(N76,'Puntos XCC Menor'!$A$1:$B$15,2,FALSE),0)</f>
        <v>0</v>
      </c>
      <c r="P76" s="3"/>
      <c r="Q76" s="34">
        <f>IFERROR(VLOOKUP(P76,'Puntos XCO'!$A$1:$B$63,2,FALSE),0)</f>
        <v>0</v>
      </c>
      <c r="R76" s="16">
        <v>0</v>
      </c>
      <c r="S76" s="3">
        <f>IFERROR(VLOOKUP(R76,'Puntos XCC Menor'!$A$1:$B$15,2,FALSE),0)</f>
        <v>0</v>
      </c>
      <c r="T76" s="15">
        <v>0</v>
      </c>
      <c r="U76" s="39">
        <f>IFERROR(VLOOKUP(T76,'Puntos XCO'!$A$1:$B$63,2,FALSE),0)</f>
        <v>0</v>
      </c>
      <c r="V76" s="16">
        <f>IFERROR(VLOOKUP(C76,RESXCC_1,9,FALSE),0)</f>
        <v>0</v>
      </c>
      <c r="W76" s="15">
        <f>IFERROR(VLOOKUP(V76,'Puntos XCC Mayor'!$A$1:$B$15,2,FALSE),0)</f>
        <v>0</v>
      </c>
      <c r="X76" s="15">
        <f>IFERROR(VLOOKUP(C76,RESXCO,9,FALSE),0)</f>
        <v>0</v>
      </c>
      <c r="Y76" s="25">
        <f>IFERROR(VLOOKUP(X76,'Puntos XCO'!$A$1:$B$63,2,FALSE),0)</f>
        <v>0</v>
      </c>
      <c r="Z76" s="27">
        <f>G76+I76+K76+M76+O76+Q76+S76+U76+W76+Y76</f>
        <v>21</v>
      </c>
      <c r="AB76" s="3"/>
    </row>
    <row r="77" spans="1:28" ht="24.95" customHeight="1">
      <c r="A77" s="3">
        <v>63</v>
      </c>
      <c r="B77" s="3">
        <v>57</v>
      </c>
      <c r="C77" s="115">
        <v>150</v>
      </c>
      <c r="D77" s="23" t="s">
        <v>632</v>
      </c>
      <c r="E77" s="24" t="s">
        <v>633</v>
      </c>
      <c r="F77" s="3"/>
      <c r="G77" s="15"/>
      <c r="H77" s="3"/>
      <c r="I77" s="25"/>
      <c r="J77" s="33">
        <v>44</v>
      </c>
      <c r="K77" s="22">
        <v>0</v>
      </c>
      <c r="L77" s="22">
        <v>44</v>
      </c>
      <c r="M77" s="34">
        <v>20</v>
      </c>
      <c r="N77" s="26"/>
      <c r="O77" s="3">
        <f>IFERROR(VLOOKUP(N77,'Puntos XCC Menor'!$A$1:$B$15,2,FALSE),0)</f>
        <v>0</v>
      </c>
      <c r="P77" s="3"/>
      <c r="Q77" s="34">
        <f>IFERROR(VLOOKUP(P77,'Puntos XCO'!$A$1:$B$63,2,FALSE),0)</f>
        <v>0</v>
      </c>
      <c r="R77" s="16">
        <v>0</v>
      </c>
      <c r="S77" s="3">
        <f>IFERROR(VLOOKUP(R77,'Puntos XCC Menor'!$A$1:$B$15,2,FALSE),0)</f>
        <v>0</v>
      </c>
      <c r="T77" s="15">
        <v>0</v>
      </c>
      <c r="U77" s="39">
        <f>IFERROR(VLOOKUP(T77,'Puntos XCO'!$A$1:$B$63,2,FALSE),0)</f>
        <v>0</v>
      </c>
      <c r="V77" s="16">
        <f>IFERROR(VLOOKUP(C77,RESXCC_1,9,FALSE),0)</f>
        <v>0</v>
      </c>
      <c r="W77" s="15">
        <f>IFERROR(VLOOKUP(V77,'Puntos XCC Mayor'!$A$1:$B$15,2,FALSE),0)</f>
        <v>0</v>
      </c>
      <c r="X77" s="15">
        <f>IFERROR(VLOOKUP(C77,RESXCO,9,FALSE),0)</f>
        <v>0</v>
      </c>
      <c r="Y77" s="25">
        <f>IFERROR(VLOOKUP(X77,'Puntos XCO'!$A$1:$B$63,2,FALSE),0)</f>
        <v>0</v>
      </c>
      <c r="Z77" s="27">
        <f>G77+I77+K77+M77+O77+Q77+S77+U77+W77+Y77</f>
        <v>20</v>
      </c>
      <c r="AB77" s="3"/>
    </row>
    <row r="78" spans="1:28" ht="24.95" customHeight="1">
      <c r="A78" s="3">
        <v>64</v>
      </c>
      <c r="B78" s="3">
        <v>58</v>
      </c>
      <c r="C78" s="113"/>
      <c r="D78" s="23" t="s">
        <v>622</v>
      </c>
      <c r="E78" s="24" t="s">
        <v>623</v>
      </c>
      <c r="F78" s="3">
        <v>30</v>
      </c>
      <c r="G78" s="15">
        <v>0</v>
      </c>
      <c r="H78" s="3">
        <v>0</v>
      </c>
      <c r="I78" s="25">
        <v>0</v>
      </c>
      <c r="J78" s="33">
        <v>29</v>
      </c>
      <c r="K78" s="22">
        <v>0</v>
      </c>
      <c r="L78" s="22">
        <v>46</v>
      </c>
      <c r="M78" s="34">
        <v>18</v>
      </c>
      <c r="N78" s="26"/>
      <c r="O78" s="3">
        <f>IFERROR(VLOOKUP(N78,'Puntos XCC Menor'!$A$1:$B$15,2,FALSE),0)</f>
        <v>0</v>
      </c>
      <c r="P78" s="3"/>
      <c r="Q78" s="34">
        <f>IFERROR(VLOOKUP(P78,'Puntos XCO'!$A$1:$B$63,2,FALSE),0)</f>
        <v>0</v>
      </c>
      <c r="R78" s="16">
        <v>0</v>
      </c>
      <c r="S78" s="3">
        <f>IFERROR(VLOOKUP(R78,'Puntos XCC Menor'!$A$1:$B$15,2,FALSE),0)</f>
        <v>0</v>
      </c>
      <c r="T78" s="15">
        <v>0</v>
      </c>
      <c r="U78" s="39">
        <f>IFERROR(VLOOKUP(T78,'Puntos XCO'!$A$1:$B$63,2,FALSE),0)</f>
        <v>0</v>
      </c>
      <c r="V78" s="16">
        <f>IFERROR(VLOOKUP(C78,RESXCC_1,9,FALSE),0)</f>
        <v>0</v>
      </c>
      <c r="W78" s="15">
        <f>IFERROR(VLOOKUP(V78,'Puntos XCC Mayor'!$A$1:$B$15,2,FALSE),0)</f>
        <v>0</v>
      </c>
      <c r="X78" s="15">
        <f>IFERROR(VLOOKUP(C78,RESXCO,9,FALSE),0)</f>
        <v>0</v>
      </c>
      <c r="Y78" s="25">
        <f>IFERROR(VLOOKUP(X78,'Puntos XCO'!$A$1:$B$63,2,FALSE),0)</f>
        <v>0</v>
      </c>
      <c r="Z78" s="27">
        <f>G78+I78+K78+M78+O78+Q78+S78+U78+W78+Y78</f>
        <v>18</v>
      </c>
      <c r="AB78" s="3"/>
    </row>
    <row r="79" spans="1:28" ht="24.95" customHeight="1">
      <c r="A79" s="3">
        <v>65</v>
      </c>
      <c r="B79" s="3">
        <v>59</v>
      </c>
      <c r="C79" s="113"/>
      <c r="D79" s="23" t="s">
        <v>215</v>
      </c>
      <c r="E79" s="24" t="s">
        <v>115</v>
      </c>
      <c r="F79" s="3">
        <v>9</v>
      </c>
      <c r="G79" s="15">
        <v>2</v>
      </c>
      <c r="H79" s="3">
        <v>0</v>
      </c>
      <c r="I79" s="25">
        <v>0</v>
      </c>
      <c r="J79" s="33">
        <v>0</v>
      </c>
      <c r="K79" s="22">
        <v>0</v>
      </c>
      <c r="L79" s="22">
        <v>0</v>
      </c>
      <c r="M79" s="34">
        <v>0</v>
      </c>
      <c r="N79" s="26"/>
      <c r="O79" s="3">
        <f>IFERROR(VLOOKUP(N79,'Puntos XCC Menor'!$A$1:$B$15,2,FALSE),0)</f>
        <v>0</v>
      </c>
      <c r="P79" s="3"/>
      <c r="Q79" s="34">
        <f>IFERROR(VLOOKUP(P79,'Puntos XCO'!$A$1:$B$63,2,FALSE),0)</f>
        <v>0</v>
      </c>
      <c r="R79" s="16">
        <v>0</v>
      </c>
      <c r="S79" s="3">
        <f>IFERROR(VLOOKUP(R79,'Puntos XCC Menor'!$A$1:$B$15,2,FALSE),0)</f>
        <v>0</v>
      </c>
      <c r="T79" s="15">
        <v>0</v>
      </c>
      <c r="U79" s="39">
        <f>IFERROR(VLOOKUP(T79,'Puntos XCO'!$A$1:$B$63,2,FALSE),0)</f>
        <v>0</v>
      </c>
      <c r="V79" s="16">
        <f>IFERROR(VLOOKUP(C79,RESXCC_1,9,FALSE),0)</f>
        <v>0</v>
      </c>
      <c r="W79" s="15">
        <f>IFERROR(VLOOKUP(V79,'Puntos XCC Mayor'!$A$1:$B$15,2,FALSE),0)</f>
        <v>0</v>
      </c>
      <c r="X79" s="15">
        <f>IFERROR(VLOOKUP(C79,RESXCO,9,FALSE),0)</f>
        <v>0</v>
      </c>
      <c r="Y79" s="25">
        <f>IFERROR(VLOOKUP(X79,'Puntos XCO'!$A$1:$B$63,2,FALSE),0)</f>
        <v>0</v>
      </c>
      <c r="Z79" s="27">
        <f>G79+I79+K79+M79+O79+Q79+S79+U79+W79+Y79</f>
        <v>2</v>
      </c>
      <c r="AB79" s="3"/>
    </row>
    <row r="80" spans="1:28" ht="24.95" customHeight="1">
      <c r="A80" s="3"/>
      <c r="B80" s="3"/>
      <c r="C80" s="113">
        <v>141</v>
      </c>
      <c r="D80" s="23" t="s">
        <v>263</v>
      </c>
      <c r="E80" s="24" t="s">
        <v>155</v>
      </c>
      <c r="F80" s="3">
        <v>0</v>
      </c>
      <c r="G80" s="15">
        <v>0</v>
      </c>
      <c r="H80" s="3">
        <v>0</v>
      </c>
      <c r="I80" s="25">
        <v>0</v>
      </c>
      <c r="J80" s="33">
        <v>0</v>
      </c>
      <c r="K80" s="22">
        <v>0</v>
      </c>
      <c r="L80" s="22">
        <v>0</v>
      </c>
      <c r="M80" s="34">
        <v>0</v>
      </c>
      <c r="N80" s="26"/>
      <c r="O80" s="3">
        <f>IFERROR(VLOOKUP(N80,'Puntos XCC Menor'!$A$1:$B$15,2,FALSE),0)</f>
        <v>0</v>
      </c>
      <c r="P80" s="3"/>
      <c r="Q80" s="34">
        <f>IFERROR(VLOOKUP(P80,'Puntos XCO'!$A$1:$B$63,2,FALSE),0)</f>
        <v>0</v>
      </c>
      <c r="R80" s="16">
        <v>0</v>
      </c>
      <c r="S80" s="3">
        <f>IFERROR(VLOOKUP(R80,'Puntos XCC Menor'!$A$1:$B$15,2,FALSE),0)</f>
        <v>0</v>
      </c>
      <c r="T80" s="15">
        <v>0</v>
      </c>
      <c r="U80" s="39">
        <f>IFERROR(VLOOKUP(T80,'Puntos XCO'!$A$1:$B$63,2,FALSE),0)</f>
        <v>0</v>
      </c>
      <c r="V80" s="16">
        <f>IFERROR(VLOOKUP(C80,RESXCC_1,9,FALSE),0)</f>
        <v>0</v>
      </c>
      <c r="W80" s="15">
        <f>IFERROR(VLOOKUP(V80,'Puntos XCC Mayor'!$A$1:$B$15,2,FALSE),0)</f>
        <v>0</v>
      </c>
      <c r="X80" s="15">
        <f>IFERROR(VLOOKUP(C80,RESXCO,9,FALSE),0)</f>
        <v>0</v>
      </c>
      <c r="Y80" s="25">
        <f>IFERROR(VLOOKUP(X80,'Puntos XCO'!$A$1:$B$63,2,FALSE),0)</f>
        <v>0</v>
      </c>
      <c r="Z80" s="27">
        <f>G80+I80+K80+M80+O80+Q80+S80+U80+W80+Y80</f>
        <v>0</v>
      </c>
      <c r="AB80" s="3"/>
    </row>
    <row r="81" spans="1:28" ht="24.95" customHeight="1">
      <c r="A81" s="3"/>
      <c r="B81" s="3"/>
      <c r="C81" s="115">
        <v>153</v>
      </c>
      <c r="D81" s="23" t="s">
        <v>636</v>
      </c>
      <c r="E81" s="24" t="s">
        <v>637</v>
      </c>
      <c r="F81" s="3"/>
      <c r="G81" s="15"/>
      <c r="H81" s="3"/>
      <c r="I81" s="25"/>
      <c r="J81" s="33">
        <v>39</v>
      </c>
      <c r="K81" s="22">
        <v>0</v>
      </c>
      <c r="L81" s="22">
        <v>0</v>
      </c>
      <c r="M81" s="34">
        <v>0</v>
      </c>
      <c r="N81" s="26"/>
      <c r="O81" s="3">
        <f>IFERROR(VLOOKUP(N81,'Puntos XCC Menor'!$A$1:$B$15,2,FALSE),0)</f>
        <v>0</v>
      </c>
      <c r="P81" s="3"/>
      <c r="Q81" s="34">
        <f>IFERROR(VLOOKUP(P81,'Puntos XCO'!$A$1:$B$63,2,FALSE),0)</f>
        <v>0</v>
      </c>
      <c r="R81" s="16">
        <v>0</v>
      </c>
      <c r="S81" s="3">
        <f>IFERROR(VLOOKUP(R81,'Puntos XCC Menor'!$A$1:$B$15,2,FALSE),0)</f>
        <v>0</v>
      </c>
      <c r="T81" s="15">
        <v>0</v>
      </c>
      <c r="U81" s="39">
        <f>IFERROR(VLOOKUP(T81,'Puntos XCO'!$A$1:$B$63,2,FALSE),0)</f>
        <v>0</v>
      </c>
      <c r="V81" s="16">
        <f>IFERROR(VLOOKUP(C81,RESXCC_1,9,FALSE),0)</f>
        <v>0</v>
      </c>
      <c r="W81" s="15">
        <f>IFERROR(VLOOKUP(V81,'Puntos XCC Mayor'!$A$1:$B$15,2,FALSE),0)</f>
        <v>0</v>
      </c>
      <c r="X81" s="15">
        <f>IFERROR(VLOOKUP(C81,RESXCO,9,FALSE),0)</f>
        <v>0</v>
      </c>
      <c r="Y81" s="25">
        <f>IFERROR(VLOOKUP(X81,'Puntos XCO'!$A$1:$B$63,2,FALSE),0)</f>
        <v>0</v>
      </c>
      <c r="Z81" s="27">
        <f>G81+I81+K81+M81+O81+Q81+S81+U81+W81+Y81</f>
        <v>0</v>
      </c>
      <c r="AB81" s="3"/>
    </row>
    <row r="82" spans="1:28" ht="24.95" customHeight="1">
      <c r="A82" s="3"/>
      <c r="B82" s="3"/>
      <c r="C82" s="115">
        <v>154</v>
      </c>
      <c r="D82" s="23" t="s">
        <v>638</v>
      </c>
      <c r="E82" s="24" t="s">
        <v>639</v>
      </c>
      <c r="F82" s="3"/>
      <c r="G82" s="15"/>
      <c r="H82" s="3"/>
      <c r="I82" s="25"/>
      <c r="J82" s="33">
        <v>26</v>
      </c>
      <c r="K82" s="22">
        <v>0</v>
      </c>
      <c r="L82" s="22">
        <v>0</v>
      </c>
      <c r="M82" s="34">
        <v>0</v>
      </c>
      <c r="N82" s="26"/>
      <c r="O82" s="3">
        <f>IFERROR(VLOOKUP(N82,'Puntos XCC Menor'!$A$1:$B$15,2,FALSE),0)</f>
        <v>0</v>
      </c>
      <c r="P82" s="3"/>
      <c r="Q82" s="34">
        <f>IFERROR(VLOOKUP(P82,'Puntos XCO'!$A$1:$B$63,2,FALSE),0)</f>
        <v>0</v>
      </c>
      <c r="R82" s="16">
        <v>0</v>
      </c>
      <c r="S82" s="3">
        <f>IFERROR(VLOOKUP(R82,'Puntos XCC Menor'!$A$1:$B$15,2,FALSE),0)</f>
        <v>0</v>
      </c>
      <c r="T82" s="15">
        <v>0</v>
      </c>
      <c r="U82" s="39">
        <f>IFERROR(VLOOKUP(T82,'Puntos XCO'!$A$1:$B$63,2,FALSE),0)</f>
        <v>0</v>
      </c>
      <c r="V82" s="16">
        <f>IFERROR(VLOOKUP(C82,RESXCC_1,9,FALSE),0)</f>
        <v>0</v>
      </c>
      <c r="W82" s="15">
        <f>IFERROR(VLOOKUP(V82,'Puntos XCC Mayor'!$A$1:$B$15,2,FALSE),0)</f>
        <v>0</v>
      </c>
      <c r="X82" s="15">
        <f>IFERROR(VLOOKUP(C82,RESXCO,9,FALSE),0)</f>
        <v>0</v>
      </c>
      <c r="Y82" s="25">
        <f>IFERROR(VLOOKUP(X82,'Puntos XCO'!$A$1:$B$63,2,FALSE),0)</f>
        <v>0</v>
      </c>
      <c r="Z82" s="27">
        <f>G82+I82+K82+M82+O82+Q82+S82+U82+W82+Y82</f>
        <v>0</v>
      </c>
      <c r="AB82" s="3"/>
    </row>
    <row r="83" spans="1:28" ht="24.95" customHeight="1">
      <c r="A83" s="3"/>
      <c r="B83" s="3"/>
      <c r="C83" s="2"/>
      <c r="D83" s="23"/>
      <c r="E83" s="24"/>
      <c r="F83" s="3"/>
      <c r="G83" s="15"/>
      <c r="H83" s="3"/>
      <c r="I83" s="25"/>
      <c r="J83" s="33"/>
      <c r="K83" s="22"/>
      <c r="L83" s="22"/>
      <c r="M83" s="34"/>
      <c r="N83" s="32"/>
      <c r="O83" s="30"/>
      <c r="P83" s="3"/>
      <c r="Q83" s="34"/>
      <c r="R83" s="32"/>
      <c r="S83" s="30"/>
      <c r="T83" s="30"/>
      <c r="U83" s="31"/>
      <c r="V83" s="32"/>
      <c r="W83" s="30"/>
      <c r="X83" s="30"/>
      <c r="Y83" s="31"/>
      <c r="Z83" s="27"/>
      <c r="AB83" s="3"/>
    </row>
    <row r="84" spans="1:28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74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spans="1:28">
      <c r="M85" s="9"/>
      <c r="N85" s="9"/>
      <c r="O85" s="9"/>
      <c r="P85" s="10"/>
      <c r="Q85" s="9"/>
      <c r="R85" s="9"/>
      <c r="S85" s="9"/>
      <c r="T85" s="9"/>
      <c r="U85" s="9"/>
    </row>
    <row r="86" spans="1:28" ht="111.75" customHeight="1"/>
    <row r="87" spans="1:28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74"/>
      <c r="Q87" s="65"/>
      <c r="R87" s="65"/>
      <c r="S87" s="65"/>
      <c r="T87" s="65"/>
      <c r="U87" s="65"/>
      <c r="V87" s="65"/>
      <c r="W87" s="65"/>
      <c r="X87" s="65"/>
      <c r="Y87" s="65"/>
      <c r="Z87" s="65"/>
    </row>
  </sheetData>
  <sortState ref="B15:Z82">
    <sortCondition descending="1" ref="Z15:Z82"/>
    <sortCondition ref="X15:X82"/>
  </sortState>
  <mergeCells count="10">
    <mergeCell ref="A8:Z8"/>
    <mergeCell ref="A10:Z10"/>
    <mergeCell ref="A11:Z11"/>
    <mergeCell ref="A13:B13"/>
    <mergeCell ref="F13:I13"/>
    <mergeCell ref="J13:M13"/>
    <mergeCell ref="N13:Q13"/>
    <mergeCell ref="R13:U13"/>
    <mergeCell ref="V13:Y13"/>
    <mergeCell ref="Z13:Z14"/>
  </mergeCells>
  <conditionalFormatting sqref="C84:C65562 C1:C9 C12:C14">
    <cfRule type="duplicateValues" dxfId="469" priority="60" stopIfTrue="1"/>
  </conditionalFormatting>
  <conditionalFormatting sqref="C11">
    <cfRule type="duplicateValues" dxfId="468" priority="4" stopIfTrue="1"/>
  </conditionalFormatting>
  <conditionalFormatting sqref="C11">
    <cfRule type="duplicateValues" dxfId="467" priority="5" stopIfTrue="1"/>
  </conditionalFormatting>
  <conditionalFormatting sqref="D11">
    <cfRule type="duplicateValues" dxfId="466" priority="3" stopIfTrue="1"/>
  </conditionalFormatting>
  <conditionalFormatting sqref="C10">
    <cfRule type="duplicateValues" dxfId="465" priority="1" stopIfTrue="1"/>
  </conditionalFormatting>
  <conditionalFormatting sqref="C10">
    <cfRule type="duplicateValues" dxfId="464" priority="2" stopIfTrue="1"/>
  </conditionalFormatting>
  <conditionalFormatting sqref="C15:C57">
    <cfRule type="duplicateValues" dxfId="463" priority="7341"/>
  </conditionalFormatting>
  <conditionalFormatting sqref="C58:C69">
    <cfRule type="duplicateValues" dxfId="462" priority="7863"/>
  </conditionalFormatting>
  <conditionalFormatting sqref="C70:C83">
    <cfRule type="duplicateValues" dxfId="461" priority="7904"/>
  </conditionalFormatting>
  <conditionalFormatting sqref="AB15:AB83">
    <cfRule type="duplicateValues" dxfId="460" priority="7906"/>
  </conditionalFormatting>
  <pageMargins left="0.70866141732283472" right="0.70866141732283472" top="0.74803149606299213" bottom="0.74803149606299213" header="0.31496062992125984" footer="0.31496062992125984"/>
  <pageSetup paperSize="9" scale="49" fitToHeight="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>
    <pageSetUpPr fitToPage="1"/>
  </sheetPr>
  <dimension ref="A8:AE27"/>
  <sheetViews>
    <sheetView showGridLines="0" zoomScale="70" zoomScaleNormal="70" zoomScaleSheetLayoutView="90" workbookViewId="0">
      <selection activeCell="C23" sqref="C23"/>
    </sheetView>
  </sheetViews>
  <sheetFormatPr baseColWidth="10" defaultRowHeight="15"/>
  <cols>
    <col min="1" max="1" width="10.28515625" style="2" customWidth="1"/>
    <col min="2" max="2" width="13.42578125" bestFit="1" customWidth="1"/>
    <col min="3" max="3" width="8.85546875" customWidth="1"/>
    <col min="4" max="4" width="37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7109375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10.5703125" style="2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26.25">
      <c r="A8" s="118" t="s">
        <v>53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20.100000000000001" customHeight="1">
      <c r="A13" s="125" t="s">
        <v>0</v>
      </c>
      <c r="B13" s="125"/>
      <c r="C13" s="65"/>
      <c r="D13" s="65"/>
      <c r="E13" s="66"/>
      <c r="F13" s="125">
        <v>1</v>
      </c>
      <c r="G13" s="125"/>
      <c r="H13" s="125"/>
      <c r="I13" s="126"/>
      <c r="J13" s="127">
        <v>2</v>
      </c>
      <c r="K13" s="125"/>
      <c r="L13" s="125"/>
      <c r="M13" s="126"/>
      <c r="N13" s="127">
        <v>3</v>
      </c>
      <c r="O13" s="125"/>
      <c r="P13" s="125"/>
      <c r="Q13" s="126"/>
      <c r="R13" s="127">
        <v>4</v>
      </c>
      <c r="S13" s="125"/>
      <c r="T13" s="125"/>
      <c r="U13" s="126"/>
      <c r="V13" s="127">
        <v>5</v>
      </c>
      <c r="W13" s="125"/>
      <c r="X13" s="125"/>
      <c r="Y13" s="126"/>
      <c r="Z13" s="117" t="s">
        <v>47</v>
      </c>
    </row>
    <row r="14" spans="1:31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117"/>
    </row>
    <row r="15" spans="1:31" ht="24.95" customHeight="1">
      <c r="A15" s="52">
        <v>1</v>
      </c>
      <c r="B15" s="52">
        <v>1</v>
      </c>
      <c r="C15" s="113">
        <v>263</v>
      </c>
      <c r="D15" s="23" t="s">
        <v>1059</v>
      </c>
      <c r="E15" s="24" t="s">
        <v>868</v>
      </c>
      <c r="F15" s="3">
        <v>1</v>
      </c>
      <c r="G15" s="15">
        <v>10</v>
      </c>
      <c r="H15" s="3">
        <v>1</v>
      </c>
      <c r="I15" s="25">
        <v>200</v>
      </c>
      <c r="J15" s="33">
        <v>1</v>
      </c>
      <c r="K15" s="22">
        <v>10</v>
      </c>
      <c r="L15" s="22">
        <v>1</v>
      </c>
      <c r="M15" s="34">
        <v>200</v>
      </c>
      <c r="N15" s="26"/>
      <c r="O15" s="3">
        <f>IFERROR(VLOOKUP(N15,'Puntos XCC Menor'!$A$1:$B$15,2,FALSE),0)</f>
        <v>0</v>
      </c>
      <c r="P15" s="3">
        <v>2</v>
      </c>
      <c r="Q15" s="34">
        <f>IFERROR(VLOOKUP(P15,'Puntos XCO'!$A$1:$B$63,2,FALSE),0)</f>
        <v>150</v>
      </c>
      <c r="R15" s="16">
        <v>1</v>
      </c>
      <c r="S15" s="3">
        <f>IFERROR(VLOOKUP(R15,'Puntos XCC Menor'!$A$1:$B$15,2,FALSE),0)</f>
        <v>10</v>
      </c>
      <c r="T15" s="15">
        <v>1</v>
      </c>
      <c r="U15" s="39">
        <f>IFERROR(VLOOKUP(T15,'Puntos XCO'!$A$1:$B$63,2,FALSE),0)</f>
        <v>200</v>
      </c>
      <c r="V15" s="16">
        <f>IFERROR(VLOOKUP(C15,RESXCC_1,9,FALSE),0)</f>
        <v>1</v>
      </c>
      <c r="W15" s="15">
        <f>IFERROR(VLOOKUP(V15,'Puntos XCC Mayor'!$A$1:$B$15,2,FALSE),0)</f>
        <v>25</v>
      </c>
      <c r="X15" s="15">
        <f>IFERROR(VLOOKUP(C15,RESXCO,9,FALSE),0)</f>
        <v>1</v>
      </c>
      <c r="Y15" s="25">
        <f>IFERROR(VLOOKUP(X15,'Puntos XCO'!$A$1:$B$63,2,FALSE),0)</f>
        <v>200</v>
      </c>
      <c r="Z15" s="27">
        <f>G15+I15+K15+M15+O15+Q15+S15+U15+W15+Y15</f>
        <v>1005</v>
      </c>
      <c r="AB15" s="2"/>
      <c r="AC15" s="13"/>
      <c r="AD15" s="12"/>
      <c r="AE15" s="14"/>
    </row>
    <row r="16" spans="1:31" ht="24.95" customHeight="1">
      <c r="A16" s="52">
        <v>2</v>
      </c>
      <c r="B16" s="52">
        <v>2</v>
      </c>
      <c r="C16" s="113">
        <v>264</v>
      </c>
      <c r="D16" s="23" t="s">
        <v>269</v>
      </c>
      <c r="E16" s="24" t="s">
        <v>647</v>
      </c>
      <c r="F16" s="3">
        <v>2</v>
      </c>
      <c r="G16" s="15">
        <v>9</v>
      </c>
      <c r="H16" s="3">
        <v>4</v>
      </c>
      <c r="I16" s="25">
        <v>110</v>
      </c>
      <c r="J16" s="33">
        <v>2</v>
      </c>
      <c r="K16" s="22">
        <v>9</v>
      </c>
      <c r="L16" s="22">
        <v>2</v>
      </c>
      <c r="M16" s="34">
        <v>150</v>
      </c>
      <c r="N16" s="26"/>
      <c r="O16" s="3">
        <f>IFERROR(VLOOKUP(N16,'Puntos XCC Menor'!$A$1:$B$15,2,FALSE),0)</f>
        <v>0</v>
      </c>
      <c r="P16" s="3">
        <v>4</v>
      </c>
      <c r="Q16" s="34">
        <f>IFERROR(VLOOKUP(P16,'Puntos XCO'!$A$1:$B$63,2,FALSE),0)</f>
        <v>110</v>
      </c>
      <c r="R16" s="16">
        <v>2</v>
      </c>
      <c r="S16" s="3">
        <f>IFERROR(VLOOKUP(R16,'Puntos XCC Menor'!$A$1:$B$15,2,FALSE),0)</f>
        <v>9</v>
      </c>
      <c r="T16" s="15">
        <v>2</v>
      </c>
      <c r="U16" s="39">
        <f>IFERROR(VLOOKUP(T16,'Puntos XCO'!$A$1:$B$63,2,FALSE),0)</f>
        <v>150</v>
      </c>
      <c r="V16" s="16">
        <f>IFERROR(VLOOKUP(C16,RESXCC_1,9,FALSE),0)</f>
        <v>2</v>
      </c>
      <c r="W16" s="15">
        <f>IFERROR(VLOOKUP(V16,'Puntos XCC Mayor'!$A$1:$B$15,2,FALSE),0)</f>
        <v>20</v>
      </c>
      <c r="X16" s="15">
        <f>IFERROR(VLOOKUP(C16,RESXCO,9,FALSE),0)</f>
        <v>2</v>
      </c>
      <c r="Y16" s="25">
        <f>IFERROR(VLOOKUP(X16,'Puntos XCO'!$A$1:$B$63,2,FALSE),0)</f>
        <v>150</v>
      </c>
      <c r="Z16" s="27">
        <f>G16+I16+K16+M16+O16+Q16+S16+U16+W16+Y16</f>
        <v>717</v>
      </c>
      <c r="AB16" s="2"/>
      <c r="AC16" s="13"/>
      <c r="AD16" s="12"/>
      <c r="AE16" s="14"/>
    </row>
    <row r="17" spans="1:31" ht="24.95" customHeight="1">
      <c r="A17" s="52">
        <v>3</v>
      </c>
      <c r="B17" s="52">
        <v>3</v>
      </c>
      <c r="C17" s="114">
        <v>265</v>
      </c>
      <c r="D17" s="23" t="s">
        <v>1060</v>
      </c>
      <c r="E17" s="24" t="s">
        <v>133</v>
      </c>
      <c r="F17" s="3"/>
      <c r="G17" s="15"/>
      <c r="H17" s="15"/>
      <c r="I17" s="25"/>
      <c r="J17" s="33">
        <v>4</v>
      </c>
      <c r="K17" s="22">
        <v>7</v>
      </c>
      <c r="L17" s="22">
        <v>3</v>
      </c>
      <c r="M17" s="34">
        <v>120</v>
      </c>
      <c r="N17" s="26"/>
      <c r="O17" s="3">
        <f>IFERROR(VLOOKUP(N17,'Puntos XCC Menor'!$A$1:$B$15,2,FALSE),0)</f>
        <v>0</v>
      </c>
      <c r="P17" s="3">
        <v>5</v>
      </c>
      <c r="Q17" s="34">
        <f>IFERROR(VLOOKUP(P17,'Puntos XCO'!$A$1:$B$63,2,FALSE),0)</f>
        <v>100</v>
      </c>
      <c r="R17" s="16">
        <v>3</v>
      </c>
      <c r="S17" s="3">
        <f>IFERROR(VLOOKUP(R17,'Puntos XCC Menor'!$A$1:$B$15,2,FALSE),0)</f>
        <v>8</v>
      </c>
      <c r="T17" s="15">
        <v>0</v>
      </c>
      <c r="U17" s="39">
        <f>IFERROR(VLOOKUP(T17,'Puntos XCO'!$A$1:$B$63,2,FALSE),0)</f>
        <v>0</v>
      </c>
      <c r="V17" s="16">
        <f>IFERROR(VLOOKUP(C17,RESXCC_1,9,FALSE),0)</f>
        <v>4</v>
      </c>
      <c r="W17" s="15">
        <f>IFERROR(VLOOKUP(V17,'Puntos XCC Mayor'!$A$1:$B$15,2,FALSE),0)</f>
        <v>14</v>
      </c>
      <c r="X17" s="15">
        <f>IFERROR(VLOOKUP(C17,RESXCO,9,FALSE),0)</f>
        <v>5</v>
      </c>
      <c r="Y17" s="25">
        <f>IFERROR(VLOOKUP(X17,'Puntos XCO'!$A$1:$B$63,2,FALSE),0)</f>
        <v>100</v>
      </c>
      <c r="Z17" s="27">
        <f>G17+I17+K17+M17+O17+Q17+S17+U17+W17+Y17</f>
        <v>349</v>
      </c>
      <c r="AB17" s="2"/>
      <c r="AC17" s="13"/>
      <c r="AD17" s="12"/>
      <c r="AE17" s="14"/>
    </row>
    <row r="18" spans="1:31" ht="24.95" customHeight="1">
      <c r="A18" s="52">
        <v>4</v>
      </c>
      <c r="B18" s="52">
        <v>7</v>
      </c>
      <c r="C18" s="113">
        <v>266</v>
      </c>
      <c r="D18" s="23" t="s">
        <v>271</v>
      </c>
      <c r="E18" s="24" t="s">
        <v>137</v>
      </c>
      <c r="F18" s="3">
        <v>0</v>
      </c>
      <c r="G18" s="15">
        <v>0</v>
      </c>
      <c r="H18" s="3">
        <v>3</v>
      </c>
      <c r="I18" s="25">
        <v>120</v>
      </c>
      <c r="J18" s="33">
        <v>0</v>
      </c>
      <c r="K18" s="22">
        <v>0</v>
      </c>
      <c r="L18" s="22">
        <v>0</v>
      </c>
      <c r="M18" s="34">
        <v>0</v>
      </c>
      <c r="N18" s="26"/>
      <c r="O18" s="3">
        <f>IFERROR(VLOOKUP(N18,'Puntos XCC Menor'!$A$1:$B$15,2,FALSE),0)</f>
        <v>0</v>
      </c>
      <c r="P18" s="3"/>
      <c r="Q18" s="34">
        <f>IFERROR(VLOOKUP(P18,'Puntos XCO'!$A$1:$B$63,2,FALSE),0)</f>
        <v>0</v>
      </c>
      <c r="R18" s="16">
        <v>0</v>
      </c>
      <c r="S18" s="3">
        <f>IFERROR(VLOOKUP(R18,'Puntos XCC Menor'!$A$1:$B$15,2,FALSE),0)</f>
        <v>0</v>
      </c>
      <c r="T18" s="15">
        <v>0</v>
      </c>
      <c r="U18" s="39">
        <f>IFERROR(VLOOKUP(T18,'Puntos XCO'!$A$1:$B$63,2,FALSE),0)</f>
        <v>0</v>
      </c>
      <c r="V18" s="16">
        <f>IFERROR(VLOOKUP(C18,RESXCC_1,9,FALSE),0)</f>
        <v>3</v>
      </c>
      <c r="W18" s="15">
        <f>IFERROR(VLOOKUP(V18,'Puntos XCC Mayor'!$A$1:$B$15,2,FALSE),0)</f>
        <v>16</v>
      </c>
      <c r="X18" s="15">
        <f>IFERROR(VLOOKUP(C18,RESXCO,9,FALSE),0)</f>
        <v>3</v>
      </c>
      <c r="Y18" s="25">
        <f>IFERROR(VLOOKUP(X18,'Puntos XCO'!$A$1:$B$63,2,FALSE),0)</f>
        <v>120</v>
      </c>
      <c r="Z18" s="27">
        <f>G18+I18+K18+M18+O18+Q18+S18+U18+W18+Y18</f>
        <v>256</v>
      </c>
      <c r="AB18" s="2"/>
      <c r="AC18" s="13"/>
      <c r="AD18" s="12"/>
      <c r="AE18" s="14"/>
    </row>
    <row r="19" spans="1:31" ht="24.95" customHeight="1">
      <c r="A19" s="52">
        <v>5</v>
      </c>
      <c r="B19" s="52">
        <v>4</v>
      </c>
      <c r="C19" s="113">
        <v>261</v>
      </c>
      <c r="D19" s="23" t="s">
        <v>1057</v>
      </c>
      <c r="E19" s="24" t="s">
        <v>906</v>
      </c>
      <c r="F19" s="3"/>
      <c r="G19" s="15"/>
      <c r="H19" s="3"/>
      <c r="I19" s="63"/>
      <c r="J19" s="33"/>
      <c r="K19" s="22"/>
      <c r="L19" s="22"/>
      <c r="M19" s="34"/>
      <c r="N19" s="26"/>
      <c r="O19" s="3"/>
      <c r="P19" s="3">
        <v>1</v>
      </c>
      <c r="Q19" s="34">
        <f>IFERROR(VLOOKUP(P19,'Puntos XCO'!$A$1:$B$63,2,FALSE),0)</f>
        <v>200</v>
      </c>
      <c r="R19" s="16">
        <v>0</v>
      </c>
      <c r="S19" s="3">
        <f>IFERROR(VLOOKUP(R19,'Puntos XCC Menor'!$A$1:$B$15,2,FALSE),0)</f>
        <v>0</v>
      </c>
      <c r="T19" s="15">
        <v>0</v>
      </c>
      <c r="U19" s="39">
        <f>IFERROR(VLOOKUP(T19,'Puntos XCO'!$A$1:$B$63,2,FALSE),0)</f>
        <v>0</v>
      </c>
      <c r="V19" s="16">
        <f>IFERROR(VLOOKUP(C19,RESXCC_1,9,FALSE),0)</f>
        <v>0</v>
      </c>
      <c r="W19" s="15">
        <f>IFERROR(VLOOKUP(V19,'Puntos XCC Mayor'!$A$1:$B$15,2,FALSE),0)</f>
        <v>0</v>
      </c>
      <c r="X19" s="15">
        <f>IFERROR(VLOOKUP(C19,RESXCO,9,FALSE),0)</f>
        <v>0</v>
      </c>
      <c r="Y19" s="25">
        <f>IFERROR(VLOOKUP(X19,'Puntos XCO'!$A$1:$B$63,2,FALSE),0)</f>
        <v>0</v>
      </c>
      <c r="Z19" s="27">
        <f>G19+I19+K19+M19+O19+Q19+S19+U19+W19+Y19</f>
        <v>200</v>
      </c>
      <c r="AB19" s="3"/>
    </row>
    <row r="20" spans="1:31" ht="24.95" customHeight="1">
      <c r="A20" s="52">
        <v>6</v>
      </c>
      <c r="B20" s="52">
        <v>5</v>
      </c>
      <c r="C20" s="113"/>
      <c r="D20" s="23" t="s">
        <v>645</v>
      </c>
      <c r="E20" s="24" t="s">
        <v>113</v>
      </c>
      <c r="F20" s="3">
        <v>3</v>
      </c>
      <c r="G20" s="15">
        <v>8</v>
      </c>
      <c r="H20" s="3">
        <v>2</v>
      </c>
      <c r="I20" s="63">
        <v>150</v>
      </c>
      <c r="J20" s="33">
        <v>3</v>
      </c>
      <c r="K20" s="22">
        <v>8</v>
      </c>
      <c r="L20" s="22">
        <v>0</v>
      </c>
      <c r="M20" s="34">
        <v>0</v>
      </c>
      <c r="N20" s="26"/>
      <c r="O20" s="3">
        <f>IFERROR(VLOOKUP(N20,'Puntos XCC Menor'!$A$1:$B$15,2,FALSE),0)</f>
        <v>0</v>
      </c>
      <c r="P20" s="3"/>
      <c r="Q20" s="34">
        <f>IFERROR(VLOOKUP(P20,'Puntos XCO'!$A$1:$B$63,2,FALSE),0)</f>
        <v>0</v>
      </c>
      <c r="R20" s="16">
        <v>0</v>
      </c>
      <c r="S20" s="3">
        <f>IFERROR(VLOOKUP(R20,'Puntos XCC Menor'!$A$1:$B$15,2,FALSE),0)</f>
        <v>0</v>
      </c>
      <c r="T20" s="15">
        <v>0</v>
      </c>
      <c r="U20" s="39">
        <f>IFERROR(VLOOKUP(T20,'Puntos XCO'!$A$1:$B$63,2,FALSE),0)</f>
        <v>0</v>
      </c>
      <c r="V20" s="16">
        <f>IFERROR(VLOOKUP(C20,RESXCC_1,9,FALSE),0)</f>
        <v>0</v>
      </c>
      <c r="W20" s="15">
        <f>IFERROR(VLOOKUP(V20,'Puntos XCC Mayor'!$A$1:$B$15,2,FALSE),0)</f>
        <v>0</v>
      </c>
      <c r="X20" s="15">
        <f>IFERROR(VLOOKUP(C20,RESXCO,9,FALSE),0)</f>
        <v>0</v>
      </c>
      <c r="Y20" s="25">
        <f>IFERROR(VLOOKUP(X20,'Puntos XCO'!$A$1:$B$63,2,FALSE),0)</f>
        <v>0</v>
      </c>
      <c r="Z20" s="27">
        <f>G20+I20+K20+M20+O20+Q20+S20+U20+W20+Y20</f>
        <v>166</v>
      </c>
      <c r="AB20" s="3"/>
    </row>
    <row r="21" spans="1:31" ht="24.95" customHeight="1">
      <c r="A21" s="52">
        <v>7</v>
      </c>
      <c r="B21" s="52">
        <v>6</v>
      </c>
      <c r="C21" s="113">
        <v>262</v>
      </c>
      <c r="D21" s="23" t="s">
        <v>1058</v>
      </c>
      <c r="E21" s="24" t="s">
        <v>1040</v>
      </c>
      <c r="F21" s="3"/>
      <c r="G21" s="15"/>
      <c r="H21" s="3"/>
      <c r="I21" s="63"/>
      <c r="J21" s="33"/>
      <c r="K21" s="22"/>
      <c r="L21" s="22"/>
      <c r="M21" s="34"/>
      <c r="N21" s="26"/>
      <c r="O21" s="3"/>
      <c r="P21" s="3">
        <v>3</v>
      </c>
      <c r="Q21" s="34">
        <f>IFERROR(VLOOKUP(P21,'Puntos XCO'!$A$1:$B$63,2,FALSE),0)</f>
        <v>120</v>
      </c>
      <c r="R21" s="16">
        <v>0</v>
      </c>
      <c r="S21" s="3">
        <f>IFERROR(VLOOKUP(R21,'Puntos XCC Menor'!$A$1:$B$15,2,FALSE),0)</f>
        <v>0</v>
      </c>
      <c r="T21" s="15">
        <v>0</v>
      </c>
      <c r="U21" s="39">
        <f>IFERROR(VLOOKUP(T21,'Puntos XCO'!$A$1:$B$63,2,FALSE),0)</f>
        <v>0</v>
      </c>
      <c r="V21" s="16">
        <f>IFERROR(VLOOKUP(C21,RESXCC_1,9,FALSE),0)</f>
        <v>0</v>
      </c>
      <c r="W21" s="15">
        <f>IFERROR(VLOOKUP(V21,'Puntos XCC Mayor'!$A$1:$B$15,2,FALSE),0)</f>
        <v>0</v>
      </c>
      <c r="X21" s="15">
        <f>IFERROR(VLOOKUP(C21,RESXCO,9,FALSE),0)</f>
        <v>0</v>
      </c>
      <c r="Y21" s="25">
        <f>IFERROR(VLOOKUP(X21,'Puntos XCO'!$A$1:$B$63,2,FALSE),0)</f>
        <v>0</v>
      </c>
      <c r="Z21" s="27">
        <f>G21+I21+K21+M21+O21+Q21+S21+U21+W21+Y21</f>
        <v>120</v>
      </c>
      <c r="AB21" s="3"/>
    </row>
    <row r="22" spans="1:31" ht="24.95" customHeight="1">
      <c r="A22" s="52">
        <v>8</v>
      </c>
      <c r="B22" s="52"/>
      <c r="C22" s="133">
        <v>267</v>
      </c>
      <c r="D22" s="23" t="str">
        <f>VLOOKUP(C22,PLANILLA,2,FALSE)</f>
        <v>CALVO Fiorella</v>
      </c>
      <c r="E22" s="24" t="str">
        <f>VLOOKUP(C22,PLANILLA,4,FALSE)</f>
        <v xml:space="preserve">ASOCIACIÓN CICLISTICA GRECIA </v>
      </c>
      <c r="F22" s="3"/>
      <c r="G22" s="15"/>
      <c r="H22" s="3"/>
      <c r="I22" s="63"/>
      <c r="J22" s="33"/>
      <c r="K22" s="22"/>
      <c r="L22" s="22"/>
      <c r="M22" s="34"/>
      <c r="N22" s="26"/>
      <c r="O22" s="3"/>
      <c r="P22" s="3"/>
      <c r="Q22" s="34"/>
      <c r="R22" s="16"/>
      <c r="S22" s="3"/>
      <c r="T22" s="15"/>
      <c r="U22" s="39"/>
      <c r="V22" s="16">
        <f>IFERROR(VLOOKUP(C22,RESXCC_1,9,FALSE),0)</f>
        <v>0</v>
      </c>
      <c r="W22" s="15">
        <f>IFERROR(VLOOKUP(V22,'Puntos XCC Mayor'!$A$1:$B$15,2,FALSE),0)</f>
        <v>0</v>
      </c>
      <c r="X22" s="15">
        <f>IFERROR(VLOOKUP(C22,RESXCO,9,FALSE),0)</f>
        <v>4</v>
      </c>
      <c r="Y22" s="25">
        <f>IFERROR(VLOOKUP(X22,'Puntos XCO'!$A$1:$B$63,2,FALSE),0)</f>
        <v>110</v>
      </c>
      <c r="Z22" s="27">
        <f>G22+I22+K22+M22+O22+Q22+S22+U22+W22+Y22</f>
        <v>110</v>
      </c>
      <c r="AB22" s="3"/>
    </row>
    <row r="23" spans="1:31" ht="24.95" customHeight="1">
      <c r="A23" s="3"/>
      <c r="B23" s="3"/>
      <c r="C23" s="42"/>
      <c r="D23" s="23"/>
      <c r="E23" s="53"/>
      <c r="F23" s="3"/>
      <c r="G23" s="15"/>
      <c r="H23" s="15"/>
      <c r="I23" s="15"/>
      <c r="J23" s="3"/>
      <c r="K23" s="15"/>
      <c r="L23" s="15"/>
      <c r="M23" s="15"/>
      <c r="N23" s="15"/>
      <c r="O23" s="15"/>
      <c r="P23" s="3"/>
      <c r="Q23" s="15"/>
      <c r="R23" s="15"/>
      <c r="S23" s="15"/>
      <c r="T23" s="15"/>
      <c r="U23" s="15"/>
      <c r="V23" s="15"/>
      <c r="W23" s="15"/>
      <c r="X23" s="15"/>
      <c r="Y23" s="15"/>
      <c r="Z23" s="27"/>
      <c r="AB23" s="3"/>
    </row>
    <row r="24" spans="1:31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74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spans="1:31">
      <c r="M25" s="9"/>
      <c r="N25" s="9"/>
      <c r="O25" s="9"/>
      <c r="P25" s="10"/>
      <c r="Q25" s="9"/>
      <c r="R25" s="9"/>
      <c r="S25" s="9"/>
      <c r="T25" s="9"/>
      <c r="U25" s="9"/>
    </row>
    <row r="26" spans="1:31" ht="127.5" customHeight="1"/>
    <row r="27" spans="1:3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74"/>
      <c r="Q27" s="65"/>
      <c r="R27" s="65"/>
      <c r="S27" s="65"/>
      <c r="T27" s="65"/>
      <c r="U27" s="65"/>
      <c r="V27" s="65"/>
      <c r="W27" s="65"/>
      <c r="X27" s="65"/>
      <c r="Y27" s="65"/>
      <c r="Z27" s="65"/>
    </row>
  </sheetData>
  <sortState ref="B15:Z22">
    <sortCondition descending="1" ref="Z15:Z22"/>
    <sortCondition ref="X15:X22"/>
  </sortState>
  <mergeCells count="10">
    <mergeCell ref="A8:Z8"/>
    <mergeCell ref="A10:Z10"/>
    <mergeCell ref="A11:Z11"/>
    <mergeCell ref="A13:B13"/>
    <mergeCell ref="F13:I13"/>
    <mergeCell ref="J13:M13"/>
    <mergeCell ref="N13:Q13"/>
    <mergeCell ref="R13:U13"/>
    <mergeCell ref="V13:Y13"/>
    <mergeCell ref="Z13:Z14"/>
  </mergeCells>
  <conditionalFormatting sqref="C24:C65502 C1:C9 C12:C14">
    <cfRule type="duplicateValues" dxfId="459" priority="56" stopIfTrue="1"/>
  </conditionalFormatting>
  <conditionalFormatting sqref="F19 F23">
    <cfRule type="duplicateValues" dxfId="458" priority="6976" stopIfTrue="1"/>
  </conditionalFormatting>
  <conditionalFormatting sqref="B23">
    <cfRule type="duplicateValues" dxfId="457" priority="6977" stopIfTrue="1"/>
  </conditionalFormatting>
  <conditionalFormatting sqref="C15:C18">
    <cfRule type="duplicateValues" dxfId="456" priority="15"/>
  </conditionalFormatting>
  <conditionalFormatting sqref="AB15:AB23">
    <cfRule type="duplicateValues" dxfId="455" priority="7262"/>
  </conditionalFormatting>
  <conditionalFormatting sqref="F20">
    <cfRule type="duplicateValues" dxfId="454" priority="8" stopIfTrue="1"/>
  </conditionalFormatting>
  <conditionalFormatting sqref="F21">
    <cfRule type="duplicateValues" dxfId="453" priority="7" stopIfTrue="1"/>
  </conditionalFormatting>
  <conditionalFormatting sqref="C11">
    <cfRule type="duplicateValues" dxfId="452" priority="5" stopIfTrue="1"/>
  </conditionalFormatting>
  <conditionalFormatting sqref="C11">
    <cfRule type="duplicateValues" dxfId="451" priority="6" stopIfTrue="1"/>
  </conditionalFormatting>
  <conditionalFormatting sqref="D11">
    <cfRule type="duplicateValues" dxfId="450" priority="4" stopIfTrue="1"/>
  </conditionalFormatting>
  <conditionalFormatting sqref="C10">
    <cfRule type="duplicateValues" dxfId="449" priority="2" stopIfTrue="1"/>
  </conditionalFormatting>
  <conditionalFormatting sqref="C10">
    <cfRule type="duplicateValues" dxfId="448" priority="3" stopIfTrue="1"/>
  </conditionalFormatting>
  <conditionalFormatting sqref="F22">
    <cfRule type="duplicateValues" dxfId="447" priority="1" stopIfTrue="1"/>
  </conditionalFormatting>
  <pageMargins left="0.70866141732283472" right="0.70866141732283472" top="0.74803149606299213" bottom="0.74803149606299213" header="0.31496062992125984" footer="0.31496062992125984"/>
  <pageSetup paperSize="9" scale="4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">
    <pageSetUpPr fitToPage="1"/>
  </sheetPr>
  <dimension ref="A8:AE75"/>
  <sheetViews>
    <sheetView showGridLines="0" topLeftCell="A58" zoomScale="70" zoomScaleNormal="70" zoomScaleSheetLayoutView="90" workbookViewId="0">
      <selection activeCell="A15" sqref="A15:A67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33.140625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10.5703125" style="2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26.25">
      <c r="A8" s="118" t="s">
        <v>54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20.100000000000001" customHeight="1">
      <c r="A13" s="125" t="s">
        <v>0</v>
      </c>
      <c r="B13" s="125"/>
      <c r="C13" s="65"/>
      <c r="D13" s="65"/>
      <c r="E13" s="66"/>
      <c r="F13" s="125">
        <v>1</v>
      </c>
      <c r="G13" s="125"/>
      <c r="H13" s="125"/>
      <c r="I13" s="126"/>
      <c r="J13" s="127">
        <v>2</v>
      </c>
      <c r="K13" s="125"/>
      <c r="L13" s="125"/>
      <c r="M13" s="126"/>
      <c r="N13" s="127">
        <v>3</v>
      </c>
      <c r="O13" s="125"/>
      <c r="P13" s="125"/>
      <c r="Q13" s="126"/>
      <c r="R13" s="127">
        <v>4</v>
      </c>
      <c r="S13" s="125"/>
      <c r="T13" s="125"/>
      <c r="U13" s="126"/>
      <c r="V13" s="127">
        <v>5</v>
      </c>
      <c r="W13" s="125"/>
      <c r="X13" s="125"/>
      <c r="Y13" s="126"/>
      <c r="Z13" s="117" t="s">
        <v>47</v>
      </c>
    </row>
    <row r="14" spans="1:31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117"/>
    </row>
    <row r="15" spans="1:31" ht="24.95" customHeight="1">
      <c r="A15" s="3">
        <v>1</v>
      </c>
      <c r="B15" s="3">
        <v>2</v>
      </c>
      <c r="C15" s="22">
        <v>307</v>
      </c>
      <c r="D15" s="23" t="str">
        <f>VLOOKUP(C15,PLANILLA,2,FALSE)</f>
        <v>ARIAS Daniel*</v>
      </c>
      <c r="E15" s="24" t="str">
        <f>VLOOKUP(C15,PLANILLA,4,FALSE)</f>
        <v xml:space="preserve">CICLISMO BELÉN </v>
      </c>
      <c r="F15" s="3">
        <v>4</v>
      </c>
      <c r="G15" s="15">
        <v>7</v>
      </c>
      <c r="H15" s="3">
        <v>16</v>
      </c>
      <c r="I15" s="25">
        <v>66</v>
      </c>
      <c r="J15" s="33">
        <v>0</v>
      </c>
      <c r="K15" s="22">
        <v>0</v>
      </c>
      <c r="L15" s="22">
        <v>6</v>
      </c>
      <c r="M15" s="34">
        <v>95</v>
      </c>
      <c r="N15" s="26"/>
      <c r="O15" s="3">
        <f>IFERROR(VLOOKUP(N15,'Puntos XCC Menor'!$A$1:$B$15,2,FALSE),0)</f>
        <v>0</v>
      </c>
      <c r="P15" s="3">
        <v>3</v>
      </c>
      <c r="Q15" s="34">
        <f>IFERROR(VLOOKUP(P15,'Puntos XCO'!$A$1:$B$63,2,FALSE),0)</f>
        <v>120</v>
      </c>
      <c r="R15" s="16">
        <v>4</v>
      </c>
      <c r="S15" s="3">
        <f>IFERROR(VLOOKUP(R15,'Puntos XCC Menor'!$A$1:$B$15,2,FALSE),0)</f>
        <v>7</v>
      </c>
      <c r="T15" s="15">
        <v>1</v>
      </c>
      <c r="U15" s="39">
        <f>IFERROR(VLOOKUP(T15,'Puntos XCO'!$A$1:$B$63,2,FALSE),0)</f>
        <v>200</v>
      </c>
      <c r="V15" s="16">
        <f>IFERROR(VLOOKUP(C15,RESXCC_1,9,FALSE),0)</f>
        <v>2</v>
      </c>
      <c r="W15" s="15">
        <f>IFERROR(VLOOKUP(V15,'Puntos XCC Mayor'!$A$1:$B$15,2,FALSE),0)</f>
        <v>20</v>
      </c>
      <c r="X15" s="15">
        <f>IFERROR(VLOOKUP(C15,RESXCO,9,FALSE),0)</f>
        <v>1</v>
      </c>
      <c r="Y15" s="25">
        <f>IFERROR(VLOOKUP(X15,'Puntos XCO'!$A$1:$B$63,2,FALSE),0)</f>
        <v>200</v>
      </c>
      <c r="Z15" s="27">
        <f>G15+I15+K15+M15+O15+Q15+S15+U15+W15+Y15</f>
        <v>715</v>
      </c>
      <c r="AB15" s="2"/>
      <c r="AC15" s="13"/>
      <c r="AD15" s="12"/>
      <c r="AE15" s="14"/>
    </row>
    <row r="16" spans="1:31" ht="24.95" customHeight="1">
      <c r="A16" s="3">
        <v>2</v>
      </c>
      <c r="B16" s="3">
        <v>1</v>
      </c>
      <c r="C16" s="22">
        <v>301</v>
      </c>
      <c r="D16" s="23" t="str">
        <f>VLOOKUP(C16,PLANILLA,2,FALSE)</f>
        <v xml:space="preserve">GARCÍA  Miguel </v>
      </c>
      <c r="E16" s="24" t="str">
        <f>VLOOKUP(C16,PLANILLA,4,FALSE)</f>
        <v xml:space="preserve">COLONO BIKE STATION KOLBI </v>
      </c>
      <c r="F16" s="3">
        <v>2</v>
      </c>
      <c r="G16" s="15">
        <v>9</v>
      </c>
      <c r="H16" s="3">
        <v>0</v>
      </c>
      <c r="I16" s="25">
        <v>0</v>
      </c>
      <c r="J16" s="33">
        <v>3</v>
      </c>
      <c r="K16" s="22">
        <v>8</v>
      </c>
      <c r="L16" s="22">
        <v>1</v>
      </c>
      <c r="M16" s="34">
        <v>200</v>
      </c>
      <c r="N16" s="26"/>
      <c r="O16" s="3">
        <f>IFERROR(VLOOKUP(N16,'Puntos XCC Menor'!$A$1:$B$15,2,FALSE),0)</f>
        <v>0</v>
      </c>
      <c r="P16" s="3">
        <v>2</v>
      </c>
      <c r="Q16" s="34">
        <f>IFERROR(VLOOKUP(P16,'Puntos XCO'!$A$1:$B$63,2,FALSE),0)</f>
        <v>150</v>
      </c>
      <c r="R16" s="16">
        <v>1</v>
      </c>
      <c r="S16" s="3">
        <f>IFERROR(VLOOKUP(R16,'Puntos XCC Menor'!$A$1:$B$15,2,FALSE),0)</f>
        <v>10</v>
      </c>
      <c r="T16" s="15">
        <v>3</v>
      </c>
      <c r="U16" s="39">
        <f>IFERROR(VLOOKUP(T16,'Puntos XCO'!$A$1:$B$63,2,FALSE),0)</f>
        <v>120</v>
      </c>
      <c r="V16" s="16">
        <f>IFERROR(VLOOKUP(C16,RESXCC_1,9,FALSE),0)</f>
        <v>1</v>
      </c>
      <c r="W16" s="15">
        <f>IFERROR(VLOOKUP(V16,'Puntos XCC Mayor'!$A$1:$B$15,2,FALSE),0)</f>
        <v>25</v>
      </c>
      <c r="X16" s="15">
        <f>IFERROR(VLOOKUP(C16,RESXCO,9,FALSE),0)</f>
        <v>4</v>
      </c>
      <c r="Y16" s="25">
        <f>IFERROR(VLOOKUP(X16,'Puntos XCO'!$A$1:$B$63,2,FALSE),0)</f>
        <v>110</v>
      </c>
      <c r="Z16" s="27">
        <f>G16+I16+K16+M16+O16+Q16+S16+U16+W16+Y16</f>
        <v>632</v>
      </c>
      <c r="AB16" s="2"/>
      <c r="AC16" s="13"/>
      <c r="AD16" s="12"/>
      <c r="AE16" s="14"/>
    </row>
    <row r="17" spans="1:31" ht="24.95" customHeight="1">
      <c r="A17" s="3">
        <v>3</v>
      </c>
      <c r="B17" s="3">
        <v>3</v>
      </c>
      <c r="C17" s="22">
        <v>311</v>
      </c>
      <c r="D17" s="23" t="str">
        <f>VLOOKUP(C17,PLANILLA,2,FALSE)</f>
        <v>SABALLO Joshua</v>
      </c>
      <c r="E17" s="24" t="str">
        <f>VLOOKUP(C17,PLANILLA,4,FALSE)</f>
        <v xml:space="preserve">CICLISMO BELÉN </v>
      </c>
      <c r="F17" s="3">
        <v>6</v>
      </c>
      <c r="G17" s="15">
        <v>5</v>
      </c>
      <c r="H17" s="3">
        <v>17</v>
      </c>
      <c r="I17" s="25">
        <v>64</v>
      </c>
      <c r="J17" s="33">
        <v>2</v>
      </c>
      <c r="K17" s="22">
        <v>9</v>
      </c>
      <c r="L17" s="22">
        <v>3</v>
      </c>
      <c r="M17" s="34">
        <v>120</v>
      </c>
      <c r="N17" s="26"/>
      <c r="O17" s="3">
        <f>IFERROR(VLOOKUP(N17,'Puntos XCC Menor'!$A$1:$B$15,2,FALSE),0)</f>
        <v>0</v>
      </c>
      <c r="P17" s="3">
        <v>6</v>
      </c>
      <c r="Q17" s="34">
        <f>IFERROR(VLOOKUP(P17,'Puntos XCO'!$A$1:$B$63,2,FALSE),0)</f>
        <v>95</v>
      </c>
      <c r="R17" s="16">
        <v>3</v>
      </c>
      <c r="S17" s="3">
        <f>IFERROR(VLOOKUP(R17,'Puntos XCC Menor'!$A$1:$B$15,2,FALSE),0)</f>
        <v>8</v>
      </c>
      <c r="T17" s="15">
        <v>2</v>
      </c>
      <c r="U17" s="39">
        <f>IFERROR(VLOOKUP(T17,'Puntos XCO'!$A$1:$B$63,2,FALSE),0)</f>
        <v>150</v>
      </c>
      <c r="V17" s="16">
        <f>IFERROR(VLOOKUP(C17,RESXCC_1,9,FALSE),0)</f>
        <v>4</v>
      </c>
      <c r="W17" s="15">
        <f>IFERROR(VLOOKUP(V17,'Puntos XCC Mayor'!$A$1:$B$15,2,FALSE),0)</f>
        <v>14</v>
      </c>
      <c r="X17" s="15">
        <f>IFERROR(VLOOKUP(C17,RESXCO,9,FALSE),0)</f>
        <v>5</v>
      </c>
      <c r="Y17" s="25">
        <f>IFERROR(VLOOKUP(X17,'Puntos XCO'!$A$1:$B$63,2,FALSE),0)</f>
        <v>100</v>
      </c>
      <c r="Z17" s="27">
        <f>G17+I17+K17+M17+O17+Q17+S17+U17+W17+Y17</f>
        <v>565</v>
      </c>
      <c r="AB17" s="2"/>
      <c r="AC17" s="13"/>
      <c r="AD17" s="12"/>
      <c r="AE17" s="14"/>
    </row>
    <row r="18" spans="1:31" ht="24.95" customHeight="1">
      <c r="A18" s="3">
        <v>4</v>
      </c>
      <c r="B18" s="3">
        <v>8</v>
      </c>
      <c r="C18" s="22">
        <v>321</v>
      </c>
      <c r="D18" s="23" t="str">
        <f>VLOOKUP(C18,PLANILLA,2,FALSE)</f>
        <v>AGUILAR Luciano</v>
      </c>
      <c r="E18" s="24" t="str">
        <f>VLOOKUP(C18,PLANILLA,4,FALSE)</f>
        <v xml:space="preserve">CODEA ALAJUELA </v>
      </c>
      <c r="F18" s="3">
        <v>3</v>
      </c>
      <c r="G18" s="15">
        <v>8</v>
      </c>
      <c r="H18" s="3">
        <v>2</v>
      </c>
      <c r="I18" s="25">
        <v>150</v>
      </c>
      <c r="J18" s="33">
        <v>4</v>
      </c>
      <c r="K18" s="22">
        <v>7</v>
      </c>
      <c r="L18" s="22">
        <v>0</v>
      </c>
      <c r="M18" s="34">
        <v>0</v>
      </c>
      <c r="N18" s="26"/>
      <c r="O18" s="3">
        <f>IFERROR(VLOOKUP(N18,'Puntos XCC Menor'!$A$1:$B$15,2,FALSE),0)</f>
        <v>0</v>
      </c>
      <c r="P18" s="3">
        <v>8</v>
      </c>
      <c r="Q18" s="34">
        <f>IFERROR(VLOOKUP(P18,'Puntos XCO'!$A$1:$B$63,2,FALSE),0)</f>
        <v>85</v>
      </c>
      <c r="R18" s="16">
        <v>5</v>
      </c>
      <c r="S18" s="3">
        <f>IFERROR(VLOOKUP(R18,'Puntos XCC Menor'!$A$1:$B$15,2,FALSE),0)</f>
        <v>6</v>
      </c>
      <c r="T18" s="15">
        <v>7</v>
      </c>
      <c r="U18" s="39">
        <f>IFERROR(VLOOKUP(T18,'Puntos XCO'!$A$1:$B$63,2,FALSE),0)</f>
        <v>90</v>
      </c>
      <c r="V18" s="16">
        <f>IFERROR(VLOOKUP(C18,RESXCC_1,9,FALSE),0)</f>
        <v>9</v>
      </c>
      <c r="W18" s="15">
        <f>IFERROR(VLOOKUP(V18,'Puntos XCC Mayor'!$A$1:$B$15,2,FALSE),0)</f>
        <v>7</v>
      </c>
      <c r="X18" s="15">
        <f>IFERROR(VLOOKUP(C18,RESXCO,9,FALSE),0)</f>
        <v>2</v>
      </c>
      <c r="Y18" s="25">
        <f>IFERROR(VLOOKUP(X18,'Puntos XCO'!$A$1:$B$63,2,FALSE),0)</f>
        <v>150</v>
      </c>
      <c r="Z18" s="27">
        <f>G18+I18+K18+M18+O18+Q18+S18+U18+W18+Y18</f>
        <v>503</v>
      </c>
      <c r="AB18" s="2"/>
      <c r="AC18" s="13"/>
      <c r="AD18" s="12"/>
      <c r="AE18" s="14"/>
    </row>
    <row r="19" spans="1:31" ht="24.95" customHeight="1">
      <c r="A19" s="3">
        <v>5</v>
      </c>
      <c r="B19" s="3">
        <v>6</v>
      </c>
      <c r="C19" s="22">
        <v>303</v>
      </c>
      <c r="D19" s="23" t="str">
        <f>VLOOKUP(C19,PLANILLA,2,FALSE)</f>
        <v>HERNÁNDEZ  Walter David*</v>
      </c>
      <c r="E19" s="24" t="str">
        <f>VLOOKUP(C19,PLANILLA,4,FALSE)</f>
        <v>SANTA ANA / HDZ TEAM</v>
      </c>
      <c r="F19" s="3">
        <v>7</v>
      </c>
      <c r="G19" s="15">
        <v>4</v>
      </c>
      <c r="H19" s="3">
        <v>5</v>
      </c>
      <c r="I19" s="25">
        <v>100</v>
      </c>
      <c r="J19" s="33">
        <v>8</v>
      </c>
      <c r="K19" s="22">
        <v>3</v>
      </c>
      <c r="L19" s="22">
        <v>9</v>
      </c>
      <c r="M19" s="34">
        <v>80</v>
      </c>
      <c r="N19" s="26"/>
      <c r="O19" s="3">
        <f>IFERROR(VLOOKUP(N19,'Puntos XCC Menor'!$A$1:$B$15,2,FALSE),0)</f>
        <v>0</v>
      </c>
      <c r="P19" s="3">
        <v>5</v>
      </c>
      <c r="Q19" s="34">
        <f>IFERROR(VLOOKUP(P19,'Puntos XCO'!$A$1:$B$63,2,FALSE),0)</f>
        <v>100</v>
      </c>
      <c r="R19" s="16">
        <v>6</v>
      </c>
      <c r="S19" s="3">
        <f>IFERROR(VLOOKUP(R19,'Puntos XCC Menor'!$A$1:$B$15,2,FALSE),0)</f>
        <v>5</v>
      </c>
      <c r="T19" s="15">
        <v>8</v>
      </c>
      <c r="U19" s="39">
        <f>IFERROR(VLOOKUP(T19,'Puntos XCO'!$A$1:$B$63,2,FALSE),0)</f>
        <v>85</v>
      </c>
      <c r="V19" s="16">
        <f>IFERROR(VLOOKUP(C19,RESXCC_1,9,FALSE),0)</f>
        <v>8</v>
      </c>
      <c r="W19" s="15">
        <f>IFERROR(VLOOKUP(V19,'Puntos XCC Mayor'!$A$1:$B$15,2,FALSE),0)</f>
        <v>8</v>
      </c>
      <c r="X19" s="15">
        <f>IFERROR(VLOOKUP(C19,RESXCO,9,FALSE),0)</f>
        <v>6</v>
      </c>
      <c r="Y19" s="25">
        <f>IFERROR(VLOOKUP(X19,'Puntos XCO'!$A$1:$B$63,2,FALSE),0)</f>
        <v>95</v>
      </c>
      <c r="Z19" s="27">
        <f>G19+I19+K19+M19+O19+Q19+S19+U19+W19+Y19</f>
        <v>480</v>
      </c>
      <c r="AB19" s="2"/>
      <c r="AC19" s="13"/>
      <c r="AD19" s="12"/>
      <c r="AE19" s="14"/>
    </row>
    <row r="20" spans="1:31" ht="24.95" customHeight="1">
      <c r="A20" s="3">
        <v>6</v>
      </c>
      <c r="B20" s="3">
        <v>5</v>
      </c>
      <c r="C20" s="22">
        <v>302</v>
      </c>
      <c r="D20" s="23" t="str">
        <f>VLOOKUP(C20,PLANILLA,2,FALSE)</f>
        <v>CAMPOS  Isaac*</v>
      </c>
      <c r="E20" s="24" t="str">
        <f>VLOOKUP(C20,PLANILLA,4,FALSE)</f>
        <v xml:space="preserve">COLONO BIKE STATION KOLBI </v>
      </c>
      <c r="F20" s="3">
        <v>1</v>
      </c>
      <c r="G20" s="15">
        <v>10</v>
      </c>
      <c r="H20" s="3">
        <v>1</v>
      </c>
      <c r="I20" s="25">
        <v>200</v>
      </c>
      <c r="J20" s="33">
        <v>1</v>
      </c>
      <c r="K20" s="22">
        <v>10</v>
      </c>
      <c r="L20" s="22">
        <v>2</v>
      </c>
      <c r="M20" s="34">
        <v>150</v>
      </c>
      <c r="N20" s="26"/>
      <c r="O20" s="3">
        <f>IFERROR(VLOOKUP(N20,'Puntos XCC Menor'!$A$1:$B$15,2,FALSE),0)</f>
        <v>0</v>
      </c>
      <c r="P20" s="3">
        <v>0</v>
      </c>
      <c r="Q20" s="34">
        <f>IFERROR(VLOOKUP(P20,'Puntos XCO'!$A$1:$B$63,2,FALSE),0)</f>
        <v>0</v>
      </c>
      <c r="R20" s="16">
        <v>2</v>
      </c>
      <c r="S20" s="3">
        <f>IFERROR(VLOOKUP(R20,'Puntos XCC Menor'!$A$1:$B$15,2,FALSE),0)</f>
        <v>9</v>
      </c>
      <c r="T20" s="15">
        <v>0</v>
      </c>
      <c r="U20" s="39">
        <f>IFERROR(VLOOKUP(T20,'Puntos XCO'!$A$1:$B$63,2,FALSE),0)</f>
        <v>0</v>
      </c>
      <c r="V20" s="16">
        <f>IFERROR(VLOOKUP(C20,RESXCC_1,9,FALSE),0)</f>
        <v>6</v>
      </c>
      <c r="W20" s="15">
        <f>IFERROR(VLOOKUP(V20,'Puntos XCC Mayor'!$A$1:$B$15,2,FALSE),0)</f>
        <v>10</v>
      </c>
      <c r="X20" s="15">
        <f>IFERROR(VLOOKUP(C20,RESXCO,9,FALSE),0)</f>
        <v>7</v>
      </c>
      <c r="Y20" s="25">
        <f>IFERROR(VLOOKUP(X20,'Puntos XCO'!$A$1:$B$63,2,FALSE),0)</f>
        <v>90</v>
      </c>
      <c r="Z20" s="27">
        <f>G20+I20+K20+M20+O20+Q20+S20+U20+W20+Y20</f>
        <v>479</v>
      </c>
      <c r="AB20" s="2"/>
      <c r="AC20" s="13"/>
      <c r="AD20" s="12"/>
      <c r="AE20" s="14"/>
    </row>
    <row r="21" spans="1:31" ht="24.95" customHeight="1">
      <c r="A21" s="3">
        <v>7</v>
      </c>
      <c r="B21" s="3">
        <v>7</v>
      </c>
      <c r="C21" s="22">
        <v>304</v>
      </c>
      <c r="D21" s="23" t="str">
        <f>VLOOKUP(C21,PLANILLA,2,FALSE)</f>
        <v>RODRIGUEZ Esteban Marcelo*</v>
      </c>
      <c r="E21" s="24" t="str">
        <f>VLOOKUP(C21,PLANILLA,4,FALSE)</f>
        <v>MEGAMO MANZATÉ LA SELVA</v>
      </c>
      <c r="F21" s="3">
        <v>5</v>
      </c>
      <c r="G21" s="15">
        <v>6</v>
      </c>
      <c r="H21" s="3">
        <v>3</v>
      </c>
      <c r="I21" s="25">
        <v>120</v>
      </c>
      <c r="J21" s="33">
        <v>5</v>
      </c>
      <c r="K21" s="22">
        <v>6</v>
      </c>
      <c r="L21" s="22">
        <v>8</v>
      </c>
      <c r="M21" s="34">
        <v>85</v>
      </c>
      <c r="N21" s="26"/>
      <c r="O21" s="3">
        <f>IFERROR(VLOOKUP(N21,'Puntos XCC Menor'!$A$1:$B$15,2,FALSE),0)</f>
        <v>0</v>
      </c>
      <c r="P21" s="3">
        <v>11</v>
      </c>
      <c r="Q21" s="34">
        <f>IFERROR(VLOOKUP(P21,'Puntos XCO'!$A$1:$B$63,2,FALSE),0)</f>
        <v>76</v>
      </c>
      <c r="R21" s="16">
        <v>9</v>
      </c>
      <c r="S21" s="3">
        <f>IFERROR(VLOOKUP(R21,'Puntos XCC Menor'!$A$1:$B$15,2,FALSE),0)</f>
        <v>2</v>
      </c>
      <c r="T21" s="15">
        <v>21</v>
      </c>
      <c r="U21" s="39">
        <f>IFERROR(VLOOKUP(T21,'Puntos XCO'!$A$1:$B$63,2,FALSE),0)</f>
        <v>56</v>
      </c>
      <c r="V21" s="16">
        <f>IFERROR(VLOOKUP(C21,RESXCC_1,9,FALSE),0)</f>
        <v>23</v>
      </c>
      <c r="W21" s="15">
        <f>IFERROR(VLOOKUP(V21,'Puntos XCC Mayor'!$A$1:$B$15,2,FALSE),0)</f>
        <v>0</v>
      </c>
      <c r="X21" s="15">
        <f>IFERROR(VLOOKUP(C21,RESXCO,9,FALSE),0)</f>
        <v>9</v>
      </c>
      <c r="Y21" s="25">
        <f>IFERROR(VLOOKUP(X21,'Puntos XCO'!$A$1:$B$63,2,FALSE),0)</f>
        <v>80</v>
      </c>
      <c r="Z21" s="27">
        <f>G21+I21+K21+M21+O21+Q21+S21+U21+W21+Y21</f>
        <v>431</v>
      </c>
      <c r="AB21" s="2"/>
      <c r="AC21" s="13"/>
      <c r="AD21" s="12"/>
      <c r="AE21" s="14"/>
    </row>
    <row r="22" spans="1:31" ht="24.95" customHeight="1">
      <c r="A22" s="3">
        <v>8</v>
      </c>
      <c r="B22" s="3">
        <v>4</v>
      </c>
      <c r="C22" s="22">
        <v>325</v>
      </c>
      <c r="D22" s="23" t="str">
        <f>VLOOKUP(C22,PLANILLA,2,FALSE)</f>
        <v xml:space="preserve">ALFARO Emmanuel </v>
      </c>
      <c r="E22" s="24" t="str">
        <f>VLOOKUP(C22,PLANILLA,4,FALSE)</f>
        <v/>
      </c>
      <c r="F22" s="3">
        <v>12</v>
      </c>
      <c r="G22" s="15">
        <v>0</v>
      </c>
      <c r="H22" s="3">
        <v>8</v>
      </c>
      <c r="I22" s="25">
        <v>85</v>
      </c>
      <c r="J22" s="33">
        <v>6</v>
      </c>
      <c r="K22" s="22">
        <v>5</v>
      </c>
      <c r="L22" s="22">
        <v>4</v>
      </c>
      <c r="M22" s="34">
        <v>110</v>
      </c>
      <c r="N22" s="26"/>
      <c r="O22" s="3">
        <f>IFERROR(VLOOKUP(N22,'Puntos XCC Menor'!$A$1:$B$15,2,FALSE),0)</f>
        <v>0</v>
      </c>
      <c r="P22" s="3">
        <v>9</v>
      </c>
      <c r="Q22" s="34">
        <f>IFERROR(VLOOKUP(P22,'Puntos XCO'!$A$1:$B$63,2,FALSE),0)</f>
        <v>80</v>
      </c>
      <c r="R22" s="16">
        <v>8</v>
      </c>
      <c r="S22" s="3">
        <f>IFERROR(VLOOKUP(R22,'Puntos XCC Menor'!$A$1:$B$15,2,FALSE),0)</f>
        <v>3</v>
      </c>
      <c r="T22" s="15">
        <v>4</v>
      </c>
      <c r="U22" s="39">
        <f>IFERROR(VLOOKUP(T22,'Puntos XCO'!$A$1:$B$63,2,FALSE),0)</f>
        <v>110</v>
      </c>
      <c r="V22" s="16">
        <f>IFERROR(VLOOKUP(C22,RESXCC_1,9,FALSE),0)</f>
        <v>0</v>
      </c>
      <c r="W22" s="15">
        <f>IFERROR(VLOOKUP(V22,'Puntos XCC Mayor'!$A$1:$B$15,2,FALSE),0)</f>
        <v>0</v>
      </c>
      <c r="X22" s="15">
        <f>IFERROR(VLOOKUP(C22,RESXCO,9,FALSE),0)</f>
        <v>0</v>
      </c>
      <c r="Y22" s="25">
        <f>IFERROR(VLOOKUP(X22,'Puntos XCO'!$A$1:$B$63,2,FALSE),0)</f>
        <v>0</v>
      </c>
      <c r="Z22" s="27">
        <f>G22+I22+K22+M22+O22+Q22+S22+U22+W22+Y22</f>
        <v>393</v>
      </c>
      <c r="AB22" s="2"/>
      <c r="AC22" s="13"/>
      <c r="AD22" s="12"/>
      <c r="AE22" s="14"/>
    </row>
    <row r="23" spans="1:31" ht="24.95" customHeight="1">
      <c r="A23" s="3">
        <v>9</v>
      </c>
      <c r="B23" s="3">
        <v>11</v>
      </c>
      <c r="C23" s="22">
        <v>337</v>
      </c>
      <c r="D23" s="23" t="str">
        <f>VLOOKUP(C23,PLANILLA,2,FALSE)</f>
        <v xml:space="preserve">CORRALES  Billy </v>
      </c>
      <c r="E23" s="24" t="str">
        <f>VLOOKUP(C23,PLANILLA,4,FALSE)</f>
        <v xml:space="preserve">NUMU COACHING </v>
      </c>
      <c r="F23" s="3">
        <v>14</v>
      </c>
      <c r="G23" s="15">
        <v>0</v>
      </c>
      <c r="H23" s="3">
        <v>7</v>
      </c>
      <c r="I23" s="25">
        <v>90</v>
      </c>
      <c r="J23" s="33">
        <v>0</v>
      </c>
      <c r="K23" s="22">
        <v>0</v>
      </c>
      <c r="L23" s="22">
        <v>13</v>
      </c>
      <c r="M23" s="34">
        <v>72</v>
      </c>
      <c r="N23" s="26"/>
      <c r="O23" s="3">
        <f>IFERROR(VLOOKUP(N23,'Puntos XCC Menor'!$A$1:$B$15,2,FALSE),0)</f>
        <v>0</v>
      </c>
      <c r="P23" s="3">
        <v>21</v>
      </c>
      <c r="Q23" s="34">
        <f>IFERROR(VLOOKUP(P23,'Puntos XCO'!$A$1:$B$63,2,FALSE),0)</f>
        <v>56</v>
      </c>
      <c r="R23" s="16">
        <v>15</v>
      </c>
      <c r="S23" s="3">
        <f>IFERROR(VLOOKUP(R23,'Puntos XCC Menor'!$A$1:$B$15,2,FALSE),0)</f>
        <v>0</v>
      </c>
      <c r="T23" s="15">
        <v>12</v>
      </c>
      <c r="U23" s="39">
        <f>IFERROR(VLOOKUP(T23,'Puntos XCO'!$A$1:$B$63,2,FALSE),0)</f>
        <v>74</v>
      </c>
      <c r="V23" s="16">
        <f>IFERROR(VLOOKUP(C23,RESXCC_1,9,FALSE),0)</f>
        <v>12</v>
      </c>
      <c r="W23" s="15">
        <f>IFERROR(VLOOKUP(V23,'Puntos XCC Mayor'!$A$1:$B$15,2,FALSE),0)</f>
        <v>4</v>
      </c>
      <c r="X23" s="15">
        <f>IFERROR(VLOOKUP(C23,RESXCO,9,FALSE),0)</f>
        <v>16</v>
      </c>
      <c r="Y23" s="25">
        <f>IFERROR(VLOOKUP(X23,'Puntos XCO'!$A$1:$B$63,2,FALSE),0)</f>
        <v>66</v>
      </c>
      <c r="Z23" s="27">
        <f>G23+I23+K23+M23+O23+Q23+S23+U23+W23+Y23</f>
        <v>362</v>
      </c>
      <c r="AB23" s="2"/>
      <c r="AC23" s="13"/>
      <c r="AD23" s="12"/>
      <c r="AE23" s="14"/>
    </row>
    <row r="24" spans="1:31" ht="24.95" customHeight="1">
      <c r="A24" s="3">
        <v>10</v>
      </c>
      <c r="B24" s="3">
        <v>12</v>
      </c>
      <c r="C24" s="22">
        <v>327</v>
      </c>
      <c r="D24" s="23" t="str">
        <f>VLOOKUP(C24,PLANILLA,2,FALSE)</f>
        <v xml:space="preserve">ACUÑA  Felipe </v>
      </c>
      <c r="E24" s="24" t="str">
        <f>VLOOKUP(C24,PLANILLA,4,FALSE)</f>
        <v>CCDR NARANJO</v>
      </c>
      <c r="F24" s="3">
        <v>23</v>
      </c>
      <c r="G24" s="15">
        <v>0</v>
      </c>
      <c r="H24" s="3">
        <v>0</v>
      </c>
      <c r="I24" s="25">
        <v>0</v>
      </c>
      <c r="J24" s="33">
        <v>20</v>
      </c>
      <c r="K24" s="22">
        <v>0</v>
      </c>
      <c r="L24" s="22">
        <v>11</v>
      </c>
      <c r="M24" s="34">
        <v>76</v>
      </c>
      <c r="N24" s="26"/>
      <c r="O24" s="3">
        <f>IFERROR(VLOOKUP(N24,'Puntos XCC Menor'!$A$1:$B$15,2,FALSE),0)</f>
        <v>0</v>
      </c>
      <c r="P24" s="3">
        <v>4</v>
      </c>
      <c r="Q24" s="34">
        <f>IFERROR(VLOOKUP(P24,'Puntos XCO'!$A$1:$B$63,2,FALSE),0)</f>
        <v>110</v>
      </c>
      <c r="R24" s="16">
        <v>11</v>
      </c>
      <c r="S24" s="3">
        <f>IFERROR(VLOOKUP(R24,'Puntos XCC Menor'!$A$1:$B$15,2,FALSE),0)</f>
        <v>0</v>
      </c>
      <c r="T24" s="15">
        <v>5</v>
      </c>
      <c r="U24" s="39">
        <f>IFERROR(VLOOKUP(T24,'Puntos XCO'!$A$1:$B$63,2,FALSE),0)</f>
        <v>100</v>
      </c>
      <c r="V24" s="16">
        <f>IFERROR(VLOOKUP(C24,RESXCC_1,9,FALSE),0)</f>
        <v>5</v>
      </c>
      <c r="W24" s="15">
        <f>IFERROR(VLOOKUP(V24,'Puntos XCC Mayor'!$A$1:$B$15,2,FALSE),0)</f>
        <v>12</v>
      </c>
      <c r="X24" s="15">
        <f>IFERROR(VLOOKUP(C24,RESXCO,9,FALSE),0)</f>
        <v>21</v>
      </c>
      <c r="Y24" s="25">
        <f>IFERROR(VLOOKUP(X24,'Puntos XCO'!$A$1:$B$63,2,FALSE),0)</f>
        <v>56</v>
      </c>
      <c r="Z24" s="27">
        <f>G24+I24+K24+M24+O24+Q24+S24+U24+W24+Y24</f>
        <v>354</v>
      </c>
      <c r="AB24" s="2"/>
      <c r="AC24" s="13"/>
      <c r="AD24" s="12"/>
      <c r="AE24" s="14"/>
    </row>
    <row r="25" spans="1:31" ht="24.95" customHeight="1">
      <c r="A25" s="3">
        <v>11</v>
      </c>
      <c r="B25" s="3">
        <v>10</v>
      </c>
      <c r="C25" s="22">
        <v>333</v>
      </c>
      <c r="D25" s="23" t="str">
        <f>VLOOKUP(C25,PLANILLA,2,FALSE)</f>
        <v>SOTO Sebastian</v>
      </c>
      <c r="E25" s="24" t="str">
        <f>VLOOKUP(C25,PLANILLA,4,FALSE)</f>
        <v xml:space="preserve">CODEA ALAJUELA </v>
      </c>
      <c r="F25" s="3">
        <v>17</v>
      </c>
      <c r="G25" s="15">
        <v>0</v>
      </c>
      <c r="H25" s="3">
        <v>12</v>
      </c>
      <c r="I25" s="25">
        <v>74</v>
      </c>
      <c r="J25" s="33">
        <v>16</v>
      </c>
      <c r="K25" s="22">
        <v>0</v>
      </c>
      <c r="L25" s="22">
        <v>22</v>
      </c>
      <c r="M25" s="34">
        <v>54</v>
      </c>
      <c r="N25" s="26"/>
      <c r="O25" s="3">
        <f>IFERROR(VLOOKUP(N25,'Puntos XCC Menor'!$A$1:$B$15,2,FALSE),0)</f>
        <v>0</v>
      </c>
      <c r="P25" s="3">
        <v>14</v>
      </c>
      <c r="Q25" s="34">
        <f>IFERROR(VLOOKUP(P25,'Puntos XCO'!$A$1:$B$63,2,FALSE),0)</f>
        <v>70</v>
      </c>
      <c r="R25" s="16">
        <v>12</v>
      </c>
      <c r="S25" s="3">
        <f>IFERROR(VLOOKUP(R25,'Puntos XCC Menor'!$A$1:$B$15,2,FALSE),0)</f>
        <v>0</v>
      </c>
      <c r="T25" s="15">
        <v>6</v>
      </c>
      <c r="U25" s="39">
        <f>IFERROR(VLOOKUP(T25,'Puntos XCO'!$A$1:$B$63,2,FALSE),0)</f>
        <v>95</v>
      </c>
      <c r="V25" s="16">
        <f>IFERROR(VLOOKUP(C25,RESXCC_1,9,FALSE),0)</f>
        <v>14</v>
      </c>
      <c r="W25" s="15">
        <f>IFERROR(VLOOKUP(V25,'Puntos XCC Mayor'!$A$1:$B$15,2,FALSE),0)</f>
        <v>2</v>
      </c>
      <c r="X25" s="15">
        <f>IFERROR(VLOOKUP(C25,RESXCO,9,FALSE),0)</f>
        <v>20</v>
      </c>
      <c r="Y25" s="25">
        <f>IFERROR(VLOOKUP(X25,'Puntos XCO'!$A$1:$B$63,2,FALSE),0)</f>
        <v>58</v>
      </c>
      <c r="Z25" s="27">
        <f>G25+I25+K25+M25+O25+Q25+S25+U25+W25+Y25</f>
        <v>353</v>
      </c>
      <c r="AB25" s="2"/>
      <c r="AC25" s="13"/>
      <c r="AD25" s="12"/>
      <c r="AE25" s="14"/>
    </row>
    <row r="26" spans="1:31" ht="24.95" customHeight="1">
      <c r="A26" s="3">
        <v>12</v>
      </c>
      <c r="B26" s="3">
        <v>13</v>
      </c>
      <c r="C26" s="22">
        <v>314</v>
      </c>
      <c r="D26" s="23" t="str">
        <f>VLOOKUP(C26,PLANILLA,2,FALSE)</f>
        <v>HERRERO  Josué*</v>
      </c>
      <c r="E26" s="24" t="str">
        <f>VLOOKUP(C26,PLANILLA,4,FALSE)</f>
        <v xml:space="preserve">CICLISMO BELÉN </v>
      </c>
      <c r="F26" s="3">
        <v>9</v>
      </c>
      <c r="G26" s="15">
        <v>2</v>
      </c>
      <c r="H26" s="3">
        <v>11</v>
      </c>
      <c r="I26" s="25">
        <v>76</v>
      </c>
      <c r="J26" s="33">
        <v>12</v>
      </c>
      <c r="K26" s="22">
        <v>0</v>
      </c>
      <c r="L26" s="22">
        <v>26</v>
      </c>
      <c r="M26" s="34">
        <v>46</v>
      </c>
      <c r="N26" s="26"/>
      <c r="O26" s="3">
        <f>IFERROR(VLOOKUP(N26,'Puntos XCC Menor'!$A$1:$B$15,2,FALSE),0)</f>
        <v>0</v>
      </c>
      <c r="P26" s="3">
        <v>16</v>
      </c>
      <c r="Q26" s="34">
        <f>IFERROR(VLOOKUP(P26,'Puntos XCO'!$A$1:$B$63,2,FALSE),0)</f>
        <v>66</v>
      </c>
      <c r="R26" s="16">
        <v>10</v>
      </c>
      <c r="S26" s="3">
        <f>IFERROR(VLOOKUP(R26,'Puntos XCC Menor'!$A$1:$B$15,2,FALSE),0)</f>
        <v>1</v>
      </c>
      <c r="T26" s="15">
        <v>10</v>
      </c>
      <c r="U26" s="39">
        <f>IFERROR(VLOOKUP(T26,'Puntos XCO'!$A$1:$B$63,2,FALSE),0)</f>
        <v>78</v>
      </c>
      <c r="V26" s="16">
        <f>IFERROR(VLOOKUP(C26,RESXCC_1,9,FALSE),0)</f>
        <v>36</v>
      </c>
      <c r="W26" s="15">
        <f>IFERROR(VLOOKUP(V26,'Puntos XCC Mayor'!$A$1:$B$15,2,FALSE),0)</f>
        <v>0</v>
      </c>
      <c r="X26" s="15">
        <f>IFERROR(VLOOKUP(C26,RESXCO,9,FALSE),0)</f>
        <v>11</v>
      </c>
      <c r="Y26" s="25">
        <f>IFERROR(VLOOKUP(X26,'Puntos XCO'!$A$1:$B$63,2,FALSE),0)</f>
        <v>76</v>
      </c>
      <c r="Z26" s="27">
        <f>G26+I26+K26+M26+O26+Q26+S26+U26+W26+Y26</f>
        <v>345</v>
      </c>
      <c r="AB26" s="2"/>
      <c r="AC26" s="13"/>
      <c r="AD26" s="12"/>
      <c r="AE26" s="14"/>
    </row>
    <row r="27" spans="1:31" ht="24.95" customHeight="1">
      <c r="A27" s="3">
        <v>13</v>
      </c>
      <c r="B27" s="3">
        <v>9</v>
      </c>
      <c r="C27" s="22">
        <v>323</v>
      </c>
      <c r="D27" s="23" t="str">
        <f>VLOOKUP(C27,PLANILLA,2,FALSE)</f>
        <v>CRUZ Denzell Alberto</v>
      </c>
      <c r="E27" s="24" t="str">
        <f>VLOOKUP(C27,PLANILLA,4,FALSE)</f>
        <v>ESCUELA GUIDO BLANCO/CCDRL</v>
      </c>
      <c r="F27" s="3">
        <v>19</v>
      </c>
      <c r="G27" s="15">
        <v>0</v>
      </c>
      <c r="H27" s="3">
        <v>4</v>
      </c>
      <c r="I27" s="25">
        <v>110</v>
      </c>
      <c r="J27" s="33">
        <v>9</v>
      </c>
      <c r="K27" s="22">
        <v>2</v>
      </c>
      <c r="L27" s="22">
        <v>15</v>
      </c>
      <c r="M27" s="34">
        <v>68</v>
      </c>
      <c r="N27" s="26"/>
      <c r="O27" s="3">
        <f>IFERROR(VLOOKUP(N27,'Puntos XCC Menor'!$A$1:$B$15,2,FALSE),0)</f>
        <v>0</v>
      </c>
      <c r="P27" s="3">
        <v>13</v>
      </c>
      <c r="Q27" s="34">
        <f>IFERROR(VLOOKUP(P27,'Puntos XCO'!$A$1:$B$63,2,FALSE),0)</f>
        <v>72</v>
      </c>
      <c r="R27" s="16">
        <v>7</v>
      </c>
      <c r="S27" s="3">
        <f>IFERROR(VLOOKUP(R27,'Puntos XCC Menor'!$A$1:$B$15,2,FALSE),0)</f>
        <v>4</v>
      </c>
      <c r="T27" s="15">
        <v>11</v>
      </c>
      <c r="U27" s="39">
        <f>IFERROR(VLOOKUP(T27,'Puntos XCO'!$A$1:$B$63,2,FALSE),0)</f>
        <v>76</v>
      </c>
      <c r="V27" s="16">
        <f>IFERROR(VLOOKUP(C27,RESXCC_1,9,FALSE),0)</f>
        <v>0</v>
      </c>
      <c r="W27" s="15">
        <f>IFERROR(VLOOKUP(V27,'Puntos XCC Mayor'!$A$1:$B$15,2,FALSE),0)</f>
        <v>0</v>
      </c>
      <c r="X27" s="15">
        <f>IFERROR(VLOOKUP(C27,RESXCO,9,FALSE),0)</f>
        <v>0</v>
      </c>
      <c r="Y27" s="25">
        <f>IFERROR(VLOOKUP(X27,'Puntos XCO'!$A$1:$B$63,2,FALSE),0)</f>
        <v>0</v>
      </c>
      <c r="Z27" s="27">
        <f>G27+I27+K27+M27+O27+Q27+S27+U27+W27+Y27</f>
        <v>332</v>
      </c>
      <c r="AB27" s="2"/>
      <c r="AC27" s="13"/>
      <c r="AD27" s="12"/>
      <c r="AE27" s="14"/>
    </row>
    <row r="28" spans="1:31" ht="24.95" customHeight="1">
      <c r="A28" s="3">
        <v>14</v>
      </c>
      <c r="B28" s="3">
        <v>17</v>
      </c>
      <c r="C28" s="22">
        <v>326</v>
      </c>
      <c r="D28" s="23" t="str">
        <f>VLOOKUP(C28,PLANILLA,2,FALSE)</f>
        <v>MEDINA Anders</v>
      </c>
      <c r="E28" s="24" t="str">
        <f>VLOOKUP(C28,PLANILLA,4,FALSE)</f>
        <v>CCDR ESCAZÚ</v>
      </c>
      <c r="F28" s="3">
        <v>8</v>
      </c>
      <c r="G28" s="15">
        <v>3</v>
      </c>
      <c r="H28" s="3">
        <v>0</v>
      </c>
      <c r="I28" s="25">
        <v>0</v>
      </c>
      <c r="J28" s="33">
        <v>11</v>
      </c>
      <c r="K28" s="22">
        <v>0</v>
      </c>
      <c r="L28" s="22">
        <v>10</v>
      </c>
      <c r="M28" s="34">
        <v>78</v>
      </c>
      <c r="N28" s="26"/>
      <c r="O28" s="3">
        <f>IFERROR(VLOOKUP(N28,'Puntos XCC Menor'!$A$1:$B$15,2,FALSE),0)</f>
        <v>0</v>
      </c>
      <c r="P28" s="3">
        <v>10</v>
      </c>
      <c r="Q28" s="34">
        <f>IFERROR(VLOOKUP(P28,'Puntos XCO'!$A$1:$B$63,2,FALSE),0)</f>
        <v>78</v>
      </c>
      <c r="R28" s="16">
        <v>22</v>
      </c>
      <c r="S28" s="3">
        <f>IFERROR(VLOOKUP(R28,'Puntos XCC Menor'!$A$1:$B$15,2,FALSE),0)</f>
        <v>0</v>
      </c>
      <c r="T28" s="15">
        <v>16</v>
      </c>
      <c r="U28" s="39">
        <f>IFERROR(VLOOKUP(T28,'Puntos XCO'!$A$1:$B$63,2,FALSE),0)</f>
        <v>66</v>
      </c>
      <c r="V28" s="16">
        <f>IFERROR(VLOOKUP(C28,RESXCC_1,9,FALSE),0)</f>
        <v>7</v>
      </c>
      <c r="W28" s="15">
        <f>IFERROR(VLOOKUP(V28,'Puntos XCC Mayor'!$A$1:$B$15,2,FALSE),0)</f>
        <v>9</v>
      </c>
      <c r="X28" s="15">
        <f>IFERROR(VLOOKUP(C28,RESXCO,9,FALSE),0)</f>
        <v>8</v>
      </c>
      <c r="Y28" s="25">
        <f>IFERROR(VLOOKUP(X28,'Puntos XCO'!$A$1:$B$63,2,FALSE),0)</f>
        <v>85</v>
      </c>
      <c r="Z28" s="27">
        <f>G28+I28+K28+M28+O28+Q28+S28+U28+W28+Y28</f>
        <v>319</v>
      </c>
      <c r="AB28" s="3"/>
      <c r="AE28" s="29"/>
    </row>
    <row r="29" spans="1:31" ht="24.95" customHeight="1">
      <c r="A29" s="3">
        <v>15</v>
      </c>
      <c r="B29" s="3">
        <v>14</v>
      </c>
      <c r="C29" s="22">
        <v>305</v>
      </c>
      <c r="D29" s="23" t="str">
        <f>VLOOKUP(C29,PLANILLA,2,FALSE)</f>
        <v>BRICEÑO  Mike Josué*</v>
      </c>
      <c r="E29" s="24" t="str">
        <f>VLOOKUP(C29,PLANILLA,4,FALSE)</f>
        <v>CCDR SANTA CRUZ/TEAM COSTA FRUT</v>
      </c>
      <c r="F29" s="3">
        <v>18</v>
      </c>
      <c r="G29" s="15">
        <v>0</v>
      </c>
      <c r="H29" s="3">
        <v>10</v>
      </c>
      <c r="I29" s="25">
        <v>78</v>
      </c>
      <c r="J29" s="33">
        <v>24</v>
      </c>
      <c r="K29" s="22">
        <v>0</v>
      </c>
      <c r="L29" s="22">
        <v>21</v>
      </c>
      <c r="M29" s="34">
        <v>56</v>
      </c>
      <c r="N29" s="26"/>
      <c r="O29" s="3">
        <f>IFERROR(VLOOKUP(N29,'Puntos XCC Menor'!$A$1:$B$15,2,FALSE),0)</f>
        <v>0</v>
      </c>
      <c r="P29" s="3">
        <v>17</v>
      </c>
      <c r="Q29" s="34">
        <f>IFERROR(VLOOKUP(P29,'Puntos XCO'!$A$1:$B$63,2,FALSE),0)</f>
        <v>64</v>
      </c>
      <c r="R29" s="16">
        <v>14</v>
      </c>
      <c r="S29" s="3">
        <f>IFERROR(VLOOKUP(R29,'Puntos XCC Menor'!$A$1:$B$15,2,FALSE),0)</f>
        <v>0</v>
      </c>
      <c r="T29" s="15">
        <v>20</v>
      </c>
      <c r="U29" s="39">
        <f>IFERROR(VLOOKUP(T29,'Puntos XCO'!$A$1:$B$63,2,FALSE),0)</f>
        <v>58</v>
      </c>
      <c r="V29" s="16">
        <f>IFERROR(VLOOKUP(C29,RESXCC_1,9,FALSE),0)</f>
        <v>16</v>
      </c>
      <c r="W29" s="15">
        <f>IFERROR(VLOOKUP(V29,'Puntos XCC Mayor'!$A$1:$B$15,2,FALSE),0)</f>
        <v>0</v>
      </c>
      <c r="X29" s="15">
        <f>IFERROR(VLOOKUP(C29,RESXCO,9,FALSE),0)</f>
        <v>24</v>
      </c>
      <c r="Y29" s="25">
        <f>IFERROR(VLOOKUP(X29,'Puntos XCO'!$A$1:$B$63,2,FALSE),0)</f>
        <v>50</v>
      </c>
      <c r="Z29" s="27">
        <f>G29+I29+K29+M29+O29+Q29+S29+U29+W29+Y29</f>
        <v>306</v>
      </c>
      <c r="AB29" s="3"/>
    </row>
    <row r="30" spans="1:31" ht="24.95" customHeight="1">
      <c r="A30" s="3">
        <v>16</v>
      </c>
      <c r="B30" s="3">
        <v>16</v>
      </c>
      <c r="C30" s="22">
        <v>319</v>
      </c>
      <c r="D30" s="23" t="str">
        <f>VLOOKUP(C30,PLANILLA,2,FALSE)</f>
        <v>GARITA  Damián*</v>
      </c>
      <c r="E30" s="24" t="str">
        <f>VLOOKUP(C30,PLANILLA,4,FALSE)</f>
        <v xml:space="preserve">CCDR SAN JOSÉ </v>
      </c>
      <c r="F30" s="3">
        <v>26</v>
      </c>
      <c r="G30" s="15">
        <v>0</v>
      </c>
      <c r="H30" s="3">
        <v>6</v>
      </c>
      <c r="I30" s="25">
        <v>95</v>
      </c>
      <c r="J30" s="33">
        <v>14</v>
      </c>
      <c r="K30" s="22">
        <v>0</v>
      </c>
      <c r="L30" s="22">
        <v>18</v>
      </c>
      <c r="M30" s="34">
        <v>62</v>
      </c>
      <c r="N30" s="26"/>
      <c r="O30" s="3">
        <f>IFERROR(VLOOKUP(N30,'Puntos XCC Menor'!$A$1:$B$15,2,FALSE),0)</f>
        <v>0</v>
      </c>
      <c r="P30" s="3">
        <v>0</v>
      </c>
      <c r="Q30" s="34">
        <f>IFERROR(VLOOKUP(P30,'Puntos XCO'!$A$1:$B$63,2,FALSE),0)</f>
        <v>0</v>
      </c>
      <c r="R30" s="16">
        <v>30</v>
      </c>
      <c r="S30" s="3">
        <f>IFERROR(VLOOKUP(R30,'Puntos XCC Menor'!$A$1:$B$15,2,FALSE),0)</f>
        <v>0</v>
      </c>
      <c r="T30" s="15">
        <v>13</v>
      </c>
      <c r="U30" s="39">
        <f>IFERROR(VLOOKUP(T30,'Puntos XCO'!$A$1:$B$63,2,FALSE),0)</f>
        <v>72</v>
      </c>
      <c r="V30" s="16">
        <f>IFERROR(VLOOKUP(C30,RESXCC_1,9,FALSE),0)</f>
        <v>13</v>
      </c>
      <c r="W30" s="15">
        <f>IFERROR(VLOOKUP(V30,'Puntos XCC Mayor'!$A$1:$B$15,2,FALSE),0)</f>
        <v>3</v>
      </c>
      <c r="X30" s="15">
        <f>IFERROR(VLOOKUP(C30,RESXCO,9,FALSE),0)</f>
        <v>14</v>
      </c>
      <c r="Y30" s="25">
        <f>IFERROR(VLOOKUP(X30,'Puntos XCO'!$A$1:$B$63,2,FALSE),0)</f>
        <v>70</v>
      </c>
      <c r="Z30" s="27">
        <f>G30+I30+K30+M30+O30+Q30+S30+U30+W30+Y30</f>
        <v>302</v>
      </c>
      <c r="AB30" s="3"/>
    </row>
    <row r="31" spans="1:31" ht="24.95" customHeight="1">
      <c r="A31" s="3">
        <v>17</v>
      </c>
      <c r="B31" s="3">
        <v>15</v>
      </c>
      <c r="C31" s="22">
        <v>309</v>
      </c>
      <c r="D31" s="23" t="str">
        <f>VLOOKUP(C31,PLANILLA,2,FALSE)</f>
        <v>HERNANDEZ Felipe</v>
      </c>
      <c r="E31" s="24" t="str">
        <f>VLOOKUP(C31,PLANILLA,4,FALSE)</f>
        <v>BELÉN</v>
      </c>
      <c r="F31" s="3">
        <v>13</v>
      </c>
      <c r="G31" s="15">
        <v>0</v>
      </c>
      <c r="H31" s="3">
        <v>32</v>
      </c>
      <c r="I31" s="25">
        <v>34</v>
      </c>
      <c r="J31" s="33">
        <v>33</v>
      </c>
      <c r="K31" s="22">
        <v>0</v>
      </c>
      <c r="L31" s="22">
        <v>14</v>
      </c>
      <c r="M31" s="34">
        <v>70</v>
      </c>
      <c r="N31" s="26"/>
      <c r="O31" s="3">
        <f>IFERROR(VLOOKUP(N31,'Puntos XCC Menor'!$A$1:$B$15,2,FALSE),0)</f>
        <v>0</v>
      </c>
      <c r="P31" s="3">
        <v>12</v>
      </c>
      <c r="Q31" s="34">
        <f>IFERROR(VLOOKUP(P31,'Puntos XCO'!$A$1:$B$63,2,FALSE),0)</f>
        <v>74</v>
      </c>
      <c r="R31" s="16">
        <v>13</v>
      </c>
      <c r="S31" s="3">
        <f>IFERROR(VLOOKUP(R31,'Puntos XCC Menor'!$A$1:$B$15,2,FALSE),0)</f>
        <v>0</v>
      </c>
      <c r="T31" s="15">
        <v>17</v>
      </c>
      <c r="U31" s="39">
        <f>IFERROR(VLOOKUP(T31,'Puntos XCO'!$A$1:$B$63,2,FALSE),0)</f>
        <v>64</v>
      </c>
      <c r="V31" s="16">
        <f>IFERROR(VLOOKUP(C31,RESXCC_1,9,FALSE),0)</f>
        <v>25</v>
      </c>
      <c r="W31" s="15">
        <f>IFERROR(VLOOKUP(V31,'Puntos XCC Mayor'!$A$1:$B$15,2,FALSE),0)</f>
        <v>0</v>
      </c>
      <c r="X31" s="15">
        <f>IFERROR(VLOOKUP(C31,RESXCO,9,FALSE),0)</f>
        <v>22</v>
      </c>
      <c r="Y31" s="25">
        <f>IFERROR(VLOOKUP(X31,'Puntos XCO'!$A$1:$B$63,2,FALSE),0)</f>
        <v>54</v>
      </c>
      <c r="Z31" s="27">
        <f>G31+I31+K31+M31+O31+Q31+S31+U31+W31+Y31</f>
        <v>296</v>
      </c>
      <c r="AB31" s="3"/>
    </row>
    <row r="32" spans="1:31" ht="24.95" customHeight="1">
      <c r="A32" s="3">
        <v>18</v>
      </c>
      <c r="B32" s="3">
        <v>19</v>
      </c>
      <c r="C32" s="22">
        <v>336</v>
      </c>
      <c r="D32" s="23" t="str">
        <f>VLOOKUP(C32,PLANILLA,2,FALSE)</f>
        <v xml:space="preserve">ALFARO  Yahel </v>
      </c>
      <c r="E32" s="24" t="str">
        <f>VLOOKUP(C32,PLANILLA,4,FALSE)</f>
        <v xml:space="preserve">CCDR GUÁCIMO </v>
      </c>
      <c r="F32" s="3">
        <v>10</v>
      </c>
      <c r="G32" s="15">
        <v>1</v>
      </c>
      <c r="H32" s="3">
        <v>9</v>
      </c>
      <c r="I32" s="25">
        <v>80</v>
      </c>
      <c r="J32" s="33">
        <v>15</v>
      </c>
      <c r="K32" s="22">
        <v>0</v>
      </c>
      <c r="L32" s="22">
        <v>19</v>
      </c>
      <c r="M32" s="34">
        <v>60</v>
      </c>
      <c r="N32" s="26"/>
      <c r="O32" s="3">
        <f>IFERROR(VLOOKUP(N32,'Puntos XCC Menor'!$A$1:$B$15,2,FALSE),0)</f>
        <v>0</v>
      </c>
      <c r="P32" s="3">
        <v>0</v>
      </c>
      <c r="Q32" s="34">
        <f>IFERROR(VLOOKUP(P32,'Puntos XCO'!$A$1:$B$63,2,FALSE),0)</f>
        <v>0</v>
      </c>
      <c r="R32" s="16">
        <v>16</v>
      </c>
      <c r="S32" s="3">
        <f>IFERROR(VLOOKUP(R32,'Puntos XCC Menor'!$A$1:$B$15,2,FALSE),0)</f>
        <v>0</v>
      </c>
      <c r="T32" s="15">
        <v>14</v>
      </c>
      <c r="U32" s="39">
        <f>IFERROR(VLOOKUP(T32,'Puntos XCO'!$A$1:$B$63,2,FALSE),0)</f>
        <v>70</v>
      </c>
      <c r="V32" s="16">
        <f>IFERROR(VLOOKUP(C32,RESXCC_1,9,FALSE),0)</f>
        <v>15</v>
      </c>
      <c r="W32" s="15">
        <f>IFERROR(VLOOKUP(V32,'Puntos XCC Mayor'!$A$1:$B$15,2,FALSE),0)</f>
        <v>1</v>
      </c>
      <c r="X32" s="15">
        <f>IFERROR(VLOOKUP(C32,RESXCO,9,FALSE),0)</f>
        <v>19</v>
      </c>
      <c r="Y32" s="25">
        <f>IFERROR(VLOOKUP(X32,'Puntos XCO'!$A$1:$B$63,2,FALSE),0)</f>
        <v>60</v>
      </c>
      <c r="Z32" s="27">
        <f>G32+I32+K32+M32+O32+Q32+S32+U32+W32+Y32</f>
        <v>272</v>
      </c>
      <c r="AB32" s="3"/>
    </row>
    <row r="33" spans="1:28" ht="24.95" customHeight="1">
      <c r="A33" s="3">
        <v>19</v>
      </c>
      <c r="B33" s="3">
        <v>22</v>
      </c>
      <c r="C33" s="22">
        <v>332</v>
      </c>
      <c r="D33" s="23" t="str">
        <f>VLOOKUP(C33,PLANILLA,2,FALSE)</f>
        <v>SEGURA Isaac*</v>
      </c>
      <c r="E33" s="24" t="str">
        <f>VLOOKUP(C33,PLANILLA,4,FALSE)</f>
        <v/>
      </c>
      <c r="F33" s="3">
        <v>24</v>
      </c>
      <c r="G33" s="15">
        <v>0</v>
      </c>
      <c r="H33" s="3">
        <v>30</v>
      </c>
      <c r="I33" s="25">
        <v>38</v>
      </c>
      <c r="J33" s="33">
        <v>25</v>
      </c>
      <c r="K33" s="22">
        <v>0</v>
      </c>
      <c r="L33" s="22">
        <v>36</v>
      </c>
      <c r="M33" s="34">
        <v>28</v>
      </c>
      <c r="N33" s="26"/>
      <c r="O33" s="3">
        <f>IFERROR(VLOOKUP(N33,'Puntos XCC Menor'!$A$1:$B$15,2,FALSE),0)</f>
        <v>0</v>
      </c>
      <c r="P33" s="3">
        <v>19</v>
      </c>
      <c r="Q33" s="34">
        <f>IFERROR(VLOOKUP(P33,'Puntos XCO'!$A$1:$B$63,2,FALSE),0)</f>
        <v>60</v>
      </c>
      <c r="R33" s="16">
        <v>23</v>
      </c>
      <c r="S33" s="3">
        <f>IFERROR(VLOOKUP(R33,'Puntos XCC Menor'!$A$1:$B$15,2,FALSE),0)</f>
        <v>0</v>
      </c>
      <c r="T33" s="15">
        <v>18</v>
      </c>
      <c r="U33" s="39">
        <f>IFERROR(VLOOKUP(T33,'Puntos XCO'!$A$1:$B$63,2,FALSE),0)</f>
        <v>62</v>
      </c>
      <c r="V33" s="16">
        <f>IFERROR(VLOOKUP(C33,RESXCC_1,9,FALSE),0)</f>
        <v>10</v>
      </c>
      <c r="W33" s="15">
        <f>IFERROR(VLOOKUP(V33,'Puntos XCC Mayor'!$A$1:$B$15,2,FALSE),0)</f>
        <v>6</v>
      </c>
      <c r="X33" s="15">
        <f>IFERROR(VLOOKUP(C33,RESXCO,9,FALSE),0)</f>
        <v>12</v>
      </c>
      <c r="Y33" s="25">
        <f>IFERROR(VLOOKUP(X33,'Puntos XCO'!$A$1:$B$63,2,FALSE),0)</f>
        <v>74</v>
      </c>
      <c r="Z33" s="27">
        <f>G33+I33+K33+M33+O33+Q33+S33+U33+W33+Y33</f>
        <v>268</v>
      </c>
      <c r="AB33" s="3"/>
    </row>
    <row r="34" spans="1:28" ht="24.95" customHeight="1">
      <c r="A34" s="3">
        <v>20</v>
      </c>
      <c r="B34" s="3">
        <v>18</v>
      </c>
      <c r="C34" s="22">
        <v>310</v>
      </c>
      <c r="D34" s="23" t="str">
        <f>VLOOKUP(C34,PLANILLA,2,FALSE)</f>
        <v xml:space="preserve">SEGURA  Thomas </v>
      </c>
      <c r="E34" s="24" t="str">
        <f>VLOOKUP(C34,PLANILLA,4,FALSE)</f>
        <v xml:space="preserve">CICLISMO BELÉN </v>
      </c>
      <c r="F34" s="3">
        <v>21</v>
      </c>
      <c r="G34" s="15">
        <v>0</v>
      </c>
      <c r="H34" s="3">
        <v>14</v>
      </c>
      <c r="I34" s="25">
        <v>70</v>
      </c>
      <c r="J34" s="33">
        <v>23</v>
      </c>
      <c r="K34" s="22">
        <v>0</v>
      </c>
      <c r="L34" s="22">
        <v>32</v>
      </c>
      <c r="M34" s="34">
        <v>34</v>
      </c>
      <c r="N34" s="26"/>
      <c r="O34" s="3">
        <f>IFERROR(VLOOKUP(N34,'Puntos XCC Menor'!$A$1:$B$15,2,FALSE),0)</f>
        <v>0</v>
      </c>
      <c r="P34" s="3">
        <v>15</v>
      </c>
      <c r="Q34" s="34">
        <f>IFERROR(VLOOKUP(P34,'Puntos XCO'!$A$1:$B$63,2,FALSE),0)</f>
        <v>68</v>
      </c>
      <c r="R34" s="16">
        <v>17</v>
      </c>
      <c r="S34" s="3">
        <f>IFERROR(VLOOKUP(R34,'Puntos XCC Menor'!$A$1:$B$15,2,FALSE),0)</f>
        <v>0</v>
      </c>
      <c r="T34" s="15">
        <v>27</v>
      </c>
      <c r="U34" s="39">
        <f>IFERROR(VLOOKUP(T34,'Puntos XCO'!$A$1:$B$63,2,FALSE),0)</f>
        <v>44</v>
      </c>
      <c r="V34" s="16">
        <f>IFERROR(VLOOKUP(C34,RESXCC_1,9,FALSE),0)</f>
        <v>19</v>
      </c>
      <c r="W34" s="15">
        <f>IFERROR(VLOOKUP(V34,'Puntos XCC Mayor'!$A$1:$B$15,2,FALSE),0)</f>
        <v>0</v>
      </c>
      <c r="X34" s="15">
        <f>IFERROR(VLOOKUP(C34,RESXCO,9,FALSE),0)</f>
        <v>23</v>
      </c>
      <c r="Y34" s="25">
        <f>IFERROR(VLOOKUP(X34,'Puntos XCO'!$A$1:$B$63,2,FALSE),0)</f>
        <v>52</v>
      </c>
      <c r="Z34" s="27">
        <f>G34+I34+K34+M34+O34+Q34+S34+U34+W34+Y34</f>
        <v>268</v>
      </c>
      <c r="AB34" s="3"/>
    </row>
    <row r="35" spans="1:28" ht="24.95" customHeight="1">
      <c r="A35" s="3">
        <v>21</v>
      </c>
      <c r="B35" s="3">
        <v>23</v>
      </c>
      <c r="C35" s="22">
        <v>342</v>
      </c>
      <c r="D35" s="23" t="str">
        <f>VLOOKUP(C35,PLANILLA,2,FALSE)</f>
        <v>RODRÍGUEZ Dylan Fabian*</v>
      </c>
      <c r="E35" s="24" t="str">
        <f>VLOOKUP(C35,PLANILLA,4,FALSE)</f>
        <v xml:space="preserve">CODEA </v>
      </c>
      <c r="F35" s="3"/>
      <c r="G35" s="15"/>
      <c r="H35" s="3"/>
      <c r="I35" s="25"/>
      <c r="J35" s="33">
        <v>18</v>
      </c>
      <c r="K35" s="22">
        <v>0</v>
      </c>
      <c r="L35" s="22">
        <v>20</v>
      </c>
      <c r="M35" s="34">
        <v>58</v>
      </c>
      <c r="N35" s="26"/>
      <c r="O35" s="3">
        <f>IFERROR(VLOOKUP(N35,'Puntos XCC Menor'!$A$1:$B$15,2,FALSE),0)</f>
        <v>0</v>
      </c>
      <c r="P35" s="3">
        <v>18</v>
      </c>
      <c r="Q35" s="34">
        <f>IFERROR(VLOOKUP(P35,'Puntos XCO'!$A$1:$B$63,2,FALSE),0)</f>
        <v>62</v>
      </c>
      <c r="R35" s="16">
        <v>21</v>
      </c>
      <c r="S35" s="3">
        <f>IFERROR(VLOOKUP(R35,'Puntos XCC Menor'!$A$1:$B$15,2,FALSE),0)</f>
        <v>0</v>
      </c>
      <c r="T35" s="15">
        <v>19</v>
      </c>
      <c r="U35" s="39">
        <f>IFERROR(VLOOKUP(T35,'Puntos XCO'!$A$1:$B$63,2,FALSE),0)</f>
        <v>60</v>
      </c>
      <c r="V35" s="16">
        <f>IFERROR(VLOOKUP(C35,RESXCC_1,9,FALSE),0)</f>
        <v>17</v>
      </c>
      <c r="W35" s="15">
        <f>IFERROR(VLOOKUP(V35,'Puntos XCC Mayor'!$A$1:$B$15,2,FALSE),0)</f>
        <v>0</v>
      </c>
      <c r="X35" s="15">
        <f>IFERROR(VLOOKUP(C35,RESXCO,9,FALSE),0)</f>
        <v>10</v>
      </c>
      <c r="Y35" s="25">
        <f>IFERROR(VLOOKUP(X35,'Puntos XCO'!$A$1:$B$63,2,FALSE),0)</f>
        <v>78</v>
      </c>
      <c r="Z35" s="27">
        <f>G35+I35+K35+M35+O35+Q35+S35+U35+W35+Y35</f>
        <v>258</v>
      </c>
      <c r="AB35" s="3"/>
    </row>
    <row r="36" spans="1:28" ht="24.95" customHeight="1">
      <c r="A36" s="3">
        <v>22</v>
      </c>
      <c r="B36" s="3">
        <v>20</v>
      </c>
      <c r="C36" s="22">
        <v>306</v>
      </c>
      <c r="D36" s="23" t="str">
        <f>VLOOKUP(C36,PLANILLA,2,FALSE)</f>
        <v xml:space="preserve">VARELA  Mathias </v>
      </c>
      <c r="E36" s="24" t="str">
        <f>VLOOKUP(C36,PLANILLA,4,FALSE)</f>
        <v>CICLISMO BELEN</v>
      </c>
      <c r="F36" s="3">
        <v>27</v>
      </c>
      <c r="G36" s="15">
        <v>0</v>
      </c>
      <c r="H36" s="3">
        <v>24</v>
      </c>
      <c r="I36" s="25">
        <v>50</v>
      </c>
      <c r="J36" s="33">
        <v>19</v>
      </c>
      <c r="K36" s="22">
        <v>0</v>
      </c>
      <c r="L36" s="22">
        <v>25</v>
      </c>
      <c r="M36" s="34">
        <v>48</v>
      </c>
      <c r="N36" s="26"/>
      <c r="O36" s="3">
        <f>IFERROR(VLOOKUP(N36,'Puntos XCC Menor'!$A$1:$B$15,2,FALSE),0)</f>
        <v>0</v>
      </c>
      <c r="P36" s="3">
        <v>20</v>
      </c>
      <c r="Q36" s="34">
        <f>IFERROR(VLOOKUP(P36,'Puntos XCO'!$A$1:$B$63,2,FALSE),0)</f>
        <v>58</v>
      </c>
      <c r="R36" s="16">
        <v>18</v>
      </c>
      <c r="S36" s="3">
        <f>IFERROR(VLOOKUP(R36,'Puntos XCC Menor'!$A$1:$B$15,2,FALSE),0)</f>
        <v>0</v>
      </c>
      <c r="T36" s="15">
        <v>22</v>
      </c>
      <c r="U36" s="39">
        <f>IFERROR(VLOOKUP(T36,'Puntos XCO'!$A$1:$B$63,2,FALSE),0)</f>
        <v>54</v>
      </c>
      <c r="V36" s="16">
        <f>IFERROR(VLOOKUP(C36,RESXCC_1,9,FALSE),0)</f>
        <v>27</v>
      </c>
      <c r="W36" s="15">
        <f>IFERROR(VLOOKUP(V36,'Puntos XCC Mayor'!$A$1:$B$15,2,FALSE),0)</f>
        <v>0</v>
      </c>
      <c r="X36" s="15">
        <f>IFERROR(VLOOKUP(C36,RESXCO,9,FALSE),0)</f>
        <v>27</v>
      </c>
      <c r="Y36" s="25">
        <f>IFERROR(VLOOKUP(X36,'Puntos XCO'!$A$1:$B$63,2,FALSE),0)</f>
        <v>44</v>
      </c>
      <c r="Z36" s="27">
        <f>G36+I36+K36+M36+O36+Q36+S36+U36+W36+Y36</f>
        <v>254</v>
      </c>
      <c r="AB36" s="3"/>
    </row>
    <row r="37" spans="1:28" ht="24.95" customHeight="1">
      <c r="A37" s="3">
        <v>23</v>
      </c>
      <c r="B37" s="3">
        <v>35</v>
      </c>
      <c r="C37" s="22">
        <v>346</v>
      </c>
      <c r="D37" s="23" t="str">
        <f>VLOOKUP(C37,PLANILLA,2,FALSE)</f>
        <v xml:space="preserve">NUÑEZ  Lorenzo </v>
      </c>
      <c r="E37" s="24" t="str">
        <f>VLOOKUP(C37,PLANILLA,4,FALSE)</f>
        <v>TEAM- TIERNITICOS- ELKY FERRETERÍA- BIORACER</v>
      </c>
      <c r="F37" s="3"/>
      <c r="G37" s="15"/>
      <c r="H37" s="3"/>
      <c r="I37" s="25"/>
      <c r="J37" s="33">
        <v>10</v>
      </c>
      <c r="K37" s="22">
        <v>1</v>
      </c>
      <c r="L37" s="22">
        <v>7</v>
      </c>
      <c r="M37" s="34">
        <v>90</v>
      </c>
      <c r="N37" s="26"/>
      <c r="O37" s="3">
        <f>IFERROR(VLOOKUP(N37,'Puntos XCC Menor'!$A$1:$B$15,2,FALSE),0)</f>
        <v>0</v>
      </c>
      <c r="P37" s="3">
        <v>0</v>
      </c>
      <c r="Q37" s="34">
        <f>IFERROR(VLOOKUP(P37,'Puntos XCO'!$A$1:$B$63,2,FALSE),0)</f>
        <v>0</v>
      </c>
      <c r="R37" s="16">
        <v>0</v>
      </c>
      <c r="S37" s="3">
        <f>IFERROR(VLOOKUP(R37,'Puntos XCC Menor'!$A$1:$B$15,2,FALSE),0)</f>
        <v>0</v>
      </c>
      <c r="T37" s="15">
        <v>0</v>
      </c>
      <c r="U37" s="39">
        <f>IFERROR(VLOOKUP(T37,'Puntos XCO'!$A$1:$B$63,2,FALSE),0)</f>
        <v>0</v>
      </c>
      <c r="V37" s="16">
        <f>IFERROR(VLOOKUP(C37,RESXCC_1,9,FALSE),0)</f>
        <v>3</v>
      </c>
      <c r="W37" s="15">
        <f>IFERROR(VLOOKUP(V37,'Puntos XCC Mayor'!$A$1:$B$15,2,FALSE),0)</f>
        <v>16</v>
      </c>
      <c r="X37" s="15">
        <f>IFERROR(VLOOKUP(C37,RESXCO,9,FALSE),0)</f>
        <v>3</v>
      </c>
      <c r="Y37" s="25">
        <f>IFERROR(VLOOKUP(X37,'Puntos XCO'!$A$1:$B$63,2,FALSE),0)</f>
        <v>120</v>
      </c>
      <c r="Z37" s="27">
        <f>G37+I37+K37+M37+O37+Q37+S37+U37+W37+Y37</f>
        <v>227</v>
      </c>
      <c r="AB37" s="3"/>
    </row>
    <row r="38" spans="1:28" ht="24.95" customHeight="1">
      <c r="A38" s="3">
        <v>24</v>
      </c>
      <c r="B38" s="3">
        <v>21</v>
      </c>
      <c r="C38" s="22">
        <v>349</v>
      </c>
      <c r="D38" s="23" t="str">
        <f>VLOOKUP(C38,PLANILLA,2,FALSE)</f>
        <v>PAREDES  Miguel</v>
      </c>
      <c r="E38" s="24" t="str">
        <f>VLOOKUP(C38,PLANILLA,4,FALSE)</f>
        <v xml:space="preserve">ASTRANOVA BIKE HOUSE TREK </v>
      </c>
      <c r="F38" s="3"/>
      <c r="G38" s="15"/>
      <c r="H38" s="3"/>
      <c r="I38" s="25"/>
      <c r="J38" s="33"/>
      <c r="K38" s="22"/>
      <c r="L38" s="22"/>
      <c r="M38" s="34"/>
      <c r="N38" s="26"/>
      <c r="O38" s="3">
        <f>IFERROR(VLOOKUP(N38,'Puntos XCC Menor'!$A$1:$B$15,2,FALSE),0)</f>
        <v>0</v>
      </c>
      <c r="P38" s="3">
        <v>1</v>
      </c>
      <c r="Q38" s="34">
        <f>IFERROR(VLOOKUP(P38,'Puntos XCO'!$A$1:$B$63,2,FALSE),0)</f>
        <v>200</v>
      </c>
      <c r="R38" s="16">
        <v>0</v>
      </c>
      <c r="S38" s="3">
        <f>IFERROR(VLOOKUP(R38,'Puntos XCC Menor'!$A$1:$B$15,2,FALSE),0)</f>
        <v>0</v>
      </c>
      <c r="T38" s="15">
        <v>0</v>
      </c>
      <c r="U38" s="39">
        <f>IFERROR(VLOOKUP(T38,'Puntos XCO'!$A$1:$B$63,2,FALSE),0)</f>
        <v>0</v>
      </c>
      <c r="V38" s="16">
        <f>IFERROR(VLOOKUP(C38,RESXCC_1,9,FALSE),0)</f>
        <v>0</v>
      </c>
      <c r="W38" s="15">
        <f>IFERROR(VLOOKUP(V38,'Puntos XCC Mayor'!$A$1:$B$15,2,FALSE),0)</f>
        <v>0</v>
      </c>
      <c r="X38" s="15">
        <f>IFERROR(VLOOKUP(C38,RESXCO,9,FALSE),0)</f>
        <v>0</v>
      </c>
      <c r="Y38" s="25">
        <f>IFERROR(VLOOKUP(X38,'Puntos XCO'!$A$1:$B$63,2,FALSE),0)</f>
        <v>0</v>
      </c>
      <c r="Z38" s="27">
        <f>G38+I38+K38+M38+O38+Q38+S38+U38+W38+Y38</f>
        <v>200</v>
      </c>
      <c r="AB38" s="3"/>
    </row>
    <row r="39" spans="1:28" ht="24.95" customHeight="1">
      <c r="A39" s="3">
        <v>25</v>
      </c>
      <c r="B39" s="3">
        <v>31</v>
      </c>
      <c r="C39" s="22">
        <v>348</v>
      </c>
      <c r="D39" s="23" t="str">
        <f>VLOOKUP(C39,PLANILLA,2,FALSE)</f>
        <v>FERNÁNDEZ  Sebastián*</v>
      </c>
      <c r="E39" s="24" t="str">
        <f>VLOOKUP(C39,PLANILLA,4,FALSE)</f>
        <v xml:space="preserve">ASOCIACIÓN CICLISTICA TURRIALBA </v>
      </c>
      <c r="F39" s="3"/>
      <c r="G39" s="15"/>
      <c r="H39" s="3"/>
      <c r="I39" s="25"/>
      <c r="J39" s="33">
        <v>0</v>
      </c>
      <c r="K39" s="22">
        <v>0</v>
      </c>
      <c r="L39" s="22">
        <v>16</v>
      </c>
      <c r="M39" s="34">
        <v>66</v>
      </c>
      <c r="N39" s="26"/>
      <c r="O39" s="3">
        <f>IFERROR(VLOOKUP(N39,'Puntos XCC Menor'!$A$1:$B$15,2,FALSE),0)</f>
        <v>0</v>
      </c>
      <c r="P39" s="3">
        <v>22</v>
      </c>
      <c r="Q39" s="34">
        <f>IFERROR(VLOOKUP(P39,'Puntos XCO'!$A$1:$B$63,2,FALSE),0)</f>
        <v>54</v>
      </c>
      <c r="R39" s="16">
        <v>0</v>
      </c>
      <c r="S39" s="3">
        <f>IFERROR(VLOOKUP(R39,'Puntos XCC Menor'!$A$1:$B$15,2,FALSE),0)</f>
        <v>0</v>
      </c>
      <c r="T39" s="15">
        <v>0</v>
      </c>
      <c r="U39" s="39">
        <f>IFERROR(VLOOKUP(T39,'Puntos XCO'!$A$1:$B$63,2,FALSE),0)</f>
        <v>0</v>
      </c>
      <c r="V39" s="16">
        <f>IFERROR(VLOOKUP(C39,RESXCC_1,9,FALSE),0)</f>
        <v>11</v>
      </c>
      <c r="W39" s="15">
        <f>IFERROR(VLOOKUP(V39,'Puntos XCC Mayor'!$A$1:$B$15,2,FALSE),0)</f>
        <v>5</v>
      </c>
      <c r="X39" s="15">
        <f>IFERROR(VLOOKUP(C39,RESXCO,9,FALSE),0)</f>
        <v>15</v>
      </c>
      <c r="Y39" s="25">
        <f>IFERROR(VLOOKUP(X39,'Puntos XCO'!$A$1:$B$63,2,FALSE),0)</f>
        <v>68</v>
      </c>
      <c r="Z39" s="27">
        <f>G39+I39+K39+M39+O39+Q39+S39+U39+W39+Y39</f>
        <v>193</v>
      </c>
      <c r="AB39" s="3"/>
    </row>
    <row r="40" spans="1:28" ht="24.95" customHeight="1">
      <c r="A40" s="3">
        <v>26</v>
      </c>
      <c r="B40" s="3">
        <v>30</v>
      </c>
      <c r="C40" s="22">
        <v>343</v>
      </c>
      <c r="D40" s="23" t="str">
        <f>VLOOKUP(C40,PLANILLA,2,FALSE)</f>
        <v xml:space="preserve">VARGAS  David </v>
      </c>
      <c r="E40" s="24" t="str">
        <f>VLOOKUP(C40,PLANILLA,4,FALSE)</f>
        <v xml:space="preserve">ACISA SARAPIQUÍ </v>
      </c>
      <c r="F40" s="3"/>
      <c r="G40" s="15"/>
      <c r="H40" s="3"/>
      <c r="I40" s="25"/>
      <c r="J40" s="33">
        <v>34</v>
      </c>
      <c r="K40" s="22">
        <v>0</v>
      </c>
      <c r="L40" s="22">
        <v>28</v>
      </c>
      <c r="M40" s="34">
        <v>42</v>
      </c>
      <c r="N40" s="26"/>
      <c r="O40" s="3">
        <f>IFERROR(VLOOKUP(N40,'Puntos XCC Menor'!$A$1:$B$15,2,FALSE),0)</f>
        <v>0</v>
      </c>
      <c r="P40" s="3">
        <v>0</v>
      </c>
      <c r="Q40" s="34">
        <f>IFERROR(VLOOKUP(P40,'Puntos XCO'!$A$1:$B$63,2,FALSE),0)</f>
        <v>0</v>
      </c>
      <c r="R40" s="16">
        <v>19</v>
      </c>
      <c r="S40" s="3">
        <f>IFERROR(VLOOKUP(R40,'Puntos XCC Menor'!$A$1:$B$15,2,FALSE),0)</f>
        <v>0</v>
      </c>
      <c r="T40" s="15">
        <v>9</v>
      </c>
      <c r="U40" s="39">
        <f>IFERROR(VLOOKUP(T40,'Puntos XCO'!$A$1:$B$63,2,FALSE),0)</f>
        <v>80</v>
      </c>
      <c r="V40" s="16">
        <f>IFERROR(VLOOKUP(C40,RESXCC_1,9,FALSE),0)</f>
        <v>18</v>
      </c>
      <c r="W40" s="15">
        <f>IFERROR(VLOOKUP(V40,'Puntos XCC Mayor'!$A$1:$B$15,2,FALSE),0)</f>
        <v>0</v>
      </c>
      <c r="X40" s="15">
        <f>IFERROR(VLOOKUP(C40,RESXCO,9,FALSE),0)</f>
        <v>17</v>
      </c>
      <c r="Y40" s="25">
        <f>IFERROR(VLOOKUP(X40,'Puntos XCO'!$A$1:$B$63,2,FALSE),0)</f>
        <v>64</v>
      </c>
      <c r="Z40" s="27">
        <f>G40+I40+K40+M40+O40+Q40+S40+U40+W40+Y40</f>
        <v>186</v>
      </c>
      <c r="AB40" s="3"/>
    </row>
    <row r="41" spans="1:28" ht="24.95" customHeight="1">
      <c r="A41" s="3">
        <v>27</v>
      </c>
      <c r="B41" s="3">
        <v>33</v>
      </c>
      <c r="C41" s="22">
        <v>320</v>
      </c>
      <c r="D41" s="23" t="str">
        <f>VLOOKUP(C41,PLANILLA,2,FALSE)</f>
        <v xml:space="preserve">SUNSIN  Eithan </v>
      </c>
      <c r="E41" s="24" t="str">
        <f>VLOOKUP(C41,PLANILLA,4,FALSE)</f>
        <v xml:space="preserve">ACISA </v>
      </c>
      <c r="F41" s="3">
        <v>25</v>
      </c>
      <c r="G41" s="15">
        <v>0</v>
      </c>
      <c r="H41" s="3">
        <v>20</v>
      </c>
      <c r="I41" s="25">
        <v>58</v>
      </c>
      <c r="J41" s="33">
        <v>29</v>
      </c>
      <c r="K41" s="22">
        <v>0</v>
      </c>
      <c r="L41" s="22">
        <v>23</v>
      </c>
      <c r="M41" s="34">
        <v>52</v>
      </c>
      <c r="N41" s="26"/>
      <c r="O41" s="3">
        <f>IFERROR(VLOOKUP(N41,'Puntos XCC Menor'!$A$1:$B$15,2,FALSE),0)</f>
        <v>0</v>
      </c>
      <c r="P41" s="3">
        <v>0</v>
      </c>
      <c r="Q41" s="34">
        <f>IFERROR(VLOOKUP(P41,'Puntos XCO'!$A$1:$B$63,2,FALSE),0)</f>
        <v>0</v>
      </c>
      <c r="R41" s="16">
        <v>25</v>
      </c>
      <c r="S41" s="3">
        <f>IFERROR(VLOOKUP(R41,'Puntos XCC Menor'!$A$1:$B$15,2,FALSE),0)</f>
        <v>0</v>
      </c>
      <c r="T41" s="15">
        <v>0</v>
      </c>
      <c r="U41" s="39">
        <f>IFERROR(VLOOKUP(T41,'Puntos XCO'!$A$1:$B$63,2,FALSE),0)</f>
        <v>0</v>
      </c>
      <c r="V41" s="16">
        <f>IFERROR(VLOOKUP(C41,RESXCC_1,9,FALSE),0)</f>
        <v>26</v>
      </c>
      <c r="W41" s="15">
        <f>IFERROR(VLOOKUP(V41,'Puntos XCC Mayor'!$A$1:$B$15,2,FALSE),0)</f>
        <v>0</v>
      </c>
      <c r="X41" s="15">
        <f>IFERROR(VLOOKUP(C41,RESXCO,9,FALSE),0)</f>
        <v>25</v>
      </c>
      <c r="Y41" s="25">
        <f>IFERROR(VLOOKUP(X41,'Puntos XCO'!$A$1:$B$63,2,FALSE),0)</f>
        <v>48</v>
      </c>
      <c r="Z41" s="27">
        <f>G41+I41+K41+M41+O41+Q41+S41+U41+W41+Y41</f>
        <v>158</v>
      </c>
      <c r="AB41" s="3"/>
    </row>
    <row r="42" spans="1:28" ht="24.95" customHeight="1">
      <c r="A42" s="3">
        <v>28</v>
      </c>
      <c r="B42" s="3">
        <v>24</v>
      </c>
      <c r="C42" s="22">
        <v>328</v>
      </c>
      <c r="D42" s="23" t="str">
        <f>VLOOKUP(C42,PLANILLA,2,FALSE)</f>
        <v>CISNEROS  Ian Felipe*</v>
      </c>
      <c r="E42" s="24" t="str">
        <f>VLOOKUP(C42,PLANILLA,4,FALSE)</f>
        <v xml:space="preserve">TEAM CQ PZ </v>
      </c>
      <c r="F42" s="3">
        <v>30</v>
      </c>
      <c r="G42" s="15">
        <v>0</v>
      </c>
      <c r="H42" s="3">
        <v>15</v>
      </c>
      <c r="I42" s="25">
        <v>68</v>
      </c>
      <c r="J42" s="33">
        <v>37</v>
      </c>
      <c r="K42" s="22">
        <v>0</v>
      </c>
      <c r="L42" s="22">
        <v>33</v>
      </c>
      <c r="M42" s="34">
        <v>32</v>
      </c>
      <c r="N42" s="26"/>
      <c r="O42" s="3">
        <f>IFERROR(VLOOKUP(N42,'Puntos XCC Menor'!$A$1:$B$15,2,FALSE),0)</f>
        <v>0</v>
      </c>
      <c r="P42" s="3">
        <v>25</v>
      </c>
      <c r="Q42" s="34">
        <f>IFERROR(VLOOKUP(P42,'Puntos XCO'!$A$1:$B$63,2,FALSE),0)</f>
        <v>48</v>
      </c>
      <c r="R42" s="16">
        <v>0</v>
      </c>
      <c r="S42" s="3">
        <f>IFERROR(VLOOKUP(R42,'Puntos XCC Menor'!$A$1:$B$15,2,FALSE),0)</f>
        <v>0</v>
      </c>
      <c r="T42" s="15">
        <v>0</v>
      </c>
      <c r="U42" s="39">
        <f>IFERROR(VLOOKUP(T42,'Puntos XCO'!$A$1:$B$63,2,FALSE),0)</f>
        <v>0</v>
      </c>
      <c r="V42" s="16">
        <f>IFERROR(VLOOKUP(C42,RESXCC_1,9,FALSE),0)</f>
        <v>0</v>
      </c>
      <c r="W42" s="15">
        <f>IFERROR(VLOOKUP(V42,'Puntos XCC Mayor'!$A$1:$B$15,2,FALSE),0)</f>
        <v>0</v>
      </c>
      <c r="X42" s="15">
        <f>IFERROR(VLOOKUP(C42,RESXCO,9,FALSE),0)</f>
        <v>0</v>
      </c>
      <c r="Y42" s="25">
        <f>IFERROR(VLOOKUP(X42,'Puntos XCO'!$A$1:$B$63,2,FALSE),0)</f>
        <v>0</v>
      </c>
      <c r="Z42" s="27">
        <f>G42+I42+K42+M42+O42+Q42+S42+U42+W42+Y42</f>
        <v>148</v>
      </c>
      <c r="AB42" s="3"/>
    </row>
    <row r="43" spans="1:28" ht="24.95" customHeight="1">
      <c r="A43" s="3">
        <v>29</v>
      </c>
      <c r="B43" s="3">
        <v>38</v>
      </c>
      <c r="C43" s="22">
        <v>329</v>
      </c>
      <c r="D43" s="23" t="str">
        <f>VLOOKUP(C43,PLANILLA,2,FALSE)</f>
        <v xml:space="preserve">RAMIREZ  Adrián </v>
      </c>
      <c r="E43" s="24" t="str">
        <f>VLOOKUP(C43,PLANILLA,4,FALSE)</f>
        <v xml:space="preserve">CCDR SAN JOSÉ </v>
      </c>
      <c r="F43" s="3">
        <v>16</v>
      </c>
      <c r="G43" s="15">
        <v>0</v>
      </c>
      <c r="H43" s="3">
        <v>0</v>
      </c>
      <c r="I43" s="25">
        <v>0</v>
      </c>
      <c r="J43" s="33">
        <v>28</v>
      </c>
      <c r="K43" s="22">
        <v>0</v>
      </c>
      <c r="L43" s="22">
        <v>29</v>
      </c>
      <c r="M43" s="34">
        <v>40</v>
      </c>
      <c r="N43" s="26"/>
      <c r="O43" s="3">
        <f>IFERROR(VLOOKUP(N43,'Puntos XCC Menor'!$A$1:$B$15,2,FALSE),0)</f>
        <v>0</v>
      </c>
      <c r="P43" s="3">
        <v>0</v>
      </c>
      <c r="Q43" s="34">
        <f>IFERROR(VLOOKUP(P43,'Puntos XCO'!$A$1:$B$63,2,FALSE),0)</f>
        <v>0</v>
      </c>
      <c r="R43" s="16">
        <v>28</v>
      </c>
      <c r="S43" s="3">
        <f>IFERROR(VLOOKUP(R43,'Puntos XCC Menor'!$A$1:$B$15,2,FALSE),0)</f>
        <v>0</v>
      </c>
      <c r="T43" s="15">
        <v>26</v>
      </c>
      <c r="U43" s="39">
        <f>IFERROR(VLOOKUP(T43,'Puntos XCO'!$A$1:$B$63,2,FALSE),0)</f>
        <v>46</v>
      </c>
      <c r="V43" s="16">
        <f>IFERROR(VLOOKUP(C43,RESXCC_1,9,FALSE),0)</f>
        <v>22</v>
      </c>
      <c r="W43" s="15">
        <f>IFERROR(VLOOKUP(V43,'Puntos XCC Mayor'!$A$1:$B$15,2,FALSE),0)</f>
        <v>0</v>
      </c>
      <c r="X43" s="15">
        <f>IFERROR(VLOOKUP(C43,RESXCO,9,FALSE),0)</f>
        <v>18</v>
      </c>
      <c r="Y43" s="25">
        <f>IFERROR(VLOOKUP(X43,'Puntos XCO'!$A$1:$B$63,2,FALSE),0)</f>
        <v>62</v>
      </c>
      <c r="Z43" s="27">
        <f>G43+I43+K43+M43+O43+Q43+S43+U43+W43+Y43</f>
        <v>148</v>
      </c>
      <c r="AB43" s="3"/>
    </row>
    <row r="44" spans="1:28" ht="24.95" customHeight="1">
      <c r="A44" s="3">
        <v>30</v>
      </c>
      <c r="B44" s="3">
        <v>25</v>
      </c>
      <c r="C44" s="22">
        <v>331</v>
      </c>
      <c r="D44" s="23" t="str">
        <f>VLOOKUP(C44,PLANILLA,2,FALSE)</f>
        <v xml:space="preserve">PRENDAS  Santiago </v>
      </c>
      <c r="E44" s="24" t="str">
        <f>VLOOKUP(C44,PLANILLA,4,FALSE)</f>
        <v xml:space="preserve">CCDRCARTAGO </v>
      </c>
      <c r="F44" s="3">
        <v>11</v>
      </c>
      <c r="G44" s="15">
        <v>0</v>
      </c>
      <c r="H44" s="3">
        <v>13</v>
      </c>
      <c r="I44" s="25">
        <v>72</v>
      </c>
      <c r="J44" s="33">
        <v>17</v>
      </c>
      <c r="K44" s="22">
        <v>0</v>
      </c>
      <c r="L44" s="22">
        <v>12</v>
      </c>
      <c r="M44" s="34">
        <v>74</v>
      </c>
      <c r="N44" s="26"/>
      <c r="O44" s="3">
        <f>IFERROR(VLOOKUP(N44,'Puntos XCC Menor'!$A$1:$B$15,2,FALSE),0)</f>
        <v>0</v>
      </c>
      <c r="P44" s="3">
        <v>0</v>
      </c>
      <c r="Q44" s="34">
        <f>IFERROR(VLOOKUP(P44,'Puntos XCO'!$A$1:$B$63,2,FALSE),0)</f>
        <v>0</v>
      </c>
      <c r="R44" s="16">
        <v>0</v>
      </c>
      <c r="S44" s="3">
        <f>IFERROR(VLOOKUP(R44,'Puntos XCC Menor'!$A$1:$B$15,2,FALSE),0)</f>
        <v>0</v>
      </c>
      <c r="T44" s="15">
        <v>0</v>
      </c>
      <c r="U44" s="39">
        <f>IFERROR(VLOOKUP(T44,'Puntos XCO'!$A$1:$B$63,2,FALSE),0)</f>
        <v>0</v>
      </c>
      <c r="V44" s="16">
        <f>IFERROR(VLOOKUP(C44,RESXCC_1,9,FALSE),0)</f>
        <v>0</v>
      </c>
      <c r="W44" s="15">
        <f>IFERROR(VLOOKUP(V44,'Puntos XCC Mayor'!$A$1:$B$15,2,FALSE),0)</f>
        <v>0</v>
      </c>
      <c r="X44" s="15">
        <f>IFERROR(VLOOKUP(C44,RESXCO,9,FALSE),0)</f>
        <v>0</v>
      </c>
      <c r="Y44" s="25">
        <f>IFERROR(VLOOKUP(X44,'Puntos XCO'!$A$1:$B$63,2,FALSE),0)</f>
        <v>0</v>
      </c>
      <c r="Z44" s="27">
        <f>G44+I44+K44+M44+O44+Q44+S44+U44+W44+Y44</f>
        <v>146</v>
      </c>
      <c r="AB44" s="3"/>
    </row>
    <row r="45" spans="1:28" ht="24.95" customHeight="1">
      <c r="A45" s="3">
        <v>31</v>
      </c>
      <c r="B45" s="3">
        <v>34</v>
      </c>
      <c r="C45" s="22">
        <v>341</v>
      </c>
      <c r="D45" s="23" t="str">
        <f>VLOOKUP(C45,PLANILLA,2,FALSE)</f>
        <v xml:space="preserve">ZUMBADO  Yaikel </v>
      </c>
      <c r="E45" s="24" t="str">
        <f>VLOOKUP(C45,PLANILLA,4,FALSE)</f>
        <v>CODEA</v>
      </c>
      <c r="F45" s="3"/>
      <c r="G45" s="15"/>
      <c r="H45" s="3"/>
      <c r="I45" s="25"/>
      <c r="J45" s="33">
        <v>27</v>
      </c>
      <c r="K45" s="22">
        <v>0</v>
      </c>
      <c r="L45" s="22">
        <v>0</v>
      </c>
      <c r="M45" s="34">
        <v>0</v>
      </c>
      <c r="N45" s="26"/>
      <c r="O45" s="3">
        <f>IFERROR(VLOOKUP(N45,'Puntos XCC Menor'!$A$1:$B$15,2,FALSE),0)</f>
        <v>0</v>
      </c>
      <c r="P45" s="3">
        <v>24</v>
      </c>
      <c r="Q45" s="34">
        <f>IFERROR(VLOOKUP(P45,'Puntos XCO'!$A$1:$B$63,2,FALSE),0)</f>
        <v>50</v>
      </c>
      <c r="R45" s="16">
        <v>26</v>
      </c>
      <c r="S45" s="3">
        <f>IFERROR(VLOOKUP(R45,'Puntos XCC Menor'!$A$1:$B$15,2,FALSE),0)</f>
        <v>0</v>
      </c>
      <c r="T45" s="15">
        <v>24</v>
      </c>
      <c r="U45" s="39">
        <f>IFERROR(VLOOKUP(T45,'Puntos XCO'!$A$1:$B$63,2,FALSE),0)</f>
        <v>50</v>
      </c>
      <c r="V45" s="16">
        <f>IFERROR(VLOOKUP(C45,RESXCC_1,9,FALSE),0)</f>
        <v>21</v>
      </c>
      <c r="W45" s="15">
        <f>IFERROR(VLOOKUP(V45,'Puntos XCC Mayor'!$A$1:$B$15,2,FALSE),0)</f>
        <v>0</v>
      </c>
      <c r="X45" s="15">
        <f>IFERROR(VLOOKUP(C45,RESXCO,9,FALSE),0)</f>
        <v>26</v>
      </c>
      <c r="Y45" s="25">
        <f>IFERROR(VLOOKUP(X45,'Puntos XCO'!$A$1:$B$63,2,FALSE),0)</f>
        <v>46</v>
      </c>
      <c r="Z45" s="27">
        <f>G45+I45+K45+M45+O45+Q45+S45+U45+W45+Y45</f>
        <v>146</v>
      </c>
      <c r="AB45" s="3"/>
    </row>
    <row r="46" spans="1:28" ht="24.95" customHeight="1">
      <c r="A46" s="3">
        <v>32</v>
      </c>
      <c r="B46" s="3">
        <v>26</v>
      </c>
      <c r="C46" s="22">
        <v>316</v>
      </c>
      <c r="D46" s="23" t="str">
        <f>VLOOKUP(C46,PLANILLA,2,FALSE)</f>
        <v xml:space="preserve">CHAVES  Emanuel </v>
      </c>
      <c r="E46" s="24" t="str">
        <f>VLOOKUP(C46,PLANILLA,4,FALSE)</f>
        <v xml:space="preserve">CCDR PARAÍSO </v>
      </c>
      <c r="F46" s="3">
        <v>32</v>
      </c>
      <c r="G46" s="15">
        <v>0</v>
      </c>
      <c r="H46" s="3">
        <v>29</v>
      </c>
      <c r="I46" s="25">
        <v>40</v>
      </c>
      <c r="J46" s="33">
        <v>7</v>
      </c>
      <c r="K46" s="22">
        <v>4</v>
      </c>
      <c r="L46" s="22">
        <v>5</v>
      </c>
      <c r="M46" s="34">
        <v>100</v>
      </c>
      <c r="N46" s="26"/>
      <c r="O46" s="3">
        <f>IFERROR(VLOOKUP(N46,'Puntos XCC Menor'!$A$1:$B$15,2,FALSE),0)</f>
        <v>0</v>
      </c>
      <c r="P46" s="3">
        <v>0</v>
      </c>
      <c r="Q46" s="34">
        <f>IFERROR(VLOOKUP(P46,'Puntos XCO'!$A$1:$B$63,2,FALSE),0)</f>
        <v>0</v>
      </c>
      <c r="R46" s="16">
        <v>0</v>
      </c>
      <c r="S46" s="3">
        <f>IFERROR(VLOOKUP(R46,'Puntos XCC Menor'!$A$1:$B$15,2,FALSE),0)</f>
        <v>0</v>
      </c>
      <c r="T46" s="15">
        <v>0</v>
      </c>
      <c r="U46" s="39">
        <f>IFERROR(VLOOKUP(T46,'Puntos XCO'!$A$1:$B$63,2,FALSE),0)</f>
        <v>0</v>
      </c>
      <c r="V46" s="16">
        <f>IFERROR(VLOOKUP(C46,RESXCC_1,9,FALSE),0)</f>
        <v>20</v>
      </c>
      <c r="W46" s="15">
        <f>IFERROR(VLOOKUP(V46,'Puntos XCC Mayor'!$A$1:$B$15,2,FALSE),0)</f>
        <v>0</v>
      </c>
      <c r="X46" s="15">
        <f>IFERROR(VLOOKUP(C46,RESXCO,9,FALSE),0)</f>
        <v>0</v>
      </c>
      <c r="Y46" s="25">
        <f>IFERROR(VLOOKUP(X46,'Puntos XCO'!$A$1:$B$63,2,FALSE),0)</f>
        <v>0</v>
      </c>
      <c r="Z46" s="27">
        <f>G46+I46+K46+M46+O46+Q46+S46+U46+W46+Y46</f>
        <v>144</v>
      </c>
      <c r="AB46" s="3"/>
    </row>
    <row r="47" spans="1:28" ht="24.95" customHeight="1">
      <c r="A47" s="3">
        <v>33</v>
      </c>
      <c r="B47" s="3">
        <v>27</v>
      </c>
      <c r="C47" s="22">
        <v>315</v>
      </c>
      <c r="D47" s="23" t="str">
        <f>VLOOKUP(C47,PLANILLA,2,FALSE)</f>
        <v>MALDONADO  Franco</v>
      </c>
      <c r="E47" s="24" t="str">
        <f>VLOOKUP(C47,PLANILLA,4,FALSE)</f>
        <v xml:space="preserve">DESAMPARADOS </v>
      </c>
      <c r="F47" s="3">
        <v>0</v>
      </c>
      <c r="G47" s="15">
        <v>0</v>
      </c>
      <c r="H47" s="3">
        <v>21</v>
      </c>
      <c r="I47" s="25">
        <v>56</v>
      </c>
      <c r="J47" s="33">
        <v>21</v>
      </c>
      <c r="K47" s="22">
        <v>0</v>
      </c>
      <c r="L47" s="22">
        <v>30</v>
      </c>
      <c r="M47" s="34">
        <v>38</v>
      </c>
      <c r="N47" s="26"/>
      <c r="O47" s="3">
        <f>IFERROR(VLOOKUP(N47,'Puntos XCC Menor'!$A$1:$B$15,2,FALSE),0)</f>
        <v>0</v>
      </c>
      <c r="P47" s="3">
        <v>0</v>
      </c>
      <c r="Q47" s="34">
        <f>IFERROR(VLOOKUP(P47,'Puntos XCO'!$A$1:$B$63,2,FALSE),0)</f>
        <v>0</v>
      </c>
      <c r="R47" s="16">
        <v>24</v>
      </c>
      <c r="S47" s="3">
        <f>IFERROR(VLOOKUP(R47,'Puntos XCC Menor'!$A$1:$B$15,2,FALSE),0)</f>
        <v>0</v>
      </c>
      <c r="T47" s="15">
        <v>25</v>
      </c>
      <c r="U47" s="39">
        <f>IFERROR(VLOOKUP(T47,'Puntos XCO'!$A$1:$B$63,2,FALSE),0)</f>
        <v>48</v>
      </c>
      <c r="V47" s="16">
        <f>IFERROR(VLOOKUP(C47,RESXCC_1,9,FALSE),0)</f>
        <v>0</v>
      </c>
      <c r="W47" s="15">
        <f>IFERROR(VLOOKUP(V47,'Puntos XCC Mayor'!$A$1:$B$15,2,FALSE),0)</f>
        <v>0</v>
      </c>
      <c r="X47" s="15">
        <f>IFERROR(VLOOKUP(C47,RESXCO,9,FALSE),0)</f>
        <v>0</v>
      </c>
      <c r="Y47" s="25">
        <f>IFERROR(VLOOKUP(X47,'Puntos XCO'!$A$1:$B$63,2,FALSE),0)</f>
        <v>0</v>
      </c>
      <c r="Z47" s="27">
        <f>G47+I47+K47+M47+O47+Q47+S47+U47+W47+Y47</f>
        <v>142</v>
      </c>
      <c r="AB47" s="3"/>
    </row>
    <row r="48" spans="1:28" ht="24.95" customHeight="1">
      <c r="A48" s="3">
        <v>34</v>
      </c>
      <c r="B48" s="3">
        <v>28</v>
      </c>
      <c r="C48" s="22">
        <v>322</v>
      </c>
      <c r="D48" s="23" t="str">
        <f>VLOOKUP(C48,PLANILLA,2,FALSE)</f>
        <v>DUARTE Luis Andrés*</v>
      </c>
      <c r="E48" s="24" t="str">
        <f>VLOOKUP(C48,PLANILLA,4,FALSE)</f>
        <v xml:space="preserve">ESCUELA GUIDO BLANCO CCDRLIBERIA </v>
      </c>
      <c r="F48" s="3">
        <v>0</v>
      </c>
      <c r="G48" s="15">
        <v>0</v>
      </c>
      <c r="H48" s="3">
        <v>27</v>
      </c>
      <c r="I48" s="25">
        <v>44</v>
      </c>
      <c r="J48" s="33">
        <v>31</v>
      </c>
      <c r="K48" s="22">
        <v>0</v>
      </c>
      <c r="L48" s="22">
        <v>31</v>
      </c>
      <c r="M48" s="34">
        <v>36</v>
      </c>
      <c r="N48" s="26"/>
      <c r="O48" s="3">
        <f>IFERROR(VLOOKUP(N48,'Puntos XCC Menor'!$A$1:$B$15,2,FALSE),0)</f>
        <v>0</v>
      </c>
      <c r="P48" s="3">
        <v>23</v>
      </c>
      <c r="Q48" s="34">
        <f>IFERROR(VLOOKUP(P48,'Puntos XCO'!$A$1:$B$63,2,FALSE),0)</f>
        <v>52</v>
      </c>
      <c r="R48" s="16">
        <v>27</v>
      </c>
      <c r="S48" s="3">
        <f>IFERROR(VLOOKUP(R48,'Puntos XCC Menor'!$A$1:$B$15,2,FALSE),0)</f>
        <v>0</v>
      </c>
      <c r="T48" s="15">
        <v>0</v>
      </c>
      <c r="U48" s="39">
        <f>IFERROR(VLOOKUP(T48,'Puntos XCO'!$A$1:$B$63,2,FALSE),0)</f>
        <v>0</v>
      </c>
      <c r="V48" s="16">
        <f>IFERROR(VLOOKUP(C48,RESXCC_1,9,FALSE),0)</f>
        <v>0</v>
      </c>
      <c r="W48" s="15">
        <f>IFERROR(VLOOKUP(V48,'Puntos XCC Mayor'!$A$1:$B$15,2,FALSE),0)</f>
        <v>0</v>
      </c>
      <c r="X48" s="15">
        <f>IFERROR(VLOOKUP(C48,RESXCO,9,FALSE),0)</f>
        <v>0</v>
      </c>
      <c r="Y48" s="25">
        <f>IFERROR(VLOOKUP(X48,'Puntos XCO'!$A$1:$B$63,2,FALSE),0)</f>
        <v>0</v>
      </c>
      <c r="Z48" s="27">
        <f>G48+I48+K48+M48+O48+Q48+S48+U48+W48+Y48</f>
        <v>132</v>
      </c>
      <c r="AB48" s="3"/>
    </row>
    <row r="49" spans="1:28" ht="24.95" customHeight="1">
      <c r="A49" s="3">
        <v>35</v>
      </c>
      <c r="B49" s="3">
        <v>29</v>
      </c>
      <c r="C49" s="22">
        <v>335</v>
      </c>
      <c r="D49" s="23" t="str">
        <f>VLOOKUP(C49,PLANILLA,2,FALSE)</f>
        <v>BARRANTES  Thomas *</v>
      </c>
      <c r="E49" s="24" t="str">
        <f>VLOOKUP(C49,PLANILLA,4,FALSE)</f>
        <v xml:space="preserve">ASOC. CICLISTICA GRIEGA </v>
      </c>
      <c r="F49" s="3">
        <v>22</v>
      </c>
      <c r="G49" s="15">
        <v>0</v>
      </c>
      <c r="H49" s="3">
        <v>18</v>
      </c>
      <c r="I49" s="25">
        <v>62</v>
      </c>
      <c r="J49" s="33">
        <v>22</v>
      </c>
      <c r="K49" s="22">
        <v>0</v>
      </c>
      <c r="L49" s="22">
        <v>17</v>
      </c>
      <c r="M49" s="34">
        <v>64</v>
      </c>
      <c r="N49" s="26"/>
      <c r="O49" s="3">
        <f>IFERROR(VLOOKUP(N49,'Puntos XCC Menor'!$A$1:$B$15,2,FALSE),0)</f>
        <v>0</v>
      </c>
      <c r="P49" s="3">
        <v>0</v>
      </c>
      <c r="Q49" s="34">
        <f>IFERROR(VLOOKUP(P49,'Puntos XCO'!$A$1:$B$63,2,FALSE),0)</f>
        <v>0</v>
      </c>
      <c r="R49" s="16">
        <v>0</v>
      </c>
      <c r="S49" s="3">
        <f>IFERROR(VLOOKUP(R49,'Puntos XCC Menor'!$A$1:$B$15,2,FALSE),0)</f>
        <v>0</v>
      </c>
      <c r="T49" s="15">
        <v>0</v>
      </c>
      <c r="U49" s="39">
        <f>IFERROR(VLOOKUP(T49,'Puntos XCO'!$A$1:$B$63,2,FALSE),0)</f>
        <v>0</v>
      </c>
      <c r="V49" s="16">
        <f>IFERROR(VLOOKUP(C49,RESXCC_1,9,FALSE),0)</f>
        <v>0</v>
      </c>
      <c r="W49" s="15">
        <f>IFERROR(VLOOKUP(V49,'Puntos XCC Mayor'!$A$1:$B$15,2,FALSE),0)</f>
        <v>0</v>
      </c>
      <c r="X49" s="15">
        <f>IFERROR(VLOOKUP(C49,RESXCO,9,FALSE),0)</f>
        <v>0</v>
      </c>
      <c r="Y49" s="25">
        <f>IFERROR(VLOOKUP(X49,'Puntos XCO'!$A$1:$B$63,2,FALSE),0)</f>
        <v>0</v>
      </c>
      <c r="Z49" s="27">
        <f>G49+I49+K49+M49+O49+Q49+S49+U49+W49+Y49</f>
        <v>126</v>
      </c>
      <c r="AB49" s="3"/>
    </row>
    <row r="50" spans="1:28" ht="24.95" customHeight="1">
      <c r="A50" s="3">
        <v>36</v>
      </c>
      <c r="B50" s="3">
        <v>39</v>
      </c>
      <c r="C50" s="22">
        <v>317</v>
      </c>
      <c r="D50" s="23" t="str">
        <f>VLOOKUP(C50,PLANILLA,2,FALSE)</f>
        <v>MOYA  Santiago*</v>
      </c>
      <c r="E50" s="24" t="str">
        <f>VLOOKUP(C50,PLANILLA,4,FALSE)</f>
        <v xml:space="preserve">CCDR PARAÍSO </v>
      </c>
      <c r="F50" s="3">
        <v>31</v>
      </c>
      <c r="G50" s="15">
        <v>0</v>
      </c>
      <c r="H50" s="3">
        <v>22</v>
      </c>
      <c r="I50" s="25">
        <v>54</v>
      </c>
      <c r="J50" s="33">
        <v>30</v>
      </c>
      <c r="K50" s="22">
        <v>0</v>
      </c>
      <c r="L50" s="22">
        <v>34</v>
      </c>
      <c r="M50" s="34">
        <v>30</v>
      </c>
      <c r="N50" s="26"/>
      <c r="O50" s="3">
        <f>IFERROR(VLOOKUP(N50,'Puntos XCC Menor'!$A$1:$B$15,2,FALSE),0)</f>
        <v>0</v>
      </c>
      <c r="P50" s="3">
        <v>0</v>
      </c>
      <c r="Q50" s="34">
        <f>IFERROR(VLOOKUP(P50,'Puntos XCO'!$A$1:$B$63,2,FALSE),0)</f>
        <v>0</v>
      </c>
      <c r="R50" s="16">
        <v>0</v>
      </c>
      <c r="S50" s="3">
        <f>IFERROR(VLOOKUP(R50,'Puntos XCC Menor'!$A$1:$B$15,2,FALSE),0)</f>
        <v>0</v>
      </c>
      <c r="T50" s="15">
        <v>0</v>
      </c>
      <c r="U50" s="39">
        <f>IFERROR(VLOOKUP(T50,'Puntos XCO'!$A$1:$B$63,2,FALSE),0)</f>
        <v>0</v>
      </c>
      <c r="V50" s="16">
        <f>IFERROR(VLOOKUP(C50,RESXCC_1,9,FALSE),0)</f>
        <v>30</v>
      </c>
      <c r="W50" s="15">
        <f>IFERROR(VLOOKUP(V50,'Puntos XCC Mayor'!$A$1:$B$15,2,FALSE),0)</f>
        <v>0</v>
      </c>
      <c r="X50" s="15">
        <f>IFERROR(VLOOKUP(C50,RESXCO,9,FALSE),0)</f>
        <v>31</v>
      </c>
      <c r="Y50" s="25">
        <f>IFERROR(VLOOKUP(X50,'Puntos XCO'!$A$1:$B$63,2,FALSE),0)</f>
        <v>36</v>
      </c>
      <c r="Z50" s="27">
        <f>G50+I50+K50+M50+O50+Q50+S50+U50+W50+Y50</f>
        <v>120</v>
      </c>
      <c r="AB50" s="3"/>
    </row>
    <row r="51" spans="1:28" ht="24.95" customHeight="1">
      <c r="A51" s="3">
        <v>37</v>
      </c>
      <c r="B51" s="3">
        <v>32</v>
      </c>
      <c r="C51" s="22">
        <v>344</v>
      </c>
      <c r="D51" s="23" t="str">
        <f>VLOOKUP(C51,PLANILLA,2,FALSE)</f>
        <v xml:space="preserve">ACOSTA  Jakob </v>
      </c>
      <c r="E51" s="24" t="str">
        <f>VLOOKUP(C51,PLANILLA,4,FALSE)</f>
        <v xml:space="preserve">CCDR SAN JOSÉ </v>
      </c>
      <c r="F51" s="3"/>
      <c r="G51" s="15"/>
      <c r="H51" s="3"/>
      <c r="I51" s="25"/>
      <c r="J51" s="33">
        <v>13</v>
      </c>
      <c r="K51" s="22">
        <v>0</v>
      </c>
      <c r="L51" s="22">
        <v>24</v>
      </c>
      <c r="M51" s="34">
        <v>50</v>
      </c>
      <c r="N51" s="26"/>
      <c r="O51" s="3">
        <f>IFERROR(VLOOKUP(N51,'Puntos XCC Menor'!$A$1:$B$15,2,FALSE),0)</f>
        <v>0</v>
      </c>
      <c r="P51" s="3">
        <v>0</v>
      </c>
      <c r="Q51" s="34">
        <f>IFERROR(VLOOKUP(P51,'Puntos XCO'!$A$1:$B$63,2,FALSE),0)</f>
        <v>0</v>
      </c>
      <c r="R51" s="16">
        <v>20</v>
      </c>
      <c r="S51" s="3">
        <f>IFERROR(VLOOKUP(R51,'Puntos XCC Menor'!$A$1:$B$15,2,FALSE),0)</f>
        <v>0</v>
      </c>
      <c r="T51" s="15">
        <v>15</v>
      </c>
      <c r="U51" s="39">
        <f>IFERROR(VLOOKUP(T51,'Puntos XCO'!$A$1:$B$63,2,FALSE),0)</f>
        <v>68</v>
      </c>
      <c r="V51" s="16">
        <f>IFERROR(VLOOKUP(C51,RESXCC_1,9,FALSE),0)</f>
        <v>0</v>
      </c>
      <c r="W51" s="15">
        <f>IFERROR(VLOOKUP(V51,'Puntos XCC Mayor'!$A$1:$B$15,2,FALSE),0)</f>
        <v>0</v>
      </c>
      <c r="X51" s="15">
        <f>IFERROR(VLOOKUP(C51,RESXCO,9,FALSE),0)</f>
        <v>0</v>
      </c>
      <c r="Y51" s="25">
        <f>IFERROR(VLOOKUP(X51,'Puntos XCO'!$A$1:$B$63,2,FALSE),0)</f>
        <v>0</v>
      </c>
      <c r="Z51" s="27">
        <f>G51+I51+K51+M51+O51+Q51+S51+U51+W51+Y51</f>
        <v>118</v>
      </c>
      <c r="AB51" s="3"/>
    </row>
    <row r="52" spans="1:28" ht="24.95" customHeight="1">
      <c r="A52" s="3">
        <v>38</v>
      </c>
      <c r="B52" s="3">
        <v>40</v>
      </c>
      <c r="C52" s="22">
        <v>324</v>
      </c>
      <c r="D52" s="23" t="str">
        <f>VLOOKUP(C52,PLANILLA,2,FALSE)</f>
        <v>ALVAREZ  Mateo*</v>
      </c>
      <c r="E52" s="24" t="str">
        <f>VLOOKUP(C52,PLANILLA,4,FALSE)</f>
        <v>CCDR ESCAZU</v>
      </c>
      <c r="F52" s="3">
        <v>0</v>
      </c>
      <c r="G52" s="15">
        <v>0</v>
      </c>
      <c r="H52" s="3">
        <v>28</v>
      </c>
      <c r="I52" s="25">
        <v>42</v>
      </c>
      <c r="J52" s="33">
        <v>32</v>
      </c>
      <c r="K52" s="22">
        <v>0</v>
      </c>
      <c r="L52" s="22">
        <v>0</v>
      </c>
      <c r="M52" s="34">
        <v>0</v>
      </c>
      <c r="N52" s="26"/>
      <c r="O52" s="3">
        <f>IFERROR(VLOOKUP(N52,'Puntos XCC Menor'!$A$1:$B$15,2,FALSE),0)</f>
        <v>0</v>
      </c>
      <c r="P52" s="3">
        <v>0</v>
      </c>
      <c r="Q52" s="34">
        <f>IFERROR(VLOOKUP(P52,'Puntos XCO'!$A$1:$B$63,2,FALSE),0)</f>
        <v>0</v>
      </c>
      <c r="R52" s="16">
        <v>31</v>
      </c>
      <c r="S52" s="3">
        <f>IFERROR(VLOOKUP(R52,'Puntos XCC Menor'!$A$1:$B$15,2,FALSE),0)</f>
        <v>0</v>
      </c>
      <c r="T52" s="15">
        <v>28</v>
      </c>
      <c r="U52" s="39">
        <f>IFERROR(VLOOKUP(T52,'Puntos XCO'!$A$1:$B$63,2,FALSE),0)</f>
        <v>42</v>
      </c>
      <c r="V52" s="16">
        <f>IFERROR(VLOOKUP(C52,RESXCC_1,9,FALSE),0)</f>
        <v>32</v>
      </c>
      <c r="W52" s="15">
        <f>IFERROR(VLOOKUP(V52,'Puntos XCC Mayor'!$A$1:$B$15,2,FALSE),0)</f>
        <v>0</v>
      </c>
      <c r="X52" s="15">
        <f>IFERROR(VLOOKUP(C52,RESXCO,9,FALSE),0)</f>
        <v>34</v>
      </c>
      <c r="Y52" s="25">
        <f>IFERROR(VLOOKUP(X52,'Puntos XCO'!$A$1:$B$63,2,FALSE),0)</f>
        <v>30</v>
      </c>
      <c r="Z52" s="27">
        <f>G52+I52+K52+M52+O52+Q52+S52+U52+W52+Y52</f>
        <v>114</v>
      </c>
      <c r="AB52" s="3"/>
    </row>
    <row r="53" spans="1:28" ht="24.95" customHeight="1">
      <c r="A53" s="3">
        <v>39</v>
      </c>
      <c r="B53" s="3">
        <v>44</v>
      </c>
      <c r="C53" s="107">
        <v>351</v>
      </c>
      <c r="D53" s="23" t="str">
        <f>VLOOKUP(C53,PLANILLA,2,FALSE)</f>
        <v xml:space="preserve">SALAS  Matías </v>
      </c>
      <c r="E53" s="24" t="str">
        <f>VLOOKUP(C53,PLANILLA,4,FALSE)</f>
        <v>CODEA</v>
      </c>
      <c r="F53" s="3"/>
      <c r="G53" s="15"/>
      <c r="H53" s="3"/>
      <c r="I53" s="25"/>
      <c r="J53" s="33"/>
      <c r="K53" s="22"/>
      <c r="L53" s="22"/>
      <c r="M53" s="34"/>
      <c r="N53" s="26"/>
      <c r="O53" s="3"/>
      <c r="P53" s="3"/>
      <c r="Q53" s="34"/>
      <c r="R53" s="16">
        <v>29</v>
      </c>
      <c r="S53" s="3">
        <f>IFERROR(VLOOKUP(R53,'Puntos XCC Menor'!$A$1:$B$15,2,FALSE),0)</f>
        <v>0</v>
      </c>
      <c r="T53" s="15">
        <v>23</v>
      </c>
      <c r="U53" s="39">
        <f>IFERROR(VLOOKUP(T53,'Puntos XCO'!$A$1:$B$63,2,FALSE),0)</f>
        <v>52</v>
      </c>
      <c r="V53" s="16">
        <f>IFERROR(VLOOKUP(C53,RESXCC_1,9,FALSE),0)</f>
        <v>35</v>
      </c>
      <c r="W53" s="15">
        <f>IFERROR(VLOOKUP(V53,'Puntos XCC Mayor'!$A$1:$B$15,2,FALSE),0)</f>
        <v>0</v>
      </c>
      <c r="X53" s="15">
        <f>IFERROR(VLOOKUP(C53,RESXCO,9,FALSE),0)</f>
        <v>29</v>
      </c>
      <c r="Y53" s="25">
        <f>IFERROR(VLOOKUP(X53,'Puntos XCO'!$A$1:$B$63,2,FALSE),0)</f>
        <v>40</v>
      </c>
      <c r="Z53" s="27">
        <f>G53+I53+K53+M53+O53+Q53+S53+U53+W53+Y53</f>
        <v>92</v>
      </c>
      <c r="AB53" s="3"/>
    </row>
    <row r="54" spans="1:28" ht="24.95" customHeight="1">
      <c r="A54" s="3">
        <v>40</v>
      </c>
      <c r="B54" s="3">
        <v>42</v>
      </c>
      <c r="C54" s="22">
        <v>340</v>
      </c>
      <c r="D54" s="23" t="str">
        <f>VLOOKUP(C54,PLANILLA,2,FALSE)</f>
        <v>GUEVARA Esteban Mauricio*</v>
      </c>
      <c r="E54" s="24" t="str">
        <f>VLOOKUP(C54,PLANILLA,4,FALSE)</f>
        <v>CCDR SANTA CRUZ</v>
      </c>
      <c r="F54" s="3">
        <v>29</v>
      </c>
      <c r="G54" s="15">
        <v>0</v>
      </c>
      <c r="H54" s="3">
        <v>19</v>
      </c>
      <c r="I54" s="25">
        <v>60</v>
      </c>
      <c r="J54" s="33">
        <v>0</v>
      </c>
      <c r="K54" s="22">
        <v>0</v>
      </c>
      <c r="L54" s="22">
        <v>0</v>
      </c>
      <c r="M54" s="34">
        <v>0</v>
      </c>
      <c r="N54" s="26"/>
      <c r="O54" s="3">
        <f>IFERROR(VLOOKUP(N54,'Puntos XCC Menor'!$A$1:$B$15,2,FALSE),0)</f>
        <v>0</v>
      </c>
      <c r="P54" s="3">
        <v>0</v>
      </c>
      <c r="Q54" s="34">
        <f>IFERROR(VLOOKUP(P54,'Puntos XCO'!$A$1:$B$63,2,FALSE),0)</f>
        <v>0</v>
      </c>
      <c r="R54" s="16">
        <v>0</v>
      </c>
      <c r="S54" s="3">
        <f>IFERROR(VLOOKUP(R54,'Puntos XCC Menor'!$A$1:$B$15,2,FALSE),0)</f>
        <v>0</v>
      </c>
      <c r="T54" s="15">
        <v>0</v>
      </c>
      <c r="U54" s="39">
        <f>IFERROR(VLOOKUP(T54,'Puntos XCO'!$A$1:$B$63,2,FALSE),0)</f>
        <v>0</v>
      </c>
      <c r="V54" s="16">
        <f>IFERROR(VLOOKUP(C54,RESXCC_1,9,FALSE),0)</f>
        <v>29</v>
      </c>
      <c r="W54" s="15">
        <f>IFERROR(VLOOKUP(V54,'Puntos XCC Mayor'!$A$1:$B$15,2,FALSE),0)</f>
        <v>0</v>
      </c>
      <c r="X54" s="15">
        <f>IFERROR(VLOOKUP(C54,RESXCO,9,FALSE),0)</f>
        <v>33</v>
      </c>
      <c r="Y54" s="25">
        <f>IFERROR(VLOOKUP(X54,'Puntos XCO'!$A$1:$B$63,2,FALSE),0)</f>
        <v>32</v>
      </c>
      <c r="Z54" s="27">
        <f>G54+I54+K54+M54+O54+Q54+S54+U54+W54+Y54</f>
        <v>92</v>
      </c>
      <c r="AB54" s="3"/>
    </row>
    <row r="55" spans="1:28" ht="24.95" customHeight="1">
      <c r="A55" s="3">
        <v>41</v>
      </c>
      <c r="B55" s="3">
        <v>36</v>
      </c>
      <c r="C55" s="22">
        <v>350</v>
      </c>
      <c r="D55" s="23" t="str">
        <f>VLOOKUP(C55,PLANILLA,2,FALSE)</f>
        <v>CARBALLO Bryan*</v>
      </c>
      <c r="E55" s="24" t="str">
        <f>VLOOKUP(C55,PLANILLA,4,FALSE)</f>
        <v>BIKERS RACING TEAM</v>
      </c>
      <c r="F55" s="3"/>
      <c r="G55" s="15"/>
      <c r="H55" s="3"/>
      <c r="I55" s="25"/>
      <c r="J55" s="33"/>
      <c r="K55" s="22"/>
      <c r="L55" s="22"/>
      <c r="M55" s="34"/>
      <c r="N55" s="26"/>
      <c r="O55" s="3">
        <f>IFERROR(VLOOKUP(N55,'Puntos XCC Menor'!$A$1:$B$15,2,FALSE),0)</f>
        <v>0</v>
      </c>
      <c r="P55" s="3">
        <v>7</v>
      </c>
      <c r="Q55" s="34">
        <f>IFERROR(VLOOKUP(P55,'Puntos XCO'!$A$1:$B$63,2,FALSE),0)</f>
        <v>90</v>
      </c>
      <c r="R55" s="16">
        <v>0</v>
      </c>
      <c r="S55" s="3">
        <f>IFERROR(VLOOKUP(R55,'Puntos XCC Menor'!$A$1:$B$15,2,FALSE),0)</f>
        <v>0</v>
      </c>
      <c r="T55" s="15">
        <v>0</v>
      </c>
      <c r="U55" s="39">
        <f>IFERROR(VLOOKUP(T55,'Puntos XCO'!$A$1:$B$63,2,FALSE),0)</f>
        <v>0</v>
      </c>
      <c r="V55" s="16">
        <f>IFERROR(VLOOKUP(C55,RESXCC_1,9,FALSE),0)</f>
        <v>0</v>
      </c>
      <c r="W55" s="15">
        <f>IFERROR(VLOOKUP(V55,'Puntos XCC Mayor'!$A$1:$B$15,2,FALSE),0)</f>
        <v>0</v>
      </c>
      <c r="X55" s="15">
        <f>IFERROR(VLOOKUP(C55,RESXCO,9,FALSE),0)</f>
        <v>0</v>
      </c>
      <c r="Y55" s="25">
        <f>IFERROR(VLOOKUP(X55,'Puntos XCO'!$A$1:$B$63,2,FALSE),0)</f>
        <v>0</v>
      </c>
      <c r="Z55" s="27">
        <f>G55+I55+K55+M55+O55+Q55+S55+U55+W55+Y55</f>
        <v>90</v>
      </c>
      <c r="AB55" s="3"/>
    </row>
    <row r="56" spans="1:28" ht="24.95" customHeight="1">
      <c r="A56" s="3">
        <v>42</v>
      </c>
      <c r="B56" s="3">
        <v>37</v>
      </c>
      <c r="C56" s="22">
        <v>318</v>
      </c>
      <c r="D56" s="23" t="str">
        <f>VLOOKUP(C56,PLANILLA,2,FALSE)</f>
        <v>CAMPOS  Moisés*</v>
      </c>
      <c r="E56" s="24" t="str">
        <f>VLOOKUP(C56,PLANILLA,4,FALSE)</f>
        <v xml:space="preserve">CCDR PARAÍSO </v>
      </c>
      <c r="F56" s="3">
        <v>28</v>
      </c>
      <c r="G56" s="15">
        <v>0</v>
      </c>
      <c r="H56" s="3">
        <v>25</v>
      </c>
      <c r="I56" s="25">
        <v>48</v>
      </c>
      <c r="J56" s="33">
        <v>35</v>
      </c>
      <c r="K56" s="22">
        <v>0</v>
      </c>
      <c r="L56" s="22">
        <v>0</v>
      </c>
      <c r="M56" s="34">
        <v>0</v>
      </c>
      <c r="N56" s="26"/>
      <c r="O56" s="3">
        <f>IFERROR(VLOOKUP(N56,'Puntos XCC Menor'!$A$1:$B$15,2,FALSE),0)</f>
        <v>0</v>
      </c>
      <c r="P56" s="3">
        <v>0</v>
      </c>
      <c r="Q56" s="34">
        <f>IFERROR(VLOOKUP(P56,'Puntos XCO'!$A$1:$B$63,2,FALSE),0)</f>
        <v>0</v>
      </c>
      <c r="R56" s="16">
        <v>0</v>
      </c>
      <c r="S56" s="3">
        <f>IFERROR(VLOOKUP(R56,'Puntos XCC Menor'!$A$1:$B$15,2,FALSE),0)</f>
        <v>0</v>
      </c>
      <c r="T56" s="15">
        <v>29</v>
      </c>
      <c r="U56" s="39">
        <f>IFERROR(VLOOKUP(T56,'Puntos XCO'!$A$1:$B$63,2,FALSE),0)</f>
        <v>40</v>
      </c>
      <c r="V56" s="16">
        <f>IFERROR(VLOOKUP(C56,RESXCC_1,9,FALSE),0)</f>
        <v>0</v>
      </c>
      <c r="W56" s="15">
        <f>IFERROR(VLOOKUP(V56,'Puntos XCC Mayor'!$A$1:$B$15,2,FALSE),0)</f>
        <v>0</v>
      </c>
      <c r="X56" s="15">
        <f>IFERROR(VLOOKUP(C56,RESXCO,9,FALSE),0)</f>
        <v>0</v>
      </c>
      <c r="Y56" s="25">
        <f>IFERROR(VLOOKUP(X56,'Puntos XCO'!$A$1:$B$63,2,FALSE),0)</f>
        <v>0</v>
      </c>
      <c r="Z56" s="27">
        <f>G56+I56+K56+M56+O56+Q56+S56+U56+W56+Y56</f>
        <v>88</v>
      </c>
      <c r="AB56" s="3"/>
    </row>
    <row r="57" spans="1:28" ht="24.95" customHeight="1">
      <c r="A57" s="3">
        <v>43</v>
      </c>
      <c r="B57" s="3">
        <v>46</v>
      </c>
      <c r="C57" s="107">
        <v>352</v>
      </c>
      <c r="D57" s="23" t="str">
        <f>VLOOKUP(C57,PLANILLA,2,FALSE)</f>
        <v>PORTUGUÉS  Mathias*</v>
      </c>
      <c r="E57" s="24" t="str">
        <f>VLOOKUP(C57,PLANILLA,4,FALSE)</f>
        <v xml:space="preserve">CCDR PARAÍSO </v>
      </c>
      <c r="F57" s="3"/>
      <c r="G57" s="15"/>
      <c r="H57" s="3"/>
      <c r="I57" s="25"/>
      <c r="J57" s="33"/>
      <c r="K57" s="22"/>
      <c r="L57" s="22"/>
      <c r="M57" s="34"/>
      <c r="N57" s="26"/>
      <c r="O57" s="3"/>
      <c r="P57" s="3"/>
      <c r="Q57" s="34"/>
      <c r="R57" s="16">
        <v>0</v>
      </c>
      <c r="S57" s="3">
        <f>IFERROR(VLOOKUP(R57,'Puntos XCC Menor'!$A$1:$B$15,2,FALSE),0)</f>
        <v>0</v>
      </c>
      <c r="T57" s="15">
        <v>30</v>
      </c>
      <c r="U57" s="39">
        <f>IFERROR(VLOOKUP(T57,'Puntos XCO'!$A$1:$B$63,2,FALSE),0)</f>
        <v>38</v>
      </c>
      <c r="V57" s="16">
        <f>IFERROR(VLOOKUP(C57,RESXCC_1,9,FALSE),0)</f>
        <v>31</v>
      </c>
      <c r="W57" s="15">
        <f>IFERROR(VLOOKUP(V57,'Puntos XCC Mayor'!$A$1:$B$15,2,FALSE),0)</f>
        <v>0</v>
      </c>
      <c r="X57" s="15">
        <f>IFERROR(VLOOKUP(C57,RESXCO,9,FALSE),0)</f>
        <v>30</v>
      </c>
      <c r="Y57" s="25">
        <f>IFERROR(VLOOKUP(X57,'Puntos XCO'!$A$1:$B$63,2,FALSE),0)</f>
        <v>38</v>
      </c>
      <c r="Z57" s="27">
        <f>G57+I57+K57+M57+O57+Q57+S57+U57+W57+Y57</f>
        <v>76</v>
      </c>
      <c r="AB57" s="3"/>
    </row>
    <row r="58" spans="1:28" ht="24.95" customHeight="1">
      <c r="A58" s="3">
        <v>44</v>
      </c>
      <c r="B58" s="3">
        <v>41</v>
      </c>
      <c r="C58" s="22">
        <v>338</v>
      </c>
      <c r="D58" s="23" t="str">
        <f>VLOOKUP(C58,PLANILLA,2,FALSE)</f>
        <v>PICADO Emiliano</v>
      </c>
      <c r="E58" s="24" t="str">
        <f>VLOOKUP(C58,PLANILLA,4,FALSE)</f>
        <v>DONDE LANDA</v>
      </c>
      <c r="F58" s="3">
        <v>0</v>
      </c>
      <c r="G58" s="15">
        <v>0</v>
      </c>
      <c r="H58" s="3">
        <v>26</v>
      </c>
      <c r="I58" s="25">
        <v>46</v>
      </c>
      <c r="J58" s="33">
        <v>0</v>
      </c>
      <c r="K58" s="22">
        <v>0</v>
      </c>
      <c r="L58" s="22">
        <v>35</v>
      </c>
      <c r="M58" s="34">
        <v>29</v>
      </c>
      <c r="N58" s="26"/>
      <c r="O58" s="3">
        <f>IFERROR(VLOOKUP(N58,'Puntos XCC Menor'!$A$1:$B$15,2,FALSE),0)</f>
        <v>0</v>
      </c>
      <c r="P58" s="3">
        <v>0</v>
      </c>
      <c r="Q58" s="34">
        <f>IFERROR(VLOOKUP(P58,'Puntos XCO'!$A$1:$B$63,2,FALSE),0)</f>
        <v>0</v>
      </c>
      <c r="R58" s="16">
        <v>0</v>
      </c>
      <c r="S58" s="3">
        <f>IFERROR(VLOOKUP(R58,'Puntos XCC Menor'!$A$1:$B$15,2,FALSE),0)</f>
        <v>0</v>
      </c>
      <c r="T58" s="15">
        <v>0</v>
      </c>
      <c r="U58" s="39">
        <f>IFERROR(VLOOKUP(T58,'Puntos XCO'!$A$1:$B$63,2,FALSE),0)</f>
        <v>0</v>
      </c>
      <c r="V58" s="16">
        <f>IFERROR(VLOOKUP(C58,RESXCC_1,9,FALSE),0)</f>
        <v>0</v>
      </c>
      <c r="W58" s="15">
        <f>IFERROR(VLOOKUP(V58,'Puntos XCC Mayor'!$A$1:$B$15,2,FALSE),0)</f>
        <v>0</v>
      </c>
      <c r="X58" s="15">
        <f>IFERROR(VLOOKUP(C58,RESXCO,9,FALSE),0)</f>
        <v>0</v>
      </c>
      <c r="Y58" s="25">
        <f>IFERROR(VLOOKUP(X58,'Puntos XCO'!$A$1:$B$63,2,FALSE),0)</f>
        <v>0</v>
      </c>
      <c r="Z58" s="27">
        <f>G58+I58+K58+M58+O58+Q58+S58+U58+W58+Y58</f>
        <v>75</v>
      </c>
      <c r="AB58" s="3"/>
    </row>
    <row r="59" spans="1:28" ht="24.95" customHeight="1">
      <c r="A59" s="3">
        <v>45</v>
      </c>
      <c r="B59" s="3"/>
      <c r="C59" s="22">
        <v>312</v>
      </c>
      <c r="D59" s="23" t="str">
        <f>VLOOKUP(C59,PLANILLA,2,FALSE)</f>
        <v>VARGAS Saul*</v>
      </c>
      <c r="E59" s="24" t="str">
        <f>VLOOKUP(C59,PLANILLA,4,FALSE)</f>
        <v>ULTIMATE TEAM</v>
      </c>
      <c r="F59" s="3">
        <v>0</v>
      </c>
      <c r="G59" s="15">
        <v>0</v>
      </c>
      <c r="H59" s="3">
        <v>0</v>
      </c>
      <c r="I59" s="25">
        <v>0</v>
      </c>
      <c r="J59" s="33">
        <v>0</v>
      </c>
      <c r="K59" s="22">
        <v>0</v>
      </c>
      <c r="L59" s="22">
        <v>0</v>
      </c>
      <c r="M59" s="34">
        <v>0</v>
      </c>
      <c r="N59" s="26"/>
      <c r="O59" s="3">
        <f>IFERROR(VLOOKUP(N59,'Puntos XCC Menor'!$A$1:$B$15,2,FALSE),0)</f>
        <v>0</v>
      </c>
      <c r="P59" s="3">
        <v>0</v>
      </c>
      <c r="Q59" s="34">
        <f>IFERROR(VLOOKUP(P59,'Puntos XCO'!$A$1:$B$63,2,FALSE),0)</f>
        <v>0</v>
      </c>
      <c r="R59" s="16">
        <v>0</v>
      </c>
      <c r="S59" s="3">
        <f>IFERROR(VLOOKUP(R59,'Puntos XCC Menor'!$A$1:$B$15,2,FALSE),0)</f>
        <v>0</v>
      </c>
      <c r="T59" s="15">
        <v>0</v>
      </c>
      <c r="U59" s="39">
        <f>IFERROR(VLOOKUP(T59,'Puntos XCO'!$A$1:$B$63,2,FALSE),0)</f>
        <v>0</v>
      </c>
      <c r="V59" s="16">
        <f>IFERROR(VLOOKUP(C59,RESXCC_1,9,FALSE),0)</f>
        <v>28</v>
      </c>
      <c r="W59" s="15">
        <f>IFERROR(VLOOKUP(V59,'Puntos XCC Mayor'!$A$1:$B$15,2,FALSE),0)</f>
        <v>0</v>
      </c>
      <c r="X59" s="15">
        <f>IFERROR(VLOOKUP(C59,RESXCO,9,FALSE),0)</f>
        <v>13</v>
      </c>
      <c r="Y59" s="25">
        <f>IFERROR(VLOOKUP(X59,'Puntos XCO'!$A$1:$B$63,2,FALSE),0)</f>
        <v>72</v>
      </c>
      <c r="Z59" s="27">
        <f>G59+I59+K59+M59+O59+Q59+S59+U59+W59+Y59</f>
        <v>72</v>
      </c>
      <c r="AB59" s="3"/>
    </row>
    <row r="60" spans="1:28" ht="24.95" customHeight="1">
      <c r="A60" s="3">
        <v>46</v>
      </c>
      <c r="B60" s="3">
        <v>43</v>
      </c>
      <c r="C60" s="22">
        <v>339</v>
      </c>
      <c r="D60" s="23" t="str">
        <f>VLOOKUP(C60,PLANILLA,2,FALSE)</f>
        <v>BRENES Tayron Fabián*</v>
      </c>
      <c r="E60" s="24" t="str">
        <f>VLOOKUP(C60,PLANILLA,4,FALSE)</f>
        <v>CCDR CARTAGO</v>
      </c>
      <c r="F60" s="3">
        <v>0</v>
      </c>
      <c r="G60" s="15">
        <v>0</v>
      </c>
      <c r="H60" s="3">
        <v>23</v>
      </c>
      <c r="I60" s="25">
        <v>52</v>
      </c>
      <c r="J60" s="33">
        <v>0</v>
      </c>
      <c r="K60" s="22">
        <v>0</v>
      </c>
      <c r="L60" s="22">
        <v>0</v>
      </c>
      <c r="M60" s="34">
        <v>0</v>
      </c>
      <c r="N60" s="26"/>
      <c r="O60" s="3">
        <f>IFERROR(VLOOKUP(N60,'Puntos XCC Menor'!$A$1:$B$15,2,FALSE),0)</f>
        <v>0</v>
      </c>
      <c r="P60" s="3">
        <v>0</v>
      </c>
      <c r="Q60" s="34">
        <f>IFERROR(VLOOKUP(P60,'Puntos XCO'!$A$1:$B$63,2,FALSE),0)</f>
        <v>0</v>
      </c>
      <c r="R60" s="16">
        <v>0</v>
      </c>
      <c r="S60" s="3">
        <f>IFERROR(VLOOKUP(R60,'Puntos XCC Menor'!$A$1:$B$15,2,FALSE),0)</f>
        <v>0</v>
      </c>
      <c r="T60" s="15">
        <v>0</v>
      </c>
      <c r="U60" s="39">
        <f>IFERROR(VLOOKUP(T60,'Puntos XCO'!$A$1:$B$63,2,FALSE),0)</f>
        <v>0</v>
      </c>
      <c r="V60" s="16">
        <f>IFERROR(VLOOKUP(C60,RESXCC_1,9,FALSE),0)</f>
        <v>0</v>
      </c>
      <c r="W60" s="15">
        <f>IFERROR(VLOOKUP(V60,'Puntos XCC Mayor'!$A$1:$B$15,2,FALSE),0)</f>
        <v>0</v>
      </c>
      <c r="X60" s="15">
        <f>IFERROR(VLOOKUP(C60,RESXCO,9,FALSE),0)</f>
        <v>0</v>
      </c>
      <c r="Y60" s="25">
        <f>IFERROR(VLOOKUP(X60,'Puntos XCO'!$A$1:$B$63,2,FALSE),0)</f>
        <v>0</v>
      </c>
      <c r="Z60" s="27">
        <f>G60+I60+K60+M60+O60+Q60+S60+U60+W60+Y60</f>
        <v>52</v>
      </c>
      <c r="AB60" s="3"/>
    </row>
    <row r="61" spans="1:28" ht="24.95" customHeight="1">
      <c r="A61" s="3">
        <v>47</v>
      </c>
      <c r="B61" s="3">
        <v>45</v>
      </c>
      <c r="C61" s="22">
        <v>347</v>
      </c>
      <c r="D61" s="23" t="str">
        <f>VLOOKUP(C61,PLANILLA,2,FALSE)</f>
        <v>SALAZAR Adriel*</v>
      </c>
      <c r="E61" s="24" t="str">
        <f>VLOOKUP(C61,PLANILLA,4,FALSE)</f>
        <v xml:space="preserve">CCDR SAN JOSÉ </v>
      </c>
      <c r="F61" s="3"/>
      <c r="G61" s="15"/>
      <c r="H61" s="3"/>
      <c r="I61" s="25"/>
      <c r="J61" s="33">
        <v>26</v>
      </c>
      <c r="K61" s="22">
        <v>0</v>
      </c>
      <c r="L61" s="22">
        <v>27</v>
      </c>
      <c r="M61" s="34">
        <v>44</v>
      </c>
      <c r="N61" s="26"/>
      <c r="O61" s="3">
        <f>IFERROR(VLOOKUP(N61,'Puntos XCC Menor'!$A$1:$B$15,2,FALSE),0)</f>
        <v>0</v>
      </c>
      <c r="P61" s="3">
        <v>0</v>
      </c>
      <c r="Q61" s="34">
        <f>IFERROR(VLOOKUP(P61,'Puntos XCO'!$A$1:$B$63,2,FALSE),0)</f>
        <v>0</v>
      </c>
      <c r="R61" s="16">
        <v>0</v>
      </c>
      <c r="S61" s="3">
        <f>IFERROR(VLOOKUP(R61,'Puntos XCC Menor'!$A$1:$B$15,2,FALSE),0)</f>
        <v>0</v>
      </c>
      <c r="T61" s="15">
        <v>0</v>
      </c>
      <c r="U61" s="39">
        <f>IFERROR(VLOOKUP(T61,'Puntos XCO'!$A$1:$B$63,2,FALSE),0)</f>
        <v>0</v>
      </c>
      <c r="V61" s="16">
        <f>IFERROR(VLOOKUP(C61,RESXCC_1,9,FALSE),0)</f>
        <v>0</v>
      </c>
      <c r="W61" s="15">
        <f>IFERROR(VLOOKUP(V61,'Puntos XCC Mayor'!$A$1:$B$15,2,FALSE),0)</f>
        <v>0</v>
      </c>
      <c r="X61" s="15">
        <f>IFERROR(VLOOKUP(C61,RESXCO,9,FALSE),0)</f>
        <v>0</v>
      </c>
      <c r="Y61" s="25">
        <f>IFERROR(VLOOKUP(X61,'Puntos XCO'!$A$1:$B$63,2,FALSE),0)</f>
        <v>0</v>
      </c>
      <c r="Z61" s="27">
        <f>G61+I61+K61+M61+O61+Q61+S61+U61+W61+Y61</f>
        <v>44</v>
      </c>
      <c r="AB61" s="3"/>
    </row>
    <row r="62" spans="1:28" ht="24.95" customHeight="1">
      <c r="A62" s="3">
        <v>48</v>
      </c>
      <c r="B62" s="3"/>
      <c r="C62" s="107">
        <v>355</v>
      </c>
      <c r="D62" s="23" t="str">
        <f>VLOOKUP(C62,PLANILLA,2,FALSE)</f>
        <v>ALVAREZ Deyler*</v>
      </c>
      <c r="E62" s="24" t="str">
        <f>VLOOKUP(C62,PLANILLA,4,FALSE)</f>
        <v>CCDR MATINA-CICLO SALAS BATAAN</v>
      </c>
      <c r="F62" s="3"/>
      <c r="G62" s="15"/>
      <c r="H62" s="3"/>
      <c r="I62" s="25"/>
      <c r="J62" s="33"/>
      <c r="K62" s="22"/>
      <c r="L62" s="22"/>
      <c r="M62" s="34"/>
      <c r="N62" s="26"/>
      <c r="O62" s="3"/>
      <c r="P62" s="3"/>
      <c r="Q62" s="34"/>
      <c r="R62" s="16"/>
      <c r="S62" s="3"/>
      <c r="T62" s="15"/>
      <c r="U62" s="39"/>
      <c r="V62" s="16">
        <f>IFERROR(VLOOKUP(C62,RESXCC_1,9,FALSE),0)</f>
        <v>24</v>
      </c>
      <c r="W62" s="15">
        <f>IFERROR(VLOOKUP(V62,'Puntos XCC Mayor'!$A$1:$B$15,2,FALSE),0)</f>
        <v>0</v>
      </c>
      <c r="X62" s="15">
        <f>IFERROR(VLOOKUP(C62,RESXCO,9,FALSE),0)</f>
        <v>28</v>
      </c>
      <c r="Y62" s="25">
        <f>IFERROR(VLOOKUP(X62,'Puntos XCO'!$A$1:$B$63,2,FALSE),0)</f>
        <v>42</v>
      </c>
      <c r="Z62" s="27">
        <f>G62+I62+K62+M62+O62+Q62+S62+U62+W62+Y62</f>
        <v>42</v>
      </c>
      <c r="AB62" s="3"/>
    </row>
    <row r="63" spans="1:28" ht="24.95" customHeight="1">
      <c r="A63" s="3">
        <v>49</v>
      </c>
      <c r="B63" s="3">
        <v>47</v>
      </c>
      <c r="C63" s="22">
        <v>330</v>
      </c>
      <c r="D63" s="23" t="str">
        <f>VLOOKUP(C63,PLANILLA,2,FALSE)</f>
        <v xml:space="preserve">CASTRO Juandavid </v>
      </c>
      <c r="E63" s="24" t="str">
        <f>VLOOKUP(C63,PLANILLA,4,FALSE)</f>
        <v/>
      </c>
      <c r="F63" s="3">
        <v>20</v>
      </c>
      <c r="G63" s="15">
        <v>0</v>
      </c>
      <c r="H63" s="3">
        <v>31</v>
      </c>
      <c r="I63" s="25">
        <v>36</v>
      </c>
      <c r="J63" s="33">
        <v>0</v>
      </c>
      <c r="K63" s="22">
        <v>0</v>
      </c>
      <c r="L63" s="22">
        <v>0</v>
      </c>
      <c r="M63" s="34">
        <v>0</v>
      </c>
      <c r="N63" s="26"/>
      <c r="O63" s="3">
        <f>IFERROR(VLOOKUP(N63,'Puntos XCC Menor'!$A$1:$B$15,2,FALSE),0)</f>
        <v>0</v>
      </c>
      <c r="P63" s="3">
        <v>0</v>
      </c>
      <c r="Q63" s="34">
        <f>IFERROR(VLOOKUP(P63,'Puntos XCO'!$A$1:$B$63,2,FALSE),0)</f>
        <v>0</v>
      </c>
      <c r="R63" s="16">
        <v>0</v>
      </c>
      <c r="S63" s="3">
        <f>IFERROR(VLOOKUP(R63,'Puntos XCC Menor'!$A$1:$B$15,2,FALSE),0)</f>
        <v>0</v>
      </c>
      <c r="T63" s="15">
        <v>0</v>
      </c>
      <c r="U63" s="39">
        <f>IFERROR(VLOOKUP(T63,'Puntos XCO'!$A$1:$B$63,2,FALSE),0)</f>
        <v>0</v>
      </c>
      <c r="V63" s="16">
        <f>IFERROR(VLOOKUP(C63,RESXCC_1,9,FALSE),0)</f>
        <v>0</v>
      </c>
      <c r="W63" s="15">
        <f>IFERROR(VLOOKUP(V63,'Puntos XCC Mayor'!$A$1:$B$15,2,FALSE),0)</f>
        <v>0</v>
      </c>
      <c r="X63" s="15">
        <f>IFERROR(VLOOKUP(C63,RESXCO,9,FALSE),0)</f>
        <v>0</v>
      </c>
      <c r="Y63" s="25">
        <f>IFERROR(VLOOKUP(X63,'Puntos XCO'!$A$1:$B$63,2,FALSE),0)</f>
        <v>0</v>
      </c>
      <c r="Z63" s="27">
        <f>G63+I63+K63+M63+O63+Q63+S63+U63+W63+Y63</f>
        <v>36</v>
      </c>
      <c r="AB63" s="3"/>
    </row>
    <row r="64" spans="1:28" ht="24.95" customHeight="1">
      <c r="A64" s="3">
        <v>50</v>
      </c>
      <c r="B64" s="3"/>
      <c r="C64" s="107">
        <v>353</v>
      </c>
      <c r="D64" s="23" t="str">
        <f>VLOOKUP(C64,PLANILLA,2,FALSE)</f>
        <v xml:space="preserve">CUBERO Sebastián </v>
      </c>
      <c r="E64" s="24" t="str">
        <f>VLOOKUP(C64,PLANILLA,4,FALSE)</f>
        <v>CCDR CARTAGO</v>
      </c>
      <c r="F64" s="3"/>
      <c r="G64" s="15"/>
      <c r="H64" s="3"/>
      <c r="I64" s="25"/>
      <c r="J64" s="33"/>
      <c r="K64" s="22"/>
      <c r="L64" s="22"/>
      <c r="M64" s="34"/>
      <c r="N64" s="26"/>
      <c r="O64" s="3"/>
      <c r="P64" s="3"/>
      <c r="Q64" s="34"/>
      <c r="R64" s="16"/>
      <c r="S64" s="3"/>
      <c r="T64" s="15"/>
      <c r="U64" s="39"/>
      <c r="V64" s="16">
        <f>IFERROR(VLOOKUP(C64,RESXCC_1,9,FALSE),0)</f>
        <v>33</v>
      </c>
      <c r="W64" s="15">
        <f>IFERROR(VLOOKUP(V64,'Puntos XCC Mayor'!$A$1:$B$15,2,FALSE),0)</f>
        <v>0</v>
      </c>
      <c r="X64" s="15">
        <f>IFERROR(VLOOKUP(C64,RESXCO,9,FALSE),0)</f>
        <v>32</v>
      </c>
      <c r="Y64" s="25">
        <f>IFERROR(VLOOKUP(X64,'Puntos XCO'!$A$1:$B$63,2,FALSE),0)</f>
        <v>34</v>
      </c>
      <c r="Z64" s="27">
        <f>G64+I64+K64+M64+O64+Q64+S64+U64+W64+Y64</f>
        <v>34</v>
      </c>
      <c r="AB64" s="3"/>
    </row>
    <row r="65" spans="1:28" ht="24.95" customHeight="1">
      <c r="A65" s="3">
        <v>51</v>
      </c>
      <c r="B65" s="3"/>
      <c r="C65" s="107">
        <v>354</v>
      </c>
      <c r="D65" s="23" t="str">
        <f>VLOOKUP(C65,PLANILLA,2,FALSE)</f>
        <v>PIZARRO  Jose Alejandro*</v>
      </c>
      <c r="E65" s="24" t="str">
        <f>VLOOKUP(C65,PLANILLA,4,FALSE)</f>
        <v xml:space="preserve">CCDR SANTA CRUZ </v>
      </c>
      <c r="F65" s="3"/>
      <c r="G65" s="15"/>
      <c r="H65" s="3"/>
      <c r="I65" s="25"/>
      <c r="J65" s="33"/>
      <c r="K65" s="22"/>
      <c r="L65" s="22"/>
      <c r="M65" s="34"/>
      <c r="N65" s="26"/>
      <c r="O65" s="3"/>
      <c r="P65" s="3"/>
      <c r="Q65" s="34"/>
      <c r="R65" s="16"/>
      <c r="S65" s="3"/>
      <c r="T65" s="15"/>
      <c r="U65" s="39"/>
      <c r="V65" s="16">
        <f>IFERROR(VLOOKUP(C65,RESXCC_1,9,FALSE),0)</f>
        <v>34</v>
      </c>
      <c r="W65" s="15">
        <f>IFERROR(VLOOKUP(V65,'Puntos XCC Mayor'!$A$1:$B$15,2,FALSE),0)</f>
        <v>0</v>
      </c>
      <c r="X65" s="15">
        <f>IFERROR(VLOOKUP(C65,RESXCO,9,FALSE),0)</f>
        <v>35</v>
      </c>
      <c r="Y65" s="25">
        <f>IFERROR(VLOOKUP(X65,'Puntos XCO'!$A$1:$B$63,2,FALSE),0)</f>
        <v>29</v>
      </c>
      <c r="Z65" s="27">
        <f>G65+I65+K65+M65+O65+Q65+S65+U65+W65+Y65</f>
        <v>29</v>
      </c>
      <c r="AB65" s="3"/>
    </row>
    <row r="66" spans="1:28" ht="24.95" customHeight="1">
      <c r="A66" s="3">
        <v>52</v>
      </c>
      <c r="B66" s="3"/>
      <c r="C66" s="107">
        <v>356</v>
      </c>
      <c r="D66" s="23" t="str">
        <f>VLOOKUP(C66,PLANILLA,2,FALSE)</f>
        <v>GUIDO  Sebastián Manuel*</v>
      </c>
      <c r="E66" s="24" t="str">
        <f>VLOOKUP(C66,PLANILLA,4,FALSE)</f>
        <v xml:space="preserve">CCDR SANTA CRUZ </v>
      </c>
      <c r="F66" s="3"/>
      <c r="G66" s="15"/>
      <c r="H66" s="3"/>
      <c r="I66" s="25"/>
      <c r="J66" s="33"/>
      <c r="K66" s="22"/>
      <c r="L66" s="22"/>
      <c r="M66" s="34"/>
      <c r="N66" s="26"/>
      <c r="O66" s="3"/>
      <c r="P66" s="3"/>
      <c r="Q66" s="34"/>
      <c r="R66" s="16"/>
      <c r="S66" s="3"/>
      <c r="T66" s="15"/>
      <c r="U66" s="39"/>
      <c r="V66" s="16">
        <f>IFERROR(VLOOKUP(C66,RESXCC_1,9,FALSE),0)</f>
        <v>37</v>
      </c>
      <c r="W66" s="15">
        <f>IFERROR(VLOOKUP(V66,'Puntos XCC Mayor'!$A$1:$B$15,2,FALSE),0)</f>
        <v>0</v>
      </c>
      <c r="X66" s="15">
        <f>IFERROR(VLOOKUP(C66,RESXCO,9,FALSE),0)</f>
        <v>36</v>
      </c>
      <c r="Y66" s="25">
        <f>IFERROR(VLOOKUP(X66,'Puntos XCO'!$A$1:$B$63,2,FALSE),0)</f>
        <v>28</v>
      </c>
      <c r="Z66" s="27">
        <f>G66+I66+K66+M66+O66+Q66+S66+U66+W66+Y66</f>
        <v>28</v>
      </c>
      <c r="AB66" s="3"/>
    </row>
    <row r="67" spans="1:28" ht="24.95" customHeight="1">
      <c r="A67" s="3">
        <v>53</v>
      </c>
      <c r="B67" s="3">
        <v>48</v>
      </c>
      <c r="C67" s="22">
        <v>345</v>
      </c>
      <c r="D67" s="23" t="str">
        <f>VLOOKUP(C67,PLANILLA,2,FALSE)</f>
        <v xml:space="preserve">MONGE Mathias* </v>
      </c>
      <c r="E67" s="24" t="str">
        <f>VLOOKUP(C67,PLANILLA,4,FALSE)</f>
        <v>MECATRONICS / MCT COMPONENTS</v>
      </c>
      <c r="F67" s="3"/>
      <c r="G67" s="15"/>
      <c r="H67" s="3"/>
      <c r="I67" s="25"/>
      <c r="J67" s="33">
        <v>36</v>
      </c>
      <c r="K67" s="22">
        <v>0</v>
      </c>
      <c r="L67" s="22">
        <v>37</v>
      </c>
      <c r="M67" s="34">
        <v>27</v>
      </c>
      <c r="N67" s="26"/>
      <c r="O67" s="3">
        <f>IFERROR(VLOOKUP(N67,'Puntos XCC Menor'!$A$1:$B$15,2,FALSE),0)</f>
        <v>0</v>
      </c>
      <c r="P67" s="3">
        <v>0</v>
      </c>
      <c r="Q67" s="34">
        <f>IFERROR(VLOOKUP(P67,'Puntos XCO'!$A$1:$B$63,2,FALSE),0)</f>
        <v>0</v>
      </c>
      <c r="R67" s="16">
        <v>0</v>
      </c>
      <c r="S67" s="3">
        <f>IFERROR(VLOOKUP(R67,'Puntos XCC Menor'!$A$1:$B$15,2,FALSE),0)</f>
        <v>0</v>
      </c>
      <c r="T67" s="15">
        <v>0</v>
      </c>
      <c r="U67" s="39">
        <f>IFERROR(VLOOKUP(T67,'Puntos XCO'!$A$1:$B$63,2,FALSE),0)</f>
        <v>0</v>
      </c>
      <c r="V67" s="16">
        <f>IFERROR(VLOOKUP(C67,RESXCC_1,9,FALSE),0)</f>
        <v>0</v>
      </c>
      <c r="W67" s="15">
        <f>IFERROR(VLOOKUP(V67,'Puntos XCC Mayor'!$A$1:$B$15,2,FALSE),0)</f>
        <v>0</v>
      </c>
      <c r="X67" s="15">
        <f>IFERROR(VLOOKUP(C67,RESXCO,9,FALSE),0)</f>
        <v>0</v>
      </c>
      <c r="Y67" s="25">
        <f>IFERROR(VLOOKUP(X67,'Puntos XCO'!$A$1:$B$63,2,FALSE),0)</f>
        <v>0</v>
      </c>
      <c r="Z67" s="27">
        <f>G67+I67+K67+M67+O67+Q67+S67+U67+W67+Y67</f>
        <v>27</v>
      </c>
      <c r="AB67" s="3"/>
    </row>
    <row r="68" spans="1:28" ht="24.95" customHeight="1">
      <c r="A68" s="3"/>
      <c r="B68" s="3"/>
      <c r="C68" s="22">
        <v>308</v>
      </c>
      <c r="D68" s="23" t="str">
        <f>VLOOKUP(C68,PLANILLA,2,FALSE)</f>
        <v>HERRERO Josué*</v>
      </c>
      <c r="E68" s="24" t="str">
        <f>VLOOKUP(C68,PLANILLA,4,FALSE)</f>
        <v xml:space="preserve">CICLISMO BELÉN </v>
      </c>
      <c r="F68" s="3">
        <v>0</v>
      </c>
      <c r="G68" s="15">
        <v>0</v>
      </c>
      <c r="H68" s="3">
        <v>0</v>
      </c>
      <c r="I68" s="25">
        <v>0</v>
      </c>
      <c r="J68" s="33">
        <v>0</v>
      </c>
      <c r="K68" s="22">
        <v>0</v>
      </c>
      <c r="L68" s="22">
        <v>0</v>
      </c>
      <c r="M68" s="34">
        <v>0</v>
      </c>
      <c r="N68" s="26"/>
      <c r="O68" s="3">
        <f>IFERROR(VLOOKUP(N68,'Puntos XCC Menor'!$A$1:$B$15,2,FALSE),0)</f>
        <v>0</v>
      </c>
      <c r="P68" s="3">
        <v>0</v>
      </c>
      <c r="Q68" s="34">
        <f>IFERROR(VLOOKUP(P68,'Puntos XCO'!$A$1:$B$63,2,FALSE),0)</f>
        <v>0</v>
      </c>
      <c r="R68" s="16">
        <v>0</v>
      </c>
      <c r="S68" s="3">
        <f>IFERROR(VLOOKUP(R68,'Puntos XCC Menor'!$A$1:$B$15,2,FALSE),0)</f>
        <v>0</v>
      </c>
      <c r="T68" s="15">
        <v>0</v>
      </c>
      <c r="U68" s="39">
        <f>IFERROR(VLOOKUP(T68,'Puntos XCO'!$A$1:$B$63,2,FALSE),0)</f>
        <v>0</v>
      </c>
      <c r="V68" s="16">
        <f>IFERROR(VLOOKUP(C68,RESXCC_1,9,FALSE),0)</f>
        <v>0</v>
      </c>
      <c r="W68" s="15">
        <f>IFERROR(VLOOKUP(V68,'Puntos XCC Mayor'!$A$1:$B$15,2,FALSE),0)</f>
        <v>0</v>
      </c>
      <c r="X68" s="15">
        <f>IFERROR(VLOOKUP(C68,RESXCO,9,FALSE),0)</f>
        <v>0</v>
      </c>
      <c r="Y68" s="25">
        <f>IFERROR(VLOOKUP(X68,'Puntos XCO'!$A$1:$B$63,2,FALSE),0)</f>
        <v>0</v>
      </c>
      <c r="Z68" s="27">
        <f>G68+I68+K68+M68+O68+Q68+S68+U68+W68+Y68</f>
        <v>0</v>
      </c>
      <c r="AB68" s="3"/>
    </row>
    <row r="69" spans="1:28" ht="24.95" customHeight="1">
      <c r="A69" s="3"/>
      <c r="B69" s="3"/>
      <c r="C69" s="22">
        <v>334</v>
      </c>
      <c r="D69" s="23" t="str">
        <f>VLOOKUP(C69,PLANILLA,2,FALSE)</f>
        <v>SOLIS  Santiago*</v>
      </c>
      <c r="E69" s="24" t="str">
        <f>VLOOKUP(C69,PLANILLA,4,FALSE)</f>
        <v>BETHEL, MOANA, EDUS , ZARCERO</v>
      </c>
      <c r="F69" s="3">
        <v>15</v>
      </c>
      <c r="G69" s="15">
        <v>0</v>
      </c>
      <c r="H69" s="3">
        <v>0</v>
      </c>
      <c r="I69" s="25">
        <v>0</v>
      </c>
      <c r="J69" s="33">
        <v>38</v>
      </c>
      <c r="K69" s="22">
        <v>0</v>
      </c>
      <c r="L69" s="22">
        <v>0</v>
      </c>
      <c r="M69" s="34">
        <v>0</v>
      </c>
      <c r="N69" s="26"/>
      <c r="O69" s="3">
        <f>IFERROR(VLOOKUP(N69,'Puntos XCC Menor'!$A$1:$B$15,2,FALSE),0)</f>
        <v>0</v>
      </c>
      <c r="P69" s="3">
        <v>0</v>
      </c>
      <c r="Q69" s="34">
        <f>IFERROR(VLOOKUP(P69,'Puntos XCO'!$A$1:$B$63,2,FALSE),0)</f>
        <v>0</v>
      </c>
      <c r="R69" s="16">
        <v>0</v>
      </c>
      <c r="S69" s="3">
        <f>IFERROR(VLOOKUP(R69,'Puntos XCC Menor'!$A$1:$B$15,2,FALSE),0)</f>
        <v>0</v>
      </c>
      <c r="T69" s="15">
        <v>0</v>
      </c>
      <c r="U69" s="39">
        <f>IFERROR(VLOOKUP(T69,'Puntos XCO'!$A$1:$B$63,2,FALSE),0)</f>
        <v>0</v>
      </c>
      <c r="V69" s="16">
        <f>IFERROR(VLOOKUP(C69,RESXCC_1,9,FALSE),0)</f>
        <v>0</v>
      </c>
      <c r="W69" s="15">
        <f>IFERROR(VLOOKUP(V69,'Puntos XCC Mayor'!$A$1:$B$15,2,FALSE),0)</f>
        <v>0</v>
      </c>
      <c r="X69" s="15">
        <f>IFERROR(VLOOKUP(C69,RESXCO,9,FALSE),0)</f>
        <v>0</v>
      </c>
      <c r="Y69" s="25">
        <f>IFERROR(VLOOKUP(X69,'Puntos XCO'!$A$1:$B$63,2,FALSE),0)</f>
        <v>0</v>
      </c>
      <c r="Z69" s="27">
        <f>G69+I69+K69+M69+O69+Q69+S69+U69+W69+Y69</f>
        <v>0</v>
      </c>
      <c r="AB69" s="3"/>
    </row>
    <row r="70" spans="1:28" ht="24.95" customHeight="1">
      <c r="A70" s="3"/>
      <c r="B70" s="3"/>
      <c r="C70" s="107">
        <v>357</v>
      </c>
      <c r="D70" s="23" t="str">
        <f>VLOOKUP(C70,PLANILLA,2,FALSE)</f>
        <v xml:space="preserve">CASTRO  Carlos Isaac </v>
      </c>
      <c r="E70" s="24" t="str">
        <f>VLOOKUP(C70,PLANILLA,4,FALSE)</f>
        <v xml:space="preserve">COMITÉ DE DEPORTES DE ACOSTA </v>
      </c>
      <c r="F70" s="3"/>
      <c r="G70" s="15"/>
      <c r="H70" s="3"/>
      <c r="I70" s="25"/>
      <c r="J70" s="33"/>
      <c r="K70" s="22"/>
      <c r="L70" s="22"/>
      <c r="M70" s="34"/>
      <c r="N70" s="26"/>
      <c r="O70" s="3"/>
      <c r="P70" s="3"/>
      <c r="Q70" s="34"/>
      <c r="R70" s="32"/>
      <c r="S70" s="30"/>
      <c r="T70" s="3"/>
      <c r="U70" s="39"/>
      <c r="V70" s="16">
        <f>IFERROR(VLOOKUP(C70,RESXCC_1,9,FALSE),0)</f>
        <v>0</v>
      </c>
      <c r="W70" s="15">
        <f>IFERROR(VLOOKUP(V70,'Puntos XCC Mayor'!$A$1:$B$15,2,FALSE),0)</f>
        <v>0</v>
      </c>
      <c r="X70" s="15">
        <f>IFERROR(VLOOKUP(C70,RESXCO,9,FALSE),0)</f>
        <v>0</v>
      </c>
      <c r="Y70" s="25">
        <f>IFERROR(VLOOKUP(X70,'Puntos XCO'!$A$1:$B$63,2,FALSE),0)</f>
        <v>0</v>
      </c>
      <c r="Z70" s="27">
        <f>G70+I70+K70+M70+O70+Q70+S70+U70+W70+Y70</f>
        <v>0</v>
      </c>
      <c r="AB70" s="3"/>
    </row>
    <row r="71" spans="1:28" ht="24.95" customHeight="1">
      <c r="A71" s="3"/>
      <c r="B71" s="3"/>
      <c r="C71" s="28"/>
      <c r="D71" s="23"/>
      <c r="E71" s="24"/>
      <c r="F71" s="3"/>
      <c r="G71" s="15"/>
      <c r="H71" s="15"/>
      <c r="I71" s="25"/>
      <c r="J71" s="33"/>
      <c r="K71" s="22"/>
      <c r="L71" s="22"/>
      <c r="M71" s="34"/>
      <c r="N71" s="26"/>
      <c r="O71" s="3"/>
      <c r="P71" s="3"/>
      <c r="Q71" s="34"/>
      <c r="R71" s="32"/>
      <c r="S71" s="30"/>
      <c r="T71" s="3"/>
      <c r="U71" s="39"/>
      <c r="V71" s="16"/>
      <c r="W71" s="15"/>
      <c r="X71" s="15"/>
      <c r="Y71" s="25"/>
      <c r="Z71" s="27"/>
      <c r="AB71" s="3"/>
    </row>
    <row r="72" spans="1:28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6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spans="1:28">
      <c r="M73" s="9"/>
      <c r="N73" s="9"/>
      <c r="O73" s="9"/>
      <c r="P73" s="10"/>
      <c r="Q73" s="9"/>
      <c r="R73" s="9"/>
      <c r="S73" s="9"/>
      <c r="T73" s="9"/>
      <c r="U73" s="9"/>
    </row>
    <row r="74" spans="1:28" ht="105" customHeight="1"/>
    <row r="75" spans="1:28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74"/>
      <c r="Q75" s="65"/>
      <c r="R75" s="65"/>
      <c r="S75" s="65"/>
      <c r="T75" s="65"/>
      <c r="U75" s="65"/>
      <c r="V75" s="65"/>
      <c r="W75" s="65"/>
      <c r="X75" s="65"/>
      <c r="Y75" s="65"/>
      <c r="Z75" s="65"/>
    </row>
  </sheetData>
  <sortState ref="B15:Z70">
    <sortCondition descending="1" ref="Z15:Z70"/>
    <sortCondition ref="X15:X70"/>
  </sortState>
  <mergeCells count="10">
    <mergeCell ref="A8:Z8"/>
    <mergeCell ref="A10:Z10"/>
    <mergeCell ref="A11:Z11"/>
    <mergeCell ref="A13:B13"/>
    <mergeCell ref="F13:I13"/>
    <mergeCell ref="J13:M13"/>
    <mergeCell ref="N13:Q13"/>
    <mergeCell ref="R13:U13"/>
    <mergeCell ref="V13:Y13"/>
    <mergeCell ref="Z13:Z14"/>
  </mergeCells>
  <conditionalFormatting sqref="C72:C65550 C1:C9 C12:C14">
    <cfRule type="duplicateValues" dxfId="446" priority="60" stopIfTrue="1"/>
  </conditionalFormatting>
  <conditionalFormatting sqref="F71">
    <cfRule type="duplicateValues" dxfId="445" priority="61" stopIfTrue="1"/>
  </conditionalFormatting>
  <conditionalFormatting sqref="B71">
    <cfRule type="duplicateValues" dxfId="444" priority="62" stopIfTrue="1"/>
  </conditionalFormatting>
  <conditionalFormatting sqref="C11">
    <cfRule type="duplicateValues" dxfId="443" priority="5" stopIfTrue="1"/>
  </conditionalFormatting>
  <conditionalFormatting sqref="C11">
    <cfRule type="duplicateValues" dxfId="442" priority="6" stopIfTrue="1"/>
  </conditionalFormatting>
  <conditionalFormatting sqref="D11">
    <cfRule type="duplicateValues" dxfId="441" priority="4" stopIfTrue="1"/>
  </conditionalFormatting>
  <conditionalFormatting sqref="C10">
    <cfRule type="duplicateValues" dxfId="440" priority="2" stopIfTrue="1"/>
  </conditionalFormatting>
  <conditionalFormatting sqref="C10">
    <cfRule type="duplicateValues" dxfId="439" priority="3" stopIfTrue="1"/>
  </conditionalFormatting>
  <conditionalFormatting sqref="C15:C65">
    <cfRule type="duplicateValues" dxfId="438" priority="7869"/>
  </conditionalFormatting>
  <conditionalFormatting sqref="AB15:AB71">
    <cfRule type="duplicateValues" dxfId="437" priority="7871"/>
  </conditionalFormatting>
  <conditionalFormatting sqref="C66:C70">
    <cfRule type="duplicateValues" dxfId="436" priority="1"/>
  </conditionalFormatting>
  <pageMargins left="0.70866141732283472" right="0.70866141732283472" top="0.74803149606299213" bottom="0.74803149606299213" header="0.31496062992125984" footer="0.31496062992125984"/>
  <pageSetup paperSize="9" scale="50" fitToHeight="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8">
    <pageSetUpPr fitToPage="1"/>
  </sheetPr>
  <dimension ref="A8:AE29"/>
  <sheetViews>
    <sheetView showGridLines="0" topLeftCell="A4" zoomScale="70" zoomScaleNormal="70" zoomScaleSheetLayoutView="90" workbookViewId="0">
      <selection activeCell="A15" sqref="A15:A23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13.28515625" style="2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26.25">
      <c r="A8" s="118" t="s">
        <v>55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20.100000000000001" customHeight="1">
      <c r="A13" s="125" t="s">
        <v>0</v>
      </c>
      <c r="B13" s="125"/>
      <c r="C13" s="65"/>
      <c r="D13" s="65"/>
      <c r="E13" s="66"/>
      <c r="F13" s="125">
        <v>1</v>
      </c>
      <c r="G13" s="125"/>
      <c r="H13" s="125"/>
      <c r="I13" s="126"/>
      <c r="J13" s="127">
        <v>2</v>
      </c>
      <c r="K13" s="125"/>
      <c r="L13" s="125"/>
      <c r="M13" s="126"/>
      <c r="N13" s="127">
        <v>3</v>
      </c>
      <c r="O13" s="125"/>
      <c r="P13" s="125"/>
      <c r="Q13" s="126"/>
      <c r="R13" s="127">
        <v>4</v>
      </c>
      <c r="S13" s="125"/>
      <c r="T13" s="125"/>
      <c r="U13" s="126"/>
      <c r="V13" s="127">
        <v>5</v>
      </c>
      <c r="W13" s="125"/>
      <c r="X13" s="125"/>
      <c r="Y13" s="126"/>
      <c r="Z13" s="117" t="s">
        <v>47</v>
      </c>
    </row>
    <row r="14" spans="1:31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117"/>
    </row>
    <row r="15" spans="1:31" ht="24.95" customHeight="1">
      <c r="A15" s="3">
        <v>1</v>
      </c>
      <c r="B15" s="3">
        <v>1</v>
      </c>
      <c r="C15" s="22">
        <v>381</v>
      </c>
      <c r="D15" s="23" t="str">
        <f>VLOOKUP(C15,PLANILLA,2,FALSE)</f>
        <v>JIMENEZ Briana</v>
      </c>
      <c r="E15" s="24" t="str">
        <f>VLOOKUP(C15,PLANILLA,4,FALSE)</f>
        <v>BOBBYS CYCLING TEAM</v>
      </c>
      <c r="F15" s="3">
        <v>1</v>
      </c>
      <c r="G15" s="15">
        <v>10</v>
      </c>
      <c r="H15" s="3">
        <v>1</v>
      </c>
      <c r="I15" s="25">
        <v>200</v>
      </c>
      <c r="J15" s="33">
        <v>1</v>
      </c>
      <c r="K15" s="22">
        <v>10</v>
      </c>
      <c r="L15" s="22">
        <v>1</v>
      </c>
      <c r="M15" s="34">
        <v>200</v>
      </c>
      <c r="N15" s="26"/>
      <c r="O15" s="3">
        <f>IFERROR(VLOOKUP(N15,'Puntos XCC Menor'!$A$1:$B$15,2,FALSE),0)</f>
        <v>0</v>
      </c>
      <c r="P15" s="3">
        <v>1</v>
      </c>
      <c r="Q15" s="34">
        <f>IFERROR(VLOOKUP(P15,'Puntos XCO'!$A$1:$B$63,2,FALSE),0)</f>
        <v>200</v>
      </c>
      <c r="R15" s="16">
        <v>1</v>
      </c>
      <c r="S15" s="3">
        <f>IFERROR(VLOOKUP(R15,'Puntos XCC Menor'!$A$1:$B$15,2,FALSE),0)</f>
        <v>10</v>
      </c>
      <c r="T15" s="15">
        <v>1</v>
      </c>
      <c r="U15" s="39">
        <f>IFERROR(VLOOKUP(T15,'Puntos XCO'!$A$1:$B$63,2,FALSE),0)</f>
        <v>200</v>
      </c>
      <c r="V15" s="16">
        <f>IFERROR(VLOOKUP(C15,RESXCC_1,9,FALSE),0)</f>
        <v>1</v>
      </c>
      <c r="W15" s="15">
        <f>IFERROR(VLOOKUP(V15,'Puntos XCC Mayor'!$A$1:$B$15,2,FALSE),0)</f>
        <v>25</v>
      </c>
      <c r="X15" s="15">
        <f>IFERROR(VLOOKUP(C15,RESXCO,9,FALSE),0)</f>
        <v>2</v>
      </c>
      <c r="Y15" s="25">
        <f>IFERROR(VLOOKUP(X15,'Puntos XCO'!$A$1:$B$63,2,FALSE),0)</f>
        <v>150</v>
      </c>
      <c r="Z15" s="27">
        <f>G15+I15+K15+M15+O15+Q15+S15+U15+W15+Y15</f>
        <v>1005</v>
      </c>
      <c r="AB15" s="2"/>
      <c r="AC15" s="13"/>
      <c r="AD15" s="12"/>
      <c r="AE15" s="14"/>
    </row>
    <row r="16" spans="1:31" ht="24.95" customHeight="1">
      <c r="A16" s="3">
        <v>2</v>
      </c>
      <c r="B16" s="3">
        <v>2</v>
      </c>
      <c r="C16" s="22">
        <v>387</v>
      </c>
      <c r="D16" s="23" t="str">
        <f>VLOOKUP(C16,PLANILLA,2,FALSE)</f>
        <v>AZOFEIFA  Sofia*</v>
      </c>
      <c r="E16" s="24" t="str">
        <f>VLOOKUP(C16,PLANILLA,4,FALSE)</f>
        <v>BOBBYS CYCLING TEAM</v>
      </c>
      <c r="F16" s="3">
        <v>2</v>
      </c>
      <c r="G16" s="15">
        <v>9</v>
      </c>
      <c r="H16" s="3">
        <v>2</v>
      </c>
      <c r="I16" s="25">
        <v>150</v>
      </c>
      <c r="J16" s="33">
        <v>2</v>
      </c>
      <c r="K16" s="22">
        <v>9</v>
      </c>
      <c r="L16" s="22">
        <v>3</v>
      </c>
      <c r="M16" s="34">
        <v>120</v>
      </c>
      <c r="N16" s="26"/>
      <c r="O16" s="3">
        <f>IFERROR(VLOOKUP(N16,'Puntos XCC Menor'!$A$1:$B$15,2,FALSE),0)</f>
        <v>0</v>
      </c>
      <c r="P16" s="3">
        <v>0</v>
      </c>
      <c r="Q16" s="34">
        <f>IFERROR(VLOOKUP(P16,'Puntos XCO'!$A$1:$B$63,2,FALSE),0)</f>
        <v>0</v>
      </c>
      <c r="R16" s="16">
        <v>3</v>
      </c>
      <c r="S16" s="3">
        <f>IFERROR(VLOOKUP(R16,'Puntos XCC Menor'!$A$1:$B$15,2,FALSE),0)</f>
        <v>8</v>
      </c>
      <c r="T16" s="15">
        <v>2</v>
      </c>
      <c r="U16" s="39">
        <f>IFERROR(VLOOKUP(T16,'Puntos XCO'!$A$1:$B$63,2,FALSE),0)</f>
        <v>150</v>
      </c>
      <c r="V16" s="16">
        <f>IFERROR(VLOOKUP(C16,RESXCC_1,9,FALSE),0)</f>
        <v>2</v>
      </c>
      <c r="W16" s="15">
        <f>IFERROR(VLOOKUP(V16,'Puntos XCC Mayor'!$A$1:$B$15,2,FALSE),0)</f>
        <v>20</v>
      </c>
      <c r="X16" s="15">
        <f>IFERROR(VLOOKUP(C16,RESXCO,9,FALSE),0)</f>
        <v>3</v>
      </c>
      <c r="Y16" s="25">
        <f>IFERROR(VLOOKUP(X16,'Puntos XCO'!$A$1:$B$63,2,FALSE),0)</f>
        <v>120</v>
      </c>
      <c r="Z16" s="27">
        <f>G16+I16+K16+M16+O16+Q16+S16+U16+W16+Y16</f>
        <v>586</v>
      </c>
      <c r="AB16" s="2"/>
      <c r="AC16" s="13"/>
      <c r="AD16" s="12"/>
      <c r="AE16" s="14"/>
    </row>
    <row r="17" spans="1:31" ht="24.95" customHeight="1">
      <c r="A17" s="3">
        <v>3</v>
      </c>
      <c r="B17" s="3">
        <v>3</v>
      </c>
      <c r="C17" s="22">
        <v>384</v>
      </c>
      <c r="D17" s="23" t="str">
        <f>VLOOKUP(C17,PLANILLA,2,FALSE)</f>
        <v>SOLIS Nathalia Fabiana*</v>
      </c>
      <c r="E17" s="24" t="str">
        <f>VLOOKUP(C17,PLANILLA,4,FALSE)</f>
        <v xml:space="preserve">CCDR ALAJUELA </v>
      </c>
      <c r="F17" s="3">
        <v>0</v>
      </c>
      <c r="G17" s="15">
        <v>0</v>
      </c>
      <c r="H17" s="3">
        <v>8</v>
      </c>
      <c r="I17" s="25">
        <v>85</v>
      </c>
      <c r="J17" s="33">
        <v>8</v>
      </c>
      <c r="K17" s="22">
        <v>3</v>
      </c>
      <c r="L17" s="22">
        <v>6</v>
      </c>
      <c r="M17" s="34">
        <v>95</v>
      </c>
      <c r="N17" s="26"/>
      <c r="O17" s="3">
        <f>IFERROR(VLOOKUP(N17,'Puntos XCC Menor'!$A$1:$B$15,2,FALSE),0)</f>
        <v>0</v>
      </c>
      <c r="P17" s="3">
        <v>3</v>
      </c>
      <c r="Q17" s="34">
        <f>IFERROR(VLOOKUP(P17,'Puntos XCO'!$A$1:$B$63,2,FALSE),0)</f>
        <v>120</v>
      </c>
      <c r="R17" s="16">
        <v>6</v>
      </c>
      <c r="S17" s="3">
        <f>IFERROR(VLOOKUP(R17,'Puntos XCC Menor'!$A$1:$B$15,2,FALSE),0)</f>
        <v>5</v>
      </c>
      <c r="T17" s="15">
        <v>4</v>
      </c>
      <c r="U17" s="39">
        <f>IFERROR(VLOOKUP(T17,'Puntos XCO'!$A$1:$B$63,2,FALSE),0)</f>
        <v>110</v>
      </c>
      <c r="V17" s="16">
        <f>IFERROR(VLOOKUP(C17,RESXCC_1,9,FALSE),0)</f>
        <v>7</v>
      </c>
      <c r="W17" s="15">
        <f>IFERROR(VLOOKUP(V17,'Puntos XCC Mayor'!$A$1:$B$15,2,FALSE),0)</f>
        <v>9</v>
      </c>
      <c r="X17" s="15">
        <f>IFERROR(VLOOKUP(C17,RESXCO,9,FALSE),0)</f>
        <v>6</v>
      </c>
      <c r="Y17" s="25">
        <f>IFERROR(VLOOKUP(X17,'Puntos XCO'!$A$1:$B$63,2,FALSE),0)</f>
        <v>95</v>
      </c>
      <c r="Z17" s="27">
        <f>G17+I17+K17+M17+O17+Q17+S17+U17+W17+Y17</f>
        <v>522</v>
      </c>
      <c r="AB17" s="2"/>
      <c r="AC17" s="13"/>
      <c r="AD17" s="12"/>
      <c r="AE17" s="14"/>
    </row>
    <row r="18" spans="1:31" ht="24.95" customHeight="1">
      <c r="A18" s="3">
        <v>4</v>
      </c>
      <c r="B18" s="3">
        <v>7</v>
      </c>
      <c r="C18" s="22">
        <v>382</v>
      </c>
      <c r="D18" s="23" t="str">
        <f>VLOOKUP(C18,PLANILLA,2,FALSE)</f>
        <v>CASTRO Camila</v>
      </c>
      <c r="E18" s="24" t="str">
        <f>VLOOKUP(C18,PLANILLA,4,FALSE)</f>
        <v xml:space="preserve">CCDR SANTA ANA </v>
      </c>
      <c r="F18" s="3">
        <v>3</v>
      </c>
      <c r="G18" s="15">
        <v>8</v>
      </c>
      <c r="H18" s="3">
        <v>4</v>
      </c>
      <c r="I18" s="25">
        <v>110</v>
      </c>
      <c r="J18" s="33">
        <v>3</v>
      </c>
      <c r="K18" s="22">
        <v>8</v>
      </c>
      <c r="L18" s="22">
        <v>2</v>
      </c>
      <c r="M18" s="34">
        <v>150</v>
      </c>
      <c r="N18" s="26"/>
      <c r="O18" s="3">
        <f>IFERROR(VLOOKUP(N18,'Puntos XCC Menor'!$A$1:$B$15,2,FALSE),0)</f>
        <v>0</v>
      </c>
      <c r="P18" s="3">
        <v>0</v>
      </c>
      <c r="Q18" s="34">
        <f>IFERROR(VLOOKUP(P18,'Puntos XCO'!$A$1:$B$63,2,FALSE),0)</f>
        <v>0</v>
      </c>
      <c r="R18" s="16">
        <v>5</v>
      </c>
      <c r="S18" s="3">
        <f>IFERROR(VLOOKUP(R18,'Puntos XCC Menor'!$A$1:$B$15,2,FALSE),0)</f>
        <v>6</v>
      </c>
      <c r="T18" s="15">
        <v>0</v>
      </c>
      <c r="U18" s="39">
        <f>IFERROR(VLOOKUP(T18,'Puntos XCO'!$A$1:$B$63,2,FALSE),0)</f>
        <v>0</v>
      </c>
      <c r="V18" s="16">
        <f>IFERROR(VLOOKUP(C18,RESXCC_1,9,FALSE),0)</f>
        <v>3</v>
      </c>
      <c r="W18" s="15">
        <f>IFERROR(VLOOKUP(V18,'Puntos XCC Mayor'!$A$1:$B$15,2,FALSE),0)</f>
        <v>16</v>
      </c>
      <c r="X18" s="15">
        <f>IFERROR(VLOOKUP(C18,RESXCO,9,FALSE),0)</f>
        <v>1</v>
      </c>
      <c r="Y18" s="25">
        <f>IFERROR(VLOOKUP(X18,'Puntos XCO'!$A$1:$B$63,2,FALSE),0)</f>
        <v>200</v>
      </c>
      <c r="Z18" s="27">
        <f>G18+I18+K18+M18+O18+Q18+S18+U18+W18+Y18</f>
        <v>498</v>
      </c>
      <c r="AB18" s="2"/>
      <c r="AC18" s="13"/>
      <c r="AD18" s="12"/>
      <c r="AE18" s="14"/>
    </row>
    <row r="19" spans="1:31" ht="24.95" customHeight="1">
      <c r="A19" s="3">
        <v>5</v>
      </c>
      <c r="B19" s="3">
        <v>4</v>
      </c>
      <c r="C19" s="22">
        <v>388</v>
      </c>
      <c r="D19" s="23" t="str">
        <f>VLOOKUP(C19,PLANILLA,2,FALSE)</f>
        <v>CÉSPEDES  Isabella Jazlene*</v>
      </c>
      <c r="E19" s="24" t="str">
        <f>VLOOKUP(C19,PLANILLA,4,FALSE)</f>
        <v xml:space="preserve">SKALA MONTEVERDE/ CCDR MONTEVERDE </v>
      </c>
      <c r="F19" s="3">
        <v>7</v>
      </c>
      <c r="G19" s="15">
        <v>4</v>
      </c>
      <c r="H19" s="3">
        <v>6</v>
      </c>
      <c r="I19" s="25">
        <v>95</v>
      </c>
      <c r="J19" s="33">
        <v>7</v>
      </c>
      <c r="K19" s="22">
        <v>4</v>
      </c>
      <c r="L19" s="22">
        <v>0</v>
      </c>
      <c r="M19" s="34">
        <v>0</v>
      </c>
      <c r="N19" s="26"/>
      <c r="O19" s="3">
        <f>IFERROR(VLOOKUP(N19,'Puntos XCC Menor'!$A$1:$B$15,2,FALSE),0)</f>
        <v>0</v>
      </c>
      <c r="P19" s="3">
        <v>2</v>
      </c>
      <c r="Q19" s="34">
        <f>IFERROR(VLOOKUP(P19,'Puntos XCO'!$A$1:$B$63,2,FALSE),0)</f>
        <v>150</v>
      </c>
      <c r="R19" s="16">
        <v>4</v>
      </c>
      <c r="S19" s="3">
        <f>IFERROR(VLOOKUP(R19,'Puntos XCC Menor'!$A$1:$B$15,2,FALSE),0)</f>
        <v>7</v>
      </c>
      <c r="T19" s="15">
        <v>3</v>
      </c>
      <c r="U19" s="39">
        <f>IFERROR(VLOOKUP(T19,'Puntos XCO'!$A$1:$B$63,2,FALSE),0)</f>
        <v>120</v>
      </c>
      <c r="V19" s="16">
        <f>IFERROR(VLOOKUP(C19,RESXCC_1,9,FALSE),0)</f>
        <v>6</v>
      </c>
      <c r="W19" s="15">
        <f>IFERROR(VLOOKUP(V19,'Puntos XCC Mayor'!$A$1:$B$15,2,FALSE),0)</f>
        <v>10</v>
      </c>
      <c r="X19" s="15">
        <f>IFERROR(VLOOKUP(C19,RESXCO,9,FALSE),0)</f>
        <v>7</v>
      </c>
      <c r="Y19" s="25">
        <f>IFERROR(VLOOKUP(X19,'Puntos XCO'!$A$1:$B$63,2,FALSE),0)</f>
        <v>90</v>
      </c>
      <c r="Z19" s="27">
        <f>G19+I19+K19+M19+O19+Q19+S19+U19+W19+Y19</f>
        <v>480</v>
      </c>
      <c r="AB19" s="2"/>
      <c r="AC19" s="13"/>
      <c r="AD19" s="12"/>
      <c r="AE19" s="14"/>
    </row>
    <row r="20" spans="1:31" ht="24.95" customHeight="1">
      <c r="A20" s="3">
        <v>6</v>
      </c>
      <c r="B20" s="3">
        <v>5</v>
      </c>
      <c r="C20" s="22">
        <v>386</v>
      </c>
      <c r="D20" s="23" t="str">
        <f>VLOOKUP(C20,PLANILLA,2,FALSE)</f>
        <v>LIZANO Nicole Daniela</v>
      </c>
      <c r="E20" s="24" t="str">
        <f>VLOOKUP(C20,PLANILLA,4,FALSE)</f>
        <v>MEGAMO MANZATÉ LA SELVA</v>
      </c>
      <c r="F20" s="3">
        <v>4</v>
      </c>
      <c r="G20" s="15">
        <v>7</v>
      </c>
      <c r="H20" s="3">
        <v>3</v>
      </c>
      <c r="I20" s="25">
        <v>120</v>
      </c>
      <c r="J20" s="33">
        <v>5</v>
      </c>
      <c r="K20" s="22">
        <v>6</v>
      </c>
      <c r="L20" s="22">
        <v>5</v>
      </c>
      <c r="M20" s="34">
        <v>100</v>
      </c>
      <c r="N20" s="26"/>
      <c r="O20" s="3">
        <f>IFERROR(VLOOKUP(N20,'Puntos XCC Menor'!$A$1:$B$15,2,FALSE),0)</f>
        <v>0</v>
      </c>
      <c r="P20" s="3">
        <v>0</v>
      </c>
      <c r="Q20" s="34">
        <f>IFERROR(VLOOKUP(P20,'Puntos XCO'!$A$1:$B$63,2,FALSE),0)</f>
        <v>0</v>
      </c>
      <c r="R20" s="16">
        <v>2</v>
      </c>
      <c r="S20" s="3">
        <f>IFERROR(VLOOKUP(R20,'Puntos XCC Menor'!$A$1:$B$15,2,FALSE),0)</f>
        <v>9</v>
      </c>
      <c r="T20" s="15">
        <v>5</v>
      </c>
      <c r="U20" s="39">
        <f>IFERROR(VLOOKUP(T20,'Puntos XCO'!$A$1:$B$63,2,FALSE),0)</f>
        <v>100</v>
      </c>
      <c r="V20" s="16">
        <f>IFERROR(VLOOKUP(C20,RESXCC_1,9,FALSE),0)</f>
        <v>4</v>
      </c>
      <c r="W20" s="15">
        <f>IFERROR(VLOOKUP(V20,'Puntos XCC Mayor'!$A$1:$B$15,2,FALSE),0)</f>
        <v>14</v>
      </c>
      <c r="X20" s="15">
        <f>IFERROR(VLOOKUP(C20,RESXCO,9,FALSE),0)</f>
        <v>4</v>
      </c>
      <c r="Y20" s="25">
        <f>IFERROR(VLOOKUP(X20,'Puntos XCO'!$A$1:$B$63,2,FALSE),0)</f>
        <v>110</v>
      </c>
      <c r="Z20" s="27">
        <f>G20+I20+K20+M20+O20+Q20+S20+U20+W20+Y20</f>
        <v>466</v>
      </c>
      <c r="AB20" s="2"/>
      <c r="AC20" s="13"/>
      <c r="AD20" s="12"/>
      <c r="AE20" s="14"/>
    </row>
    <row r="21" spans="1:31" ht="24.95" customHeight="1">
      <c r="A21" s="3">
        <v>7</v>
      </c>
      <c r="B21" s="3">
        <v>6</v>
      </c>
      <c r="C21" s="22">
        <v>385</v>
      </c>
      <c r="D21" s="23" t="str">
        <f>VLOOKUP(C21,PLANILLA,2,FALSE)</f>
        <v>OVIEDO Camila</v>
      </c>
      <c r="E21" s="24" t="str">
        <f>VLOOKUP(C21,PLANILLA,4,FALSE)</f>
        <v xml:space="preserve">CICLISMO BELEN </v>
      </c>
      <c r="F21" s="3">
        <v>5</v>
      </c>
      <c r="G21" s="15">
        <v>6</v>
      </c>
      <c r="H21" s="3">
        <v>5</v>
      </c>
      <c r="I21" s="25">
        <v>100</v>
      </c>
      <c r="J21" s="33">
        <v>4</v>
      </c>
      <c r="K21" s="22">
        <v>7</v>
      </c>
      <c r="L21" s="22">
        <v>7</v>
      </c>
      <c r="M21" s="34">
        <v>90</v>
      </c>
      <c r="N21" s="26"/>
      <c r="O21" s="3">
        <f>IFERROR(VLOOKUP(N21,'Puntos XCC Menor'!$A$1:$B$15,2,FALSE),0)</f>
        <v>0</v>
      </c>
      <c r="P21" s="3">
        <v>0</v>
      </c>
      <c r="Q21" s="34">
        <f>IFERROR(VLOOKUP(P21,'Puntos XCO'!$A$1:$B$63,2,FALSE),0)</f>
        <v>0</v>
      </c>
      <c r="R21" s="16">
        <v>0</v>
      </c>
      <c r="S21" s="3">
        <f>IFERROR(VLOOKUP(R21,'Puntos XCC Menor'!$A$1:$B$15,2,FALSE),0)</f>
        <v>0</v>
      </c>
      <c r="T21" s="15">
        <v>6</v>
      </c>
      <c r="U21" s="39">
        <f>IFERROR(VLOOKUP(T21,'Puntos XCO'!$A$1:$B$63,2,FALSE),0)</f>
        <v>95</v>
      </c>
      <c r="V21" s="16">
        <f>IFERROR(VLOOKUP(C21,RESXCC_1,9,FALSE),0)</f>
        <v>8</v>
      </c>
      <c r="W21" s="15">
        <f>IFERROR(VLOOKUP(V21,'Puntos XCC Mayor'!$A$1:$B$15,2,FALSE),0)</f>
        <v>8</v>
      </c>
      <c r="X21" s="15">
        <f>IFERROR(VLOOKUP(C21,RESXCO,9,FALSE),0)</f>
        <v>8</v>
      </c>
      <c r="Y21" s="25">
        <f>IFERROR(VLOOKUP(X21,'Puntos XCO'!$A$1:$B$63,2,FALSE),0)</f>
        <v>85</v>
      </c>
      <c r="Z21" s="27">
        <f>G21+I21+K21+M21+O21+Q21+S21+U21+W21+Y21</f>
        <v>391</v>
      </c>
      <c r="AB21" s="2"/>
      <c r="AC21" s="13"/>
      <c r="AD21" s="12"/>
      <c r="AE21" s="14"/>
    </row>
    <row r="22" spans="1:31" ht="24.95" customHeight="1">
      <c r="A22" s="3">
        <v>8</v>
      </c>
      <c r="B22" s="3">
        <v>8</v>
      </c>
      <c r="C22" s="22">
        <v>383</v>
      </c>
      <c r="D22" s="23" t="str">
        <f>VLOOKUP(C22,PLANILLA,2,FALSE)</f>
        <v>ALFARO María Isabella*</v>
      </c>
      <c r="E22" s="24" t="str">
        <f>VLOOKUP(C22,PLANILLA,4,FALSE)</f>
        <v>CCDR SANTA ANA</v>
      </c>
      <c r="F22" s="3">
        <v>6</v>
      </c>
      <c r="G22" s="15">
        <v>5</v>
      </c>
      <c r="H22" s="3">
        <v>7</v>
      </c>
      <c r="I22" s="25">
        <v>90</v>
      </c>
      <c r="J22" s="33">
        <v>6</v>
      </c>
      <c r="K22" s="22">
        <v>5</v>
      </c>
      <c r="L22" s="22">
        <v>4</v>
      </c>
      <c r="M22" s="34">
        <v>110</v>
      </c>
      <c r="N22" s="26"/>
      <c r="O22" s="3">
        <f>IFERROR(VLOOKUP(N22,'Puntos XCC Menor'!$A$1:$B$15,2,FALSE),0)</f>
        <v>0</v>
      </c>
      <c r="P22" s="3">
        <v>0</v>
      </c>
      <c r="Q22" s="34">
        <f>IFERROR(VLOOKUP(P22,'Puntos XCO'!$A$1:$B$63,2,FALSE),0)</f>
        <v>0</v>
      </c>
      <c r="R22" s="16">
        <v>0</v>
      </c>
      <c r="S22" s="3">
        <f>IFERROR(VLOOKUP(R22,'Puntos XCC Menor'!$A$1:$B$15,2,FALSE),0)</f>
        <v>0</v>
      </c>
      <c r="T22" s="15">
        <v>0</v>
      </c>
      <c r="U22" s="39">
        <f>IFERROR(VLOOKUP(T22,'Puntos XCO'!$A$1:$B$63,2,FALSE),0)</f>
        <v>0</v>
      </c>
      <c r="V22" s="16">
        <f>IFERROR(VLOOKUP(C22,RESXCC_1,9,FALSE),0)</f>
        <v>5</v>
      </c>
      <c r="W22" s="15">
        <f>IFERROR(VLOOKUP(V22,'Puntos XCC Mayor'!$A$1:$B$15,2,FALSE),0)</f>
        <v>12</v>
      </c>
      <c r="X22" s="15">
        <f>IFERROR(VLOOKUP(C22,RESXCO,9,FALSE),0)</f>
        <v>5</v>
      </c>
      <c r="Y22" s="25">
        <f>IFERROR(VLOOKUP(X22,'Puntos XCO'!$A$1:$B$63,2,FALSE),0)</f>
        <v>100</v>
      </c>
      <c r="Z22" s="27">
        <f>G22+I22+K22+M22+O22+Q22+S22+U22+W22+Y22</f>
        <v>322</v>
      </c>
      <c r="AB22" s="2"/>
      <c r="AC22" s="13"/>
      <c r="AD22" s="12"/>
      <c r="AE22" s="14"/>
    </row>
    <row r="23" spans="1:31" ht="24.95" customHeight="1">
      <c r="A23" s="3">
        <v>9</v>
      </c>
      <c r="B23" s="3">
        <v>9</v>
      </c>
      <c r="C23" s="22">
        <v>390</v>
      </c>
      <c r="D23" s="23" t="str">
        <f>VLOOKUP(C23,PLANILLA,2,FALSE)</f>
        <v>GUTIÉRREZ  Gaele Sofia*</v>
      </c>
      <c r="E23" s="24" t="str">
        <f>VLOOKUP(C23,PLANILLA,4,FALSE)</f>
        <v>CCDR SANTA CRUZ NUMU</v>
      </c>
      <c r="F23" s="3"/>
      <c r="G23" s="15"/>
      <c r="H23" s="15"/>
      <c r="I23" s="25"/>
      <c r="J23" s="33">
        <v>9</v>
      </c>
      <c r="K23" s="22">
        <v>2</v>
      </c>
      <c r="L23" s="22">
        <v>8</v>
      </c>
      <c r="M23" s="34">
        <v>85</v>
      </c>
      <c r="N23" s="26"/>
      <c r="O23" s="3">
        <f>IFERROR(VLOOKUP(N23,'Puntos XCC Menor'!$A$1:$B$15,2,FALSE),0)</f>
        <v>0</v>
      </c>
      <c r="P23" s="3">
        <v>0</v>
      </c>
      <c r="Q23" s="34">
        <f>IFERROR(VLOOKUP(P23,'Puntos XCO'!$A$1:$B$63,2,FALSE),0)</f>
        <v>0</v>
      </c>
      <c r="R23" s="16">
        <v>0</v>
      </c>
      <c r="S23" s="3">
        <f>IFERROR(VLOOKUP(R23,'Puntos XCC Menor'!$A$1:$B$15,2,FALSE),0)</f>
        <v>0</v>
      </c>
      <c r="T23" s="15">
        <v>0</v>
      </c>
      <c r="U23" s="39">
        <f>IFERROR(VLOOKUP(T23,'Puntos XCO'!$A$1:$B$63,2,FALSE),0)</f>
        <v>0</v>
      </c>
      <c r="V23" s="16">
        <f>IFERROR(VLOOKUP(C23,RESXCC_1,9,FALSE),0)</f>
        <v>0</v>
      </c>
      <c r="W23" s="15">
        <f>IFERROR(VLOOKUP(V23,'Puntos XCC Mayor'!$A$1:$B$15,2,FALSE),0)</f>
        <v>0</v>
      </c>
      <c r="X23" s="15">
        <f>IFERROR(VLOOKUP(C23,RESXCO,9,FALSE),0)</f>
        <v>9</v>
      </c>
      <c r="Y23" s="25">
        <f>IFERROR(VLOOKUP(X23,'Puntos XCO'!$A$1:$B$63,2,FALSE),0)</f>
        <v>80</v>
      </c>
      <c r="Z23" s="27">
        <f>G23+I23+K23+M23+O23+Q23+S23+U23+W23+Y23</f>
        <v>167</v>
      </c>
      <c r="AB23" s="3"/>
    </row>
    <row r="24" spans="1:31" ht="24.95" customHeight="1">
      <c r="A24" s="3"/>
      <c r="B24" s="3"/>
      <c r="C24" s="22">
        <v>389</v>
      </c>
      <c r="D24" s="23" t="str">
        <f>VLOOKUP(C24,PLANILLA,2,FALSE)</f>
        <v xml:space="preserve">PÉREZ  Alexa </v>
      </c>
      <c r="E24" s="24" t="str">
        <f>VLOOKUP(C24,PLANILLA,4,FALSE)</f>
        <v xml:space="preserve">CICLISMO TURRIALBA </v>
      </c>
      <c r="F24" s="3">
        <v>0</v>
      </c>
      <c r="G24" s="15">
        <v>0</v>
      </c>
      <c r="H24" s="3">
        <v>0</v>
      </c>
      <c r="I24" s="63">
        <v>0</v>
      </c>
      <c r="J24" s="33">
        <v>0</v>
      </c>
      <c r="K24" s="22">
        <v>0</v>
      </c>
      <c r="L24" s="22">
        <v>0</v>
      </c>
      <c r="M24" s="34">
        <v>0</v>
      </c>
      <c r="N24" s="26"/>
      <c r="O24" s="3">
        <f>IFERROR(VLOOKUP(N24,'Puntos XCC Menor'!$A$1:$B$15,2,FALSE),0)</f>
        <v>0</v>
      </c>
      <c r="P24" s="3">
        <v>0</v>
      </c>
      <c r="Q24" s="34">
        <f>IFERROR(VLOOKUP(P24,'Puntos XCO'!$A$1:$B$63,2,FALSE),0)</f>
        <v>0</v>
      </c>
      <c r="R24" s="16">
        <v>0</v>
      </c>
      <c r="S24" s="3">
        <f>IFERROR(VLOOKUP(R24,'Puntos XCC Menor'!$A$1:$B$15,2,FALSE),0)</f>
        <v>0</v>
      </c>
      <c r="T24" s="15">
        <v>0</v>
      </c>
      <c r="U24" s="39">
        <f>IFERROR(VLOOKUP(T24,'Puntos XCO'!$A$1:$B$63,2,FALSE),0)</f>
        <v>0</v>
      </c>
      <c r="V24" s="16">
        <f>IFERROR(VLOOKUP(C24,RESXCC_1,9,FALSE),0)</f>
        <v>0</v>
      </c>
      <c r="W24" s="15">
        <f>IFERROR(VLOOKUP(V24,'Puntos XCC Mayor'!$A$1:$B$15,2,FALSE),0)</f>
        <v>0</v>
      </c>
      <c r="X24" s="15">
        <f>IFERROR(VLOOKUP(C24,RESXCO,9,FALSE),0)</f>
        <v>0</v>
      </c>
      <c r="Y24" s="25">
        <f>IFERROR(VLOOKUP(X24,'Puntos XCO'!$A$1:$B$63,2,FALSE),0)</f>
        <v>0</v>
      </c>
      <c r="Z24" s="27">
        <f>G24+I24+K24+M24+O24+Q24+S24+U24+W24+Y24</f>
        <v>0</v>
      </c>
      <c r="AB24" s="3"/>
    </row>
    <row r="25" spans="1:31" ht="24.95" customHeight="1">
      <c r="A25" s="3"/>
      <c r="B25" s="3"/>
      <c r="C25" s="22"/>
      <c r="D25" s="23"/>
      <c r="E25" s="62"/>
      <c r="F25" s="3"/>
      <c r="G25" s="15"/>
      <c r="H25" s="3"/>
      <c r="I25" s="63"/>
      <c r="J25" s="106"/>
      <c r="K25" s="22"/>
      <c r="L25" s="22"/>
      <c r="M25" s="106"/>
      <c r="N25" s="64"/>
      <c r="O25" s="3"/>
      <c r="P25" s="3"/>
      <c r="Q25" s="106"/>
      <c r="R25" s="112"/>
      <c r="S25" s="30"/>
      <c r="T25" s="3"/>
      <c r="U25" s="64"/>
      <c r="V25" s="63"/>
      <c r="W25" s="15"/>
      <c r="X25" s="15"/>
      <c r="Y25" s="63"/>
      <c r="Z25" s="27"/>
      <c r="AB25" s="3"/>
    </row>
    <row r="26" spans="1:31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74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spans="1:31">
      <c r="M27" s="9"/>
      <c r="N27" s="9"/>
      <c r="O27" s="9"/>
      <c r="P27" s="10"/>
      <c r="Q27" s="9"/>
      <c r="R27" s="9"/>
      <c r="S27" s="9"/>
      <c r="T27" s="9"/>
      <c r="U27" s="9"/>
    </row>
    <row r="28" spans="1:31" ht="127.5" customHeight="1"/>
    <row r="29" spans="1:3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74"/>
      <c r="Q29" s="65"/>
      <c r="R29" s="65"/>
      <c r="S29" s="65"/>
      <c r="T29" s="65"/>
      <c r="U29" s="65"/>
      <c r="V29" s="65"/>
      <c r="W29" s="65"/>
      <c r="X29" s="65"/>
      <c r="Y29" s="65"/>
      <c r="Z29" s="65"/>
    </row>
  </sheetData>
  <sortState ref="B15:Z24">
    <sortCondition descending="1" ref="Z15:Z24"/>
  </sortState>
  <mergeCells count="10">
    <mergeCell ref="A8:Z8"/>
    <mergeCell ref="A10:Z10"/>
    <mergeCell ref="A11:Z11"/>
    <mergeCell ref="A13:B13"/>
    <mergeCell ref="F13:I13"/>
    <mergeCell ref="J13:M13"/>
    <mergeCell ref="N13:Q13"/>
    <mergeCell ref="R13:U13"/>
    <mergeCell ref="V13:Y13"/>
    <mergeCell ref="Z13:Z14"/>
  </mergeCells>
  <conditionalFormatting sqref="C26:C65504 C1:C9 C12:C14">
    <cfRule type="duplicateValues" dxfId="435" priority="44" stopIfTrue="1"/>
  </conditionalFormatting>
  <conditionalFormatting sqref="C11">
    <cfRule type="duplicateValues" dxfId="434" priority="4" stopIfTrue="1"/>
  </conditionalFormatting>
  <conditionalFormatting sqref="C11">
    <cfRule type="duplicateValues" dxfId="433" priority="5" stopIfTrue="1"/>
  </conditionalFormatting>
  <conditionalFormatting sqref="D11">
    <cfRule type="duplicateValues" dxfId="432" priority="3" stopIfTrue="1"/>
  </conditionalFormatting>
  <conditionalFormatting sqref="C10">
    <cfRule type="duplicateValues" dxfId="431" priority="1" stopIfTrue="1"/>
  </conditionalFormatting>
  <conditionalFormatting sqref="C10">
    <cfRule type="duplicateValues" dxfId="430" priority="2" stopIfTrue="1"/>
  </conditionalFormatting>
  <conditionalFormatting sqref="F23:F25">
    <cfRule type="duplicateValues" dxfId="429" priority="7840" stopIfTrue="1"/>
  </conditionalFormatting>
  <conditionalFormatting sqref="B24:B25">
    <cfRule type="duplicateValues" dxfId="428" priority="7841" stopIfTrue="1"/>
  </conditionalFormatting>
  <conditionalFormatting sqref="AB15:AB25">
    <cfRule type="duplicateValues" dxfId="427" priority="7842"/>
  </conditionalFormatting>
  <pageMargins left="0.70866141732283472" right="0.70866141732283472" top="0.74803149606299213" bottom="0.74803149606299213" header="0.31496062992125984" footer="0.31496062992125984"/>
  <pageSetup paperSize="9" scale="5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9">
    <pageSetUpPr fitToPage="1"/>
  </sheetPr>
  <dimension ref="A8:AE60"/>
  <sheetViews>
    <sheetView showGridLines="0" topLeftCell="A36" zoomScale="70" zoomScaleNormal="70" zoomScaleSheetLayoutView="90" workbookViewId="0">
      <selection activeCell="A15" sqref="A15:A52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11.42578125" style="2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26.25">
      <c r="A8" s="118" t="s">
        <v>56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20.100000000000001" customHeight="1">
      <c r="A13" s="125" t="s">
        <v>0</v>
      </c>
      <c r="B13" s="125"/>
      <c r="C13" s="65"/>
      <c r="D13" s="65"/>
      <c r="E13" s="66"/>
      <c r="F13" s="125">
        <v>1</v>
      </c>
      <c r="G13" s="125"/>
      <c r="H13" s="125"/>
      <c r="I13" s="126"/>
      <c r="J13" s="127">
        <v>2</v>
      </c>
      <c r="K13" s="125"/>
      <c r="L13" s="125"/>
      <c r="M13" s="126"/>
      <c r="N13" s="127">
        <v>3</v>
      </c>
      <c r="O13" s="125"/>
      <c r="P13" s="125"/>
      <c r="Q13" s="126"/>
      <c r="R13" s="127">
        <v>4</v>
      </c>
      <c r="S13" s="125"/>
      <c r="T13" s="125"/>
      <c r="U13" s="126"/>
      <c r="V13" s="127">
        <v>5</v>
      </c>
      <c r="W13" s="125"/>
      <c r="X13" s="125"/>
      <c r="Y13" s="126"/>
      <c r="Z13" s="117" t="s">
        <v>47</v>
      </c>
    </row>
    <row r="14" spans="1:31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117"/>
    </row>
    <row r="15" spans="1:31" ht="24.95" customHeight="1">
      <c r="A15" s="22">
        <v>1</v>
      </c>
      <c r="B15" s="22">
        <v>1</v>
      </c>
      <c r="C15" s="22">
        <v>510</v>
      </c>
      <c r="D15" s="23" t="str">
        <f>VLOOKUP(C15,PLANILLA,2,FALSE)</f>
        <v xml:space="preserve">RODRÍGUEZ  Joaquín </v>
      </c>
      <c r="E15" s="24" t="str">
        <f>VLOOKUP(C15,PLANILLA,4,FALSE)</f>
        <v>CCDR SAN JOSE</v>
      </c>
      <c r="F15" s="3">
        <v>6</v>
      </c>
      <c r="G15" s="15">
        <v>5</v>
      </c>
      <c r="H15" s="3">
        <v>1</v>
      </c>
      <c r="I15" s="25">
        <v>200</v>
      </c>
      <c r="J15" s="33">
        <v>1</v>
      </c>
      <c r="K15" s="22">
        <v>10</v>
      </c>
      <c r="L15" s="22">
        <v>1</v>
      </c>
      <c r="M15" s="34">
        <v>200</v>
      </c>
      <c r="N15" s="26">
        <f>IFERROR(VLOOKUP(C15,RESXCC_1,9,FALSE),0)</f>
        <v>1</v>
      </c>
      <c r="O15" s="3">
        <f>IFERROR(VLOOKUP(N15,'Puntos XCC Menor'!$A$1:$B$15,2,FALSE),0)</f>
        <v>10</v>
      </c>
      <c r="P15" s="3">
        <v>1</v>
      </c>
      <c r="Q15" s="39">
        <f>IFERROR(VLOOKUP(P15,'Puntos XCO'!$A$1:$B$63,2,FALSE),0)</f>
        <v>200</v>
      </c>
      <c r="R15" s="16">
        <v>6</v>
      </c>
      <c r="S15" s="3">
        <f>IFERROR(VLOOKUP(R15,'Puntos XCC Menor'!$A$1:$B$15,2,FALSE),0)</f>
        <v>5</v>
      </c>
      <c r="T15" s="15">
        <v>7</v>
      </c>
      <c r="U15" s="39">
        <f>IFERROR(VLOOKUP(T15,'Puntos XCO'!$A$1:$B$63,2,FALSE),0)</f>
        <v>90</v>
      </c>
      <c r="V15" s="16">
        <f>IFERROR(VLOOKUP(C15,RESXCC_1,9,FALSE),0)</f>
        <v>1</v>
      </c>
      <c r="W15" s="15">
        <f>IFERROR(VLOOKUP(V15,'Puntos XCC Mayor'!$A$1:$B$15,2,FALSE),0)</f>
        <v>25</v>
      </c>
      <c r="X15" s="15">
        <f>IFERROR(VLOOKUP(C15,RESXCO,9,FALSE),0)</f>
        <v>1</v>
      </c>
      <c r="Y15" s="25">
        <f>IFERROR(VLOOKUP(X15,'Puntos XCO'!$A$1:$B$63,2,FALSE),0)</f>
        <v>200</v>
      </c>
      <c r="Z15" s="27">
        <f>G15+I15+K15+M15+O15+Q15+S15+U15+W15+Y15</f>
        <v>945</v>
      </c>
      <c r="AB15" s="2"/>
      <c r="AC15" s="13"/>
      <c r="AD15" s="12"/>
      <c r="AE15" s="14"/>
    </row>
    <row r="16" spans="1:31" ht="24.95" customHeight="1">
      <c r="A16" s="22">
        <v>2</v>
      </c>
      <c r="B16" s="22">
        <v>2</v>
      </c>
      <c r="C16" s="22">
        <v>518</v>
      </c>
      <c r="D16" s="23" t="str">
        <f>VLOOKUP(C16,PLANILLA,2,FALSE)</f>
        <v>VALVERDE  Liam</v>
      </c>
      <c r="E16" s="24" t="str">
        <f>VLOOKUP(C16,PLANILLA,4,FALSE)</f>
        <v>ASOCIACIÓN CICLÍSTICA TURRIALBEÑA</v>
      </c>
      <c r="F16" s="3">
        <v>5</v>
      </c>
      <c r="G16" s="15">
        <v>6</v>
      </c>
      <c r="H16" s="3">
        <v>3</v>
      </c>
      <c r="I16" s="25">
        <v>120</v>
      </c>
      <c r="J16" s="33">
        <v>3</v>
      </c>
      <c r="K16" s="22">
        <v>8</v>
      </c>
      <c r="L16" s="22">
        <v>2</v>
      </c>
      <c r="M16" s="34">
        <v>150</v>
      </c>
      <c r="N16" s="26"/>
      <c r="O16" s="3">
        <f>IFERROR(VLOOKUP(N16,'Puntos XCC Menor'!$A$1:$B$15,2,FALSE),0)</f>
        <v>0</v>
      </c>
      <c r="P16" s="3">
        <v>2</v>
      </c>
      <c r="Q16" s="39">
        <f>IFERROR(VLOOKUP(P16,'Puntos XCO'!$A$1:$B$63,2,FALSE),0)</f>
        <v>150</v>
      </c>
      <c r="R16" s="16">
        <v>1</v>
      </c>
      <c r="S16" s="3">
        <f>IFERROR(VLOOKUP(R16,'Puntos XCC Menor'!$A$1:$B$15,2,FALSE),0)</f>
        <v>10</v>
      </c>
      <c r="T16" s="15">
        <v>4</v>
      </c>
      <c r="U16" s="39">
        <f>IFERROR(VLOOKUP(T16,'Puntos XCO'!$A$1:$B$63,2,FALSE),0)</f>
        <v>110</v>
      </c>
      <c r="V16" s="16">
        <f>IFERROR(VLOOKUP(C16,RESXCC_1,9,FALSE),0)</f>
        <v>2</v>
      </c>
      <c r="W16" s="15">
        <f>IFERROR(VLOOKUP(V16,'Puntos XCC Mayor'!$A$1:$B$15,2,FALSE),0)</f>
        <v>20</v>
      </c>
      <c r="X16" s="15">
        <f>IFERROR(VLOOKUP(C16,RESXCO,9,FALSE),0)</f>
        <v>2</v>
      </c>
      <c r="Y16" s="25">
        <f>IFERROR(VLOOKUP(X16,'Puntos XCO'!$A$1:$B$63,2,FALSE),0)</f>
        <v>150</v>
      </c>
      <c r="Z16" s="27">
        <f>G16+I16+K16+M16+O16+Q16+S16+U16+W16+Y16</f>
        <v>724</v>
      </c>
      <c r="AB16" s="2"/>
      <c r="AC16" s="13"/>
      <c r="AD16" s="12"/>
      <c r="AE16" s="14"/>
    </row>
    <row r="17" spans="1:31" ht="24.95" customHeight="1">
      <c r="A17" s="22">
        <v>3</v>
      </c>
      <c r="B17" s="22">
        <v>4</v>
      </c>
      <c r="C17" s="22">
        <v>502</v>
      </c>
      <c r="D17" s="23" t="str">
        <f>VLOOKUP(C17,PLANILLA,2,FALSE)</f>
        <v xml:space="preserve">ARCE  Mathew </v>
      </c>
      <c r="E17" s="24" t="str">
        <f>VLOOKUP(C17,PLANILLA,4,FALSE)</f>
        <v xml:space="preserve">CCDR PARAÍSO </v>
      </c>
      <c r="F17" s="3">
        <v>1</v>
      </c>
      <c r="G17" s="15">
        <v>10</v>
      </c>
      <c r="H17" s="3">
        <v>5</v>
      </c>
      <c r="I17" s="25">
        <v>100</v>
      </c>
      <c r="J17" s="33">
        <v>2</v>
      </c>
      <c r="K17" s="22">
        <v>9</v>
      </c>
      <c r="L17" s="22">
        <v>3</v>
      </c>
      <c r="M17" s="34">
        <v>120</v>
      </c>
      <c r="N17" s="26"/>
      <c r="O17" s="3">
        <f>IFERROR(VLOOKUP(N17,'Puntos XCC Menor'!$A$1:$B$15,2,FALSE),0)</f>
        <v>0</v>
      </c>
      <c r="P17" s="3">
        <v>5</v>
      </c>
      <c r="Q17" s="39">
        <f>IFERROR(VLOOKUP(P17,'Puntos XCO'!$A$1:$B$63,2,FALSE),0)</f>
        <v>100</v>
      </c>
      <c r="R17" s="16">
        <v>0</v>
      </c>
      <c r="S17" s="3">
        <f>IFERROR(VLOOKUP(R17,'Puntos XCC Menor'!$A$1:$B$15,2,FALSE),0)</f>
        <v>0</v>
      </c>
      <c r="T17" s="15">
        <v>5</v>
      </c>
      <c r="U17" s="39">
        <f>IFERROR(VLOOKUP(T17,'Puntos XCO'!$A$1:$B$63,2,FALSE),0)</f>
        <v>100</v>
      </c>
      <c r="V17" s="16">
        <f>IFERROR(VLOOKUP(C17,RESXCC_1,9,FALSE),0)</f>
        <v>5</v>
      </c>
      <c r="W17" s="15">
        <f>IFERROR(VLOOKUP(V17,'Puntos XCC Mayor'!$A$1:$B$15,2,FALSE),0)</f>
        <v>12</v>
      </c>
      <c r="X17" s="15">
        <f>IFERROR(VLOOKUP(C17,RESXCO,9,FALSE),0)</f>
        <v>4</v>
      </c>
      <c r="Y17" s="25">
        <f>IFERROR(VLOOKUP(X17,'Puntos XCO'!$A$1:$B$63,2,FALSE),0)</f>
        <v>110</v>
      </c>
      <c r="Z17" s="27">
        <f>G17+I17+K17+M17+O17+Q17+S17+U17+W17+Y17</f>
        <v>561</v>
      </c>
      <c r="AB17" s="2"/>
      <c r="AC17" s="13"/>
      <c r="AD17" s="12"/>
      <c r="AE17" s="14"/>
    </row>
    <row r="18" spans="1:31" ht="24.95" customHeight="1">
      <c r="A18" s="22">
        <v>4</v>
      </c>
      <c r="B18" s="22">
        <v>5</v>
      </c>
      <c r="C18" s="22">
        <v>501</v>
      </c>
      <c r="D18" s="23" t="str">
        <f>VLOOKUP(C18,PLANILLA,2,FALSE)</f>
        <v xml:space="preserve">DURAN  Emanuel </v>
      </c>
      <c r="E18" s="24" t="str">
        <f>VLOOKUP(C18,PLANILLA,4,FALSE)</f>
        <v>ZARCERO BETEL MOANA EDUS PROD CECI</v>
      </c>
      <c r="F18" s="3">
        <v>2</v>
      </c>
      <c r="G18" s="15">
        <v>9</v>
      </c>
      <c r="H18" s="3">
        <v>6</v>
      </c>
      <c r="I18" s="25">
        <v>95</v>
      </c>
      <c r="J18" s="33">
        <v>8</v>
      </c>
      <c r="K18" s="22">
        <v>3</v>
      </c>
      <c r="L18" s="22">
        <v>4</v>
      </c>
      <c r="M18" s="34">
        <v>110</v>
      </c>
      <c r="N18" s="26"/>
      <c r="O18" s="3">
        <f>IFERROR(VLOOKUP(N18,'Puntos XCC Menor'!$A$1:$B$15,2,FALSE),0)</f>
        <v>0</v>
      </c>
      <c r="P18" s="3">
        <v>0</v>
      </c>
      <c r="Q18" s="39">
        <f>IFERROR(VLOOKUP(P18,'Puntos XCO'!$A$1:$B$63,2,FALSE),0)</f>
        <v>0</v>
      </c>
      <c r="R18" s="16">
        <v>4</v>
      </c>
      <c r="S18" s="3">
        <f>IFERROR(VLOOKUP(R18,'Puntos XCC Menor'!$A$1:$B$15,2,FALSE),0)</f>
        <v>7</v>
      </c>
      <c r="T18" s="15">
        <v>1</v>
      </c>
      <c r="U18" s="39">
        <f>IFERROR(VLOOKUP(T18,'Puntos XCO'!$A$1:$B$63,2,FALSE),0)</f>
        <v>200</v>
      </c>
      <c r="V18" s="16">
        <f>IFERROR(VLOOKUP(C18,RESXCC_1,9,FALSE),0)</f>
        <v>0</v>
      </c>
      <c r="W18" s="15">
        <f>IFERROR(VLOOKUP(V18,'Puntos XCC Mayor'!$A$1:$B$15,2,FALSE),0)</f>
        <v>0</v>
      </c>
      <c r="X18" s="15">
        <f>IFERROR(VLOOKUP(C18,RESXCO,9,FALSE),0)</f>
        <v>3</v>
      </c>
      <c r="Y18" s="25">
        <f>IFERROR(VLOOKUP(X18,'Puntos XCO'!$A$1:$B$63,2,FALSE),0)</f>
        <v>120</v>
      </c>
      <c r="Z18" s="27">
        <f>G18+I18+K18+M18+O18+Q18+S18+U18+W18+Y18</f>
        <v>544</v>
      </c>
      <c r="AB18" s="2"/>
      <c r="AC18" s="13"/>
      <c r="AD18" s="12"/>
      <c r="AE18" s="14"/>
    </row>
    <row r="19" spans="1:31" ht="24.95" customHeight="1">
      <c r="A19" s="22">
        <v>5</v>
      </c>
      <c r="B19" s="22">
        <v>3</v>
      </c>
      <c r="C19" s="22">
        <v>505</v>
      </c>
      <c r="D19" s="23" t="str">
        <f>VLOOKUP(C19,PLANILLA,2,FALSE)</f>
        <v>CORDERO  Iker Mattias</v>
      </c>
      <c r="E19" s="24" t="str">
        <f>VLOOKUP(C19,PLANILLA,4,FALSE)</f>
        <v>PZ CYCLING TEAM</v>
      </c>
      <c r="F19" s="3">
        <v>7</v>
      </c>
      <c r="G19" s="15">
        <v>4</v>
      </c>
      <c r="H19" s="3">
        <v>4</v>
      </c>
      <c r="I19" s="25">
        <v>110</v>
      </c>
      <c r="J19" s="33">
        <v>6</v>
      </c>
      <c r="K19" s="22">
        <v>5</v>
      </c>
      <c r="L19" s="22">
        <v>5</v>
      </c>
      <c r="M19" s="34">
        <v>100</v>
      </c>
      <c r="N19" s="26"/>
      <c r="O19" s="3">
        <f>IFERROR(VLOOKUP(N19,'Puntos XCC Menor'!$A$1:$B$15,2,FALSE),0)</f>
        <v>0</v>
      </c>
      <c r="P19" s="3">
        <v>3</v>
      </c>
      <c r="Q19" s="39">
        <f>IFERROR(VLOOKUP(P19,'Puntos XCO'!$A$1:$B$63,2,FALSE),0)</f>
        <v>120</v>
      </c>
      <c r="R19" s="16">
        <v>3</v>
      </c>
      <c r="S19" s="3">
        <f>IFERROR(VLOOKUP(R19,'Puntos XCC Menor'!$A$1:$B$15,2,FALSE),0)</f>
        <v>8</v>
      </c>
      <c r="T19" s="15">
        <v>6</v>
      </c>
      <c r="U19" s="39">
        <f>IFERROR(VLOOKUP(T19,'Puntos XCO'!$A$1:$B$63,2,FALSE),0)</f>
        <v>95</v>
      </c>
      <c r="V19" s="16">
        <f>IFERROR(VLOOKUP(C19,RESXCC_1,9,FALSE),0)</f>
        <v>6</v>
      </c>
      <c r="W19" s="15">
        <f>IFERROR(VLOOKUP(V19,'Puntos XCC Mayor'!$A$1:$B$15,2,FALSE),0)</f>
        <v>10</v>
      </c>
      <c r="X19" s="15">
        <f>IFERROR(VLOOKUP(C19,RESXCO,9,FALSE),0)</f>
        <v>7</v>
      </c>
      <c r="Y19" s="25">
        <f>IFERROR(VLOOKUP(X19,'Puntos XCO'!$A$1:$B$63,2,FALSE),0)</f>
        <v>90</v>
      </c>
      <c r="Z19" s="27">
        <f>G19+I19+K19+M19+O19+Q19+S19+U19+W19+Y19</f>
        <v>542</v>
      </c>
      <c r="AB19" s="2"/>
      <c r="AC19" s="13"/>
      <c r="AD19" s="12"/>
      <c r="AE19" s="14"/>
    </row>
    <row r="20" spans="1:31" ht="24.95" customHeight="1">
      <c r="A20" s="22">
        <v>6</v>
      </c>
      <c r="B20" s="22">
        <v>6</v>
      </c>
      <c r="C20" s="22">
        <v>512</v>
      </c>
      <c r="D20" s="23" t="str">
        <f>VLOOKUP(C20,PLANILLA,2,FALSE)</f>
        <v xml:space="preserve">SANDI  Derek Ivan </v>
      </c>
      <c r="E20" s="24" t="str">
        <f>VLOOKUP(C20,PLANILLA,4,FALSE)</f>
        <v xml:space="preserve">CCDR ESCAZÚ </v>
      </c>
      <c r="F20" s="3">
        <v>3</v>
      </c>
      <c r="G20" s="15">
        <v>8</v>
      </c>
      <c r="H20" s="3">
        <v>2</v>
      </c>
      <c r="I20" s="25">
        <v>150</v>
      </c>
      <c r="J20" s="33">
        <v>7</v>
      </c>
      <c r="K20" s="22">
        <v>4</v>
      </c>
      <c r="L20" s="22">
        <v>0</v>
      </c>
      <c r="M20" s="34">
        <v>0</v>
      </c>
      <c r="N20" s="26"/>
      <c r="O20" s="3">
        <f>IFERROR(VLOOKUP(N20,'Puntos XCC Menor'!$A$1:$B$15,2,FALSE),0)</f>
        <v>0</v>
      </c>
      <c r="P20" s="3">
        <v>6</v>
      </c>
      <c r="Q20" s="39">
        <f>IFERROR(VLOOKUP(P20,'Puntos XCO'!$A$1:$B$63,2,FALSE),0)</f>
        <v>95</v>
      </c>
      <c r="R20" s="16">
        <v>2</v>
      </c>
      <c r="S20" s="3">
        <f>IFERROR(VLOOKUP(R20,'Puntos XCC Menor'!$A$1:$B$15,2,FALSE),0)</f>
        <v>9</v>
      </c>
      <c r="T20" s="15">
        <v>2</v>
      </c>
      <c r="U20" s="39">
        <f>IFERROR(VLOOKUP(T20,'Puntos XCO'!$A$1:$B$63,2,FALSE),0)</f>
        <v>150</v>
      </c>
      <c r="V20" s="16">
        <f>IFERROR(VLOOKUP(C20,RESXCC_1,9,FALSE),0)</f>
        <v>7</v>
      </c>
      <c r="W20" s="15">
        <f>IFERROR(VLOOKUP(V20,'Puntos XCC Mayor'!$A$1:$B$15,2,FALSE),0)</f>
        <v>9</v>
      </c>
      <c r="X20" s="15">
        <f>IFERROR(VLOOKUP(C20,RESXCO,9,FALSE),0)</f>
        <v>5</v>
      </c>
      <c r="Y20" s="25">
        <f>IFERROR(VLOOKUP(X20,'Puntos XCO'!$A$1:$B$63,2,FALSE),0)</f>
        <v>100</v>
      </c>
      <c r="Z20" s="27">
        <f>G20+I20+K20+M20+O20+Q20+S20+U20+W20+Y20</f>
        <v>525</v>
      </c>
      <c r="AB20" s="2"/>
      <c r="AC20" s="13"/>
      <c r="AD20" s="12"/>
      <c r="AE20" s="14"/>
    </row>
    <row r="21" spans="1:31" ht="24.95" customHeight="1">
      <c r="A21" s="22">
        <v>7</v>
      </c>
      <c r="B21" s="22">
        <v>7</v>
      </c>
      <c r="C21" s="22">
        <v>507</v>
      </c>
      <c r="D21" s="23" t="str">
        <f>VLOOKUP(C21,PLANILLA,2,FALSE)</f>
        <v xml:space="preserve">MARÍN  Isaac José </v>
      </c>
      <c r="E21" s="24" t="str">
        <f>VLOOKUP(C21,PLANILLA,4,FALSE)</f>
        <v xml:space="preserve">ACISA SARAPIQUI </v>
      </c>
      <c r="F21" s="3">
        <v>4</v>
      </c>
      <c r="G21" s="15">
        <v>7</v>
      </c>
      <c r="H21" s="3">
        <v>11</v>
      </c>
      <c r="I21" s="25">
        <v>76</v>
      </c>
      <c r="J21" s="33">
        <v>5</v>
      </c>
      <c r="K21" s="22">
        <v>6</v>
      </c>
      <c r="L21" s="22">
        <v>7</v>
      </c>
      <c r="M21" s="34">
        <v>90</v>
      </c>
      <c r="N21" s="26"/>
      <c r="O21" s="3">
        <f>IFERROR(VLOOKUP(N21,'Puntos XCC Menor'!$A$1:$B$15,2,FALSE),0)</f>
        <v>0</v>
      </c>
      <c r="P21" s="3">
        <v>8</v>
      </c>
      <c r="Q21" s="39">
        <f>IFERROR(VLOOKUP(P21,'Puntos XCO'!$A$1:$B$63,2,FALSE),0)</f>
        <v>85</v>
      </c>
      <c r="R21" s="16">
        <v>5</v>
      </c>
      <c r="S21" s="3">
        <f>IFERROR(VLOOKUP(R21,'Puntos XCC Menor'!$A$1:$B$15,2,FALSE),0)</f>
        <v>6</v>
      </c>
      <c r="T21" s="15">
        <v>3</v>
      </c>
      <c r="U21" s="39">
        <f>IFERROR(VLOOKUP(T21,'Puntos XCO'!$A$1:$B$63,2,FALSE),0)</f>
        <v>120</v>
      </c>
      <c r="V21" s="16">
        <f>IFERROR(VLOOKUP(C21,RESXCC_1,9,FALSE),0)</f>
        <v>3</v>
      </c>
      <c r="W21" s="15">
        <f>IFERROR(VLOOKUP(V21,'Puntos XCC Mayor'!$A$1:$B$15,2,FALSE),0)</f>
        <v>16</v>
      </c>
      <c r="X21" s="15">
        <f>IFERROR(VLOOKUP(C21,RESXCO,9,FALSE),0)</f>
        <v>6</v>
      </c>
      <c r="Y21" s="25">
        <f>IFERROR(VLOOKUP(X21,'Puntos XCO'!$A$1:$B$63,2,FALSE),0)</f>
        <v>95</v>
      </c>
      <c r="Z21" s="27">
        <f>G21+I21+K21+M21+O21+Q21+S21+U21+W21+Y21</f>
        <v>501</v>
      </c>
      <c r="AB21" s="2"/>
      <c r="AC21" s="13"/>
      <c r="AD21" s="12"/>
      <c r="AE21" s="14"/>
    </row>
    <row r="22" spans="1:31" ht="24.95" customHeight="1">
      <c r="A22" s="22">
        <v>8</v>
      </c>
      <c r="B22" s="22">
        <v>8</v>
      </c>
      <c r="C22" s="22">
        <v>503</v>
      </c>
      <c r="D22" s="23" t="str">
        <f>VLOOKUP(C22,PLANILLA,2,FALSE)</f>
        <v>CAMPOS  Angelo Samuel*</v>
      </c>
      <c r="E22" s="24" t="str">
        <f>VLOOKUP(C22,PLANILLA,4,FALSE)</f>
        <v xml:space="preserve">TEAM CQ.PZ </v>
      </c>
      <c r="F22" s="3">
        <v>13</v>
      </c>
      <c r="G22" s="15">
        <v>0</v>
      </c>
      <c r="H22" s="3">
        <v>10</v>
      </c>
      <c r="I22" s="25">
        <v>78</v>
      </c>
      <c r="J22" s="33">
        <v>13</v>
      </c>
      <c r="K22" s="22">
        <v>0</v>
      </c>
      <c r="L22" s="22">
        <v>10</v>
      </c>
      <c r="M22" s="34">
        <v>78</v>
      </c>
      <c r="N22" s="26"/>
      <c r="O22" s="3">
        <f>IFERROR(VLOOKUP(N22,'Puntos XCC Menor'!$A$1:$B$15,2,FALSE),0)</f>
        <v>0</v>
      </c>
      <c r="P22" s="3">
        <v>10</v>
      </c>
      <c r="Q22" s="39">
        <f>IFERROR(VLOOKUP(P22,'Puntos XCO'!$A$1:$B$63,2,FALSE),0)</f>
        <v>78</v>
      </c>
      <c r="R22" s="16">
        <v>10</v>
      </c>
      <c r="S22" s="3">
        <f>IFERROR(VLOOKUP(R22,'Puntos XCC Menor'!$A$1:$B$15,2,FALSE),0)</f>
        <v>1</v>
      </c>
      <c r="T22" s="15">
        <v>11</v>
      </c>
      <c r="U22" s="39">
        <f>IFERROR(VLOOKUP(T22,'Puntos XCO'!$A$1:$B$63,2,FALSE),0)</f>
        <v>76</v>
      </c>
      <c r="V22" s="16">
        <f>IFERROR(VLOOKUP(C22,RESXCC_1,9,FALSE),0)</f>
        <v>12</v>
      </c>
      <c r="W22" s="15">
        <f>IFERROR(VLOOKUP(V22,'Puntos XCC Mayor'!$A$1:$B$15,2,FALSE),0)</f>
        <v>4</v>
      </c>
      <c r="X22" s="15">
        <f>IFERROR(VLOOKUP(C22,RESXCO,9,FALSE),0)</f>
        <v>11</v>
      </c>
      <c r="Y22" s="25">
        <f>IFERROR(VLOOKUP(X22,'Puntos XCO'!$A$1:$B$63,2,FALSE),0)</f>
        <v>76</v>
      </c>
      <c r="Z22" s="27">
        <f>G22+I22+K22+M22+O22+Q22+S22+U22+W22+Y22</f>
        <v>391</v>
      </c>
      <c r="AB22" s="2"/>
      <c r="AC22" s="13"/>
      <c r="AD22" s="12"/>
      <c r="AE22" s="14"/>
    </row>
    <row r="23" spans="1:31" ht="24.95" customHeight="1">
      <c r="A23" s="22">
        <v>9</v>
      </c>
      <c r="B23" s="22">
        <v>12</v>
      </c>
      <c r="C23" s="22">
        <v>524</v>
      </c>
      <c r="D23" s="23" t="str">
        <f>VLOOKUP(C23,PLANILLA,2,FALSE)</f>
        <v xml:space="preserve">GARCÍA  Danny Armando </v>
      </c>
      <c r="E23" s="24" t="str">
        <f>VLOOKUP(C23,PLANILLA,4,FALSE)</f>
        <v xml:space="preserve">ROES CENTELA </v>
      </c>
      <c r="F23" s="3">
        <v>9</v>
      </c>
      <c r="G23" s="15">
        <v>2</v>
      </c>
      <c r="H23" s="3">
        <v>8</v>
      </c>
      <c r="I23" s="25">
        <v>85</v>
      </c>
      <c r="J23" s="33">
        <v>10</v>
      </c>
      <c r="K23" s="22">
        <v>1</v>
      </c>
      <c r="L23" s="22">
        <v>9</v>
      </c>
      <c r="M23" s="34">
        <v>80</v>
      </c>
      <c r="N23" s="26"/>
      <c r="O23" s="3">
        <f>IFERROR(VLOOKUP(N23,'Puntos XCC Menor'!$A$1:$B$15,2,FALSE),0)</f>
        <v>0</v>
      </c>
      <c r="P23" s="3">
        <v>7</v>
      </c>
      <c r="Q23" s="39">
        <f>IFERROR(VLOOKUP(P23,'Puntos XCO'!$A$1:$B$63,2,FALSE),0)</f>
        <v>90</v>
      </c>
      <c r="R23" s="16">
        <v>0</v>
      </c>
      <c r="S23" s="3">
        <f>IFERROR(VLOOKUP(R23,'Puntos XCC Menor'!$A$1:$B$15,2,FALSE),0)</f>
        <v>0</v>
      </c>
      <c r="T23" s="15">
        <v>0</v>
      </c>
      <c r="U23" s="39">
        <f>IFERROR(VLOOKUP(T23,'Puntos XCO'!$A$1:$B$63,2,FALSE),0)</f>
        <v>0</v>
      </c>
      <c r="V23" s="16">
        <f>IFERROR(VLOOKUP(C23,RESXCC_1,9,FALSE),0)</f>
        <v>9</v>
      </c>
      <c r="W23" s="15">
        <f>IFERROR(VLOOKUP(V23,'Puntos XCC Mayor'!$A$1:$B$15,2,FALSE),0)</f>
        <v>7</v>
      </c>
      <c r="X23" s="15">
        <f>IFERROR(VLOOKUP(C23,RESXCO,9,FALSE),0)</f>
        <v>8</v>
      </c>
      <c r="Y23" s="25">
        <f>IFERROR(VLOOKUP(X23,'Puntos XCO'!$A$1:$B$63,2,FALSE),0)</f>
        <v>85</v>
      </c>
      <c r="Z23" s="27">
        <f>G23+I23+K23+M23+O23+Q23+S23+U23+W23+Y23</f>
        <v>350</v>
      </c>
      <c r="AB23" s="2"/>
      <c r="AC23" s="13"/>
      <c r="AD23" s="12"/>
      <c r="AE23" s="14"/>
    </row>
    <row r="24" spans="1:31" ht="24.95" customHeight="1">
      <c r="A24" s="22">
        <v>10</v>
      </c>
      <c r="B24" s="22">
        <v>10</v>
      </c>
      <c r="C24" s="22">
        <v>521</v>
      </c>
      <c r="D24" s="23" t="str">
        <f>VLOOKUP(C24,PLANILLA,2,FALSE)</f>
        <v>RAMÍREZ  David</v>
      </c>
      <c r="E24" s="24" t="str">
        <f>VLOOKUP(C24,PLANILLA,4,FALSE)</f>
        <v xml:space="preserve">CCDR SAN JOSÉ </v>
      </c>
      <c r="F24" s="3">
        <v>8</v>
      </c>
      <c r="G24" s="15">
        <v>3</v>
      </c>
      <c r="H24" s="3">
        <v>7</v>
      </c>
      <c r="I24" s="25">
        <v>90</v>
      </c>
      <c r="J24" s="33">
        <v>4</v>
      </c>
      <c r="K24" s="22">
        <v>7</v>
      </c>
      <c r="L24" s="22">
        <v>6</v>
      </c>
      <c r="M24" s="34">
        <v>95</v>
      </c>
      <c r="N24" s="26"/>
      <c r="O24" s="3">
        <f>IFERROR(VLOOKUP(N24,'Puntos XCC Menor'!$A$1:$B$15,2,FALSE),0)</f>
        <v>0</v>
      </c>
      <c r="P24" s="3">
        <v>12</v>
      </c>
      <c r="Q24" s="39">
        <f>IFERROR(VLOOKUP(P24,'Puntos XCO'!$A$1:$B$63,2,FALSE),0)</f>
        <v>74</v>
      </c>
      <c r="R24" s="16">
        <v>9</v>
      </c>
      <c r="S24" s="3">
        <f>IFERROR(VLOOKUP(R24,'Puntos XCC Menor'!$A$1:$B$15,2,FALSE),0)</f>
        <v>2</v>
      </c>
      <c r="T24" s="15">
        <v>0</v>
      </c>
      <c r="U24" s="39">
        <f>IFERROR(VLOOKUP(T24,'Puntos XCO'!$A$1:$B$63,2,FALSE),0)</f>
        <v>0</v>
      </c>
      <c r="V24" s="16">
        <f>IFERROR(VLOOKUP(C24,RESXCC_1,9,FALSE),0)</f>
        <v>4</v>
      </c>
      <c r="W24" s="15">
        <f>IFERROR(VLOOKUP(V24,'Puntos XCC Mayor'!$A$1:$B$15,2,FALSE),0)</f>
        <v>14</v>
      </c>
      <c r="X24" s="15">
        <f>IFERROR(VLOOKUP(C24,RESXCO,9,FALSE),0)</f>
        <v>21</v>
      </c>
      <c r="Y24" s="25">
        <f>IFERROR(VLOOKUP(X24,'Puntos XCO'!$A$1:$B$63,2,FALSE),0)</f>
        <v>56</v>
      </c>
      <c r="Z24" s="27">
        <f>G24+I24+K24+M24+O24+Q24+S24+U24+W24+Y24</f>
        <v>341</v>
      </c>
      <c r="AB24" s="2"/>
      <c r="AC24" s="13"/>
      <c r="AD24" s="12"/>
      <c r="AE24" s="14"/>
    </row>
    <row r="25" spans="1:31" ht="24.95" customHeight="1">
      <c r="A25" s="22">
        <v>11</v>
      </c>
      <c r="B25" s="22">
        <v>11</v>
      </c>
      <c r="C25" s="22">
        <v>504</v>
      </c>
      <c r="D25" s="23" t="str">
        <f>VLOOKUP(C25,PLANILLA,2,FALSE)</f>
        <v>BONILLA  Keyshmer*</v>
      </c>
      <c r="E25" s="24" t="str">
        <f>VLOOKUP(C25,PLANILLA,4,FALSE)</f>
        <v xml:space="preserve">CCDRESCAZU </v>
      </c>
      <c r="F25" s="3">
        <v>15</v>
      </c>
      <c r="G25" s="15">
        <v>0</v>
      </c>
      <c r="H25" s="3">
        <v>14</v>
      </c>
      <c r="I25" s="25">
        <v>70</v>
      </c>
      <c r="J25" s="33">
        <v>17</v>
      </c>
      <c r="K25" s="22">
        <v>0</v>
      </c>
      <c r="L25" s="22">
        <v>19</v>
      </c>
      <c r="M25" s="34">
        <v>60</v>
      </c>
      <c r="N25" s="26"/>
      <c r="O25" s="3">
        <f>IFERROR(VLOOKUP(N25,'Puntos XCC Menor'!$A$1:$B$15,2,FALSE),0)</f>
        <v>0</v>
      </c>
      <c r="P25" s="3">
        <v>18</v>
      </c>
      <c r="Q25" s="39">
        <f>IFERROR(VLOOKUP(P25,'Puntos XCO'!$A$1:$B$63,2,FALSE),0)</f>
        <v>62</v>
      </c>
      <c r="R25" s="16">
        <v>11</v>
      </c>
      <c r="S25" s="3">
        <f>IFERROR(VLOOKUP(R25,'Puntos XCC Menor'!$A$1:$B$15,2,FALSE),0)</f>
        <v>0</v>
      </c>
      <c r="T25" s="15">
        <v>12</v>
      </c>
      <c r="U25" s="39">
        <f>IFERROR(VLOOKUP(T25,'Puntos XCO'!$A$1:$B$63,2,FALSE),0)</f>
        <v>74</v>
      </c>
      <c r="V25" s="16">
        <f>IFERROR(VLOOKUP(C25,RESXCC_1,9,FALSE),0)</f>
        <v>18</v>
      </c>
      <c r="W25" s="15">
        <f>IFERROR(VLOOKUP(V25,'Puntos XCC Mayor'!$A$1:$B$15,2,FALSE),0)</f>
        <v>0</v>
      </c>
      <c r="X25" s="15">
        <f>IFERROR(VLOOKUP(C25,RESXCO,9,FALSE),0)</f>
        <v>16</v>
      </c>
      <c r="Y25" s="25">
        <f>IFERROR(VLOOKUP(X25,'Puntos XCO'!$A$1:$B$63,2,FALSE),0)</f>
        <v>66</v>
      </c>
      <c r="Z25" s="27">
        <f>G25+I25+K25+M25+O25+Q25+S25+U25+W25+Y25</f>
        <v>332</v>
      </c>
      <c r="AB25" s="2"/>
      <c r="AC25" s="13"/>
      <c r="AD25" s="12"/>
      <c r="AE25" s="14"/>
    </row>
    <row r="26" spans="1:31" ht="24.95" customHeight="1">
      <c r="A26" s="22">
        <v>12</v>
      </c>
      <c r="B26" s="22">
        <v>9</v>
      </c>
      <c r="C26" s="22">
        <v>514</v>
      </c>
      <c r="D26" s="23" t="str">
        <f>VLOOKUP(C26,PLANILLA,2,FALSE)</f>
        <v>JEREZ Gabriel</v>
      </c>
      <c r="E26" s="24" t="str">
        <f>VLOOKUP(C26,PLANILLA,4,FALSE)</f>
        <v>CCDR LIBERIA COSTA FRUT</v>
      </c>
      <c r="F26" s="3">
        <v>11</v>
      </c>
      <c r="G26" s="15">
        <v>0</v>
      </c>
      <c r="H26" s="3">
        <v>9</v>
      </c>
      <c r="I26" s="25">
        <v>80</v>
      </c>
      <c r="J26" s="33">
        <v>12</v>
      </c>
      <c r="K26" s="22">
        <v>0</v>
      </c>
      <c r="L26" s="22">
        <v>12</v>
      </c>
      <c r="M26" s="34">
        <v>74</v>
      </c>
      <c r="N26" s="26"/>
      <c r="O26" s="3">
        <f>IFERROR(VLOOKUP(N26,'Puntos XCC Menor'!$A$1:$B$15,2,FALSE),0)</f>
        <v>0</v>
      </c>
      <c r="P26" s="3">
        <v>16</v>
      </c>
      <c r="Q26" s="39">
        <f>IFERROR(VLOOKUP(P26,'Puntos XCO'!$A$1:$B$63,2,FALSE),0)</f>
        <v>66</v>
      </c>
      <c r="R26" s="16">
        <v>8</v>
      </c>
      <c r="S26" s="3">
        <f>IFERROR(VLOOKUP(R26,'Puntos XCC Menor'!$A$1:$B$15,2,FALSE),0)</f>
        <v>3</v>
      </c>
      <c r="T26" s="15">
        <v>8</v>
      </c>
      <c r="U26" s="39">
        <f>IFERROR(VLOOKUP(T26,'Puntos XCO'!$A$1:$B$63,2,FALSE),0)</f>
        <v>85</v>
      </c>
      <c r="V26" s="16">
        <f>IFERROR(VLOOKUP(C26,RESXCC_1,9,FALSE),0)</f>
        <v>0</v>
      </c>
      <c r="W26" s="15">
        <f>IFERROR(VLOOKUP(V26,'Puntos XCC Mayor'!$A$1:$B$15,2,FALSE),0)</f>
        <v>0</v>
      </c>
      <c r="X26" s="15">
        <f>IFERROR(VLOOKUP(C26,RESXCO,9,FALSE),0)</f>
        <v>0</v>
      </c>
      <c r="Y26" s="25">
        <f>IFERROR(VLOOKUP(X26,'Puntos XCO'!$A$1:$B$63,2,FALSE),0)</f>
        <v>0</v>
      </c>
      <c r="Z26" s="27">
        <f>G26+I26+K26+M26+O26+Q26+S26+U26+W26+Y26</f>
        <v>308</v>
      </c>
      <c r="AB26" s="2"/>
      <c r="AC26" s="13"/>
      <c r="AD26" s="12"/>
      <c r="AE26" s="14"/>
    </row>
    <row r="27" spans="1:31" ht="24.95" customHeight="1">
      <c r="A27" s="22">
        <v>13</v>
      </c>
      <c r="B27" s="22">
        <v>13</v>
      </c>
      <c r="C27" s="22">
        <v>516</v>
      </c>
      <c r="D27" s="23" t="str">
        <f>VLOOKUP(C27,PLANILLA,2,FALSE)</f>
        <v>MATA  Antuan*</v>
      </c>
      <c r="E27" s="24" t="str">
        <f>VLOOKUP(C27,PLANILLA,4,FALSE)</f>
        <v xml:space="preserve">CCDR PARAÍSO </v>
      </c>
      <c r="F27" s="3">
        <v>21</v>
      </c>
      <c r="G27" s="15">
        <v>0</v>
      </c>
      <c r="H27" s="3">
        <v>18</v>
      </c>
      <c r="I27" s="25">
        <v>62</v>
      </c>
      <c r="J27" s="33">
        <v>21</v>
      </c>
      <c r="K27" s="22">
        <v>0</v>
      </c>
      <c r="L27" s="22">
        <v>8</v>
      </c>
      <c r="M27" s="34">
        <v>85</v>
      </c>
      <c r="N27" s="26"/>
      <c r="O27" s="3">
        <f>IFERROR(VLOOKUP(N27,'Puntos XCC Menor'!$A$1:$B$15,2,FALSE),0)</f>
        <v>0</v>
      </c>
      <c r="P27" s="3">
        <v>0</v>
      </c>
      <c r="Q27" s="39">
        <f>IFERROR(VLOOKUP(P27,'Puntos XCO'!$A$1:$B$63,2,FALSE),0)</f>
        <v>0</v>
      </c>
      <c r="R27" s="16">
        <v>0</v>
      </c>
      <c r="S27" s="3">
        <f>IFERROR(VLOOKUP(R27,'Puntos XCC Menor'!$A$1:$B$15,2,FALSE),0)</f>
        <v>0</v>
      </c>
      <c r="T27" s="15">
        <v>14</v>
      </c>
      <c r="U27" s="39">
        <f>IFERROR(VLOOKUP(T27,'Puntos XCO'!$A$1:$B$63,2,FALSE),0)</f>
        <v>70</v>
      </c>
      <c r="V27" s="16">
        <f>IFERROR(VLOOKUP(C27,RESXCC_1,9,FALSE),0)</f>
        <v>17</v>
      </c>
      <c r="W27" s="15">
        <f>IFERROR(VLOOKUP(V27,'Puntos XCC Mayor'!$A$1:$B$15,2,FALSE),0)</f>
        <v>0</v>
      </c>
      <c r="X27" s="15">
        <f>IFERROR(VLOOKUP(C27,RESXCO,9,FALSE),0)</f>
        <v>22</v>
      </c>
      <c r="Y27" s="25">
        <f>IFERROR(VLOOKUP(X27,'Puntos XCO'!$A$1:$B$63,2,FALSE),0)</f>
        <v>54</v>
      </c>
      <c r="Z27" s="27">
        <f>G27+I27+K27+M27+O27+Q27+S27+U27+W27+Y27</f>
        <v>271</v>
      </c>
      <c r="AB27" s="2"/>
      <c r="AC27" s="13"/>
      <c r="AD27" s="12"/>
      <c r="AE27" s="14"/>
    </row>
    <row r="28" spans="1:31" ht="24.95" customHeight="1">
      <c r="A28" s="22">
        <v>14</v>
      </c>
      <c r="B28" s="22">
        <v>14</v>
      </c>
      <c r="C28" s="22">
        <v>506</v>
      </c>
      <c r="D28" s="23" t="str">
        <f>VLOOKUP(C28,PLANILLA,2,FALSE)</f>
        <v>CASTILLO  Santiago*</v>
      </c>
      <c r="E28" s="24" t="str">
        <f>VLOOKUP(C28,PLANILLA,4,FALSE)</f>
        <v>CICLISMO BELEN</v>
      </c>
      <c r="F28" s="3">
        <v>22</v>
      </c>
      <c r="G28" s="15">
        <v>0</v>
      </c>
      <c r="H28" s="3">
        <v>20</v>
      </c>
      <c r="I28" s="25">
        <v>58</v>
      </c>
      <c r="J28" s="33">
        <v>22</v>
      </c>
      <c r="K28" s="22">
        <v>0</v>
      </c>
      <c r="L28" s="22">
        <v>16</v>
      </c>
      <c r="M28" s="34">
        <v>66</v>
      </c>
      <c r="N28" s="26"/>
      <c r="O28" s="3">
        <f>IFERROR(VLOOKUP(N28,'Puntos XCC Menor'!$A$1:$B$15,2,FALSE),0)</f>
        <v>0</v>
      </c>
      <c r="P28" s="3">
        <v>17</v>
      </c>
      <c r="Q28" s="39">
        <f>IFERROR(VLOOKUP(P28,'Puntos XCO'!$A$1:$B$63,2,FALSE),0)</f>
        <v>64</v>
      </c>
      <c r="R28" s="16">
        <v>0</v>
      </c>
      <c r="S28" s="3">
        <f>IFERROR(VLOOKUP(R28,'Puntos XCC Menor'!$A$1:$B$15,2,FALSE),0)</f>
        <v>0</v>
      </c>
      <c r="T28" s="15">
        <v>0</v>
      </c>
      <c r="U28" s="39">
        <f>IFERROR(VLOOKUP(T28,'Puntos XCO'!$A$1:$B$63,2,FALSE),0)</f>
        <v>0</v>
      </c>
      <c r="V28" s="16">
        <f>IFERROR(VLOOKUP(C28,RESXCC_1,9,FALSE),0)</f>
        <v>20</v>
      </c>
      <c r="W28" s="15">
        <f>IFERROR(VLOOKUP(V28,'Puntos XCC Mayor'!$A$1:$B$15,2,FALSE),0)</f>
        <v>0</v>
      </c>
      <c r="X28" s="15">
        <f>IFERROR(VLOOKUP(C28,RESXCO,9,FALSE),0)</f>
        <v>18</v>
      </c>
      <c r="Y28" s="25">
        <f>IFERROR(VLOOKUP(X28,'Puntos XCO'!$A$1:$B$63,2,FALSE),0)</f>
        <v>62</v>
      </c>
      <c r="Z28" s="27">
        <f>G28+I28+K28+M28+O28+Q28+S28+U28+W28+Y28</f>
        <v>250</v>
      </c>
      <c r="AB28" s="3"/>
      <c r="AE28" s="29"/>
    </row>
    <row r="29" spans="1:31" ht="24.95" customHeight="1">
      <c r="A29" s="22">
        <v>15</v>
      </c>
      <c r="B29" s="22">
        <v>15</v>
      </c>
      <c r="C29" s="22">
        <v>515</v>
      </c>
      <c r="D29" s="23" t="str">
        <f>VLOOKUP(C29,PLANILLA,2,FALSE)</f>
        <v>ARAYA Samuel</v>
      </c>
      <c r="E29" s="24" t="str">
        <f>VLOOKUP(C29,PLANILLA,4,FALSE)</f>
        <v>CCDRESCAZU</v>
      </c>
      <c r="F29" s="3">
        <v>20</v>
      </c>
      <c r="G29" s="15">
        <v>0</v>
      </c>
      <c r="H29" s="3">
        <v>21</v>
      </c>
      <c r="I29" s="25">
        <v>56</v>
      </c>
      <c r="J29" s="33">
        <v>20</v>
      </c>
      <c r="K29" s="22">
        <v>0</v>
      </c>
      <c r="L29" s="22">
        <v>23</v>
      </c>
      <c r="M29" s="34">
        <v>52</v>
      </c>
      <c r="N29" s="26"/>
      <c r="O29" s="3">
        <f>IFERROR(VLOOKUP(N29,'Puntos XCC Menor'!$A$1:$B$15,2,FALSE),0)</f>
        <v>0</v>
      </c>
      <c r="P29" s="3">
        <v>0</v>
      </c>
      <c r="Q29" s="39">
        <f>IFERROR(VLOOKUP(P29,'Puntos XCO'!$A$1:$B$63,2,FALSE),0)</f>
        <v>0</v>
      </c>
      <c r="R29" s="16">
        <v>14</v>
      </c>
      <c r="S29" s="3">
        <f>IFERROR(VLOOKUP(R29,'Puntos XCC Menor'!$A$1:$B$15,2,FALSE),0)</f>
        <v>0</v>
      </c>
      <c r="T29" s="15">
        <v>15</v>
      </c>
      <c r="U29" s="39">
        <f>IFERROR(VLOOKUP(T29,'Puntos XCO'!$A$1:$B$63,2,FALSE),0)</f>
        <v>68</v>
      </c>
      <c r="V29" s="16">
        <f>IFERROR(VLOOKUP(C29,RESXCC_1,9,FALSE),0)</f>
        <v>15</v>
      </c>
      <c r="W29" s="15">
        <f>IFERROR(VLOOKUP(V29,'Puntos XCC Mayor'!$A$1:$B$15,2,FALSE),0)</f>
        <v>1</v>
      </c>
      <c r="X29" s="15">
        <f>IFERROR(VLOOKUP(C29,RESXCO,9,FALSE),0)</f>
        <v>17</v>
      </c>
      <c r="Y29" s="25">
        <f>IFERROR(VLOOKUP(X29,'Puntos XCO'!$A$1:$B$63,2,FALSE),0)</f>
        <v>64</v>
      </c>
      <c r="Z29" s="27">
        <f>G29+I29+K29+M29+O29+Q29+S29+U29+W29+Y29</f>
        <v>241</v>
      </c>
      <c r="AB29" s="3"/>
    </row>
    <row r="30" spans="1:31" ht="24.95" customHeight="1">
      <c r="A30" s="22">
        <v>16</v>
      </c>
      <c r="B30" s="22">
        <v>16</v>
      </c>
      <c r="C30" s="22">
        <v>509</v>
      </c>
      <c r="D30" s="23" t="str">
        <f>VLOOKUP(C30,PLANILLA,2,FALSE)</f>
        <v>VILLALOBOS Mathias</v>
      </c>
      <c r="E30" s="24" t="str">
        <f>VLOOKUP(C30,PLANILLA,4,FALSE)</f>
        <v>CODEA</v>
      </c>
      <c r="F30" s="3">
        <v>10</v>
      </c>
      <c r="G30" s="15">
        <v>1</v>
      </c>
      <c r="H30" s="3">
        <v>0</v>
      </c>
      <c r="I30" s="25">
        <v>0</v>
      </c>
      <c r="J30" s="33">
        <v>0</v>
      </c>
      <c r="K30" s="22">
        <v>0</v>
      </c>
      <c r="L30" s="22">
        <v>0</v>
      </c>
      <c r="M30" s="34">
        <v>0</v>
      </c>
      <c r="N30" s="26"/>
      <c r="O30" s="3">
        <f>IFERROR(VLOOKUP(N30,'Puntos XCC Menor'!$A$1:$B$15,2,FALSE),0)</f>
        <v>0</v>
      </c>
      <c r="P30" s="3">
        <v>13</v>
      </c>
      <c r="Q30" s="39">
        <f>IFERROR(VLOOKUP(P30,'Puntos XCO'!$A$1:$B$63,2,FALSE),0)</f>
        <v>72</v>
      </c>
      <c r="R30" s="16">
        <v>7</v>
      </c>
      <c r="S30" s="3">
        <f>IFERROR(VLOOKUP(R30,'Puntos XCC Menor'!$A$1:$B$15,2,FALSE),0)</f>
        <v>4</v>
      </c>
      <c r="T30" s="15">
        <v>9</v>
      </c>
      <c r="U30" s="39">
        <f>IFERROR(VLOOKUP(T30,'Puntos XCO'!$A$1:$B$63,2,FALSE),0)</f>
        <v>80</v>
      </c>
      <c r="V30" s="16">
        <f>IFERROR(VLOOKUP(C30,RESXCC_1,9,FALSE),0)</f>
        <v>11</v>
      </c>
      <c r="W30" s="15">
        <f>IFERROR(VLOOKUP(V30,'Puntos XCC Mayor'!$A$1:$B$15,2,FALSE),0)</f>
        <v>5</v>
      </c>
      <c r="X30" s="15">
        <f>IFERROR(VLOOKUP(C30,RESXCO,9,FALSE),0)</f>
        <v>10</v>
      </c>
      <c r="Y30" s="25">
        <f>IFERROR(VLOOKUP(X30,'Puntos XCO'!$A$1:$B$63,2,FALSE),0)</f>
        <v>78</v>
      </c>
      <c r="Z30" s="27">
        <f>G30+I30+K30+M30+O30+Q30+S30+U30+W30+Y30</f>
        <v>240</v>
      </c>
      <c r="AB30" s="3"/>
    </row>
    <row r="31" spans="1:31" ht="24.95" customHeight="1">
      <c r="A31" s="22">
        <v>17</v>
      </c>
      <c r="B31" s="22">
        <v>20</v>
      </c>
      <c r="C31" s="22">
        <v>523</v>
      </c>
      <c r="D31" s="23" t="str">
        <f>VLOOKUP(C31,PLANILLA,2,FALSE)</f>
        <v>PÉREZ  Keileb*</v>
      </c>
      <c r="E31" s="24" t="str">
        <f>VLOOKUP(C31,PLANILLA,4,FALSE)</f>
        <v xml:space="preserve">CCDR SAN JOSÉ </v>
      </c>
      <c r="F31" s="3">
        <v>17</v>
      </c>
      <c r="G31" s="15">
        <v>0</v>
      </c>
      <c r="H31" s="3">
        <v>15</v>
      </c>
      <c r="I31" s="25">
        <v>68</v>
      </c>
      <c r="J31" s="33">
        <v>15</v>
      </c>
      <c r="K31" s="22">
        <v>0</v>
      </c>
      <c r="L31" s="22">
        <v>13</v>
      </c>
      <c r="M31" s="34">
        <v>72</v>
      </c>
      <c r="N31" s="26"/>
      <c r="O31" s="3">
        <f>IFERROR(VLOOKUP(N31,'Puntos XCC Menor'!$A$1:$B$15,2,FALSE),0)</f>
        <v>0</v>
      </c>
      <c r="P31" s="3">
        <v>0</v>
      </c>
      <c r="Q31" s="39">
        <f>IFERROR(VLOOKUP(P31,'Puntos XCO'!$A$1:$B$63,2,FALSE),0)</f>
        <v>0</v>
      </c>
      <c r="R31" s="16">
        <v>0</v>
      </c>
      <c r="S31" s="3">
        <f>IFERROR(VLOOKUP(R31,'Puntos XCC Menor'!$A$1:$B$15,2,FALSE),0)</f>
        <v>0</v>
      </c>
      <c r="T31" s="15">
        <v>0</v>
      </c>
      <c r="U31" s="39">
        <f>IFERROR(VLOOKUP(T31,'Puntos XCO'!$A$1:$B$63,2,FALSE),0)</f>
        <v>0</v>
      </c>
      <c r="V31" s="16">
        <f>IFERROR(VLOOKUP(C31,RESXCC_1,9,FALSE),0)</f>
        <v>13</v>
      </c>
      <c r="W31" s="15">
        <f>IFERROR(VLOOKUP(V31,'Puntos XCC Mayor'!$A$1:$B$15,2,FALSE),0)</f>
        <v>3</v>
      </c>
      <c r="X31" s="15">
        <f>IFERROR(VLOOKUP(C31,RESXCO,9,FALSE),0)</f>
        <v>14</v>
      </c>
      <c r="Y31" s="25">
        <f>IFERROR(VLOOKUP(X31,'Puntos XCO'!$A$1:$B$63,2,FALSE),0)</f>
        <v>70</v>
      </c>
      <c r="Z31" s="27">
        <f>G31+I31+K31+M31+O31+Q31+S31+U31+W31+Y31</f>
        <v>213</v>
      </c>
      <c r="AB31" s="3"/>
    </row>
    <row r="32" spans="1:31" ht="24.95" customHeight="1">
      <c r="A32" s="22">
        <v>18</v>
      </c>
      <c r="B32" s="22">
        <v>22</v>
      </c>
      <c r="C32" s="22">
        <v>513</v>
      </c>
      <c r="D32" s="23" t="str">
        <f>VLOOKUP(C32,PLANILLA,2,FALSE)</f>
        <v>GUTIERREZ Simao</v>
      </c>
      <c r="E32" s="24" t="str">
        <f>VLOOKUP(C32,PLANILLA,4,FALSE)</f>
        <v>CCDRESCAZU</v>
      </c>
      <c r="F32" s="3">
        <v>19</v>
      </c>
      <c r="G32" s="15">
        <v>0</v>
      </c>
      <c r="H32" s="3">
        <v>17</v>
      </c>
      <c r="I32" s="25">
        <v>64</v>
      </c>
      <c r="J32" s="33">
        <v>19</v>
      </c>
      <c r="K32" s="22">
        <v>0</v>
      </c>
      <c r="L32" s="22">
        <v>17</v>
      </c>
      <c r="M32" s="34">
        <v>64</v>
      </c>
      <c r="N32" s="26"/>
      <c r="O32" s="3">
        <f>IFERROR(VLOOKUP(N32,'Puntos XCC Menor'!$A$1:$B$15,2,FALSE),0)</f>
        <v>0</v>
      </c>
      <c r="P32" s="3">
        <v>0</v>
      </c>
      <c r="Q32" s="39">
        <f>IFERROR(VLOOKUP(P32,'Puntos XCO'!$A$1:$B$63,2,FALSE),0)</f>
        <v>0</v>
      </c>
      <c r="R32" s="16">
        <v>13</v>
      </c>
      <c r="S32" s="3">
        <f>IFERROR(VLOOKUP(R32,'Puntos XCC Menor'!$A$1:$B$15,2,FALSE),0)</f>
        <v>0</v>
      </c>
      <c r="T32" s="15">
        <v>0</v>
      </c>
      <c r="U32" s="39">
        <f>IFERROR(VLOOKUP(T32,'Puntos XCO'!$A$1:$B$63,2,FALSE),0)</f>
        <v>0</v>
      </c>
      <c r="V32" s="16">
        <f>IFERROR(VLOOKUP(C32,RESXCC_1,9,FALSE),0)</f>
        <v>16</v>
      </c>
      <c r="W32" s="15">
        <f>IFERROR(VLOOKUP(V32,'Puntos XCC Mayor'!$A$1:$B$15,2,FALSE),0)</f>
        <v>0</v>
      </c>
      <c r="X32" s="15">
        <f>IFERROR(VLOOKUP(C32,RESXCO,9,FALSE),0)</f>
        <v>12</v>
      </c>
      <c r="Y32" s="25">
        <f>IFERROR(VLOOKUP(X32,'Puntos XCO'!$A$1:$B$63,2,FALSE),0)</f>
        <v>74</v>
      </c>
      <c r="Z32" s="27">
        <f>G32+I32+K32+M32+O32+Q32+S32+U32+W32+Y32</f>
        <v>202</v>
      </c>
      <c r="AB32" s="3"/>
    </row>
    <row r="33" spans="1:28" ht="24.95" customHeight="1">
      <c r="A33" s="22">
        <v>19</v>
      </c>
      <c r="B33" s="22">
        <v>23</v>
      </c>
      <c r="C33" s="22">
        <v>508</v>
      </c>
      <c r="D33" s="23" t="str">
        <f>VLOOKUP(C33,PLANILLA,2,FALSE)</f>
        <v>BONILLA  Mattew Andres</v>
      </c>
      <c r="E33" s="24" t="str">
        <f>VLOOKUP(C33,PLANILLA,4,FALSE)</f>
        <v>CICLISMO BELEN</v>
      </c>
      <c r="F33" s="3">
        <v>23</v>
      </c>
      <c r="G33" s="15">
        <v>0</v>
      </c>
      <c r="H33" s="3">
        <v>23</v>
      </c>
      <c r="I33" s="25">
        <v>52</v>
      </c>
      <c r="J33" s="33">
        <v>0</v>
      </c>
      <c r="K33" s="22">
        <v>0</v>
      </c>
      <c r="L33" s="22">
        <v>18</v>
      </c>
      <c r="M33" s="34">
        <v>62</v>
      </c>
      <c r="N33" s="26"/>
      <c r="O33" s="3">
        <f>IFERROR(VLOOKUP(N33,'Puntos XCC Menor'!$A$1:$B$15,2,FALSE),0)</f>
        <v>0</v>
      </c>
      <c r="P33" s="3">
        <v>0</v>
      </c>
      <c r="Q33" s="39">
        <f>IFERROR(VLOOKUP(P33,'Puntos XCO'!$A$1:$B$63,2,FALSE),0)</f>
        <v>0</v>
      </c>
      <c r="R33" s="16">
        <v>0</v>
      </c>
      <c r="S33" s="3">
        <f>IFERROR(VLOOKUP(R33,'Puntos XCC Menor'!$A$1:$B$15,2,FALSE),0)</f>
        <v>0</v>
      </c>
      <c r="T33" s="15">
        <v>0</v>
      </c>
      <c r="U33" s="39">
        <f>IFERROR(VLOOKUP(T33,'Puntos XCO'!$A$1:$B$63,2,FALSE),0)</f>
        <v>0</v>
      </c>
      <c r="V33" s="16">
        <f>IFERROR(VLOOKUP(C33,RESXCC_1,9,FALSE),0)</f>
        <v>21</v>
      </c>
      <c r="W33" s="15">
        <f>IFERROR(VLOOKUP(V33,'Puntos XCC Mayor'!$A$1:$B$15,2,FALSE),0)</f>
        <v>0</v>
      </c>
      <c r="X33" s="15">
        <f>IFERROR(VLOOKUP(C33,RESXCO,9,FALSE),0)</f>
        <v>23</v>
      </c>
      <c r="Y33" s="25">
        <f>IFERROR(VLOOKUP(X33,'Puntos XCO'!$A$1:$B$63,2,FALSE),0)</f>
        <v>52</v>
      </c>
      <c r="Z33" s="27">
        <f>G33+I33+K33+M33+O33+Q33+S33+U33+W33+Y33</f>
        <v>166</v>
      </c>
      <c r="AB33" s="3"/>
    </row>
    <row r="34" spans="1:28" ht="24.95" customHeight="1">
      <c r="A34" s="22">
        <v>20</v>
      </c>
      <c r="B34" s="22">
        <v>17</v>
      </c>
      <c r="C34" s="22">
        <v>520</v>
      </c>
      <c r="D34" s="23" t="str">
        <f>VLOOKUP(C34,PLANILLA,2,FALSE)</f>
        <v>MORERA Derrick</v>
      </c>
      <c r="E34" s="24" t="str">
        <f>VLOOKUP(C34,PLANILLA,4,FALSE)</f>
        <v>CCDR MATINA-CICLO SALAS BATAAN</v>
      </c>
      <c r="F34" s="3">
        <v>12</v>
      </c>
      <c r="G34" s="15">
        <v>0</v>
      </c>
      <c r="H34" s="3">
        <v>12</v>
      </c>
      <c r="I34" s="25">
        <v>74</v>
      </c>
      <c r="J34" s="33">
        <v>14</v>
      </c>
      <c r="K34" s="22">
        <v>0</v>
      </c>
      <c r="L34" s="22">
        <v>0</v>
      </c>
      <c r="M34" s="34">
        <v>0</v>
      </c>
      <c r="N34" s="26"/>
      <c r="O34" s="3">
        <f>IFERROR(VLOOKUP(N34,'Puntos XCC Menor'!$A$1:$B$15,2,FALSE),0)</f>
        <v>0</v>
      </c>
      <c r="P34" s="3">
        <v>9</v>
      </c>
      <c r="Q34" s="39">
        <f>IFERROR(VLOOKUP(P34,'Puntos XCO'!$A$1:$B$63,2,FALSE),0)</f>
        <v>80</v>
      </c>
      <c r="R34" s="16">
        <v>0</v>
      </c>
      <c r="S34" s="3">
        <f>IFERROR(VLOOKUP(R34,'Puntos XCC Menor'!$A$1:$B$15,2,FALSE),0)</f>
        <v>0</v>
      </c>
      <c r="T34" s="15">
        <v>0</v>
      </c>
      <c r="U34" s="39">
        <f>IFERROR(VLOOKUP(T34,'Puntos XCO'!$A$1:$B$63,2,FALSE),0)</f>
        <v>0</v>
      </c>
      <c r="V34" s="16">
        <f>IFERROR(VLOOKUP(C34,RESXCC_1,9,FALSE),0)</f>
        <v>0</v>
      </c>
      <c r="W34" s="15">
        <f>IFERROR(VLOOKUP(V34,'Puntos XCC Mayor'!$A$1:$B$15,2,FALSE),0)</f>
        <v>0</v>
      </c>
      <c r="X34" s="15">
        <f>IFERROR(VLOOKUP(C34,RESXCO,9,FALSE),0)</f>
        <v>0</v>
      </c>
      <c r="Y34" s="25">
        <f>IFERROR(VLOOKUP(X34,'Puntos XCO'!$A$1:$B$63,2,FALSE),0)</f>
        <v>0</v>
      </c>
      <c r="Z34" s="27">
        <f>G34+I34+K34+M34+O34+Q34+S34+U34+W34+Y34</f>
        <v>154</v>
      </c>
      <c r="AB34" s="3"/>
    </row>
    <row r="35" spans="1:28" ht="24.95" customHeight="1">
      <c r="A35" s="22">
        <v>21</v>
      </c>
      <c r="B35" s="22">
        <v>18</v>
      </c>
      <c r="C35" s="22">
        <v>530</v>
      </c>
      <c r="D35" s="23" t="str">
        <f>VLOOKUP(C35,PLANILLA,2,FALSE)</f>
        <v xml:space="preserve">GARRO Andrey </v>
      </c>
      <c r="E35" s="24" t="str">
        <f>VLOOKUP(C35,PLANILLA,4,FALSE)</f>
        <v>DISTRIBUIDORA CRUZ TECNOCFORES CCDR POCOCI</v>
      </c>
      <c r="F35" s="3"/>
      <c r="G35" s="15"/>
      <c r="H35" s="3"/>
      <c r="I35" s="25"/>
      <c r="J35" s="33">
        <v>9</v>
      </c>
      <c r="K35" s="22">
        <v>2</v>
      </c>
      <c r="L35" s="22">
        <v>11</v>
      </c>
      <c r="M35" s="34">
        <v>76</v>
      </c>
      <c r="N35" s="26"/>
      <c r="O35" s="3">
        <f>IFERROR(VLOOKUP(N35,'Puntos XCC Menor'!$A$1:$B$15,2,FALSE),0)</f>
        <v>0</v>
      </c>
      <c r="P35" s="3">
        <v>11</v>
      </c>
      <c r="Q35" s="39">
        <f>IFERROR(VLOOKUP(P35,'Puntos XCO'!$A$1:$B$63,2,FALSE),0)</f>
        <v>76</v>
      </c>
      <c r="R35" s="16">
        <v>0</v>
      </c>
      <c r="S35" s="3">
        <f>IFERROR(VLOOKUP(R35,'Puntos XCC Menor'!$A$1:$B$15,2,FALSE),0)</f>
        <v>0</v>
      </c>
      <c r="T35" s="15">
        <v>0</v>
      </c>
      <c r="U35" s="39">
        <f>IFERROR(VLOOKUP(T35,'Puntos XCO'!$A$1:$B$63,2,FALSE),0)</f>
        <v>0</v>
      </c>
      <c r="V35" s="16">
        <f>IFERROR(VLOOKUP(C35,RESXCC_1,9,FALSE),0)</f>
        <v>0</v>
      </c>
      <c r="W35" s="15">
        <f>IFERROR(VLOOKUP(V35,'Puntos XCC Mayor'!$A$1:$B$15,2,FALSE),0)</f>
        <v>0</v>
      </c>
      <c r="X35" s="15">
        <f>IFERROR(VLOOKUP(C35,RESXCO,9,FALSE),0)</f>
        <v>0</v>
      </c>
      <c r="Y35" s="25">
        <f>IFERROR(VLOOKUP(X35,'Puntos XCO'!$A$1:$B$63,2,FALSE),0)</f>
        <v>0</v>
      </c>
      <c r="Z35" s="27">
        <f>G35+I35+K35+M35+O35+Q35+S35+U35+W35+Y35</f>
        <v>154</v>
      </c>
      <c r="AB35" s="3"/>
    </row>
    <row r="36" spans="1:28" ht="24.95" customHeight="1">
      <c r="A36" s="22">
        <v>22</v>
      </c>
      <c r="B36" s="22">
        <v>19</v>
      </c>
      <c r="C36" s="22">
        <v>537</v>
      </c>
      <c r="D36" s="23" t="str">
        <f>VLOOKUP(C36,PLANILLA,2,FALSE)</f>
        <v xml:space="preserve">RODRIGUEZ  Damian </v>
      </c>
      <c r="E36" s="24" t="str">
        <f>VLOOKUP(C36,PLANILLA,4,FALSE)</f>
        <v>BETEL/MOANA/PIZZA EDUS/PRODUCTOS CECI.</v>
      </c>
      <c r="F36" s="3"/>
      <c r="G36" s="15"/>
      <c r="H36" s="3"/>
      <c r="I36" s="25"/>
      <c r="J36" s="33"/>
      <c r="K36" s="22"/>
      <c r="L36" s="22"/>
      <c r="M36" s="34"/>
      <c r="N36" s="26"/>
      <c r="O36" s="3"/>
      <c r="P36" s="3">
        <v>14</v>
      </c>
      <c r="Q36" s="39">
        <f>IFERROR(VLOOKUP(P36,'Puntos XCO'!$A$1:$B$63,2,FALSE),0)</f>
        <v>70</v>
      </c>
      <c r="R36" s="16">
        <v>12</v>
      </c>
      <c r="S36" s="3">
        <f>IFERROR(VLOOKUP(R36,'Puntos XCC Menor'!$A$1:$B$15,2,FALSE),0)</f>
        <v>0</v>
      </c>
      <c r="T36" s="15">
        <v>10</v>
      </c>
      <c r="U36" s="39">
        <f>IFERROR(VLOOKUP(T36,'Puntos XCO'!$A$1:$B$63,2,FALSE),0)</f>
        <v>78</v>
      </c>
      <c r="V36" s="16">
        <f>IFERROR(VLOOKUP(C36,RESXCC_1,9,FALSE),0)</f>
        <v>0</v>
      </c>
      <c r="W36" s="15">
        <f>IFERROR(VLOOKUP(V36,'Puntos XCC Mayor'!$A$1:$B$15,2,FALSE),0)</f>
        <v>0</v>
      </c>
      <c r="X36" s="15">
        <f>IFERROR(VLOOKUP(C36,RESXCO,9,FALSE),0)</f>
        <v>0</v>
      </c>
      <c r="Y36" s="25">
        <f>IFERROR(VLOOKUP(X36,'Puntos XCO'!$A$1:$B$63,2,FALSE),0)</f>
        <v>0</v>
      </c>
      <c r="Z36" s="27">
        <f>G36+I36+K36+M36+O36+Q36+S36+U36+W36+Y36</f>
        <v>148</v>
      </c>
      <c r="AB36" s="3"/>
    </row>
    <row r="37" spans="1:28" ht="24.95" customHeight="1">
      <c r="A37" s="22">
        <v>23</v>
      </c>
      <c r="B37" s="22">
        <v>29</v>
      </c>
      <c r="C37" s="22">
        <v>529</v>
      </c>
      <c r="D37" s="23" t="str">
        <f>VLOOKUP(C37,PLANILLA,2,FALSE)</f>
        <v xml:space="preserve">MOLINA  Bayron </v>
      </c>
      <c r="E37" s="24" t="str">
        <f>VLOOKUP(C37,PLANILLA,4,FALSE)</f>
        <v xml:space="preserve">EQUIPO DE CICLISMO CCDR SAN JOSÉ </v>
      </c>
      <c r="F37" s="3"/>
      <c r="G37" s="15"/>
      <c r="H37" s="3"/>
      <c r="I37" s="25"/>
      <c r="J37" s="33">
        <v>27</v>
      </c>
      <c r="K37" s="22">
        <v>0</v>
      </c>
      <c r="L37" s="22">
        <v>0</v>
      </c>
      <c r="M37" s="34">
        <v>0</v>
      </c>
      <c r="N37" s="26"/>
      <c r="O37" s="3">
        <f>IFERROR(VLOOKUP(N37,'Puntos XCC Menor'!$A$1:$B$15,2,FALSE),0)</f>
        <v>0</v>
      </c>
      <c r="P37" s="3">
        <v>15</v>
      </c>
      <c r="Q37" s="39">
        <f>IFERROR(VLOOKUP(P37,'Puntos XCO'!$A$1:$B$63,2,FALSE),0)</f>
        <v>68</v>
      </c>
      <c r="R37" s="16">
        <v>0</v>
      </c>
      <c r="S37" s="3">
        <f>IFERROR(VLOOKUP(R37,'Puntos XCC Menor'!$A$1:$B$15,2,FALSE),0)</f>
        <v>0</v>
      </c>
      <c r="T37" s="15">
        <v>0</v>
      </c>
      <c r="U37" s="39">
        <f>IFERROR(VLOOKUP(T37,'Puntos XCO'!$A$1:$B$63,2,FALSE),0)</f>
        <v>0</v>
      </c>
      <c r="V37" s="16">
        <f>IFERROR(VLOOKUP(C37,RESXCC_1,9,FALSE),0)</f>
        <v>10</v>
      </c>
      <c r="W37" s="15">
        <f>IFERROR(VLOOKUP(V37,'Puntos XCC Mayor'!$A$1:$B$15,2,FALSE),0)</f>
        <v>6</v>
      </c>
      <c r="X37" s="15">
        <f>IFERROR(VLOOKUP(C37,RESXCO,9,FALSE),0)</f>
        <v>13</v>
      </c>
      <c r="Y37" s="25">
        <f>IFERROR(VLOOKUP(X37,'Puntos XCO'!$A$1:$B$63,2,FALSE),0)</f>
        <v>72</v>
      </c>
      <c r="Z37" s="27">
        <f>G37+I37+K37+M37+O37+Q37+S37+U37+W37+Y37</f>
        <v>146</v>
      </c>
      <c r="AB37" s="3"/>
    </row>
    <row r="38" spans="1:28" ht="24.95" customHeight="1">
      <c r="A38" s="22">
        <v>24</v>
      </c>
      <c r="B38" s="22">
        <v>21</v>
      </c>
      <c r="C38" s="22">
        <v>522</v>
      </c>
      <c r="D38" s="23" t="str">
        <f>VLOOKUP(C38,PLANILLA,2,FALSE)</f>
        <v>FERNÁNDEZ  Heydan</v>
      </c>
      <c r="E38" s="24" t="str">
        <f>VLOOKUP(C38,PLANILLA,4,FALSE)</f>
        <v xml:space="preserve">CCDR CARTAGO </v>
      </c>
      <c r="F38" s="3">
        <v>14</v>
      </c>
      <c r="G38" s="15">
        <v>0</v>
      </c>
      <c r="H38" s="3">
        <v>16</v>
      </c>
      <c r="I38" s="25">
        <v>66</v>
      </c>
      <c r="J38" s="33">
        <v>11</v>
      </c>
      <c r="K38" s="22">
        <v>0</v>
      </c>
      <c r="L38" s="22">
        <v>14</v>
      </c>
      <c r="M38" s="34">
        <v>70</v>
      </c>
      <c r="N38" s="26"/>
      <c r="O38" s="3">
        <f>IFERROR(VLOOKUP(N38,'Puntos XCC Menor'!$A$1:$B$15,2,FALSE),0)</f>
        <v>0</v>
      </c>
      <c r="P38" s="3">
        <v>0</v>
      </c>
      <c r="Q38" s="39">
        <f>IFERROR(VLOOKUP(P38,'Puntos XCO'!$A$1:$B$63,2,FALSE),0)</f>
        <v>0</v>
      </c>
      <c r="R38" s="16">
        <v>0</v>
      </c>
      <c r="S38" s="3">
        <f>IFERROR(VLOOKUP(R38,'Puntos XCC Menor'!$A$1:$B$15,2,FALSE),0)</f>
        <v>0</v>
      </c>
      <c r="T38" s="15">
        <v>0</v>
      </c>
      <c r="U38" s="39">
        <f>IFERROR(VLOOKUP(T38,'Puntos XCO'!$A$1:$B$63,2,FALSE),0)</f>
        <v>0</v>
      </c>
      <c r="V38" s="16">
        <f>IFERROR(VLOOKUP(C38,RESXCC_1,9,FALSE),0)</f>
        <v>0</v>
      </c>
      <c r="W38" s="15">
        <f>IFERROR(VLOOKUP(V38,'Puntos XCC Mayor'!$A$1:$B$15,2,FALSE),0)</f>
        <v>0</v>
      </c>
      <c r="X38" s="15">
        <f>IFERROR(VLOOKUP(C38,RESXCO,9,FALSE),0)</f>
        <v>0</v>
      </c>
      <c r="Y38" s="25">
        <f>IFERROR(VLOOKUP(X38,'Puntos XCO'!$A$1:$B$63,2,FALSE),0)</f>
        <v>0</v>
      </c>
      <c r="Z38" s="27">
        <f>G38+I38+K38+M38+O38+Q38+S38+U38+W38+Y38</f>
        <v>136</v>
      </c>
      <c r="AB38" s="3"/>
    </row>
    <row r="39" spans="1:28" ht="24.95" customHeight="1">
      <c r="A39" s="22">
        <v>25</v>
      </c>
      <c r="B39" s="22">
        <v>27</v>
      </c>
      <c r="C39" s="107">
        <v>538</v>
      </c>
      <c r="D39" s="23" t="str">
        <f>VLOOKUP(C39,PLANILLA,2,FALSE)</f>
        <v>CASTRO Camil</v>
      </c>
      <c r="E39" s="24" t="str">
        <f>VLOOKUP(C39,PLANILLA,4,FALSE)</f>
        <v>CCDR MATINA CICLO SALAS BATAN</v>
      </c>
      <c r="F39" s="3"/>
      <c r="G39" s="15"/>
      <c r="H39" s="3"/>
      <c r="I39" s="25"/>
      <c r="J39" s="33"/>
      <c r="K39" s="22"/>
      <c r="L39" s="22"/>
      <c r="M39" s="34"/>
      <c r="N39" s="26"/>
      <c r="O39" s="3"/>
      <c r="P39" s="3"/>
      <c r="Q39" s="39"/>
      <c r="R39" s="16">
        <v>16</v>
      </c>
      <c r="S39" s="3">
        <f>IFERROR(VLOOKUP(R39,'Puntos XCC Menor'!$A$1:$B$15,2,FALSE),0)</f>
        <v>0</v>
      </c>
      <c r="T39" s="15">
        <v>13</v>
      </c>
      <c r="U39" s="39">
        <f>IFERROR(VLOOKUP(T39,'Puntos XCO'!$A$1:$B$63,2,FALSE),0)</f>
        <v>72</v>
      </c>
      <c r="V39" s="16">
        <f>IFERROR(VLOOKUP(C39,RESXCC_1,9,FALSE),0)</f>
        <v>0</v>
      </c>
      <c r="W39" s="15">
        <f>IFERROR(VLOOKUP(V39,'Puntos XCC Mayor'!$A$1:$B$15,2,FALSE),0)</f>
        <v>0</v>
      </c>
      <c r="X39" s="15">
        <f>IFERROR(VLOOKUP(C39,RESXCO,9,FALSE),0)</f>
        <v>20</v>
      </c>
      <c r="Y39" s="25">
        <f>IFERROR(VLOOKUP(X39,'Puntos XCO'!$A$1:$B$63,2,FALSE),0)</f>
        <v>58</v>
      </c>
      <c r="Z39" s="27">
        <f>G39+I39+K39+M39+O39+Q39+S39+U39+W39+Y39</f>
        <v>130</v>
      </c>
      <c r="AB39" s="3"/>
    </row>
    <row r="40" spans="1:28" ht="24.95" customHeight="1">
      <c r="A40" s="22">
        <v>26</v>
      </c>
      <c r="B40" s="22">
        <v>31</v>
      </c>
      <c r="C40" s="22">
        <v>531</v>
      </c>
      <c r="D40" s="23" t="str">
        <f>VLOOKUP(C40,PLANILLA,2,FALSE)</f>
        <v xml:space="preserve">SALAS Santiago </v>
      </c>
      <c r="E40" s="24" t="str">
        <f>VLOOKUP(C40,PLANILLA,4,FALSE)</f>
        <v>CCDR SAN JOSE</v>
      </c>
      <c r="F40" s="3"/>
      <c r="G40" s="15"/>
      <c r="H40" s="3"/>
      <c r="I40" s="25"/>
      <c r="J40" s="33">
        <v>25</v>
      </c>
      <c r="K40" s="22">
        <v>0</v>
      </c>
      <c r="L40" s="22">
        <v>21</v>
      </c>
      <c r="M40" s="34">
        <v>56</v>
      </c>
      <c r="N40" s="26"/>
      <c r="O40" s="3">
        <f>IFERROR(VLOOKUP(N40,'Puntos XCC Menor'!$A$1:$B$15,2,FALSE),0)</f>
        <v>0</v>
      </c>
      <c r="P40" s="3">
        <v>0</v>
      </c>
      <c r="Q40" s="39">
        <f>IFERROR(VLOOKUP(P40,'Puntos XCO'!$A$1:$B$63,2,FALSE),0)</f>
        <v>0</v>
      </c>
      <c r="R40" s="16">
        <v>0</v>
      </c>
      <c r="S40" s="3">
        <f>IFERROR(VLOOKUP(R40,'Puntos XCC Menor'!$A$1:$B$15,2,FALSE),0)</f>
        <v>0</v>
      </c>
      <c r="T40" s="15">
        <v>0</v>
      </c>
      <c r="U40" s="39">
        <f>IFERROR(VLOOKUP(T40,'Puntos XCO'!$A$1:$B$63,2,FALSE),0)</f>
        <v>0</v>
      </c>
      <c r="V40" s="16">
        <f>IFERROR(VLOOKUP(C40,RESXCC_1,9,FALSE),0)</f>
        <v>14</v>
      </c>
      <c r="W40" s="15">
        <f>IFERROR(VLOOKUP(V40,'Puntos XCC Mayor'!$A$1:$B$15,2,FALSE),0)</f>
        <v>2</v>
      </c>
      <c r="X40" s="15">
        <f>IFERROR(VLOOKUP(C40,RESXCO,9,FALSE),0)</f>
        <v>15</v>
      </c>
      <c r="Y40" s="25">
        <f>IFERROR(VLOOKUP(X40,'Puntos XCO'!$A$1:$B$63,2,FALSE),0)</f>
        <v>68</v>
      </c>
      <c r="Z40" s="27">
        <f>G40+I40+K40+M40+O40+Q40+S40+U40+W40+Y40</f>
        <v>126</v>
      </c>
      <c r="AB40" s="3"/>
    </row>
    <row r="41" spans="1:28" ht="24.95" customHeight="1">
      <c r="A41" s="22">
        <v>27</v>
      </c>
      <c r="B41" s="22">
        <v>24</v>
      </c>
      <c r="C41" s="22">
        <v>535</v>
      </c>
      <c r="D41" s="23" t="str">
        <f>VLOOKUP(C41,PLANILLA,2,FALSE)</f>
        <v>CARBALLO Abraham</v>
      </c>
      <c r="E41" s="24" t="str">
        <f>VLOOKUP(C41,PLANILLA,4,FALSE)</f>
        <v>BIKERS RACING TEAM</v>
      </c>
      <c r="F41" s="3"/>
      <c r="G41" s="15"/>
      <c r="H41" s="3"/>
      <c r="I41" s="25"/>
      <c r="J41" s="33"/>
      <c r="K41" s="22"/>
      <c r="L41" s="22"/>
      <c r="M41" s="34"/>
      <c r="N41" s="26"/>
      <c r="O41" s="3"/>
      <c r="P41" s="3">
        <v>4</v>
      </c>
      <c r="Q41" s="39">
        <f>IFERROR(VLOOKUP(P41,'Puntos XCO'!$A$1:$B$63,2,FALSE),0)</f>
        <v>110</v>
      </c>
      <c r="R41" s="16">
        <v>0</v>
      </c>
      <c r="S41" s="3">
        <f>IFERROR(VLOOKUP(R41,'Puntos XCC Menor'!$A$1:$B$15,2,FALSE),0)</f>
        <v>0</v>
      </c>
      <c r="T41" s="15">
        <v>0</v>
      </c>
      <c r="U41" s="39">
        <f>IFERROR(VLOOKUP(T41,'Puntos XCO'!$A$1:$B$63,2,FALSE),0)</f>
        <v>0</v>
      </c>
      <c r="V41" s="16">
        <f>IFERROR(VLOOKUP(C41,RESXCC_1,9,FALSE),0)</f>
        <v>0</v>
      </c>
      <c r="W41" s="15">
        <f>IFERROR(VLOOKUP(V41,'Puntos XCC Mayor'!$A$1:$B$15,2,FALSE),0)</f>
        <v>0</v>
      </c>
      <c r="X41" s="15">
        <f>IFERROR(VLOOKUP(C41,RESXCO,9,FALSE),0)</f>
        <v>0</v>
      </c>
      <c r="Y41" s="25">
        <f>IFERROR(VLOOKUP(X41,'Puntos XCO'!$A$1:$B$63,2,FALSE),0)</f>
        <v>0</v>
      </c>
      <c r="Z41" s="27">
        <f>G41+I41+K41+M41+O41+Q41+S41+U41+W41+Y41</f>
        <v>110</v>
      </c>
      <c r="AB41" s="3"/>
    </row>
    <row r="42" spans="1:28" ht="24.95" customHeight="1">
      <c r="A42" s="22">
        <v>28</v>
      </c>
      <c r="B42" s="22">
        <v>25</v>
      </c>
      <c r="C42" s="22">
        <v>517</v>
      </c>
      <c r="D42" s="23" t="str">
        <f>VLOOKUP(C42,PLANILLA,2,FALSE)</f>
        <v>ARAYA Alejandro*</v>
      </c>
      <c r="E42" s="24" t="str">
        <f>VLOOKUP(C42,PLANILLA,4,FALSE)</f>
        <v>CCDR DE NARANJO</v>
      </c>
      <c r="F42" s="3">
        <v>18</v>
      </c>
      <c r="G42" s="15">
        <v>0</v>
      </c>
      <c r="H42" s="3">
        <v>22</v>
      </c>
      <c r="I42" s="25">
        <v>54</v>
      </c>
      <c r="J42" s="33">
        <v>23</v>
      </c>
      <c r="K42" s="22">
        <v>0</v>
      </c>
      <c r="L42" s="22">
        <v>22</v>
      </c>
      <c r="M42" s="34">
        <v>54</v>
      </c>
      <c r="N42" s="26"/>
      <c r="O42" s="3">
        <f>IFERROR(VLOOKUP(N42,'Puntos XCC Menor'!$A$1:$B$15,2,FALSE),0)</f>
        <v>0</v>
      </c>
      <c r="P42" s="3">
        <v>0</v>
      </c>
      <c r="Q42" s="39">
        <f>IFERROR(VLOOKUP(P42,'Puntos XCO'!$A$1:$B$63,2,FALSE),0)</f>
        <v>0</v>
      </c>
      <c r="R42" s="16">
        <v>17</v>
      </c>
      <c r="S42" s="3">
        <f>IFERROR(VLOOKUP(R42,'Puntos XCC Menor'!$A$1:$B$15,2,FALSE),0)</f>
        <v>0</v>
      </c>
      <c r="T42" s="15">
        <v>0</v>
      </c>
      <c r="U42" s="39">
        <f>IFERROR(VLOOKUP(T42,'Puntos XCO'!$A$1:$B$63,2,FALSE),0)</f>
        <v>0</v>
      </c>
      <c r="V42" s="16">
        <f>IFERROR(VLOOKUP(C42,RESXCC_1,9,FALSE),0)</f>
        <v>0</v>
      </c>
      <c r="W42" s="15">
        <f>IFERROR(VLOOKUP(V42,'Puntos XCC Mayor'!$A$1:$B$15,2,FALSE),0)</f>
        <v>0</v>
      </c>
      <c r="X42" s="15">
        <f>IFERROR(VLOOKUP(C42,RESXCO,9,FALSE),0)</f>
        <v>0</v>
      </c>
      <c r="Y42" s="25">
        <f>IFERROR(VLOOKUP(X42,'Puntos XCO'!$A$1:$B$63,2,FALSE),0)</f>
        <v>0</v>
      </c>
      <c r="Z42" s="27">
        <f>G42+I42+K42+M42+O42+Q42+S42+U42+W42+Y42</f>
        <v>108</v>
      </c>
      <c r="AB42" s="3"/>
    </row>
    <row r="43" spans="1:28" ht="24.95" customHeight="1">
      <c r="A43" s="22">
        <v>29</v>
      </c>
      <c r="B43" s="22"/>
      <c r="C43" s="107">
        <v>539</v>
      </c>
      <c r="D43" s="23" t="str">
        <f>VLOOKUP(C43,PLANILLA,2,FALSE)</f>
        <v xml:space="preserve">SOLIS  Alvaro </v>
      </c>
      <c r="E43" s="24" t="str">
        <f>VLOOKUP(C43,PLANILLA,4,FALSE)</f>
        <v xml:space="preserve">INDEPENDIENTE </v>
      </c>
      <c r="F43" s="3"/>
      <c r="G43" s="15"/>
      <c r="H43" s="3"/>
      <c r="I43" s="25"/>
      <c r="J43" s="33"/>
      <c r="K43" s="22"/>
      <c r="L43" s="22"/>
      <c r="M43" s="34"/>
      <c r="N43" s="26"/>
      <c r="O43" s="3"/>
      <c r="P43" s="3"/>
      <c r="Q43" s="39"/>
      <c r="R43" s="16"/>
      <c r="S43" s="3"/>
      <c r="T43" s="15"/>
      <c r="U43" s="39"/>
      <c r="V43" s="16">
        <f>IFERROR(VLOOKUP(C43,RESXCC_1,9,FALSE),0)</f>
        <v>8</v>
      </c>
      <c r="W43" s="15">
        <f>IFERROR(VLOOKUP(V43,'Puntos XCC Mayor'!$A$1:$B$15,2,FALSE),0)</f>
        <v>8</v>
      </c>
      <c r="X43" s="15">
        <f>IFERROR(VLOOKUP(C43,RESXCO,9,FALSE),0)</f>
        <v>9</v>
      </c>
      <c r="Y43" s="25">
        <f>IFERROR(VLOOKUP(X43,'Puntos XCO'!$A$1:$B$63,2,FALSE),0)</f>
        <v>80</v>
      </c>
      <c r="Z43" s="27">
        <f>G43+I43+K43+M43+O43+Q43+S43+U43+W43+Y43</f>
        <v>88</v>
      </c>
      <c r="AB43" s="3"/>
    </row>
    <row r="44" spans="1:28" ht="24.95" customHeight="1">
      <c r="A44" s="22">
        <v>30</v>
      </c>
      <c r="B44" s="22">
        <v>26</v>
      </c>
      <c r="C44" s="22">
        <v>511</v>
      </c>
      <c r="D44" s="23" t="str">
        <f>VLOOKUP(C44,PLANILLA,2,FALSE)</f>
        <v xml:space="preserve">VASQUEZ  Yariel </v>
      </c>
      <c r="E44" s="24" t="str">
        <f>VLOOKUP(C44,PLANILLA,4,FALSE)</f>
        <v xml:space="preserve">CCDR PARAÍSO </v>
      </c>
      <c r="F44" s="3">
        <v>16</v>
      </c>
      <c r="G44" s="15">
        <v>0</v>
      </c>
      <c r="H44" s="3">
        <v>13</v>
      </c>
      <c r="I44" s="25">
        <v>72</v>
      </c>
      <c r="J44" s="33">
        <v>0</v>
      </c>
      <c r="K44" s="22">
        <v>0</v>
      </c>
      <c r="L44" s="22">
        <v>0</v>
      </c>
      <c r="M44" s="34">
        <v>0</v>
      </c>
      <c r="N44" s="26"/>
      <c r="O44" s="3">
        <f>IFERROR(VLOOKUP(N44,'Puntos XCC Menor'!$A$1:$B$15,2,FALSE),0)</f>
        <v>0</v>
      </c>
      <c r="P44" s="3">
        <v>0</v>
      </c>
      <c r="Q44" s="39">
        <f>IFERROR(VLOOKUP(P44,'Puntos XCO'!$A$1:$B$63,2,FALSE),0)</f>
        <v>0</v>
      </c>
      <c r="R44" s="16">
        <v>0</v>
      </c>
      <c r="S44" s="3">
        <f>IFERROR(VLOOKUP(R44,'Puntos XCC Menor'!$A$1:$B$15,2,FALSE),0)</f>
        <v>0</v>
      </c>
      <c r="T44" s="15">
        <v>0</v>
      </c>
      <c r="U44" s="39">
        <f>IFERROR(VLOOKUP(T44,'Puntos XCO'!$A$1:$B$63,2,FALSE),0)</f>
        <v>0</v>
      </c>
      <c r="V44" s="16">
        <f>IFERROR(VLOOKUP(C44,RESXCC_1,9,FALSE),0)</f>
        <v>0</v>
      </c>
      <c r="W44" s="15">
        <f>IFERROR(VLOOKUP(V44,'Puntos XCC Mayor'!$A$1:$B$15,2,FALSE),0)</f>
        <v>0</v>
      </c>
      <c r="X44" s="15">
        <f>IFERROR(VLOOKUP(C44,RESXCO,9,FALSE),0)</f>
        <v>0</v>
      </c>
      <c r="Y44" s="25">
        <f>IFERROR(VLOOKUP(X44,'Puntos XCO'!$A$1:$B$63,2,FALSE),0)</f>
        <v>0</v>
      </c>
      <c r="Z44" s="27">
        <f>G44+I44+K44+M44+O44+Q44+S44+U44+W44+Y44</f>
        <v>72</v>
      </c>
      <c r="AB44" s="3"/>
    </row>
    <row r="45" spans="1:28" ht="24.95" customHeight="1">
      <c r="A45" s="22">
        <v>31</v>
      </c>
      <c r="B45" s="22">
        <v>28</v>
      </c>
      <c r="C45" s="22">
        <v>527</v>
      </c>
      <c r="D45" s="23" t="str">
        <f>VLOOKUP(C45,PLANILLA,2,FALSE)</f>
        <v>QUIROZ  Leyser Noel *</v>
      </c>
      <c r="E45" s="24" t="str">
        <f>VLOOKUP(C45,PLANILLA,4,FALSE)</f>
        <v>ACIPAL CMS</v>
      </c>
      <c r="F45" s="3"/>
      <c r="G45" s="15"/>
      <c r="H45" s="3"/>
      <c r="I45" s="25"/>
      <c r="J45" s="33">
        <v>18</v>
      </c>
      <c r="K45" s="22">
        <v>0</v>
      </c>
      <c r="L45" s="22">
        <v>15</v>
      </c>
      <c r="M45" s="34">
        <v>68</v>
      </c>
      <c r="N45" s="26"/>
      <c r="O45" s="3">
        <f>IFERROR(VLOOKUP(N45,'Puntos XCC Menor'!$A$1:$B$15,2,FALSE),0)</f>
        <v>0</v>
      </c>
      <c r="P45" s="3">
        <v>0</v>
      </c>
      <c r="Q45" s="39">
        <f>IFERROR(VLOOKUP(P45,'Puntos XCO'!$A$1:$B$63,2,FALSE),0)</f>
        <v>0</v>
      </c>
      <c r="R45" s="16">
        <v>0</v>
      </c>
      <c r="S45" s="3">
        <f>IFERROR(VLOOKUP(R45,'Puntos XCC Menor'!$A$1:$B$15,2,FALSE),0)</f>
        <v>0</v>
      </c>
      <c r="T45" s="15">
        <v>0</v>
      </c>
      <c r="U45" s="39">
        <f>IFERROR(VLOOKUP(T45,'Puntos XCO'!$A$1:$B$63,2,FALSE),0)</f>
        <v>0</v>
      </c>
      <c r="V45" s="16">
        <f>IFERROR(VLOOKUP(C45,RESXCC_1,9,FALSE),0)</f>
        <v>0</v>
      </c>
      <c r="W45" s="15">
        <f>IFERROR(VLOOKUP(V45,'Puntos XCC Mayor'!$A$1:$B$15,2,FALSE),0)</f>
        <v>0</v>
      </c>
      <c r="X45" s="15">
        <f>IFERROR(VLOOKUP(C45,RESXCO,9,FALSE),0)</f>
        <v>0</v>
      </c>
      <c r="Y45" s="25">
        <f>IFERROR(VLOOKUP(X45,'Puntos XCO'!$A$1:$B$63,2,FALSE),0)</f>
        <v>0</v>
      </c>
      <c r="Z45" s="27">
        <f>G45+I45+K45+M45+O45+Q45+S45+U45+W45+Y45</f>
        <v>68</v>
      </c>
      <c r="AB45" s="3"/>
    </row>
    <row r="46" spans="1:28" ht="24.95" customHeight="1">
      <c r="A46" s="22">
        <v>32</v>
      </c>
      <c r="B46" s="22">
        <v>30</v>
      </c>
      <c r="C46" s="22">
        <v>519</v>
      </c>
      <c r="D46" s="23" t="str">
        <f>VLOOKUP(C46,PLANILLA,2,FALSE)</f>
        <v>RUIZ Randy</v>
      </c>
      <c r="E46" s="24" t="str">
        <f>VLOOKUP(C46,PLANILLA,4,FALSE)</f>
        <v xml:space="preserve">CCDR SANTA CRUZ / FISH BIKE TOURS TAMARINDO </v>
      </c>
      <c r="F46" s="3">
        <v>0</v>
      </c>
      <c r="G46" s="15">
        <v>0</v>
      </c>
      <c r="H46" s="3">
        <v>19</v>
      </c>
      <c r="I46" s="25">
        <v>60</v>
      </c>
      <c r="J46" s="33">
        <v>0</v>
      </c>
      <c r="K46" s="22">
        <v>0</v>
      </c>
      <c r="L46" s="22">
        <v>0</v>
      </c>
      <c r="M46" s="34">
        <v>0</v>
      </c>
      <c r="N46" s="26"/>
      <c r="O46" s="3">
        <f>IFERROR(VLOOKUP(N46,'Puntos XCC Menor'!$A$1:$B$15,2,FALSE),0)</f>
        <v>0</v>
      </c>
      <c r="P46" s="3">
        <v>0</v>
      </c>
      <c r="Q46" s="39">
        <f>IFERROR(VLOOKUP(P46,'Puntos XCO'!$A$1:$B$63,2,FALSE),0)</f>
        <v>0</v>
      </c>
      <c r="R46" s="16">
        <v>0</v>
      </c>
      <c r="S46" s="3">
        <f>IFERROR(VLOOKUP(R46,'Puntos XCC Menor'!$A$1:$B$15,2,FALSE),0)</f>
        <v>0</v>
      </c>
      <c r="T46" s="15">
        <v>0</v>
      </c>
      <c r="U46" s="39">
        <f>IFERROR(VLOOKUP(T46,'Puntos XCO'!$A$1:$B$63,2,FALSE),0)</f>
        <v>0</v>
      </c>
      <c r="V46" s="16">
        <f>IFERROR(VLOOKUP(C46,RESXCC_1,9,FALSE),0)</f>
        <v>0</v>
      </c>
      <c r="W46" s="15">
        <f>IFERROR(VLOOKUP(V46,'Puntos XCC Mayor'!$A$1:$B$15,2,FALSE),0)</f>
        <v>0</v>
      </c>
      <c r="X46" s="15">
        <f>IFERROR(VLOOKUP(C46,RESXCO,9,FALSE),0)</f>
        <v>0</v>
      </c>
      <c r="Y46" s="25">
        <f>IFERROR(VLOOKUP(X46,'Puntos XCO'!$A$1:$B$63,2,FALSE),0)</f>
        <v>0</v>
      </c>
      <c r="Z46" s="27">
        <f>G46+I46+K46+M46+O46+Q46+S46+U46+W46+Y46</f>
        <v>60</v>
      </c>
      <c r="AB46" s="3"/>
    </row>
    <row r="47" spans="1:28" ht="24.95" customHeight="1">
      <c r="A47" s="22">
        <v>33</v>
      </c>
      <c r="B47" s="22"/>
      <c r="C47" s="107">
        <v>540</v>
      </c>
      <c r="D47" s="23" t="str">
        <f>VLOOKUP(C47,PLANILLA,2,FALSE)</f>
        <v>RUBI Ian*</v>
      </c>
      <c r="E47" s="24" t="str">
        <f>VLOOKUP(C47,PLANILLA,4,FALSE)</f>
        <v>CODEA</v>
      </c>
      <c r="F47" s="3"/>
      <c r="G47" s="15"/>
      <c r="H47" s="3"/>
      <c r="I47" s="25"/>
      <c r="J47" s="33"/>
      <c r="K47" s="22"/>
      <c r="L47" s="22"/>
      <c r="M47" s="34"/>
      <c r="N47" s="26"/>
      <c r="O47" s="3"/>
      <c r="P47" s="3"/>
      <c r="Q47" s="39"/>
      <c r="R47" s="16"/>
      <c r="S47" s="3"/>
      <c r="T47" s="15"/>
      <c r="U47" s="39"/>
      <c r="V47" s="16">
        <f>IFERROR(VLOOKUP(C47,RESXCC_1,9,FALSE),0)</f>
        <v>19</v>
      </c>
      <c r="W47" s="15">
        <f>IFERROR(VLOOKUP(V47,'Puntos XCC Mayor'!$A$1:$B$15,2,FALSE),0)</f>
        <v>0</v>
      </c>
      <c r="X47" s="15">
        <f>IFERROR(VLOOKUP(C47,RESXCO,9,FALSE),0)</f>
        <v>19</v>
      </c>
      <c r="Y47" s="25">
        <f>IFERROR(VLOOKUP(X47,'Puntos XCO'!$A$1:$B$63,2,FALSE),0)</f>
        <v>60</v>
      </c>
      <c r="Z47" s="27">
        <f>G47+I47+K47+M47+O47+Q47+S47+U47+W47+Y47</f>
        <v>60</v>
      </c>
      <c r="AB47" s="3"/>
    </row>
    <row r="48" spans="1:28" ht="24.95" customHeight="1">
      <c r="A48" s="22">
        <v>34</v>
      </c>
      <c r="B48" s="22">
        <v>32</v>
      </c>
      <c r="C48" s="22">
        <v>528</v>
      </c>
      <c r="D48" s="23" t="str">
        <f>VLOOKUP(C48,PLANILLA,2,FALSE)</f>
        <v>CALDERON  Jaden</v>
      </c>
      <c r="E48" s="24" t="str">
        <f>VLOOKUP(C48,PLANILLA,4,FALSE)</f>
        <v xml:space="preserve">CCDR SAN JOSÉ </v>
      </c>
      <c r="F48" s="3"/>
      <c r="G48" s="15"/>
      <c r="H48" s="3"/>
      <c r="I48" s="63"/>
      <c r="J48" s="33">
        <v>26</v>
      </c>
      <c r="K48" s="22">
        <v>0</v>
      </c>
      <c r="L48" s="22">
        <v>24</v>
      </c>
      <c r="M48" s="106">
        <v>50</v>
      </c>
      <c r="N48" s="26"/>
      <c r="O48" s="3">
        <f>IFERROR(VLOOKUP(N48,'Puntos XCC Menor'!$A$1:$B$15,2,FALSE),0)</f>
        <v>0</v>
      </c>
      <c r="P48" s="3">
        <v>0</v>
      </c>
      <c r="Q48" s="39">
        <f>IFERROR(VLOOKUP(P48,'Puntos XCO'!$A$1:$B$63,2,FALSE),0)</f>
        <v>0</v>
      </c>
      <c r="R48" s="16">
        <v>0</v>
      </c>
      <c r="S48" s="3">
        <f>IFERROR(VLOOKUP(R48,'Puntos XCC Menor'!$A$1:$B$15,2,FALSE),0)</f>
        <v>0</v>
      </c>
      <c r="T48" s="15">
        <v>0</v>
      </c>
      <c r="U48" s="39">
        <f>IFERROR(VLOOKUP(T48,'Puntos XCO'!$A$1:$B$63,2,FALSE),0)</f>
        <v>0</v>
      </c>
      <c r="V48" s="16">
        <f>IFERROR(VLOOKUP(C48,RESXCC_1,9,FALSE),0)</f>
        <v>0</v>
      </c>
      <c r="W48" s="15">
        <f>IFERROR(VLOOKUP(V48,'Puntos XCC Mayor'!$A$1:$B$15,2,FALSE),0)</f>
        <v>0</v>
      </c>
      <c r="X48" s="15">
        <f>IFERROR(VLOOKUP(C48,RESXCO,9,FALSE),0)</f>
        <v>0</v>
      </c>
      <c r="Y48" s="25">
        <f>IFERROR(VLOOKUP(X48,'Puntos XCO'!$A$1:$B$63,2,FALSE),0)</f>
        <v>0</v>
      </c>
      <c r="Z48" s="27">
        <f>G48+I48+K48+M48+O48+Q48+S48+U48+W48+Y48</f>
        <v>50</v>
      </c>
      <c r="AB48" s="3"/>
    </row>
    <row r="49" spans="1:28" ht="24.95" customHeight="1">
      <c r="A49" s="22">
        <v>35</v>
      </c>
      <c r="B49" s="22"/>
      <c r="C49" s="107">
        <v>542</v>
      </c>
      <c r="D49" s="23" t="str">
        <f>VLOOKUP(C49,PLANILLA,2,FALSE)</f>
        <v>SEGURA  Francisco Javier</v>
      </c>
      <c r="E49" s="24" t="str">
        <f>VLOOKUP(C49,PLANILLA,4,FALSE)</f>
        <v xml:space="preserve">COMITÉ DE DEPORTES DE ACOSTA </v>
      </c>
      <c r="F49" s="3"/>
      <c r="G49" s="15"/>
      <c r="H49" s="3"/>
      <c r="I49" s="63"/>
      <c r="J49" s="33"/>
      <c r="K49" s="22"/>
      <c r="L49" s="22"/>
      <c r="M49" s="106"/>
      <c r="N49" s="26"/>
      <c r="O49" s="3"/>
      <c r="P49" s="3"/>
      <c r="Q49" s="39"/>
      <c r="R49" s="16"/>
      <c r="S49" s="3"/>
      <c r="T49" s="15"/>
      <c r="U49" s="39"/>
      <c r="V49" s="16">
        <f>IFERROR(VLOOKUP(C49,RESXCC_1,9,FALSE),0)</f>
        <v>0</v>
      </c>
      <c r="W49" s="15">
        <f>IFERROR(VLOOKUP(V49,'Puntos XCC Mayor'!$A$1:$B$15,2,FALSE),0)</f>
        <v>0</v>
      </c>
      <c r="X49" s="15">
        <f>IFERROR(VLOOKUP(C49,RESXCO,9,FALSE),0)</f>
        <v>24</v>
      </c>
      <c r="Y49" s="25">
        <f>IFERROR(VLOOKUP(X49,'Puntos XCO'!$A$1:$B$63,2,FALSE),0)</f>
        <v>50</v>
      </c>
      <c r="Z49" s="27">
        <f>G49+I49+K49+M49+O49+Q49+S49+U49+W49+Y49</f>
        <v>50</v>
      </c>
      <c r="AB49" s="3"/>
    </row>
    <row r="50" spans="1:28" ht="24.95" customHeight="1">
      <c r="A50" s="22">
        <v>36</v>
      </c>
      <c r="B50" s="22">
        <v>33</v>
      </c>
      <c r="C50" s="22">
        <v>526</v>
      </c>
      <c r="D50" s="23" t="str">
        <f>VLOOKUP(C50,PLANILLA,2,FALSE)</f>
        <v xml:space="preserve">QUIRÓS  Alejandro Martín </v>
      </c>
      <c r="E50" s="24" t="str">
        <f>VLOOKUP(C50,PLANILLA,4,FALSE)</f>
        <v>HERRERAZ´Z TEAM - ANIMO PARQ</v>
      </c>
      <c r="F50" s="3"/>
      <c r="G50" s="15"/>
      <c r="H50" s="3"/>
      <c r="I50" s="63"/>
      <c r="J50" s="33">
        <v>16</v>
      </c>
      <c r="K50" s="22">
        <v>0</v>
      </c>
      <c r="L50" s="22">
        <v>25</v>
      </c>
      <c r="M50" s="106">
        <v>48</v>
      </c>
      <c r="N50" s="26"/>
      <c r="O50" s="3">
        <f>IFERROR(VLOOKUP(N50,'Puntos XCC Menor'!$A$1:$B$15,2,FALSE),0)</f>
        <v>0</v>
      </c>
      <c r="P50" s="3">
        <v>0</v>
      </c>
      <c r="Q50" s="39">
        <f>IFERROR(VLOOKUP(P50,'Puntos XCO'!$A$1:$B$63,2,FALSE),0)</f>
        <v>0</v>
      </c>
      <c r="R50" s="16">
        <v>0</v>
      </c>
      <c r="S50" s="3">
        <f>IFERROR(VLOOKUP(R50,'Puntos XCC Menor'!$A$1:$B$15,2,FALSE),0)</f>
        <v>0</v>
      </c>
      <c r="T50" s="15">
        <v>0</v>
      </c>
      <c r="U50" s="39">
        <f>IFERROR(VLOOKUP(T50,'Puntos XCO'!$A$1:$B$63,2,FALSE),0)</f>
        <v>0</v>
      </c>
      <c r="V50" s="16">
        <f>IFERROR(VLOOKUP(C50,RESXCC_1,9,FALSE),0)</f>
        <v>0</v>
      </c>
      <c r="W50" s="15">
        <f>IFERROR(VLOOKUP(V50,'Puntos XCC Mayor'!$A$1:$B$15,2,FALSE),0)</f>
        <v>0</v>
      </c>
      <c r="X50" s="15">
        <f>IFERROR(VLOOKUP(C50,RESXCO,9,FALSE),0)</f>
        <v>0</v>
      </c>
      <c r="Y50" s="25">
        <f>IFERROR(VLOOKUP(X50,'Puntos XCO'!$A$1:$B$63,2,FALSE),0)</f>
        <v>0</v>
      </c>
      <c r="Z50" s="27">
        <f>G50+I50+K50+M50+O50+Q50+S50+U50+W50+Y50</f>
        <v>48</v>
      </c>
      <c r="AB50" s="3"/>
    </row>
    <row r="51" spans="1:28" ht="24.95" customHeight="1">
      <c r="A51" s="22">
        <v>37</v>
      </c>
      <c r="B51" s="22"/>
      <c r="C51" s="107">
        <v>541</v>
      </c>
      <c r="D51" s="23" t="str">
        <f>VLOOKUP(C51,PLANILLA,2,FALSE)</f>
        <v>HERNÁNDEZ  Axel Steve*</v>
      </c>
      <c r="E51" s="24" t="str">
        <f>VLOOKUP(C51,PLANILLA,4,FALSE)</f>
        <v>COMITÉ DE DEPORTES ACOSTA</v>
      </c>
      <c r="F51" s="3"/>
      <c r="G51" s="15"/>
      <c r="H51" s="3"/>
      <c r="I51" s="63"/>
      <c r="J51" s="33"/>
      <c r="K51" s="22"/>
      <c r="L51" s="22"/>
      <c r="M51" s="106"/>
      <c r="N51" s="26"/>
      <c r="O51" s="3"/>
      <c r="P51" s="3"/>
      <c r="Q51" s="39"/>
      <c r="R51" s="16"/>
      <c r="S51" s="3"/>
      <c r="T51" s="15"/>
      <c r="U51" s="39"/>
      <c r="V51" s="16">
        <f>IFERROR(VLOOKUP(C51,RESXCC_1,9,FALSE),0)</f>
        <v>0</v>
      </c>
      <c r="W51" s="15">
        <f>IFERROR(VLOOKUP(V51,'Puntos XCC Mayor'!$A$1:$B$15,2,FALSE),0)</f>
        <v>0</v>
      </c>
      <c r="X51" s="15">
        <f>IFERROR(VLOOKUP(C51,RESXCO,9,FALSE),0)</f>
        <v>25</v>
      </c>
      <c r="Y51" s="25">
        <f>IFERROR(VLOOKUP(X51,'Puntos XCO'!$A$1:$B$63,2,FALSE),0)</f>
        <v>48</v>
      </c>
      <c r="Z51" s="27">
        <f>G51+I51+K51+M51+O51+Q51+S51+U51+W51+Y51</f>
        <v>48</v>
      </c>
      <c r="AB51" s="3"/>
    </row>
    <row r="52" spans="1:28" ht="24.95" customHeight="1">
      <c r="A52" s="22">
        <v>38</v>
      </c>
      <c r="B52" s="22">
        <v>34</v>
      </c>
      <c r="C52" s="22">
        <v>532</v>
      </c>
      <c r="D52" s="23" t="str">
        <f>VLOOKUP(C52,PLANILLA,2,FALSE)</f>
        <v>QUESADA Juan Diego*</v>
      </c>
      <c r="E52" s="24" t="str">
        <f>VLOOKUP(C52,PLANILLA,4,FALSE)</f>
        <v>POWER KIDS</v>
      </c>
      <c r="F52" s="3"/>
      <c r="G52" s="15"/>
      <c r="H52" s="3"/>
      <c r="I52" s="63"/>
      <c r="J52" s="33">
        <v>0</v>
      </c>
      <c r="K52" s="22">
        <v>0</v>
      </c>
      <c r="L52" s="22">
        <v>26</v>
      </c>
      <c r="M52" s="106">
        <v>46</v>
      </c>
      <c r="N52" s="26"/>
      <c r="O52" s="3">
        <f>IFERROR(VLOOKUP(N52,'Puntos XCC Menor'!$A$1:$B$15,2,FALSE),0)</f>
        <v>0</v>
      </c>
      <c r="P52" s="3">
        <v>0</v>
      </c>
      <c r="Q52" s="39">
        <f>IFERROR(VLOOKUP(P52,'Puntos XCO'!$A$1:$B$63,2,FALSE),0)</f>
        <v>0</v>
      </c>
      <c r="R52" s="16">
        <v>18</v>
      </c>
      <c r="S52" s="3">
        <f>IFERROR(VLOOKUP(R52,'Puntos XCC Menor'!$A$1:$B$15,2,FALSE),0)</f>
        <v>0</v>
      </c>
      <c r="T52" s="15">
        <v>0</v>
      </c>
      <c r="U52" s="39">
        <f>IFERROR(VLOOKUP(T52,'Puntos XCO'!$A$1:$B$63,2,FALSE),0)</f>
        <v>0</v>
      </c>
      <c r="V52" s="16">
        <f>IFERROR(VLOOKUP(C52,RESXCC_1,9,FALSE),0)</f>
        <v>0</v>
      </c>
      <c r="W52" s="15">
        <f>IFERROR(VLOOKUP(V52,'Puntos XCC Mayor'!$A$1:$B$15,2,FALSE),0)</f>
        <v>0</v>
      </c>
      <c r="X52" s="15">
        <f>IFERROR(VLOOKUP(C52,RESXCO,9,FALSE),0)</f>
        <v>0</v>
      </c>
      <c r="Y52" s="25">
        <f>IFERROR(VLOOKUP(X52,'Puntos XCO'!$A$1:$B$63,2,FALSE),0)</f>
        <v>0</v>
      </c>
      <c r="Z52" s="27">
        <f>G52+I52+K52+M52+O52+Q52+S52+U52+W52+Y52</f>
        <v>46</v>
      </c>
      <c r="AB52" s="3"/>
    </row>
    <row r="53" spans="1:28" ht="24.95" customHeight="1">
      <c r="A53" s="22"/>
      <c r="B53" s="22"/>
      <c r="C53" s="22">
        <v>525</v>
      </c>
      <c r="D53" s="23" t="str">
        <f>VLOOKUP(C53,PLANILLA,2,FALSE)</f>
        <v>FERNÁNDEZ  Owen Mathias *</v>
      </c>
      <c r="E53" s="24" t="str">
        <f>VLOOKUP(C53,PLANILLA,4,FALSE)</f>
        <v>VELOZ CYCLING</v>
      </c>
      <c r="F53" s="3"/>
      <c r="G53" s="15"/>
      <c r="H53" s="3"/>
      <c r="I53" s="63"/>
      <c r="J53" s="33">
        <v>24</v>
      </c>
      <c r="K53" s="22">
        <v>0</v>
      </c>
      <c r="L53" s="22">
        <v>0</v>
      </c>
      <c r="M53" s="106">
        <v>0</v>
      </c>
      <c r="N53" s="26"/>
      <c r="O53" s="3">
        <f>IFERROR(VLOOKUP(N53,'Puntos XCC Menor'!$A$1:$B$15,2,FALSE),0)</f>
        <v>0</v>
      </c>
      <c r="P53" s="3">
        <v>0</v>
      </c>
      <c r="Q53" s="39">
        <f>IFERROR(VLOOKUP(P53,'Puntos XCO'!$A$1:$B$63,2,FALSE),0)</f>
        <v>0</v>
      </c>
      <c r="R53" s="16">
        <v>0</v>
      </c>
      <c r="S53" s="3">
        <f>IFERROR(VLOOKUP(R53,'Puntos XCC Menor'!$A$1:$B$15,2,FALSE),0)</f>
        <v>0</v>
      </c>
      <c r="T53" s="15">
        <v>0</v>
      </c>
      <c r="U53" s="39">
        <f>IFERROR(VLOOKUP(T53,'Puntos XCO'!$A$1:$B$63,2,FALSE),0)</f>
        <v>0</v>
      </c>
      <c r="V53" s="16">
        <f>IFERROR(VLOOKUP(C53,RESXCC_1,9,FALSE),0)</f>
        <v>0</v>
      </c>
      <c r="W53" s="15">
        <f>IFERROR(VLOOKUP(V53,'Puntos XCC Mayor'!$A$1:$B$15,2,FALSE),0)</f>
        <v>0</v>
      </c>
      <c r="X53" s="15">
        <f>IFERROR(VLOOKUP(C53,RESXCO,9,FALSE),0)</f>
        <v>0</v>
      </c>
      <c r="Y53" s="25">
        <f>IFERROR(VLOOKUP(X53,'Puntos XCO'!$A$1:$B$63,2,FALSE),0)</f>
        <v>0</v>
      </c>
      <c r="Z53" s="27">
        <f>G53+I53+K53+M53+O53+Q53+S53+U53+W53+Y53</f>
        <v>0</v>
      </c>
      <c r="AB53" s="3"/>
    </row>
    <row r="54" spans="1:28" ht="24.95" customHeight="1">
      <c r="A54" s="22"/>
      <c r="B54" s="22"/>
      <c r="C54" s="22">
        <v>533</v>
      </c>
      <c r="D54" s="23" t="str">
        <f>VLOOKUP(C54,PLANILLA,2,FALSE)</f>
        <v>CARMONA Ian Josue</v>
      </c>
      <c r="E54" s="24" t="str">
        <f>VLOOKUP(C54,PLANILLA,4,FALSE)</f>
        <v>CCDR SAN JOSE</v>
      </c>
      <c r="F54" s="3"/>
      <c r="G54" s="15"/>
      <c r="H54" s="3"/>
      <c r="I54" s="63"/>
      <c r="J54" s="33">
        <v>28</v>
      </c>
      <c r="K54" s="22">
        <v>0</v>
      </c>
      <c r="L54" s="22">
        <v>0</v>
      </c>
      <c r="M54" s="106">
        <v>0</v>
      </c>
      <c r="N54" s="26"/>
      <c r="O54" s="3">
        <f>IFERROR(VLOOKUP(N54,'Puntos XCC Menor'!$A$1:$B$15,2,FALSE),0)</f>
        <v>0</v>
      </c>
      <c r="P54" s="3">
        <v>0</v>
      </c>
      <c r="Q54" s="39">
        <f>IFERROR(VLOOKUP(P54,'Puntos XCO'!$A$1:$B$63,2,FALSE),0)</f>
        <v>0</v>
      </c>
      <c r="R54" s="16">
        <v>0</v>
      </c>
      <c r="S54" s="3">
        <f>IFERROR(VLOOKUP(R54,'Puntos XCC Menor'!$A$1:$B$15,2,FALSE),0)</f>
        <v>0</v>
      </c>
      <c r="T54" s="15">
        <v>0</v>
      </c>
      <c r="U54" s="39">
        <f>IFERROR(VLOOKUP(T54,'Puntos XCO'!$A$1:$B$63,2,FALSE),0)</f>
        <v>0</v>
      </c>
      <c r="V54" s="16">
        <f>IFERROR(VLOOKUP(C54,RESXCC_1,9,FALSE),0)</f>
        <v>0</v>
      </c>
      <c r="W54" s="15">
        <f>IFERROR(VLOOKUP(V54,'Puntos XCC Mayor'!$A$1:$B$15,2,FALSE),0)</f>
        <v>0</v>
      </c>
      <c r="X54" s="15">
        <f>IFERROR(VLOOKUP(C54,RESXCO,9,FALSE),0)</f>
        <v>0</v>
      </c>
      <c r="Y54" s="25">
        <f>IFERROR(VLOOKUP(X54,'Puntos XCO'!$A$1:$B$63,2,FALSE),0)</f>
        <v>0</v>
      </c>
      <c r="Z54" s="27">
        <f>G54+I54+K54+M54+O54+Q54+S54+U54+W54+Y54</f>
        <v>0</v>
      </c>
      <c r="AB54" s="3"/>
    </row>
    <row r="55" spans="1:28" ht="24.95" customHeight="1">
      <c r="A55" s="22"/>
      <c r="B55" s="22"/>
      <c r="C55" s="22">
        <v>536</v>
      </c>
      <c r="D55" s="23" t="str">
        <f>VLOOKUP(C55,PLANILLA,2,FALSE)</f>
        <v>ROJAS Pedro</v>
      </c>
      <c r="E55" s="24" t="str">
        <f>VLOOKUP(C55,PLANILLA,4,FALSE)</f>
        <v xml:space="preserve">CODEA </v>
      </c>
      <c r="F55" s="3"/>
      <c r="G55" s="15"/>
      <c r="H55" s="3"/>
      <c r="I55" s="63"/>
      <c r="J55" s="33"/>
      <c r="K55" s="22"/>
      <c r="L55" s="22"/>
      <c r="M55" s="106"/>
      <c r="N55" s="26"/>
      <c r="O55" s="3"/>
      <c r="P55" s="3">
        <v>0</v>
      </c>
      <c r="Q55" s="39">
        <f>IFERROR(VLOOKUP(P55,'Puntos XCO'!$A$1:$B$63,2,FALSE),0)</f>
        <v>0</v>
      </c>
      <c r="R55" s="16">
        <v>15</v>
      </c>
      <c r="S55" s="3">
        <f>IFERROR(VLOOKUP(R55,'Puntos XCC Menor'!$A$1:$B$15,2,FALSE),0)</f>
        <v>0</v>
      </c>
      <c r="T55" s="15">
        <v>0</v>
      </c>
      <c r="U55" s="39">
        <f>IFERROR(VLOOKUP(T55,'Puntos XCO'!$A$1:$B$63,2,FALSE),0)</f>
        <v>0</v>
      </c>
      <c r="V55" s="16">
        <f>IFERROR(VLOOKUP(C55,RESXCC_1,9,FALSE),0)</f>
        <v>0</v>
      </c>
      <c r="W55" s="15">
        <f>IFERROR(VLOOKUP(V55,'Puntos XCC Mayor'!$A$1:$B$15,2,FALSE),0)</f>
        <v>0</v>
      </c>
      <c r="X55" s="15">
        <f>IFERROR(VLOOKUP(C55,RESXCO,9,FALSE),0)</f>
        <v>0</v>
      </c>
      <c r="Y55" s="25">
        <f>IFERROR(VLOOKUP(X55,'Puntos XCO'!$A$1:$B$63,2,FALSE),0)</f>
        <v>0</v>
      </c>
      <c r="Z55" s="27">
        <f>G55+I55+K55+M55+O55+Q55+S55+U55+W55+Y55</f>
        <v>0</v>
      </c>
      <c r="AB55" s="3"/>
    </row>
    <row r="56" spans="1:28" ht="24.95" customHeight="1">
      <c r="A56" s="22"/>
      <c r="B56" s="22"/>
      <c r="C56" s="22"/>
      <c r="D56" s="23"/>
      <c r="E56" s="62"/>
      <c r="F56" s="3"/>
      <c r="G56" s="15"/>
      <c r="H56" s="3"/>
      <c r="I56" s="63"/>
      <c r="J56" s="106"/>
      <c r="K56" s="22"/>
      <c r="L56" s="22"/>
      <c r="M56" s="106"/>
      <c r="N56" s="64"/>
      <c r="O56" s="3"/>
      <c r="P56" s="3"/>
      <c r="Q56" s="64"/>
      <c r="R56" s="112"/>
      <c r="S56" s="30"/>
      <c r="T56" s="3"/>
      <c r="U56" s="64"/>
      <c r="V56" s="63"/>
      <c r="W56" s="15"/>
      <c r="X56" s="15"/>
      <c r="Y56" s="63"/>
      <c r="Z56" s="27"/>
      <c r="AB56" s="3"/>
    </row>
    <row r="57" spans="1:28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74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spans="1:28">
      <c r="M58" s="9"/>
      <c r="N58" s="9"/>
      <c r="O58" s="9"/>
      <c r="P58" s="10"/>
      <c r="Q58" s="9"/>
      <c r="R58" s="9"/>
      <c r="S58" s="9"/>
      <c r="T58" s="9"/>
      <c r="U58" s="9"/>
    </row>
    <row r="59" spans="1:28" ht="84.75" customHeight="1"/>
    <row r="60" spans="1:28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74"/>
      <c r="Q60" s="65"/>
      <c r="R60" s="65"/>
      <c r="S60" s="65"/>
      <c r="T60" s="65"/>
      <c r="U60" s="65"/>
      <c r="V60" s="65"/>
      <c r="W60" s="65"/>
      <c r="X60" s="65"/>
      <c r="Y60" s="65"/>
      <c r="Z60" s="65"/>
    </row>
  </sheetData>
  <sortState ref="B15:Z55">
    <sortCondition descending="1" ref="Z15:Z55"/>
    <sortCondition ref="P15:P55"/>
  </sortState>
  <mergeCells count="10">
    <mergeCell ref="A8:Z8"/>
    <mergeCell ref="A10:Z10"/>
    <mergeCell ref="A11:Z11"/>
    <mergeCell ref="A13:B13"/>
    <mergeCell ref="F13:I13"/>
    <mergeCell ref="J13:M13"/>
    <mergeCell ref="N13:Q13"/>
    <mergeCell ref="R13:U13"/>
    <mergeCell ref="V13:Y13"/>
    <mergeCell ref="Z13:Z14"/>
  </mergeCells>
  <conditionalFormatting sqref="C57:C65535 C1:C9 C12:C14">
    <cfRule type="duplicateValues" dxfId="426" priority="63" stopIfTrue="1"/>
  </conditionalFormatting>
  <conditionalFormatting sqref="C11">
    <cfRule type="duplicateValues" dxfId="425" priority="6" stopIfTrue="1"/>
  </conditionalFormatting>
  <conditionalFormatting sqref="C11">
    <cfRule type="duplicateValues" dxfId="424" priority="7" stopIfTrue="1"/>
  </conditionalFormatting>
  <conditionalFormatting sqref="D11">
    <cfRule type="duplicateValues" dxfId="423" priority="5" stopIfTrue="1"/>
  </conditionalFormatting>
  <conditionalFormatting sqref="C10">
    <cfRule type="duplicateValues" dxfId="422" priority="3" stopIfTrue="1"/>
  </conditionalFormatting>
  <conditionalFormatting sqref="C10">
    <cfRule type="duplicateValues" dxfId="421" priority="4" stopIfTrue="1"/>
  </conditionalFormatting>
  <conditionalFormatting sqref="AB15:AB56">
    <cfRule type="duplicateValues" dxfId="420" priority="7339"/>
  </conditionalFormatting>
  <conditionalFormatting sqref="C15:C50 C56">
    <cfRule type="duplicateValues" dxfId="419" priority="7340"/>
  </conditionalFormatting>
  <conditionalFormatting sqref="C51">
    <cfRule type="duplicateValues" dxfId="418" priority="2"/>
  </conditionalFormatting>
  <conditionalFormatting sqref="C52:C55">
    <cfRule type="duplicateValues" dxfId="417" priority="1"/>
  </conditionalFormatting>
  <pageMargins left="0.70866141732283472" right="0.70866141732283472" top="0.74803149606299213" bottom="0.74803149606299213" header="0.31496062992125984" footer="0.31496062992125984"/>
  <pageSetup paperSize="9" scale="3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8:AE38"/>
  <sheetViews>
    <sheetView showGridLines="0" topLeftCell="A16" zoomScale="70" zoomScaleNormal="70" zoomScaleSheetLayoutView="90" workbookViewId="0">
      <selection activeCell="A15" sqref="A15:A31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11.42578125" style="2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26.25">
      <c r="A8" s="118" t="s">
        <v>163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20.100000000000001" customHeight="1">
      <c r="A13" s="125" t="s">
        <v>0</v>
      </c>
      <c r="B13" s="125"/>
      <c r="C13" s="65"/>
      <c r="D13" s="65"/>
      <c r="E13" s="67"/>
      <c r="F13" s="125">
        <v>1</v>
      </c>
      <c r="G13" s="125"/>
      <c r="H13" s="125"/>
      <c r="I13" s="126"/>
      <c r="J13" s="127">
        <v>2</v>
      </c>
      <c r="K13" s="125"/>
      <c r="L13" s="125"/>
      <c r="M13" s="126"/>
      <c r="N13" s="127">
        <v>3</v>
      </c>
      <c r="O13" s="125"/>
      <c r="P13" s="125"/>
      <c r="Q13" s="126"/>
      <c r="R13" s="127">
        <v>4</v>
      </c>
      <c r="S13" s="125"/>
      <c r="T13" s="125"/>
      <c r="U13" s="126"/>
      <c r="V13" s="127">
        <v>5</v>
      </c>
      <c r="W13" s="125"/>
      <c r="X13" s="125"/>
      <c r="Y13" s="126"/>
      <c r="Z13" s="117" t="s">
        <v>47</v>
      </c>
    </row>
    <row r="14" spans="1:31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117"/>
    </row>
    <row r="15" spans="1:31" ht="24.95" customHeight="1">
      <c r="A15" s="22">
        <v>1</v>
      </c>
      <c r="B15" s="22">
        <v>1</v>
      </c>
      <c r="C15" s="22">
        <v>401</v>
      </c>
      <c r="D15" s="23" t="str">
        <f>VLOOKUP(C15,PLANILLA,2,FALSE)</f>
        <v xml:space="preserve">ARAYA Emiliano </v>
      </c>
      <c r="E15" s="24" t="str">
        <f>VLOOKUP(C15,PLANILLA,4,FALSE)</f>
        <v xml:space="preserve">CCDR SANTA CRUZ/ TEAM COSTA FRUT </v>
      </c>
      <c r="F15" s="3">
        <v>1</v>
      </c>
      <c r="G15" s="15">
        <v>10</v>
      </c>
      <c r="H15" s="3">
        <v>3</v>
      </c>
      <c r="I15" s="25">
        <v>120</v>
      </c>
      <c r="J15" s="33">
        <v>1</v>
      </c>
      <c r="K15" s="22">
        <v>10</v>
      </c>
      <c r="L15" s="22">
        <v>2</v>
      </c>
      <c r="M15" s="34">
        <v>150</v>
      </c>
      <c r="N15" s="26"/>
      <c r="O15" s="3">
        <f>IFERROR(VLOOKUP(N15,'Puntos XCC Menor'!$A$1:$B$15,2,FALSE),0)</f>
        <v>0</v>
      </c>
      <c r="P15" s="3">
        <v>1</v>
      </c>
      <c r="Q15" s="39">
        <f>IFERROR(VLOOKUP(P15,'Puntos XCO'!$A$1:$B$63,2,FALSE),0)</f>
        <v>200</v>
      </c>
      <c r="R15" s="16">
        <v>1</v>
      </c>
      <c r="S15" s="3">
        <f>IFERROR(VLOOKUP(R15,'Puntos XCC Menor'!$A$1:$B$15,2,FALSE),0)</f>
        <v>10</v>
      </c>
      <c r="T15" s="15">
        <v>1</v>
      </c>
      <c r="U15" s="39">
        <f>IFERROR(VLOOKUP(T15,'Puntos XCO'!$A$1:$B$63,2,FALSE),0)</f>
        <v>200</v>
      </c>
      <c r="V15" s="16">
        <f>IFERROR(VLOOKUP(C15,RESXCC_1,9,FALSE),0)</f>
        <v>2</v>
      </c>
      <c r="W15" s="15">
        <f>IFERROR(VLOOKUP(V15,'Puntos XCC Mayor'!$A$1:$B$15,2,FALSE),0)</f>
        <v>20</v>
      </c>
      <c r="X15" s="15">
        <f>IFERROR(VLOOKUP(C15,RESXCO,9,FALSE),0)</f>
        <v>2</v>
      </c>
      <c r="Y15" s="25">
        <f>IFERROR(VLOOKUP(X15,'Puntos XCO'!$A$1:$B$63,2,FALSE),0)</f>
        <v>150</v>
      </c>
      <c r="Z15" s="27">
        <f>G15+I15+K15+M15+O15+Q15+S15+U15+W15+Y15</f>
        <v>870</v>
      </c>
      <c r="AB15" s="2"/>
      <c r="AC15" s="13"/>
      <c r="AD15" s="12"/>
      <c r="AE15" s="14"/>
    </row>
    <row r="16" spans="1:31" ht="24.95" customHeight="1">
      <c r="A16" s="22">
        <v>2</v>
      </c>
      <c r="B16" s="22">
        <v>4</v>
      </c>
      <c r="C16" s="22">
        <v>405</v>
      </c>
      <c r="D16" s="23" t="str">
        <f>VLOOKUP(C16,PLANILLA,2,FALSE)</f>
        <v xml:space="preserve">CESPEDES  Santiago </v>
      </c>
      <c r="E16" s="24" t="str">
        <f>VLOOKUP(C16,PLANILLA,4,FALSE)</f>
        <v xml:space="preserve">ACCIPAL CMS </v>
      </c>
      <c r="F16" s="3">
        <v>2</v>
      </c>
      <c r="G16" s="15">
        <v>9</v>
      </c>
      <c r="H16" s="3">
        <v>1</v>
      </c>
      <c r="I16" s="25">
        <v>200</v>
      </c>
      <c r="J16" s="33">
        <v>2</v>
      </c>
      <c r="K16" s="22">
        <v>9</v>
      </c>
      <c r="L16" s="22">
        <v>1</v>
      </c>
      <c r="M16" s="34">
        <v>200</v>
      </c>
      <c r="N16" s="26"/>
      <c r="O16" s="3">
        <f>IFERROR(VLOOKUP(N16,'Puntos XCC Menor'!$A$1:$B$15,2,FALSE),0)</f>
        <v>0</v>
      </c>
      <c r="P16" s="3">
        <v>0</v>
      </c>
      <c r="Q16" s="39">
        <f>IFERROR(VLOOKUP(P16,'Puntos XCO'!$A$1:$B$63,2,FALSE),0)</f>
        <v>0</v>
      </c>
      <c r="R16" s="16">
        <v>0</v>
      </c>
      <c r="S16" s="3">
        <f>IFERROR(VLOOKUP(R16,'Puntos XCC Menor'!$A$1:$B$15,2,FALSE),0)</f>
        <v>0</v>
      </c>
      <c r="T16" s="15">
        <v>0</v>
      </c>
      <c r="U16" s="39">
        <f>IFERROR(VLOOKUP(T16,'Puntos XCO'!$A$1:$B$63,2,FALSE),0)</f>
        <v>0</v>
      </c>
      <c r="V16" s="16">
        <f>IFERROR(VLOOKUP(C16,RESXCC_1,9,FALSE),0)</f>
        <v>1</v>
      </c>
      <c r="W16" s="15">
        <f>IFERROR(VLOOKUP(V16,'Puntos XCC Mayor'!$A$1:$B$15,2,FALSE),0)</f>
        <v>25</v>
      </c>
      <c r="X16" s="15">
        <f>IFERROR(VLOOKUP(C16,RESXCO,9,FALSE),0)</f>
        <v>1</v>
      </c>
      <c r="Y16" s="25">
        <f>IFERROR(VLOOKUP(X16,'Puntos XCO'!$A$1:$B$63,2,FALSE),0)</f>
        <v>200</v>
      </c>
      <c r="Z16" s="27">
        <f>G16+I16+K16+M16+O16+Q16+S16+U16+W16+Y16</f>
        <v>643</v>
      </c>
      <c r="AB16" s="2"/>
      <c r="AC16" s="13"/>
      <c r="AD16" s="12"/>
      <c r="AE16" s="14"/>
    </row>
    <row r="17" spans="1:31" ht="24.95" customHeight="1">
      <c r="A17" s="22">
        <v>3</v>
      </c>
      <c r="B17" s="22">
        <v>2</v>
      </c>
      <c r="C17" s="22">
        <v>406</v>
      </c>
      <c r="D17" s="23" t="str">
        <f>VLOOKUP(C17,PLANILLA,2,FALSE)</f>
        <v>CÉSPEDES  Anthony Luan*</v>
      </c>
      <c r="E17" s="24" t="str">
        <f>VLOOKUP(C17,PLANILLA,4,FALSE)</f>
        <v xml:space="preserve">SKALA MONTEVERDE/ CCDR MONTEVERDE </v>
      </c>
      <c r="F17" s="3">
        <v>3</v>
      </c>
      <c r="G17" s="15">
        <v>8</v>
      </c>
      <c r="H17" s="3">
        <v>2</v>
      </c>
      <c r="I17" s="25">
        <v>150</v>
      </c>
      <c r="J17" s="33">
        <v>3</v>
      </c>
      <c r="K17" s="22">
        <v>8</v>
      </c>
      <c r="L17" s="22">
        <v>0</v>
      </c>
      <c r="M17" s="34">
        <v>0</v>
      </c>
      <c r="N17" s="26"/>
      <c r="O17" s="3">
        <f>IFERROR(VLOOKUP(N17,'Puntos XCC Menor'!$A$1:$B$15,2,FALSE),0)</f>
        <v>0</v>
      </c>
      <c r="P17" s="3">
        <v>2</v>
      </c>
      <c r="Q17" s="39">
        <f>IFERROR(VLOOKUP(P17,'Puntos XCO'!$A$1:$B$63,2,FALSE),0)</f>
        <v>150</v>
      </c>
      <c r="R17" s="16">
        <v>2</v>
      </c>
      <c r="S17" s="3">
        <f>IFERROR(VLOOKUP(R17,'Puntos XCC Menor'!$A$1:$B$15,2,FALSE),0)</f>
        <v>9</v>
      </c>
      <c r="T17" s="15">
        <v>2</v>
      </c>
      <c r="U17" s="39">
        <f>IFERROR(VLOOKUP(T17,'Puntos XCO'!$A$1:$B$63,2,FALSE),0)</f>
        <v>150</v>
      </c>
      <c r="V17" s="16">
        <f>IFERROR(VLOOKUP(C17,RESXCC_1,9,FALSE),0)</f>
        <v>4</v>
      </c>
      <c r="W17" s="15">
        <f>IFERROR(VLOOKUP(V17,'Puntos XCC Mayor'!$A$1:$B$15,2,FALSE),0)</f>
        <v>14</v>
      </c>
      <c r="X17" s="15">
        <f>IFERROR(VLOOKUP(C17,RESXCO,9,FALSE),0)</f>
        <v>4</v>
      </c>
      <c r="Y17" s="25">
        <f>IFERROR(VLOOKUP(X17,'Puntos XCO'!$A$1:$B$63,2,FALSE),0)</f>
        <v>110</v>
      </c>
      <c r="Z17" s="27">
        <f>G17+I17+K17+M17+O17+Q17+S17+U17+W17+Y17</f>
        <v>599</v>
      </c>
      <c r="AB17" s="2"/>
      <c r="AC17" s="13"/>
      <c r="AD17" s="12"/>
      <c r="AE17" s="14"/>
    </row>
    <row r="18" spans="1:31" ht="24.95" customHeight="1">
      <c r="A18" s="22">
        <v>4</v>
      </c>
      <c r="B18" s="22">
        <v>3</v>
      </c>
      <c r="C18" s="22">
        <v>402</v>
      </c>
      <c r="D18" s="23" t="str">
        <f>VLOOKUP(C18,PLANILLA,2,FALSE)</f>
        <v>CERDAS Isaac*</v>
      </c>
      <c r="E18" s="24" t="str">
        <f>VLOOKUP(C18,PLANILLA,4,FALSE)</f>
        <v xml:space="preserve">CODEA </v>
      </c>
      <c r="F18" s="3">
        <v>0</v>
      </c>
      <c r="G18" s="15">
        <v>0</v>
      </c>
      <c r="H18" s="3">
        <v>5</v>
      </c>
      <c r="I18" s="25">
        <v>100</v>
      </c>
      <c r="J18" s="33">
        <v>0</v>
      </c>
      <c r="K18" s="22">
        <v>0</v>
      </c>
      <c r="L18" s="22">
        <v>4</v>
      </c>
      <c r="M18" s="34">
        <v>110</v>
      </c>
      <c r="N18" s="26"/>
      <c r="O18" s="3">
        <f>IFERROR(VLOOKUP(N18,'Puntos XCC Menor'!$A$1:$B$15,2,FALSE),0)</f>
        <v>0</v>
      </c>
      <c r="P18" s="3">
        <v>3</v>
      </c>
      <c r="Q18" s="39">
        <f>IFERROR(VLOOKUP(P18,'Puntos XCO'!$A$1:$B$63,2,FALSE),0)</f>
        <v>120</v>
      </c>
      <c r="R18" s="16">
        <v>0</v>
      </c>
      <c r="S18" s="3">
        <f>IFERROR(VLOOKUP(R18,'Puntos XCC Menor'!$A$1:$B$15,2,FALSE),0)</f>
        <v>0</v>
      </c>
      <c r="T18" s="15">
        <v>5</v>
      </c>
      <c r="U18" s="39">
        <f>IFERROR(VLOOKUP(T18,'Puntos XCO'!$A$1:$B$63,2,FALSE),0)</f>
        <v>100</v>
      </c>
      <c r="V18" s="16">
        <f>IFERROR(VLOOKUP(C18,RESXCC_1,9,FALSE),0)</f>
        <v>10</v>
      </c>
      <c r="W18" s="15">
        <f>IFERROR(VLOOKUP(V18,'Puntos XCC Mayor'!$A$1:$B$15,2,FALSE),0)</f>
        <v>6</v>
      </c>
      <c r="X18" s="15">
        <f>IFERROR(VLOOKUP(C18,RESXCO,9,FALSE),0)</f>
        <v>7</v>
      </c>
      <c r="Y18" s="25">
        <f>IFERROR(VLOOKUP(X18,'Puntos XCO'!$A$1:$B$63,2,FALSE),0)</f>
        <v>90</v>
      </c>
      <c r="Z18" s="27">
        <f>G18+I18+K18+M18+O18+Q18+S18+U18+W18+Y18</f>
        <v>526</v>
      </c>
      <c r="AB18" s="2"/>
      <c r="AC18" s="13"/>
      <c r="AD18" s="12"/>
      <c r="AE18" s="14"/>
    </row>
    <row r="19" spans="1:31" ht="24.95" customHeight="1">
      <c r="A19" s="22">
        <v>5</v>
      </c>
      <c r="B19" s="22">
        <v>6</v>
      </c>
      <c r="C19" s="22">
        <v>404</v>
      </c>
      <c r="D19" s="23" t="str">
        <f>VLOOKUP(C19,PLANILLA,2,FALSE)</f>
        <v>HUNTER Ian*</v>
      </c>
      <c r="E19" s="24" t="str">
        <f>VLOOKUP(C19,PLANILLA,4,FALSE)</f>
        <v xml:space="preserve">CODEA </v>
      </c>
      <c r="F19" s="3">
        <v>0</v>
      </c>
      <c r="G19" s="15">
        <v>0</v>
      </c>
      <c r="H19" s="3">
        <v>6</v>
      </c>
      <c r="I19" s="25">
        <v>95</v>
      </c>
      <c r="J19" s="33">
        <v>0</v>
      </c>
      <c r="K19" s="22">
        <v>0</v>
      </c>
      <c r="L19" s="22">
        <v>0</v>
      </c>
      <c r="M19" s="34">
        <v>0</v>
      </c>
      <c r="N19" s="26"/>
      <c r="O19" s="3">
        <f>IFERROR(VLOOKUP(N19,'Puntos XCC Menor'!$A$1:$B$15,2,FALSE),0)</f>
        <v>0</v>
      </c>
      <c r="P19" s="3">
        <v>4</v>
      </c>
      <c r="Q19" s="39">
        <f>IFERROR(VLOOKUP(P19,'Puntos XCO'!$A$1:$B$63,2,FALSE),0)</f>
        <v>110</v>
      </c>
      <c r="R19" s="16">
        <v>0</v>
      </c>
      <c r="S19" s="3">
        <f>IFERROR(VLOOKUP(R19,'Puntos XCC Menor'!$A$1:$B$15,2,FALSE),0)</f>
        <v>0</v>
      </c>
      <c r="T19" s="15">
        <v>4</v>
      </c>
      <c r="U19" s="39">
        <f>IFERROR(VLOOKUP(T19,'Puntos XCO'!$A$1:$B$63,2,FALSE),0)</f>
        <v>110</v>
      </c>
      <c r="V19" s="16">
        <f>IFERROR(VLOOKUP(C19,RESXCC_1,9,FALSE),0)</f>
        <v>5</v>
      </c>
      <c r="W19" s="15">
        <f>IFERROR(VLOOKUP(V19,'Puntos XCC Mayor'!$A$1:$B$15,2,FALSE),0)</f>
        <v>12</v>
      </c>
      <c r="X19" s="15">
        <f>IFERROR(VLOOKUP(C19,RESXCO,9,FALSE),0)</f>
        <v>6</v>
      </c>
      <c r="Y19" s="25">
        <f>IFERROR(VLOOKUP(X19,'Puntos XCO'!$A$1:$B$63,2,FALSE),0)</f>
        <v>95</v>
      </c>
      <c r="Z19" s="27">
        <f>G19+I19+K19+M19+O19+Q19+S19+U19+W19+Y19</f>
        <v>422</v>
      </c>
      <c r="AB19" s="2"/>
      <c r="AC19" s="13"/>
      <c r="AD19" s="12"/>
      <c r="AE19" s="14"/>
    </row>
    <row r="20" spans="1:31" ht="24.95" customHeight="1">
      <c r="A20" s="22">
        <v>6</v>
      </c>
      <c r="B20" s="22">
        <v>5</v>
      </c>
      <c r="C20" s="22">
        <v>407</v>
      </c>
      <c r="D20" s="23" t="str">
        <f>VLOOKUP(C20,PLANILLA,2,FALSE)</f>
        <v>FLORES  Eythan*</v>
      </c>
      <c r="E20" s="24" t="str">
        <f>VLOOKUP(C20,PLANILLA,4,FALSE)</f>
        <v xml:space="preserve">CCDR PARAÍSO </v>
      </c>
      <c r="F20" s="3"/>
      <c r="G20" s="15"/>
      <c r="H20" s="3"/>
      <c r="I20" s="25"/>
      <c r="J20" s="33">
        <v>6</v>
      </c>
      <c r="K20" s="22">
        <v>5</v>
      </c>
      <c r="L20" s="22">
        <v>5</v>
      </c>
      <c r="M20" s="34">
        <v>100</v>
      </c>
      <c r="N20" s="26"/>
      <c r="O20" s="3">
        <f>IFERROR(VLOOKUP(N20,'Puntos XCC Menor'!$A$1:$B$15,2,FALSE),0)</f>
        <v>0</v>
      </c>
      <c r="P20" s="3">
        <v>7</v>
      </c>
      <c r="Q20" s="39">
        <f>IFERROR(VLOOKUP(P20,'Puntos XCO'!$A$1:$B$63,2,FALSE),0)</f>
        <v>90</v>
      </c>
      <c r="R20" s="16">
        <v>3</v>
      </c>
      <c r="S20" s="3">
        <f>IFERROR(VLOOKUP(R20,'Puntos XCC Menor'!$A$1:$B$15,2,FALSE),0)</f>
        <v>8</v>
      </c>
      <c r="T20" s="15">
        <v>3</v>
      </c>
      <c r="U20" s="39">
        <f>IFERROR(VLOOKUP(T20,'Puntos XCO'!$A$1:$B$63,2,FALSE),0)</f>
        <v>120</v>
      </c>
      <c r="V20" s="16">
        <f>IFERROR(VLOOKUP(C20,RESXCC_1,9,FALSE),0)</f>
        <v>6</v>
      </c>
      <c r="W20" s="15">
        <f>IFERROR(VLOOKUP(V20,'Puntos XCC Mayor'!$A$1:$B$15,2,FALSE),0)</f>
        <v>10</v>
      </c>
      <c r="X20" s="15">
        <f>IFERROR(VLOOKUP(C20,RESXCO,9,FALSE),0)</f>
        <v>9</v>
      </c>
      <c r="Y20" s="25">
        <f>IFERROR(VLOOKUP(X20,'Puntos XCO'!$A$1:$B$63,2,FALSE),0)</f>
        <v>80</v>
      </c>
      <c r="Z20" s="27">
        <f>G20+I20+K20+M20+O20+Q20+S20+U20+W20+Y20</f>
        <v>413</v>
      </c>
      <c r="AB20" s="2"/>
      <c r="AC20" s="13"/>
      <c r="AD20" s="12"/>
      <c r="AE20" s="14"/>
    </row>
    <row r="21" spans="1:31" ht="24.95" customHeight="1">
      <c r="A21" s="22">
        <v>7</v>
      </c>
      <c r="B21" s="22">
        <v>7</v>
      </c>
      <c r="C21" s="22">
        <v>403</v>
      </c>
      <c r="D21" s="23" t="str">
        <f>VLOOKUP(C21,PLANILLA,2,FALSE)</f>
        <v>SOJO Nathan</v>
      </c>
      <c r="E21" s="24" t="str">
        <f>VLOOKUP(C21,PLANILLA,4,FALSE)</f>
        <v xml:space="preserve">TRIATLÓN TURRIALBA </v>
      </c>
      <c r="F21" s="3">
        <v>4</v>
      </c>
      <c r="G21" s="15">
        <v>7</v>
      </c>
      <c r="H21" s="3">
        <v>4</v>
      </c>
      <c r="I21" s="25">
        <v>110</v>
      </c>
      <c r="J21" s="33">
        <v>4</v>
      </c>
      <c r="K21" s="22">
        <v>7</v>
      </c>
      <c r="L21" s="22">
        <v>3</v>
      </c>
      <c r="M21" s="34">
        <v>120</v>
      </c>
      <c r="N21" s="26"/>
      <c r="O21" s="3">
        <f>IFERROR(VLOOKUP(N21,'Puntos XCC Menor'!$A$1:$B$15,2,FALSE),0)</f>
        <v>0</v>
      </c>
      <c r="P21" s="3">
        <v>0</v>
      </c>
      <c r="Q21" s="39">
        <f>IFERROR(VLOOKUP(P21,'Puntos XCO'!$A$1:$B$63,2,FALSE),0)</f>
        <v>0</v>
      </c>
      <c r="R21" s="16">
        <v>0</v>
      </c>
      <c r="S21" s="3">
        <f>IFERROR(VLOOKUP(R21,'Puntos XCC Menor'!$A$1:$B$15,2,FALSE),0)</f>
        <v>0</v>
      </c>
      <c r="T21" s="15">
        <v>0</v>
      </c>
      <c r="U21" s="39">
        <f>IFERROR(VLOOKUP(T21,'Puntos XCO'!$A$1:$B$63,2,FALSE),0)</f>
        <v>0</v>
      </c>
      <c r="V21" s="16">
        <f>IFERROR(VLOOKUP(C21,RESXCC_1,9,FALSE),0)</f>
        <v>8</v>
      </c>
      <c r="W21" s="15">
        <f>IFERROR(VLOOKUP(V21,'Puntos XCC Mayor'!$A$1:$B$15,2,FALSE),0)</f>
        <v>8</v>
      </c>
      <c r="X21" s="15">
        <f>IFERROR(VLOOKUP(C21,RESXCO,9,FALSE),0)</f>
        <v>8</v>
      </c>
      <c r="Y21" s="25">
        <f>IFERROR(VLOOKUP(X21,'Puntos XCO'!$A$1:$B$63,2,FALSE),0)</f>
        <v>85</v>
      </c>
      <c r="Z21" s="27">
        <f>G21+I21+K21+M21+O21+Q21+S21+U21+W21+Y21</f>
        <v>337</v>
      </c>
      <c r="AB21" s="2"/>
      <c r="AC21" s="13"/>
      <c r="AD21" s="12"/>
      <c r="AE21" s="14"/>
    </row>
    <row r="22" spans="1:31" ht="24.95" customHeight="1">
      <c r="A22" s="22">
        <v>8</v>
      </c>
      <c r="B22" s="22">
        <v>8</v>
      </c>
      <c r="C22" s="22">
        <v>409</v>
      </c>
      <c r="D22" s="23" t="str">
        <f>VLOOKUP(C22,PLANILLA,2,FALSE)</f>
        <v>FREER Isaac*</v>
      </c>
      <c r="E22" s="24" t="str">
        <f>VLOOKUP(C22,PLANILLA,4,FALSE)</f>
        <v>DESAMPARADOS BIKE CAFÉ</v>
      </c>
      <c r="F22" s="3"/>
      <c r="G22" s="15"/>
      <c r="H22" s="3"/>
      <c r="I22" s="25"/>
      <c r="J22" s="33">
        <v>5</v>
      </c>
      <c r="K22" s="22">
        <v>6</v>
      </c>
      <c r="L22" s="22">
        <v>6</v>
      </c>
      <c r="M22" s="34">
        <v>95</v>
      </c>
      <c r="N22" s="26"/>
      <c r="O22" s="3">
        <f>IFERROR(VLOOKUP(N22,'Puntos XCC Menor'!$A$1:$B$15,2,FALSE),0)</f>
        <v>0</v>
      </c>
      <c r="P22" s="3">
        <v>0</v>
      </c>
      <c r="Q22" s="39">
        <f>IFERROR(VLOOKUP(P22,'Puntos XCO'!$A$1:$B$63,2,FALSE),0)</f>
        <v>0</v>
      </c>
      <c r="R22" s="16">
        <v>5</v>
      </c>
      <c r="S22" s="3">
        <f>IFERROR(VLOOKUP(R22,'Puntos XCC Menor'!$A$1:$B$15,2,FALSE),0)</f>
        <v>6</v>
      </c>
      <c r="T22" s="15">
        <v>7</v>
      </c>
      <c r="U22" s="39">
        <f>IFERROR(VLOOKUP(T22,'Puntos XCO'!$A$1:$B$63,2,FALSE),0)</f>
        <v>90</v>
      </c>
      <c r="V22" s="16">
        <f>IFERROR(VLOOKUP(C22,RESXCC_1,9,FALSE),0)</f>
        <v>12</v>
      </c>
      <c r="W22" s="15">
        <f>IFERROR(VLOOKUP(V22,'Puntos XCC Mayor'!$A$1:$B$15,2,FALSE),0)</f>
        <v>4</v>
      </c>
      <c r="X22" s="15">
        <f>IFERROR(VLOOKUP(C22,RESXCO,9,FALSE),0)</f>
        <v>13</v>
      </c>
      <c r="Y22" s="25">
        <f>IFERROR(VLOOKUP(X22,'Puntos XCO'!$A$1:$B$63,2,FALSE),0)</f>
        <v>72</v>
      </c>
      <c r="Z22" s="27">
        <f>G22+I22+K22+M22+O22+Q22+S22+U22+W22+Y22</f>
        <v>273</v>
      </c>
      <c r="AB22" s="2"/>
      <c r="AC22" s="13"/>
      <c r="AD22" s="12"/>
      <c r="AE22" s="14"/>
    </row>
    <row r="23" spans="1:31" ht="24.95" customHeight="1">
      <c r="A23" s="22">
        <v>9</v>
      </c>
      <c r="B23" s="22">
        <v>9</v>
      </c>
      <c r="C23" s="22">
        <v>411</v>
      </c>
      <c r="D23" s="23" t="str">
        <f>VLOOKUP(C23,PLANILLA,2,FALSE)</f>
        <v>HERRERA  Mathias*</v>
      </c>
      <c r="E23" s="24" t="str">
        <f>VLOOKUP(C23,PLANILLA,4,FALSE)</f>
        <v xml:space="preserve">CCDR SAN JOSÉ </v>
      </c>
      <c r="F23" s="3"/>
      <c r="G23" s="15"/>
      <c r="H23" s="3"/>
      <c r="I23" s="25"/>
      <c r="J23" s="33"/>
      <c r="K23" s="22"/>
      <c r="L23" s="22"/>
      <c r="M23" s="34"/>
      <c r="N23" s="26"/>
      <c r="O23" s="3">
        <f>IFERROR(VLOOKUP(N23,'Puntos XCC Menor'!$A$1:$B$15,2,FALSE),0)</f>
        <v>0</v>
      </c>
      <c r="P23" s="3">
        <v>5</v>
      </c>
      <c r="Q23" s="39">
        <f>IFERROR(VLOOKUP(P23,'Puntos XCO'!$A$1:$B$63,2,FALSE),0)</f>
        <v>100</v>
      </c>
      <c r="R23" s="16">
        <v>4</v>
      </c>
      <c r="S23" s="3">
        <f>IFERROR(VLOOKUP(R23,'Puntos XCC Menor'!$A$1:$B$15,2,FALSE),0)</f>
        <v>7</v>
      </c>
      <c r="T23" s="15">
        <v>8</v>
      </c>
      <c r="U23" s="39">
        <f>IFERROR(VLOOKUP(T23,'Puntos XCO'!$A$1:$B$63,2,FALSE),0)</f>
        <v>85</v>
      </c>
      <c r="V23" s="16">
        <f>IFERROR(VLOOKUP(C23,RESXCC_1,9,FALSE),0)</f>
        <v>11</v>
      </c>
      <c r="W23" s="15">
        <f>IFERROR(VLOOKUP(V23,'Puntos XCC Mayor'!$A$1:$B$15,2,FALSE),0)</f>
        <v>5</v>
      </c>
      <c r="X23" s="15">
        <f>IFERROR(VLOOKUP(C23,RESXCO,9,FALSE),0)</f>
        <v>11</v>
      </c>
      <c r="Y23" s="25">
        <f>IFERROR(VLOOKUP(X23,'Puntos XCO'!$A$1:$B$63,2,FALSE),0)</f>
        <v>76</v>
      </c>
      <c r="Z23" s="27">
        <f>G23+I23+K23+M23+O23+Q23+S23+U23+W23+Y23</f>
        <v>273</v>
      </c>
      <c r="AB23" s="2"/>
      <c r="AC23" s="13"/>
      <c r="AD23" s="12"/>
      <c r="AE23" s="14"/>
    </row>
    <row r="24" spans="1:31" ht="24.95" customHeight="1">
      <c r="A24" s="22">
        <v>10</v>
      </c>
      <c r="B24" s="22">
        <v>10</v>
      </c>
      <c r="C24" s="22">
        <v>413</v>
      </c>
      <c r="D24" s="23" t="str">
        <f>VLOOKUP(C24,PLANILLA,2,FALSE)</f>
        <v>CARVAJAL Saúl Alonso*</v>
      </c>
      <c r="E24" s="24" t="str">
        <f>VLOOKUP(C24,PLANILLA,4,FALSE)</f>
        <v>CCDR NARANJO</v>
      </c>
      <c r="F24" s="3"/>
      <c r="G24" s="15"/>
      <c r="H24" s="3"/>
      <c r="I24" s="25"/>
      <c r="J24" s="33"/>
      <c r="K24" s="22"/>
      <c r="L24" s="22"/>
      <c r="M24" s="34"/>
      <c r="N24" s="26"/>
      <c r="O24" s="3">
        <f>IFERROR(VLOOKUP(N24,'Puntos XCC Menor'!$A$1:$B$15,2,FALSE),0)</f>
        <v>0</v>
      </c>
      <c r="P24" s="3">
        <v>8</v>
      </c>
      <c r="Q24" s="39">
        <f>IFERROR(VLOOKUP(P24,'Puntos XCO'!$A$1:$B$63,2,FALSE),0)</f>
        <v>85</v>
      </c>
      <c r="R24" s="16">
        <v>0</v>
      </c>
      <c r="S24" s="3">
        <f>IFERROR(VLOOKUP(R24,'Puntos XCC Menor'!$A$1:$B$15,2,FALSE),0)</f>
        <v>0</v>
      </c>
      <c r="T24" s="15">
        <v>6</v>
      </c>
      <c r="U24" s="39">
        <f>IFERROR(VLOOKUP(T24,'Puntos XCO'!$A$1:$B$63,2,FALSE),0)</f>
        <v>95</v>
      </c>
      <c r="V24" s="16">
        <f>IFERROR(VLOOKUP(C24,RESXCC_1,9,FALSE),0)</f>
        <v>0</v>
      </c>
      <c r="W24" s="15">
        <f>IFERROR(VLOOKUP(V24,'Puntos XCC Mayor'!$A$1:$B$15,2,FALSE),0)</f>
        <v>0</v>
      </c>
      <c r="X24" s="15">
        <f>IFERROR(VLOOKUP(C24,RESXCO,9,FALSE),0)</f>
        <v>14</v>
      </c>
      <c r="Y24" s="25">
        <f>IFERROR(VLOOKUP(X24,'Puntos XCO'!$A$1:$B$63,2,FALSE),0)</f>
        <v>70</v>
      </c>
      <c r="Z24" s="27">
        <f>G24+I24+K24+M24+O24+Q24+S24+U24+W24+Y24</f>
        <v>250</v>
      </c>
      <c r="AB24" s="2"/>
      <c r="AC24" s="13"/>
      <c r="AD24" s="12"/>
      <c r="AE24" s="14"/>
    </row>
    <row r="25" spans="1:31" ht="24.95" customHeight="1">
      <c r="A25" s="22">
        <v>11</v>
      </c>
      <c r="B25" s="22">
        <v>11</v>
      </c>
      <c r="C25" s="22">
        <v>410</v>
      </c>
      <c r="D25" s="23" t="str">
        <f>VLOOKUP(C25,PLANILLA,2,FALSE)</f>
        <v>SOLIS Sebastian*</v>
      </c>
      <c r="E25" s="24" t="str">
        <f>VLOOKUP(C25,PLANILLA,4,FALSE)</f>
        <v>DESAMPARADOS</v>
      </c>
      <c r="F25" s="3"/>
      <c r="G25" s="15"/>
      <c r="H25" s="3"/>
      <c r="I25" s="25"/>
      <c r="J25" s="33">
        <v>8</v>
      </c>
      <c r="K25" s="22">
        <v>3</v>
      </c>
      <c r="L25" s="22">
        <v>7</v>
      </c>
      <c r="M25" s="34">
        <v>90</v>
      </c>
      <c r="N25" s="26"/>
      <c r="O25" s="3">
        <f>IFERROR(VLOOKUP(N25,'Puntos XCC Menor'!$A$1:$B$15,2,FALSE),0)</f>
        <v>0</v>
      </c>
      <c r="P25" s="3">
        <v>0</v>
      </c>
      <c r="Q25" s="39">
        <f>IFERROR(VLOOKUP(P25,'Puntos XCO'!$A$1:$B$63,2,FALSE),0)</f>
        <v>0</v>
      </c>
      <c r="R25" s="16">
        <v>6</v>
      </c>
      <c r="S25" s="3">
        <f>IFERROR(VLOOKUP(R25,'Puntos XCC Menor'!$A$1:$B$15,2,FALSE),0)</f>
        <v>5</v>
      </c>
      <c r="T25" s="15">
        <v>0</v>
      </c>
      <c r="U25" s="39">
        <f>IFERROR(VLOOKUP(T25,'Puntos XCO'!$A$1:$B$63,2,FALSE),0)</f>
        <v>0</v>
      </c>
      <c r="V25" s="16">
        <f>IFERROR(VLOOKUP(C25,RESXCC_1,9,FALSE),0)</f>
        <v>14</v>
      </c>
      <c r="W25" s="15">
        <f>IFERROR(VLOOKUP(V25,'Puntos XCC Mayor'!$A$1:$B$15,2,FALSE),0)</f>
        <v>2</v>
      </c>
      <c r="X25" s="15">
        <f>IFERROR(VLOOKUP(C25,RESXCO,9,FALSE),0)</f>
        <v>15</v>
      </c>
      <c r="Y25" s="25">
        <f>IFERROR(VLOOKUP(X25,'Puntos XCO'!$A$1:$B$63,2,FALSE),0)</f>
        <v>68</v>
      </c>
      <c r="Z25" s="27">
        <f>G25+I25+K25+M25+O25+Q25+S25+U25+W25+Y25</f>
        <v>168</v>
      </c>
      <c r="AB25" s="2"/>
      <c r="AC25" s="13"/>
      <c r="AD25" s="12"/>
      <c r="AE25" s="14"/>
    </row>
    <row r="26" spans="1:31" ht="24.95" customHeight="1">
      <c r="A26" s="22">
        <v>12</v>
      </c>
      <c r="B26" s="22"/>
      <c r="C26" s="107">
        <v>419</v>
      </c>
      <c r="D26" s="23" t="str">
        <f>VLOOKUP(C26,PLANILLA,2,FALSE)</f>
        <v>GÓMEZ  James</v>
      </c>
      <c r="E26" s="24" t="str">
        <f>VLOOKUP(C26,PLANILLA,4,FALSE)</f>
        <v>PZ CYCLING TEAM</v>
      </c>
      <c r="F26" s="3"/>
      <c r="G26" s="15"/>
      <c r="H26" s="3"/>
      <c r="I26" s="25"/>
      <c r="J26" s="33"/>
      <c r="K26" s="22"/>
      <c r="L26" s="22"/>
      <c r="M26" s="34"/>
      <c r="N26" s="26"/>
      <c r="O26" s="3"/>
      <c r="P26" s="3"/>
      <c r="Q26" s="39"/>
      <c r="R26" s="16"/>
      <c r="S26" s="3"/>
      <c r="T26" s="15"/>
      <c r="U26" s="39"/>
      <c r="V26" s="16">
        <f>IFERROR(VLOOKUP(C26,RESXCC_1,9,FALSE),0)</f>
        <v>3</v>
      </c>
      <c r="W26" s="15">
        <f>IFERROR(VLOOKUP(V26,'Puntos XCC Mayor'!$A$1:$B$15,2,FALSE),0)</f>
        <v>16</v>
      </c>
      <c r="X26" s="15">
        <f>IFERROR(VLOOKUP(C26,RESXCO,9,FALSE),0)</f>
        <v>3</v>
      </c>
      <c r="Y26" s="25">
        <f>IFERROR(VLOOKUP(X26,'Puntos XCO'!$A$1:$B$63,2,FALSE),0)</f>
        <v>120</v>
      </c>
      <c r="Z26" s="27">
        <f>G26+I26+K26+M26+O26+Q26+S26+U26+W26+Y26</f>
        <v>136</v>
      </c>
      <c r="AB26" s="2"/>
      <c r="AC26" s="13"/>
      <c r="AD26" s="12"/>
      <c r="AE26" s="14"/>
    </row>
    <row r="27" spans="1:31" ht="24.95" customHeight="1">
      <c r="A27" s="22">
        <v>13</v>
      </c>
      <c r="B27" s="22"/>
      <c r="C27" s="107">
        <v>415</v>
      </c>
      <c r="D27" s="23" t="str">
        <f>VLOOKUP(C27,PLANILLA,2,FALSE)</f>
        <v>MARIN Santiago*</v>
      </c>
      <c r="E27" s="24" t="str">
        <f>VLOOKUP(C27,PLANILLA,4,FALSE)</f>
        <v>SOTO TRAINING -CCDR LIBERIA</v>
      </c>
      <c r="F27" s="3"/>
      <c r="G27" s="15"/>
      <c r="H27" s="3"/>
      <c r="I27" s="25"/>
      <c r="J27" s="33"/>
      <c r="K27" s="22"/>
      <c r="L27" s="22"/>
      <c r="M27" s="34"/>
      <c r="N27" s="26"/>
      <c r="O27" s="3"/>
      <c r="P27" s="3"/>
      <c r="Q27" s="39"/>
      <c r="R27" s="16"/>
      <c r="S27" s="3"/>
      <c r="T27" s="15"/>
      <c r="U27" s="39"/>
      <c r="V27" s="16">
        <f>IFERROR(VLOOKUP(C27,RESXCC_1,9,FALSE),0)</f>
        <v>7</v>
      </c>
      <c r="W27" s="15">
        <f>IFERROR(VLOOKUP(V27,'Puntos XCC Mayor'!$A$1:$B$15,2,FALSE),0)</f>
        <v>9</v>
      </c>
      <c r="X27" s="15">
        <f>IFERROR(VLOOKUP(C27,RESXCO,9,FALSE),0)</f>
        <v>5</v>
      </c>
      <c r="Y27" s="25">
        <f>IFERROR(VLOOKUP(X27,'Puntos XCO'!$A$1:$B$63,2,FALSE),0)</f>
        <v>100</v>
      </c>
      <c r="Z27" s="27">
        <f>G27+I27+K27+M27+O27+Q27+S27+U27+W27+Y27</f>
        <v>109</v>
      </c>
      <c r="AB27" s="2"/>
      <c r="AC27" s="13"/>
      <c r="AD27" s="12"/>
      <c r="AE27" s="14"/>
    </row>
    <row r="28" spans="1:31" ht="24.95" customHeight="1">
      <c r="A28" s="22">
        <v>14</v>
      </c>
      <c r="B28" s="22">
        <v>12</v>
      </c>
      <c r="C28" s="22">
        <v>412</v>
      </c>
      <c r="D28" s="23" t="str">
        <f>VLOOKUP(C28,PLANILLA,2,FALSE)</f>
        <v>CASTRO Lucas*</v>
      </c>
      <c r="E28" s="24" t="str">
        <f>VLOOKUP(C28,PLANILLA,4,FALSE)</f>
        <v>ESCGB/CCDRL</v>
      </c>
      <c r="F28" s="3"/>
      <c r="G28" s="15"/>
      <c r="H28" s="3"/>
      <c r="I28" s="25"/>
      <c r="J28" s="33"/>
      <c r="K28" s="22"/>
      <c r="L28" s="22"/>
      <c r="M28" s="34"/>
      <c r="N28" s="26"/>
      <c r="O28" s="3">
        <f>IFERROR(VLOOKUP(N28,'Puntos XCC Menor'!$A$1:$B$15,2,FALSE),0)</f>
        <v>0</v>
      </c>
      <c r="P28" s="3">
        <v>6</v>
      </c>
      <c r="Q28" s="39">
        <f>IFERROR(VLOOKUP(P28,'Puntos XCO'!$A$1:$B$63,2,FALSE),0)</f>
        <v>95</v>
      </c>
      <c r="R28" s="16">
        <v>0</v>
      </c>
      <c r="S28" s="3">
        <f>IFERROR(VLOOKUP(R28,'Puntos XCC Menor'!$A$1:$B$15,2,FALSE),0)</f>
        <v>0</v>
      </c>
      <c r="T28" s="15">
        <v>0</v>
      </c>
      <c r="U28" s="39">
        <f>IFERROR(VLOOKUP(T28,'Puntos XCO'!$A$1:$B$63,2,FALSE),0)</f>
        <v>0</v>
      </c>
      <c r="V28" s="16">
        <f>IFERROR(VLOOKUP(C28,RESXCC_1,9,FALSE),0)</f>
        <v>0</v>
      </c>
      <c r="W28" s="15">
        <f>IFERROR(VLOOKUP(V28,'Puntos XCC Mayor'!$A$1:$B$15,2,FALSE),0)</f>
        <v>0</v>
      </c>
      <c r="X28" s="15">
        <f>IFERROR(VLOOKUP(C28,RESXCO,9,FALSE),0)</f>
        <v>0</v>
      </c>
      <c r="Y28" s="25">
        <f>IFERROR(VLOOKUP(X28,'Puntos XCO'!$A$1:$B$63,2,FALSE),0)</f>
        <v>0</v>
      </c>
      <c r="Z28" s="27">
        <f>G28+I28+K28+M28+O28+Q28+S28+U28+W28+Y28</f>
        <v>95</v>
      </c>
      <c r="AB28" s="2"/>
      <c r="AC28" s="13"/>
      <c r="AD28" s="12"/>
      <c r="AE28" s="14"/>
    </row>
    <row r="29" spans="1:31" ht="24.95" customHeight="1">
      <c r="A29" s="22">
        <v>15</v>
      </c>
      <c r="B29" s="22"/>
      <c r="C29" s="107">
        <v>416</v>
      </c>
      <c r="D29" s="23" t="str">
        <f>VLOOKUP(C29,PLANILLA,2,FALSE)</f>
        <v xml:space="preserve">BENAVIDES Emiliano </v>
      </c>
      <c r="E29" s="24" t="str">
        <f>VLOOKUP(C29,PLANILLA,4,FALSE)</f>
        <v xml:space="preserve">SOTO-TRAINING-CCDR LIBERIA </v>
      </c>
      <c r="F29" s="3"/>
      <c r="G29" s="15"/>
      <c r="H29" s="3"/>
      <c r="I29" s="25"/>
      <c r="J29" s="33"/>
      <c r="K29" s="22"/>
      <c r="L29" s="22"/>
      <c r="M29" s="34"/>
      <c r="N29" s="26"/>
      <c r="O29" s="3"/>
      <c r="P29" s="3"/>
      <c r="Q29" s="39"/>
      <c r="R29" s="16"/>
      <c r="S29" s="3"/>
      <c r="T29" s="15"/>
      <c r="U29" s="39"/>
      <c r="V29" s="16">
        <f>IFERROR(VLOOKUP(C29,RESXCC_1,9,FALSE),0)</f>
        <v>9</v>
      </c>
      <c r="W29" s="15">
        <f>IFERROR(VLOOKUP(V29,'Puntos XCC Mayor'!$A$1:$B$15,2,FALSE),0)</f>
        <v>7</v>
      </c>
      <c r="X29" s="15">
        <f>IFERROR(VLOOKUP(C29,RESXCO,9,FALSE),0)</f>
        <v>10</v>
      </c>
      <c r="Y29" s="25">
        <f>IFERROR(VLOOKUP(X29,'Puntos XCO'!$A$1:$B$63,2,FALSE),0)</f>
        <v>78</v>
      </c>
      <c r="Z29" s="27">
        <f>G29+I29+K29+M29+O29+Q29+S29+U29+W29+Y29</f>
        <v>85</v>
      </c>
      <c r="AB29" s="2"/>
      <c r="AC29" s="13"/>
      <c r="AD29" s="12"/>
      <c r="AE29" s="14"/>
    </row>
    <row r="30" spans="1:31" ht="24.95" customHeight="1">
      <c r="A30" s="22">
        <v>16</v>
      </c>
      <c r="B30" s="22"/>
      <c r="C30" s="107">
        <v>417</v>
      </c>
      <c r="D30" s="23" t="str">
        <f>VLOOKUP(C30,PLANILLA,2,FALSE)</f>
        <v xml:space="preserve">MONTERO Santiago </v>
      </c>
      <c r="E30" s="24" t="str">
        <f>VLOOKUP(C30,PLANILLA,4,FALSE)</f>
        <v>CCDR SAN JOSÉ</v>
      </c>
      <c r="F30" s="3"/>
      <c r="G30" s="15"/>
      <c r="H30" s="3"/>
      <c r="I30" s="25"/>
      <c r="J30" s="33"/>
      <c r="K30" s="22"/>
      <c r="L30" s="22"/>
      <c r="M30" s="34"/>
      <c r="N30" s="26"/>
      <c r="O30" s="3"/>
      <c r="P30" s="3"/>
      <c r="Q30" s="39"/>
      <c r="R30" s="16"/>
      <c r="S30" s="3"/>
      <c r="T30" s="15"/>
      <c r="U30" s="39"/>
      <c r="V30" s="16">
        <f>IFERROR(VLOOKUP(C30,RESXCC_1,9,FALSE),0)</f>
        <v>13</v>
      </c>
      <c r="W30" s="15">
        <f>IFERROR(VLOOKUP(V30,'Puntos XCC Mayor'!$A$1:$B$15,2,FALSE),0)</f>
        <v>3</v>
      </c>
      <c r="X30" s="15">
        <f>IFERROR(VLOOKUP(C30,RESXCO,9,FALSE),0)</f>
        <v>12</v>
      </c>
      <c r="Y30" s="25">
        <f>IFERROR(VLOOKUP(X30,'Puntos XCO'!$A$1:$B$63,2,FALSE),0)</f>
        <v>74</v>
      </c>
      <c r="Z30" s="27">
        <f>G30+I30+K30+M30+O30+Q30+S30+U30+W30+Y30</f>
        <v>77</v>
      </c>
      <c r="AB30" s="2"/>
      <c r="AC30" s="13"/>
      <c r="AD30" s="12"/>
      <c r="AE30" s="14"/>
    </row>
    <row r="31" spans="1:31" ht="24.95" customHeight="1">
      <c r="A31" s="22">
        <v>17</v>
      </c>
      <c r="B31" s="22">
        <v>13</v>
      </c>
      <c r="C31" s="22">
        <v>408</v>
      </c>
      <c r="D31" s="23" t="str">
        <f>VLOOKUP(C31,PLANILLA,2,FALSE)</f>
        <v>ARAYA Ian Adrian*</v>
      </c>
      <c r="E31" s="24" t="str">
        <f>VLOOKUP(C31,PLANILLA,4,FALSE)</f>
        <v>CCDR CARTAGO</v>
      </c>
      <c r="F31" s="3"/>
      <c r="G31" s="15"/>
      <c r="H31" s="3"/>
      <c r="I31" s="25"/>
      <c r="J31" s="33">
        <v>7</v>
      </c>
      <c r="K31" s="22">
        <v>4</v>
      </c>
      <c r="L31" s="22">
        <v>0</v>
      </c>
      <c r="M31" s="34">
        <v>0</v>
      </c>
      <c r="N31" s="26"/>
      <c r="O31" s="3">
        <f>IFERROR(VLOOKUP(N31,'Puntos XCC Menor'!$A$1:$B$15,2,FALSE),0)</f>
        <v>0</v>
      </c>
      <c r="P31" s="3">
        <v>0</v>
      </c>
      <c r="Q31" s="39">
        <f>IFERROR(VLOOKUP(P31,'Puntos XCO'!$A$1:$B$63,2,FALSE),0)</f>
        <v>0</v>
      </c>
      <c r="R31" s="16">
        <v>0</v>
      </c>
      <c r="S31" s="3">
        <f>IFERROR(VLOOKUP(R31,'Puntos XCC Menor'!$A$1:$B$15,2,FALSE),0)</f>
        <v>0</v>
      </c>
      <c r="T31" s="15">
        <v>0</v>
      </c>
      <c r="U31" s="39">
        <f>IFERROR(VLOOKUP(T31,'Puntos XCO'!$A$1:$B$63,2,FALSE),0)</f>
        <v>0</v>
      </c>
      <c r="V31" s="16">
        <f>IFERROR(VLOOKUP(C31,RESXCC_1,9,FALSE),0)</f>
        <v>0</v>
      </c>
      <c r="W31" s="15">
        <f>IFERROR(VLOOKUP(V31,'Puntos XCC Mayor'!$A$1:$B$15,2,FALSE),0)</f>
        <v>0</v>
      </c>
      <c r="X31" s="15">
        <f>IFERROR(VLOOKUP(C31,RESXCO,9,FALSE),0)</f>
        <v>0</v>
      </c>
      <c r="Y31" s="25">
        <f>IFERROR(VLOOKUP(X31,'Puntos XCO'!$A$1:$B$63,2,FALSE),0)</f>
        <v>0</v>
      </c>
      <c r="Z31" s="27">
        <f>G31+I31+K31+M31+O31+Q31+S31+U31+W31+Y31</f>
        <v>4</v>
      </c>
      <c r="AB31" s="2"/>
      <c r="AC31" s="13"/>
      <c r="AD31" s="12"/>
      <c r="AE31" s="14"/>
    </row>
    <row r="32" spans="1:31" ht="24.95" customHeight="1">
      <c r="A32" s="22"/>
      <c r="B32" s="22"/>
      <c r="C32" s="22">
        <v>414</v>
      </c>
      <c r="D32" s="23" t="str">
        <f>VLOOKUP(C32,PLANILLA,2,FALSE)</f>
        <v>HERNÁNDEZ  Mateo</v>
      </c>
      <c r="E32" s="24" t="str">
        <f>VLOOKUP(C32,PLANILLA,4,FALSE)</f>
        <v xml:space="preserve">CODEA ALAJUELA </v>
      </c>
      <c r="F32" s="3"/>
      <c r="G32" s="15"/>
      <c r="H32" s="3"/>
      <c r="I32" s="25"/>
      <c r="J32" s="33"/>
      <c r="K32" s="22"/>
      <c r="L32" s="22"/>
      <c r="M32" s="34"/>
      <c r="N32" s="26"/>
      <c r="O32" s="3"/>
      <c r="P32" s="3"/>
      <c r="Q32" s="39"/>
      <c r="R32" s="16">
        <v>0</v>
      </c>
      <c r="S32" s="3">
        <f>IFERROR(VLOOKUP(R32,'Puntos XCC Menor'!$A$1:$B$15,2,FALSE),0)</f>
        <v>0</v>
      </c>
      <c r="T32" s="15">
        <v>0</v>
      </c>
      <c r="U32" s="39">
        <f>IFERROR(VLOOKUP(T32,'Puntos XCO'!$A$1:$B$63,2,FALSE),0)</f>
        <v>0</v>
      </c>
      <c r="V32" s="16">
        <f>IFERROR(VLOOKUP(C32,RESXCC_1,9,FALSE),0)</f>
        <v>0</v>
      </c>
      <c r="W32" s="15">
        <f>IFERROR(VLOOKUP(V32,'Puntos XCC Mayor'!$A$1:$B$15,2,FALSE),0)</f>
        <v>0</v>
      </c>
      <c r="X32" s="15">
        <f>IFERROR(VLOOKUP(C32,RESXCO,9,FALSE),0)</f>
        <v>0</v>
      </c>
      <c r="Y32" s="25">
        <f>IFERROR(VLOOKUP(X32,'Puntos XCO'!$A$1:$B$63,2,FALSE),0)</f>
        <v>0</v>
      </c>
      <c r="Z32" s="27">
        <f>G32+I32+K32+M32+O32+Q32+S32+U32+W32+Y32</f>
        <v>0</v>
      </c>
      <c r="AB32" s="2"/>
      <c r="AC32" s="13"/>
      <c r="AD32" s="12"/>
      <c r="AE32" s="14"/>
    </row>
    <row r="33" spans="1:31" ht="24.95" customHeight="1">
      <c r="A33" s="22"/>
      <c r="B33" s="22"/>
      <c r="C33" s="107">
        <v>418</v>
      </c>
      <c r="D33" s="23" t="str">
        <f>VLOOKUP(C33,PLANILLA,2,FALSE)</f>
        <v xml:space="preserve">ALVARADO  Julián </v>
      </c>
      <c r="E33" s="24" t="str">
        <f>VLOOKUP(C33,PLANILLA,4,FALSE)</f>
        <v xml:space="preserve">MONTEVERDE </v>
      </c>
      <c r="F33" s="3"/>
      <c r="G33" s="15"/>
      <c r="H33" s="3"/>
      <c r="I33" s="25"/>
      <c r="J33" s="33"/>
      <c r="K33" s="22"/>
      <c r="L33" s="22"/>
      <c r="M33" s="34"/>
      <c r="N33" s="26"/>
      <c r="O33" s="3"/>
      <c r="P33" s="3"/>
      <c r="Q33" s="39"/>
      <c r="R33" s="16"/>
      <c r="S33" s="3"/>
      <c r="T33" s="15"/>
      <c r="U33" s="39"/>
      <c r="V33" s="16">
        <f>IFERROR(VLOOKUP(C33,RESXCC_1,9,FALSE),0)</f>
        <v>0</v>
      </c>
      <c r="W33" s="15">
        <f>IFERROR(VLOOKUP(V33,'Puntos XCC Mayor'!$A$1:$B$15,2,FALSE),0)</f>
        <v>0</v>
      </c>
      <c r="X33" s="15">
        <f>IFERROR(VLOOKUP(C33,RESXCO,9,FALSE),0)</f>
        <v>0</v>
      </c>
      <c r="Y33" s="25">
        <f>IFERROR(VLOOKUP(X33,'Puntos XCO'!$A$1:$B$63,2,FALSE),0)</f>
        <v>0</v>
      </c>
      <c r="Z33" s="27">
        <f>G33+I33+K33+M33+O33+Q33+S33+U33+W33+Y33</f>
        <v>0</v>
      </c>
      <c r="AB33" s="2"/>
      <c r="AC33" s="13"/>
      <c r="AD33" s="12"/>
      <c r="AE33" s="14"/>
    </row>
    <row r="34" spans="1:31" ht="24.95" customHeight="1">
      <c r="A34" s="3"/>
      <c r="B34" s="3"/>
      <c r="C34" s="22"/>
      <c r="D34" s="23"/>
      <c r="E34" s="24"/>
      <c r="F34" s="3"/>
      <c r="G34" s="15"/>
      <c r="H34" s="15"/>
      <c r="I34" s="25"/>
      <c r="J34" s="33"/>
      <c r="K34" s="22"/>
      <c r="L34" s="22"/>
      <c r="M34" s="34"/>
      <c r="N34" s="16"/>
      <c r="O34" s="15"/>
      <c r="P34" s="3"/>
      <c r="Q34" s="25"/>
      <c r="R34" s="16"/>
      <c r="S34" s="15"/>
      <c r="T34" s="15"/>
      <c r="U34" s="25"/>
      <c r="V34" s="16"/>
      <c r="W34" s="15"/>
      <c r="X34" s="15"/>
      <c r="Y34" s="25"/>
      <c r="Z34" s="27"/>
      <c r="AB34" s="3"/>
    </row>
    <row r="35" spans="1:3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74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spans="1:31">
      <c r="M36" s="9"/>
      <c r="N36" s="9"/>
      <c r="O36" s="9"/>
      <c r="P36" s="10"/>
      <c r="Q36" s="9"/>
      <c r="R36" s="9"/>
      <c r="S36" s="9"/>
      <c r="T36" s="9"/>
      <c r="U36" s="9"/>
    </row>
    <row r="37" spans="1:31" ht="127.5" customHeight="1"/>
    <row r="38" spans="1:3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74"/>
      <c r="Q38" s="65"/>
      <c r="R38" s="65"/>
      <c r="S38" s="65"/>
      <c r="T38" s="65"/>
      <c r="U38" s="65"/>
      <c r="V38" s="65"/>
      <c r="W38" s="65"/>
      <c r="X38" s="65"/>
      <c r="Y38" s="65"/>
      <c r="Z38" s="65"/>
    </row>
  </sheetData>
  <sortState ref="B15:Z33">
    <sortCondition descending="1" ref="Z15:Z33"/>
  </sortState>
  <mergeCells count="10">
    <mergeCell ref="A8:Z8"/>
    <mergeCell ref="A10:Z10"/>
    <mergeCell ref="A11:Z11"/>
    <mergeCell ref="A13:B13"/>
    <mergeCell ref="F13:I13"/>
    <mergeCell ref="J13:M13"/>
    <mergeCell ref="N13:Q13"/>
    <mergeCell ref="R13:U13"/>
    <mergeCell ref="V13:Y13"/>
    <mergeCell ref="Z13:Z14"/>
  </mergeCells>
  <conditionalFormatting sqref="C35:C65513 C1:C9 C12:C14">
    <cfRule type="duplicateValues" dxfId="416" priority="20" stopIfTrue="1"/>
  </conditionalFormatting>
  <conditionalFormatting sqref="F34">
    <cfRule type="duplicateValues" dxfId="415" priority="23" stopIfTrue="1"/>
  </conditionalFormatting>
  <conditionalFormatting sqref="B34">
    <cfRule type="duplicateValues" dxfId="414" priority="24" stopIfTrue="1"/>
  </conditionalFormatting>
  <conditionalFormatting sqref="C34">
    <cfRule type="duplicateValues" dxfId="413" priority="25"/>
  </conditionalFormatting>
  <conditionalFormatting sqref="C11">
    <cfRule type="duplicateValues" dxfId="412" priority="6" stopIfTrue="1"/>
  </conditionalFormatting>
  <conditionalFormatting sqref="C10">
    <cfRule type="duplicateValues" dxfId="411" priority="3" stopIfTrue="1"/>
  </conditionalFormatting>
  <conditionalFormatting sqref="C15:C28">
    <cfRule type="duplicateValues" dxfId="410" priority="7"/>
  </conditionalFormatting>
  <conditionalFormatting sqref="C11">
    <cfRule type="duplicateValues" dxfId="409" priority="5" stopIfTrue="1"/>
  </conditionalFormatting>
  <conditionalFormatting sqref="D11">
    <cfRule type="duplicateValues" dxfId="408" priority="4" stopIfTrue="1"/>
  </conditionalFormatting>
  <conditionalFormatting sqref="C10">
    <cfRule type="duplicateValues" dxfId="407" priority="2" stopIfTrue="1"/>
  </conditionalFormatting>
  <conditionalFormatting sqref="AB15:AB34">
    <cfRule type="duplicateValues" dxfId="406" priority="7846"/>
  </conditionalFormatting>
  <conditionalFormatting sqref="C29:C33">
    <cfRule type="duplicateValues" dxfId="405" priority="1"/>
  </conditionalFormatting>
  <pageMargins left="0.70866141732283472" right="0.70866141732283472" top="0.74803149606299213" bottom="0.74803149606299213" header="0.31496062992125984" footer="0.31496062992125984"/>
  <pageSetup paperSize="9" scale="50" fitToHeight="2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0">
    <pageSetUpPr fitToPage="1"/>
  </sheetPr>
  <dimension ref="A8:AE38"/>
  <sheetViews>
    <sheetView showGridLines="0" topLeftCell="A15" zoomScale="70" zoomScaleNormal="70" zoomScaleSheetLayoutView="90" workbookViewId="0">
      <selection activeCell="A15" sqref="A15:A32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11" style="2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26.25">
      <c r="A8" s="118" t="s">
        <v>57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20.100000000000001" customHeight="1">
      <c r="A13" s="125" t="s">
        <v>0</v>
      </c>
      <c r="B13" s="125"/>
      <c r="C13" s="65"/>
      <c r="D13" s="65"/>
      <c r="E13" s="66"/>
      <c r="F13" s="125">
        <v>1</v>
      </c>
      <c r="G13" s="125"/>
      <c r="H13" s="125"/>
      <c r="I13" s="126"/>
      <c r="J13" s="127">
        <v>2</v>
      </c>
      <c r="K13" s="125"/>
      <c r="L13" s="125"/>
      <c r="M13" s="126"/>
      <c r="N13" s="127">
        <v>3</v>
      </c>
      <c r="O13" s="125"/>
      <c r="P13" s="125"/>
      <c r="Q13" s="126"/>
      <c r="R13" s="127">
        <v>4</v>
      </c>
      <c r="S13" s="125"/>
      <c r="T13" s="125"/>
      <c r="U13" s="126"/>
      <c r="V13" s="127">
        <v>5</v>
      </c>
      <c r="W13" s="125"/>
      <c r="X13" s="125"/>
      <c r="Y13" s="126"/>
      <c r="Z13" s="117" t="s">
        <v>47</v>
      </c>
    </row>
    <row r="14" spans="1:31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117"/>
    </row>
    <row r="15" spans="1:31" ht="24.95" customHeight="1">
      <c r="A15" s="22">
        <v>1</v>
      </c>
      <c r="B15" s="22">
        <v>1</v>
      </c>
      <c r="C15" s="22">
        <v>581</v>
      </c>
      <c r="D15" s="23" t="str">
        <f>VLOOKUP(C15,PLANILLA,2,FALSE)</f>
        <v xml:space="preserve">CALDERÓN  Ariana </v>
      </c>
      <c r="E15" s="24" t="str">
        <f>VLOOKUP(C15,PLANILLA,4,FALSE)</f>
        <v xml:space="preserve">COLONO BIKE STATION KOLBI </v>
      </c>
      <c r="F15" s="3">
        <v>1</v>
      </c>
      <c r="G15" s="15">
        <v>10</v>
      </c>
      <c r="H15" s="3">
        <v>1</v>
      </c>
      <c r="I15" s="25">
        <v>200</v>
      </c>
      <c r="J15" s="33">
        <v>1</v>
      </c>
      <c r="K15" s="22">
        <v>10</v>
      </c>
      <c r="L15" s="22">
        <v>1</v>
      </c>
      <c r="M15" s="34">
        <v>200</v>
      </c>
      <c r="N15" s="26"/>
      <c r="O15" s="3">
        <f>IFERROR(VLOOKUP(N15,'Puntos XCC Menor'!$A$1:$B$15,2,FALSE),0)</f>
        <v>0</v>
      </c>
      <c r="P15" s="3">
        <v>1</v>
      </c>
      <c r="Q15" s="39">
        <f>IFERROR(VLOOKUP(P15,'Puntos XCO'!$A$1:$B$63,2,FALSE),0)</f>
        <v>200</v>
      </c>
      <c r="R15" s="16">
        <v>1</v>
      </c>
      <c r="S15" s="3">
        <f>IFERROR(VLOOKUP(R15,'Puntos XCC Menor'!$A$1:$B$15,2,FALSE),0)</f>
        <v>10</v>
      </c>
      <c r="T15" s="15">
        <v>1</v>
      </c>
      <c r="U15" s="39">
        <f>IFERROR(VLOOKUP(T15,'Puntos XCO'!$A$1:$B$63,2,FALSE),0)</f>
        <v>200</v>
      </c>
      <c r="V15" s="16">
        <f>IFERROR(VLOOKUP(C15,RESXCC_1,9,FALSE),0)</f>
        <v>1</v>
      </c>
      <c r="W15" s="15">
        <f>IFERROR(VLOOKUP(V15,'Puntos XCC Mayor'!$A$1:$B$15,2,FALSE),0)</f>
        <v>25</v>
      </c>
      <c r="X15" s="15">
        <f>IFERROR(VLOOKUP(C15,RESXCO,9,FALSE),0)</f>
        <v>1</v>
      </c>
      <c r="Y15" s="25">
        <f>IFERROR(VLOOKUP(X15,'Puntos XCO'!$A$1:$B$63,2,FALSE),0)</f>
        <v>200</v>
      </c>
      <c r="Z15" s="27">
        <f>G15+I15+K15+M15+O15+Q15+S15+U15+W15+Y15</f>
        <v>1055</v>
      </c>
      <c r="AB15" s="2"/>
      <c r="AC15" s="13"/>
      <c r="AD15" s="12"/>
      <c r="AE15" s="14"/>
    </row>
    <row r="16" spans="1:31" ht="24.95" customHeight="1">
      <c r="A16" s="22">
        <v>2</v>
      </c>
      <c r="B16" s="22">
        <v>2</v>
      </c>
      <c r="C16" s="22">
        <v>583</v>
      </c>
      <c r="D16" s="23" t="str">
        <f>VLOOKUP(C16,PLANILLA,2,FALSE)</f>
        <v xml:space="preserve">MARCHENA  Shelly </v>
      </c>
      <c r="E16" s="24" t="str">
        <f>VLOOKUP(C16,PLANILLA,4,FALSE)</f>
        <v xml:space="preserve">CCDRESCAZU </v>
      </c>
      <c r="F16" s="3">
        <v>3</v>
      </c>
      <c r="G16" s="15">
        <v>8</v>
      </c>
      <c r="H16" s="3">
        <v>3</v>
      </c>
      <c r="I16" s="25">
        <v>120</v>
      </c>
      <c r="J16" s="33">
        <v>7</v>
      </c>
      <c r="K16" s="22">
        <v>0</v>
      </c>
      <c r="L16" s="22">
        <v>2</v>
      </c>
      <c r="M16" s="34">
        <v>150</v>
      </c>
      <c r="N16" s="26"/>
      <c r="O16" s="3">
        <f>IFERROR(VLOOKUP(N16,'Puntos XCC Menor'!$A$1:$B$15,2,FALSE),0)</f>
        <v>0</v>
      </c>
      <c r="P16" s="3">
        <v>4</v>
      </c>
      <c r="Q16" s="39">
        <f>IFERROR(VLOOKUP(P16,'Puntos XCO'!$A$1:$B$63,2,FALSE),0)</f>
        <v>110</v>
      </c>
      <c r="R16" s="16">
        <v>2</v>
      </c>
      <c r="S16" s="3">
        <f>IFERROR(VLOOKUP(R16,'Puntos XCC Menor'!$A$1:$B$15,2,FALSE),0)</f>
        <v>9</v>
      </c>
      <c r="T16" s="15">
        <v>2</v>
      </c>
      <c r="U16" s="39">
        <f>IFERROR(VLOOKUP(T16,'Puntos XCO'!$A$1:$B$63,2,FALSE),0)</f>
        <v>150</v>
      </c>
      <c r="V16" s="16">
        <f>IFERROR(VLOOKUP(C16,RESXCC_1,9,FALSE),0)</f>
        <v>4</v>
      </c>
      <c r="W16" s="15">
        <f>IFERROR(VLOOKUP(V16,'Puntos XCC Mayor'!$A$1:$B$15,2,FALSE),0)</f>
        <v>14</v>
      </c>
      <c r="X16" s="15">
        <f>IFERROR(VLOOKUP(C16,RESXCO,9,FALSE),0)</f>
        <v>4</v>
      </c>
      <c r="Y16" s="25">
        <f>IFERROR(VLOOKUP(X16,'Puntos XCO'!$A$1:$B$63,2,FALSE),0)</f>
        <v>110</v>
      </c>
      <c r="Z16" s="27">
        <f>G16+I16+K16+M16+O16+Q16+S16+U16+W16+Y16</f>
        <v>671</v>
      </c>
      <c r="AB16" s="2"/>
      <c r="AC16" s="13"/>
      <c r="AD16" s="12"/>
      <c r="AE16" s="14"/>
    </row>
    <row r="17" spans="1:31" ht="24.95" customHeight="1">
      <c r="A17" s="22">
        <v>3</v>
      </c>
      <c r="B17" s="22">
        <v>3</v>
      </c>
      <c r="C17" s="22">
        <v>584</v>
      </c>
      <c r="D17" s="23" t="str">
        <f>VLOOKUP(C17,PLANILLA,2,FALSE)</f>
        <v>CRUZ Monica*</v>
      </c>
      <c r="E17" s="24" t="str">
        <f>VLOOKUP(C17,PLANILLA,4,FALSE)</f>
        <v>SCOTT SHIMANO CYCLING TEAM</v>
      </c>
      <c r="F17" s="3">
        <v>4</v>
      </c>
      <c r="G17" s="15">
        <v>7</v>
      </c>
      <c r="H17" s="3">
        <v>2</v>
      </c>
      <c r="I17" s="25">
        <v>150</v>
      </c>
      <c r="J17" s="33">
        <v>9</v>
      </c>
      <c r="K17" s="22">
        <v>0</v>
      </c>
      <c r="L17" s="22">
        <v>3</v>
      </c>
      <c r="M17" s="34">
        <v>120</v>
      </c>
      <c r="N17" s="26"/>
      <c r="O17" s="3">
        <f>IFERROR(VLOOKUP(N17,'Puntos XCC Menor'!$A$1:$B$15,2,FALSE),0)</f>
        <v>0</v>
      </c>
      <c r="P17" s="3">
        <v>3</v>
      </c>
      <c r="Q17" s="39">
        <f>IFERROR(VLOOKUP(P17,'Puntos XCO'!$A$1:$B$63,2,FALSE),0)</f>
        <v>120</v>
      </c>
      <c r="R17" s="16">
        <v>3</v>
      </c>
      <c r="S17" s="3">
        <f>IFERROR(VLOOKUP(R17,'Puntos XCC Menor'!$A$1:$B$15,2,FALSE),0)</f>
        <v>8</v>
      </c>
      <c r="T17" s="15">
        <v>3</v>
      </c>
      <c r="U17" s="39">
        <f>IFERROR(VLOOKUP(T17,'Puntos XCO'!$A$1:$B$63,2,FALSE),0)</f>
        <v>120</v>
      </c>
      <c r="V17" s="16">
        <f>IFERROR(VLOOKUP(C17,RESXCC_1,9,FALSE),0)</f>
        <v>2</v>
      </c>
      <c r="W17" s="15">
        <f>IFERROR(VLOOKUP(V17,'Puntos XCC Mayor'!$A$1:$B$15,2,FALSE),0)</f>
        <v>20</v>
      </c>
      <c r="X17" s="15">
        <f>IFERROR(VLOOKUP(C17,RESXCO,9,FALSE),0)</f>
        <v>3</v>
      </c>
      <c r="Y17" s="25">
        <f>IFERROR(VLOOKUP(X17,'Puntos XCO'!$A$1:$B$63,2,FALSE),0)</f>
        <v>120</v>
      </c>
      <c r="Z17" s="27">
        <f>G17+I17+K17+M17+O17+Q17+S17+U17+W17+Y17</f>
        <v>665</v>
      </c>
      <c r="AB17" s="2"/>
      <c r="AC17" s="13"/>
      <c r="AD17" s="12"/>
      <c r="AE17" s="14"/>
    </row>
    <row r="18" spans="1:31" ht="24.95" customHeight="1">
      <c r="A18" s="22">
        <v>4</v>
      </c>
      <c r="B18" s="22">
        <v>4</v>
      </c>
      <c r="C18" s="22">
        <v>582</v>
      </c>
      <c r="D18" s="23" t="str">
        <f>VLOOKUP(C18,PLANILLA,2,FALSE)</f>
        <v>TORRES Camila</v>
      </c>
      <c r="E18" s="24" t="str">
        <f>VLOOKUP(C18,PLANILLA,4,FALSE)</f>
        <v>CCDRESCAZU</v>
      </c>
      <c r="F18" s="3">
        <v>2</v>
      </c>
      <c r="G18" s="15">
        <v>9</v>
      </c>
      <c r="H18" s="3">
        <v>6</v>
      </c>
      <c r="I18" s="25">
        <v>95</v>
      </c>
      <c r="J18" s="33">
        <v>2</v>
      </c>
      <c r="K18" s="22">
        <v>0</v>
      </c>
      <c r="L18" s="22">
        <v>6</v>
      </c>
      <c r="M18" s="34">
        <v>95</v>
      </c>
      <c r="N18" s="26"/>
      <c r="O18" s="3">
        <f>IFERROR(VLOOKUP(N18,'Puntos XCC Menor'!$A$1:$B$15,2,FALSE),0)</f>
        <v>0</v>
      </c>
      <c r="P18" s="3">
        <v>2</v>
      </c>
      <c r="Q18" s="39">
        <f>IFERROR(VLOOKUP(P18,'Puntos XCO'!$A$1:$B$63,2,FALSE),0)</f>
        <v>150</v>
      </c>
      <c r="R18" s="16">
        <v>4</v>
      </c>
      <c r="S18" s="3">
        <f>IFERROR(VLOOKUP(R18,'Puntos XCC Menor'!$A$1:$B$15,2,FALSE),0)</f>
        <v>7</v>
      </c>
      <c r="T18" s="15">
        <v>4</v>
      </c>
      <c r="U18" s="39">
        <f>IFERROR(VLOOKUP(T18,'Puntos XCO'!$A$1:$B$63,2,FALSE),0)</f>
        <v>110</v>
      </c>
      <c r="V18" s="16">
        <f>IFERROR(VLOOKUP(C18,RESXCC_1,9,FALSE),0)</f>
        <v>3</v>
      </c>
      <c r="W18" s="15">
        <f>IFERROR(VLOOKUP(V18,'Puntos XCC Mayor'!$A$1:$B$15,2,FALSE),0)</f>
        <v>16</v>
      </c>
      <c r="X18" s="15">
        <f>IFERROR(VLOOKUP(C18,RESXCO,9,FALSE),0)</f>
        <v>2</v>
      </c>
      <c r="Y18" s="25">
        <f>IFERROR(VLOOKUP(X18,'Puntos XCO'!$A$1:$B$63,2,FALSE),0)</f>
        <v>150</v>
      </c>
      <c r="Z18" s="27">
        <f>G18+I18+K18+M18+O18+Q18+S18+U18+W18+Y18</f>
        <v>632</v>
      </c>
      <c r="AB18" s="2"/>
      <c r="AC18" s="13"/>
      <c r="AD18" s="12"/>
      <c r="AE18" s="14"/>
    </row>
    <row r="19" spans="1:31" ht="24.95" customHeight="1">
      <c r="A19" s="22">
        <v>5</v>
      </c>
      <c r="B19" s="22">
        <v>5</v>
      </c>
      <c r="C19" s="22">
        <v>586</v>
      </c>
      <c r="D19" s="23" t="str">
        <f>VLOOKUP(C19,PLANILLA,2,FALSE)</f>
        <v xml:space="preserve">CORTES  Maríam </v>
      </c>
      <c r="E19" s="24" t="str">
        <f>VLOOKUP(C19,PLANILLA,4,FALSE)</f>
        <v xml:space="preserve">ACISA SARAPIQUI </v>
      </c>
      <c r="F19" s="3">
        <v>6</v>
      </c>
      <c r="G19" s="15">
        <v>5</v>
      </c>
      <c r="H19" s="3">
        <v>4</v>
      </c>
      <c r="I19" s="25">
        <v>110</v>
      </c>
      <c r="J19" s="33">
        <v>3</v>
      </c>
      <c r="K19" s="22">
        <v>0</v>
      </c>
      <c r="L19" s="22">
        <v>8</v>
      </c>
      <c r="M19" s="34">
        <v>85</v>
      </c>
      <c r="N19" s="26"/>
      <c r="O19" s="3">
        <f>IFERROR(VLOOKUP(N19,'Puntos XCC Menor'!$A$1:$B$15,2,FALSE),0)</f>
        <v>0</v>
      </c>
      <c r="P19" s="3">
        <v>0</v>
      </c>
      <c r="Q19" s="39">
        <f>IFERROR(VLOOKUP(P19,'Puntos XCO'!$A$1:$B$63,2,FALSE),0)</f>
        <v>0</v>
      </c>
      <c r="R19" s="16">
        <v>6</v>
      </c>
      <c r="S19" s="3">
        <f>IFERROR(VLOOKUP(R19,'Puntos XCC Menor'!$A$1:$B$15,2,FALSE),0)</f>
        <v>5</v>
      </c>
      <c r="T19" s="15">
        <v>5</v>
      </c>
      <c r="U19" s="39">
        <f>IFERROR(VLOOKUP(T19,'Puntos XCO'!$A$1:$B$63,2,FALSE),0)</f>
        <v>100</v>
      </c>
      <c r="V19" s="16">
        <f>IFERROR(VLOOKUP(C19,RESXCC_1,9,FALSE),0)</f>
        <v>5</v>
      </c>
      <c r="W19" s="15">
        <f>IFERROR(VLOOKUP(V19,'Puntos XCC Mayor'!$A$1:$B$15,2,FALSE),0)</f>
        <v>12</v>
      </c>
      <c r="X19" s="15">
        <f>IFERROR(VLOOKUP(C19,RESXCO,9,FALSE),0)</f>
        <v>6</v>
      </c>
      <c r="Y19" s="25">
        <f>IFERROR(VLOOKUP(X19,'Puntos XCO'!$A$1:$B$63,2,FALSE),0)</f>
        <v>95</v>
      </c>
      <c r="Z19" s="27">
        <f>G19+I19+K19+M19+O19+Q19+S19+U19+W19+Y19</f>
        <v>412</v>
      </c>
      <c r="AB19" s="2"/>
      <c r="AC19" s="13"/>
      <c r="AD19" s="12"/>
      <c r="AE19" s="14"/>
    </row>
    <row r="20" spans="1:31" ht="24.95" customHeight="1">
      <c r="A20" s="22">
        <v>6</v>
      </c>
      <c r="B20" s="22">
        <v>6</v>
      </c>
      <c r="C20" s="22">
        <v>589</v>
      </c>
      <c r="D20" s="23" t="str">
        <f>VLOOKUP(C20,PLANILLA,2,FALSE)</f>
        <v>MUÑOZ  Amy</v>
      </c>
      <c r="E20" s="24" t="str">
        <f>VLOOKUP(C20,PLANILLA,4,FALSE)</f>
        <v xml:space="preserve">ACISA SARAPIQUI </v>
      </c>
      <c r="F20" s="3">
        <v>5</v>
      </c>
      <c r="G20" s="15">
        <v>6</v>
      </c>
      <c r="H20" s="3">
        <v>5</v>
      </c>
      <c r="I20" s="25">
        <v>100</v>
      </c>
      <c r="J20" s="33">
        <v>4</v>
      </c>
      <c r="K20" s="22">
        <v>0</v>
      </c>
      <c r="L20" s="22">
        <v>9</v>
      </c>
      <c r="M20" s="34">
        <v>80</v>
      </c>
      <c r="N20" s="26"/>
      <c r="O20" s="3">
        <f>IFERROR(VLOOKUP(N20,'Puntos XCC Menor'!$A$1:$B$15,2,FALSE),0)</f>
        <v>0</v>
      </c>
      <c r="P20" s="3">
        <v>0</v>
      </c>
      <c r="Q20" s="39">
        <f>IFERROR(VLOOKUP(P20,'Puntos XCO'!$A$1:$B$63,2,FALSE),0)</f>
        <v>0</v>
      </c>
      <c r="R20" s="16">
        <v>5</v>
      </c>
      <c r="S20" s="3">
        <f>IFERROR(VLOOKUP(R20,'Puntos XCC Menor'!$A$1:$B$15,2,FALSE),0)</f>
        <v>6</v>
      </c>
      <c r="T20" s="15">
        <v>6</v>
      </c>
      <c r="U20" s="39">
        <f>IFERROR(VLOOKUP(T20,'Puntos XCO'!$A$1:$B$63,2,FALSE),0)</f>
        <v>95</v>
      </c>
      <c r="V20" s="16">
        <f>IFERROR(VLOOKUP(C20,RESXCC_1,9,FALSE),0)</f>
        <v>7</v>
      </c>
      <c r="W20" s="15">
        <f>IFERROR(VLOOKUP(V20,'Puntos XCC Mayor'!$A$1:$B$15,2,FALSE),0)</f>
        <v>9</v>
      </c>
      <c r="X20" s="15">
        <f>IFERROR(VLOOKUP(C20,RESXCO,9,FALSE),0)</f>
        <v>9</v>
      </c>
      <c r="Y20" s="25">
        <f>IFERROR(VLOOKUP(X20,'Puntos XCO'!$A$1:$B$63,2,FALSE),0)</f>
        <v>80</v>
      </c>
      <c r="Z20" s="27">
        <f>G20+I20+K20+M20+O20+Q20+S20+U20+W20+Y20</f>
        <v>376</v>
      </c>
      <c r="AB20" s="2"/>
      <c r="AC20" s="13"/>
      <c r="AD20" s="12"/>
      <c r="AE20" s="14"/>
    </row>
    <row r="21" spans="1:31" ht="24.95" customHeight="1">
      <c r="A21" s="22">
        <v>7</v>
      </c>
      <c r="B21" s="22">
        <v>8</v>
      </c>
      <c r="C21" s="22">
        <v>588</v>
      </c>
      <c r="D21" s="23" t="str">
        <f>VLOOKUP(C21,PLANILLA,2,FALSE)</f>
        <v xml:space="preserve">PIZARRO  Keysi </v>
      </c>
      <c r="E21" s="24" t="str">
        <f>VLOOKUP(C21,PLANILLA,4,FALSE)</f>
        <v xml:space="preserve">ACISA SARAPIQUI </v>
      </c>
      <c r="F21" s="3">
        <v>0</v>
      </c>
      <c r="G21" s="15">
        <v>0</v>
      </c>
      <c r="H21" s="3">
        <v>8</v>
      </c>
      <c r="I21" s="25">
        <v>85</v>
      </c>
      <c r="J21" s="33">
        <v>6</v>
      </c>
      <c r="K21" s="22">
        <v>0</v>
      </c>
      <c r="L21" s="22">
        <v>13</v>
      </c>
      <c r="M21" s="34">
        <v>72</v>
      </c>
      <c r="N21" s="26"/>
      <c r="O21" s="3">
        <f>IFERROR(VLOOKUP(N21,'Puntos XCC Menor'!$A$1:$B$15,2,FALSE),0)</f>
        <v>0</v>
      </c>
      <c r="P21" s="3">
        <v>0</v>
      </c>
      <c r="Q21" s="39">
        <f>IFERROR(VLOOKUP(P21,'Puntos XCO'!$A$1:$B$63,2,FALSE),0)</f>
        <v>0</v>
      </c>
      <c r="R21" s="16">
        <v>0</v>
      </c>
      <c r="S21" s="3">
        <f>IFERROR(VLOOKUP(R21,'Puntos XCC Menor'!$A$1:$B$15,2,FALSE),0)</f>
        <v>0</v>
      </c>
      <c r="T21" s="15">
        <v>8</v>
      </c>
      <c r="U21" s="39">
        <f>IFERROR(VLOOKUP(T21,'Puntos XCO'!$A$1:$B$63,2,FALSE),0)</f>
        <v>85</v>
      </c>
      <c r="V21" s="16">
        <f>IFERROR(VLOOKUP(C21,RESXCC_1,9,FALSE),0)</f>
        <v>8</v>
      </c>
      <c r="W21" s="15">
        <f>IFERROR(VLOOKUP(V21,'Puntos XCC Mayor'!$A$1:$B$15,2,FALSE),0)</f>
        <v>8</v>
      </c>
      <c r="X21" s="15">
        <f>IFERROR(VLOOKUP(C21,RESXCO,9,FALSE),0)</f>
        <v>7</v>
      </c>
      <c r="Y21" s="25">
        <f>IFERROR(VLOOKUP(X21,'Puntos XCO'!$A$1:$B$63,2,FALSE),0)</f>
        <v>90</v>
      </c>
      <c r="Z21" s="27">
        <f>G21+I21+K21+M21+O21+Q21+S21+U21+W21+Y21</f>
        <v>340</v>
      </c>
      <c r="AB21" s="2"/>
      <c r="AC21" s="13"/>
      <c r="AD21" s="12"/>
      <c r="AE21" s="14"/>
    </row>
    <row r="22" spans="1:31" ht="24.95" customHeight="1">
      <c r="A22" s="22">
        <v>8</v>
      </c>
      <c r="B22" s="22">
        <v>7</v>
      </c>
      <c r="C22" s="22">
        <v>585</v>
      </c>
      <c r="D22" s="23" t="str">
        <f>VLOOKUP(C22,PLANILLA,2,FALSE)</f>
        <v>NÚÑEZ  Ashly*</v>
      </c>
      <c r="E22" s="24" t="str">
        <f>VLOOKUP(C22,PLANILLA,4,FALSE)</f>
        <v xml:space="preserve">DESAMPARADOS BIKE CAFÉ FAST &amp; UP </v>
      </c>
      <c r="F22" s="3">
        <v>0</v>
      </c>
      <c r="G22" s="15">
        <v>0</v>
      </c>
      <c r="H22" s="3">
        <v>7</v>
      </c>
      <c r="I22" s="25">
        <v>90</v>
      </c>
      <c r="J22" s="33">
        <v>8</v>
      </c>
      <c r="K22" s="22">
        <v>0</v>
      </c>
      <c r="L22" s="22">
        <v>5</v>
      </c>
      <c r="M22" s="34">
        <v>100</v>
      </c>
      <c r="N22" s="26"/>
      <c r="O22" s="3">
        <f>IFERROR(VLOOKUP(N22,'Puntos XCC Menor'!$A$1:$B$15,2,FALSE),0)</f>
        <v>0</v>
      </c>
      <c r="P22" s="3">
        <v>0</v>
      </c>
      <c r="Q22" s="39">
        <f>IFERROR(VLOOKUP(P22,'Puntos XCO'!$A$1:$B$63,2,FALSE),0)</f>
        <v>0</v>
      </c>
      <c r="R22" s="16">
        <v>7</v>
      </c>
      <c r="S22" s="3">
        <f>IFERROR(VLOOKUP(R22,'Puntos XCC Menor'!$A$1:$B$15,2,FALSE),0)</f>
        <v>4</v>
      </c>
      <c r="T22" s="15">
        <v>7</v>
      </c>
      <c r="U22" s="39">
        <f>IFERROR(VLOOKUP(T22,'Puntos XCO'!$A$1:$B$63,2,FALSE),0)</f>
        <v>90</v>
      </c>
      <c r="V22" s="16">
        <f>IFERROR(VLOOKUP(C22,RESXCC_1,9,FALSE),0)</f>
        <v>0</v>
      </c>
      <c r="W22" s="15">
        <f>IFERROR(VLOOKUP(V22,'Puntos XCC Mayor'!$A$1:$B$15,2,FALSE),0)</f>
        <v>0</v>
      </c>
      <c r="X22" s="15">
        <f>IFERROR(VLOOKUP(C22,RESXCO,9,FALSE),0)</f>
        <v>0</v>
      </c>
      <c r="Y22" s="25">
        <f>IFERROR(VLOOKUP(X22,'Puntos XCO'!$A$1:$B$63,2,FALSE),0)</f>
        <v>0</v>
      </c>
      <c r="Z22" s="27">
        <f>G22+I22+K22+M22+O22+Q22+S22+U22+W22+Y22</f>
        <v>284</v>
      </c>
      <c r="AB22" s="2"/>
      <c r="AC22" s="13"/>
      <c r="AD22" s="12"/>
      <c r="AE22" s="14"/>
    </row>
    <row r="23" spans="1:31" ht="24.95" customHeight="1">
      <c r="A23" s="22">
        <v>9</v>
      </c>
      <c r="B23" s="22">
        <v>9</v>
      </c>
      <c r="C23" s="22">
        <v>587</v>
      </c>
      <c r="D23" s="23" t="str">
        <f>VLOOKUP(C23,PLANILLA,2,FALSE)</f>
        <v>GUERRERO  Mariangel*</v>
      </c>
      <c r="E23" s="24" t="str">
        <f>VLOOKUP(C23,PLANILLA,4,FALSE)</f>
        <v xml:space="preserve">ACISA SARAPIQUI </v>
      </c>
      <c r="F23" s="3">
        <v>8</v>
      </c>
      <c r="G23" s="15">
        <v>3</v>
      </c>
      <c r="H23" s="3">
        <v>10</v>
      </c>
      <c r="I23" s="25">
        <v>78</v>
      </c>
      <c r="J23" s="33">
        <v>0</v>
      </c>
      <c r="K23" s="22">
        <v>0</v>
      </c>
      <c r="L23" s="22">
        <v>0</v>
      </c>
      <c r="M23" s="34">
        <v>0</v>
      </c>
      <c r="N23" s="26"/>
      <c r="O23" s="3">
        <f>IFERROR(VLOOKUP(N23,'Puntos XCC Menor'!$A$1:$B$15,2,FALSE),0)</f>
        <v>0</v>
      </c>
      <c r="P23" s="3">
        <v>0</v>
      </c>
      <c r="Q23" s="39">
        <f>IFERROR(VLOOKUP(P23,'Puntos XCO'!$A$1:$B$63,2,FALSE),0)</f>
        <v>0</v>
      </c>
      <c r="R23" s="16">
        <v>0</v>
      </c>
      <c r="S23" s="3">
        <f>IFERROR(VLOOKUP(R23,'Puntos XCC Menor'!$A$1:$B$15,2,FALSE),0)</f>
        <v>0</v>
      </c>
      <c r="T23" s="15">
        <v>9</v>
      </c>
      <c r="U23" s="39">
        <f>IFERROR(VLOOKUP(T23,'Puntos XCO'!$A$1:$B$63,2,FALSE),0)</f>
        <v>80</v>
      </c>
      <c r="V23" s="16">
        <f>IFERROR(VLOOKUP(C23,RESXCC_1,9,FALSE),0)</f>
        <v>9</v>
      </c>
      <c r="W23" s="15">
        <f>IFERROR(VLOOKUP(V23,'Puntos XCC Mayor'!$A$1:$B$15,2,FALSE),0)</f>
        <v>7</v>
      </c>
      <c r="X23" s="15">
        <f>IFERROR(VLOOKUP(C23,RESXCO,9,FALSE),0)</f>
        <v>8</v>
      </c>
      <c r="Y23" s="25">
        <f>IFERROR(VLOOKUP(X23,'Puntos XCO'!$A$1:$B$63,2,FALSE),0)</f>
        <v>85</v>
      </c>
      <c r="Z23" s="27">
        <f>G23+I23+K23+M23+O23+Q23+S23+U23+W23+Y23</f>
        <v>253</v>
      </c>
      <c r="AB23" s="2"/>
      <c r="AC23" s="13"/>
      <c r="AD23" s="12"/>
      <c r="AE23" s="14"/>
    </row>
    <row r="24" spans="1:31" ht="24.95" customHeight="1">
      <c r="A24" s="22">
        <v>10</v>
      </c>
      <c r="B24" s="22">
        <v>11</v>
      </c>
      <c r="C24" s="22">
        <v>596</v>
      </c>
      <c r="D24" s="23" t="str">
        <f>VLOOKUP(C24,PLANILLA,2,FALSE)</f>
        <v xml:space="preserve">ZÚÑIGA  María Fernanda </v>
      </c>
      <c r="E24" s="24" t="str">
        <f>VLOOKUP(C24,PLANILLA,4,FALSE)</f>
        <v xml:space="preserve">CCDR SAN JOSÉ </v>
      </c>
      <c r="F24" s="3"/>
      <c r="G24" s="15"/>
      <c r="H24" s="3"/>
      <c r="I24" s="25"/>
      <c r="J24" s="33">
        <v>10</v>
      </c>
      <c r="K24" s="22">
        <v>0</v>
      </c>
      <c r="L24" s="22">
        <v>7</v>
      </c>
      <c r="M24" s="34">
        <v>90</v>
      </c>
      <c r="N24" s="26"/>
      <c r="O24" s="3">
        <f>IFERROR(VLOOKUP(N24,'Puntos XCC Menor'!$A$1:$B$15,2,FALSE),0)</f>
        <v>0</v>
      </c>
      <c r="P24" s="3">
        <v>0</v>
      </c>
      <c r="Q24" s="39">
        <f>IFERROR(VLOOKUP(P24,'Puntos XCO'!$A$1:$B$63,2,FALSE),0)</f>
        <v>0</v>
      </c>
      <c r="R24" s="16">
        <v>0</v>
      </c>
      <c r="S24" s="3">
        <f>IFERROR(VLOOKUP(R24,'Puntos XCC Menor'!$A$1:$B$15,2,FALSE),0)</f>
        <v>0</v>
      </c>
      <c r="T24" s="15">
        <v>0</v>
      </c>
      <c r="U24" s="39">
        <f>IFERROR(VLOOKUP(T24,'Puntos XCO'!$A$1:$B$63,2,FALSE),0)</f>
        <v>0</v>
      </c>
      <c r="V24" s="16">
        <f>IFERROR(VLOOKUP(C24,RESXCC_1,9,FALSE),0)</f>
        <v>11</v>
      </c>
      <c r="W24" s="15">
        <f>IFERROR(VLOOKUP(V24,'Puntos XCC Mayor'!$A$1:$B$15,2,FALSE),0)</f>
        <v>5</v>
      </c>
      <c r="X24" s="15">
        <f>IFERROR(VLOOKUP(C24,RESXCO,9,FALSE),0)</f>
        <v>10</v>
      </c>
      <c r="Y24" s="25">
        <f>IFERROR(VLOOKUP(X24,'Puntos XCO'!$A$1:$B$63,2,FALSE),0)</f>
        <v>78</v>
      </c>
      <c r="Z24" s="27">
        <f>G24+I24+K24+M24+O24+Q24+S24+U24+W24+Y24</f>
        <v>173</v>
      </c>
      <c r="AB24" s="2"/>
      <c r="AC24" s="13"/>
      <c r="AD24" s="12"/>
      <c r="AE24" s="14"/>
    </row>
    <row r="25" spans="1:31" ht="24.95" customHeight="1">
      <c r="A25" s="22">
        <v>11</v>
      </c>
      <c r="B25" s="22">
        <v>12</v>
      </c>
      <c r="C25" s="22">
        <v>590</v>
      </c>
      <c r="D25" s="23" t="str">
        <f>VLOOKUP(C25,PLANILLA,2,FALSE)</f>
        <v>VILLALOBOS  Jimena*</v>
      </c>
      <c r="E25" s="24" t="str">
        <f>VLOOKUP(C25,PLANILLA,4,FALSE)</f>
        <v xml:space="preserve">ACISA SARAPIQUI </v>
      </c>
      <c r="F25" s="3">
        <v>7</v>
      </c>
      <c r="G25" s="15">
        <v>4</v>
      </c>
      <c r="H25" s="3">
        <v>9</v>
      </c>
      <c r="I25" s="25">
        <v>80</v>
      </c>
      <c r="J25" s="33">
        <v>12</v>
      </c>
      <c r="K25" s="22">
        <v>0</v>
      </c>
      <c r="L25" s="22">
        <v>0</v>
      </c>
      <c r="M25" s="34">
        <v>0</v>
      </c>
      <c r="N25" s="26"/>
      <c r="O25" s="3">
        <f>IFERROR(VLOOKUP(N25,'Puntos XCC Menor'!$A$1:$B$15,2,FALSE),0)</f>
        <v>0</v>
      </c>
      <c r="P25" s="3">
        <v>0</v>
      </c>
      <c r="Q25" s="39">
        <f>IFERROR(VLOOKUP(P25,'Puntos XCO'!$A$1:$B$63,2,FALSE),0)</f>
        <v>0</v>
      </c>
      <c r="R25" s="16">
        <v>0</v>
      </c>
      <c r="S25" s="3">
        <f>IFERROR(VLOOKUP(R25,'Puntos XCC Menor'!$A$1:$B$15,2,FALSE),0)</f>
        <v>0</v>
      </c>
      <c r="T25" s="15">
        <v>0</v>
      </c>
      <c r="U25" s="39">
        <f>IFERROR(VLOOKUP(T25,'Puntos XCO'!$A$1:$B$63,2,FALSE),0)</f>
        <v>0</v>
      </c>
      <c r="V25" s="16">
        <f>IFERROR(VLOOKUP(C25,RESXCC_1,9,FALSE),0)</f>
        <v>12</v>
      </c>
      <c r="W25" s="15">
        <f>IFERROR(VLOOKUP(V25,'Puntos XCC Mayor'!$A$1:$B$15,2,FALSE),0)</f>
        <v>4</v>
      </c>
      <c r="X25" s="15">
        <f>IFERROR(VLOOKUP(C25,RESXCO,9,FALSE),0)</f>
        <v>12</v>
      </c>
      <c r="Y25" s="25">
        <f>IFERROR(VLOOKUP(X25,'Puntos XCO'!$A$1:$B$63,2,FALSE),0)</f>
        <v>74</v>
      </c>
      <c r="Z25" s="27">
        <f>G25+I25+K25+M25+O25+Q25+S25+U25+W25+Y25</f>
        <v>162</v>
      </c>
      <c r="AB25" s="2"/>
      <c r="AC25" s="13"/>
      <c r="AD25" s="12"/>
      <c r="AE25" s="14"/>
    </row>
    <row r="26" spans="1:31" ht="24.95" customHeight="1">
      <c r="A26" s="22">
        <v>12</v>
      </c>
      <c r="B26" s="22">
        <v>10</v>
      </c>
      <c r="C26" s="22">
        <v>594</v>
      </c>
      <c r="D26" s="23" t="str">
        <f>VLOOKUP(C26,PLANILLA,2,FALSE)</f>
        <v xml:space="preserve">ARAYA Sharon María </v>
      </c>
      <c r="E26" s="24" t="str">
        <f>VLOOKUP(C26,PLANILLA,4,FALSE)</f>
        <v>CCDR CARTAGO</v>
      </c>
      <c r="F26" s="3"/>
      <c r="G26" s="15"/>
      <c r="H26" s="3"/>
      <c r="I26" s="25"/>
      <c r="J26" s="33">
        <v>5</v>
      </c>
      <c r="K26" s="22">
        <v>0</v>
      </c>
      <c r="L26" s="22">
        <v>4</v>
      </c>
      <c r="M26" s="34">
        <v>110</v>
      </c>
      <c r="N26" s="26"/>
      <c r="O26" s="3">
        <f>IFERROR(VLOOKUP(N26,'Puntos XCC Menor'!$A$1:$B$15,2,FALSE),0)</f>
        <v>0</v>
      </c>
      <c r="P26" s="3">
        <v>0</v>
      </c>
      <c r="Q26" s="39">
        <f>IFERROR(VLOOKUP(P26,'Puntos XCO'!$A$1:$B$63,2,FALSE),0)</f>
        <v>0</v>
      </c>
      <c r="R26" s="16">
        <v>0</v>
      </c>
      <c r="S26" s="3">
        <f>IFERROR(VLOOKUP(R26,'Puntos XCC Menor'!$A$1:$B$15,2,FALSE),0)</f>
        <v>0</v>
      </c>
      <c r="T26" s="15">
        <v>0</v>
      </c>
      <c r="U26" s="39">
        <f>IFERROR(VLOOKUP(T26,'Puntos XCO'!$A$1:$B$63,2,FALSE),0)</f>
        <v>0</v>
      </c>
      <c r="V26" s="16">
        <f>IFERROR(VLOOKUP(C26,RESXCC_1,9,FALSE),0)</f>
        <v>0</v>
      </c>
      <c r="W26" s="15">
        <f>IFERROR(VLOOKUP(V26,'Puntos XCC Mayor'!$A$1:$B$15,2,FALSE),0)</f>
        <v>0</v>
      </c>
      <c r="X26" s="15">
        <f>IFERROR(VLOOKUP(C26,RESXCO,9,FALSE),0)</f>
        <v>0</v>
      </c>
      <c r="Y26" s="25">
        <f>IFERROR(VLOOKUP(X26,'Puntos XCO'!$A$1:$B$63,2,FALSE),0)</f>
        <v>0</v>
      </c>
      <c r="Z26" s="27">
        <f>G26+I26+K26+M26+O26+Q26+S26+U26+W26+Y26</f>
        <v>110</v>
      </c>
      <c r="AB26" s="2"/>
      <c r="AC26" s="13"/>
      <c r="AD26" s="12"/>
      <c r="AE26" s="14"/>
    </row>
    <row r="27" spans="1:31" ht="24.95" customHeight="1">
      <c r="A27" s="22">
        <v>13</v>
      </c>
      <c r="B27" s="3"/>
      <c r="C27" s="107">
        <v>599</v>
      </c>
      <c r="D27" s="23" t="str">
        <f>VLOOKUP(C27,PLANILLA,2,FALSE)</f>
        <v>CASTILLO Mariana</v>
      </c>
      <c r="E27" s="24" t="str">
        <f>VLOOKUP(C27,PLANILLA,4,FALSE)</f>
        <v>PZ CYCLING TEAM</v>
      </c>
      <c r="F27" s="3"/>
      <c r="G27" s="15"/>
      <c r="H27" s="3"/>
      <c r="I27" s="25"/>
      <c r="J27" s="33"/>
      <c r="K27" s="22"/>
      <c r="L27" s="22"/>
      <c r="M27" s="34"/>
      <c r="N27" s="26"/>
      <c r="O27" s="3"/>
      <c r="P27" s="3"/>
      <c r="Q27" s="39"/>
      <c r="R27" s="16"/>
      <c r="S27" s="3"/>
      <c r="T27" s="15"/>
      <c r="U27" s="39"/>
      <c r="V27" s="16">
        <f>IFERROR(VLOOKUP(C27,RESXCC_1,9,FALSE),0)</f>
        <v>6</v>
      </c>
      <c r="W27" s="15">
        <f>IFERROR(VLOOKUP(V27,'Puntos XCC Mayor'!$A$1:$B$15,2,FALSE),0)</f>
        <v>10</v>
      </c>
      <c r="X27" s="15">
        <f>IFERROR(VLOOKUP(C27,RESXCO,9,FALSE),0)</f>
        <v>5</v>
      </c>
      <c r="Y27" s="25">
        <f>IFERROR(VLOOKUP(X27,'Puntos XCO'!$A$1:$B$63,2,FALSE),0)</f>
        <v>100</v>
      </c>
      <c r="Z27" s="27">
        <f>G27+I27+K27+M27+O27+Q27+S27+U27+W27+Y27</f>
        <v>110</v>
      </c>
      <c r="AB27" s="2"/>
      <c r="AC27" s="13"/>
      <c r="AD27" s="12"/>
      <c r="AE27" s="14"/>
    </row>
    <row r="28" spans="1:31" ht="24.95" customHeight="1">
      <c r="A28" s="22">
        <v>14</v>
      </c>
      <c r="B28" s="3"/>
      <c r="C28" s="107">
        <v>598</v>
      </c>
      <c r="D28" s="23" t="str">
        <f>VLOOKUP(C28,PLANILLA,2,FALSE)</f>
        <v>ALVARADO Luciana*</v>
      </c>
      <c r="E28" s="24" t="str">
        <f>VLOOKUP(C28,PLANILLA,4,FALSE)</f>
        <v>AYG MANTENIMIENTOS</v>
      </c>
      <c r="F28" s="3"/>
      <c r="G28" s="15"/>
      <c r="H28" s="3"/>
      <c r="I28" s="25"/>
      <c r="J28" s="33"/>
      <c r="K28" s="22"/>
      <c r="L28" s="22"/>
      <c r="M28" s="34"/>
      <c r="N28" s="26"/>
      <c r="O28" s="3"/>
      <c r="P28" s="3"/>
      <c r="Q28" s="39"/>
      <c r="R28" s="16"/>
      <c r="S28" s="3"/>
      <c r="T28" s="15"/>
      <c r="U28" s="39"/>
      <c r="V28" s="16">
        <f>IFERROR(VLOOKUP(C28,RESXCC_1,9,FALSE),0)</f>
        <v>10</v>
      </c>
      <c r="W28" s="15">
        <f>IFERROR(VLOOKUP(V28,'Puntos XCC Mayor'!$A$1:$B$15,2,FALSE),0)</f>
        <v>6</v>
      </c>
      <c r="X28" s="15">
        <f>IFERROR(VLOOKUP(C28,RESXCO,9,FALSE),0)</f>
        <v>11</v>
      </c>
      <c r="Y28" s="25">
        <f>IFERROR(VLOOKUP(X28,'Puntos XCO'!$A$1:$B$63,2,FALSE),0)</f>
        <v>76</v>
      </c>
      <c r="Z28" s="27">
        <f>G28+I28+K28+M28+O28+Q28+S28+U28+W28+Y28</f>
        <v>82</v>
      </c>
      <c r="AB28" s="2"/>
      <c r="AC28" s="13"/>
      <c r="AD28" s="12"/>
      <c r="AE28" s="14"/>
    </row>
    <row r="29" spans="1:31" ht="24.95" customHeight="1">
      <c r="A29" s="22">
        <v>15</v>
      </c>
      <c r="B29" s="22">
        <v>13</v>
      </c>
      <c r="C29" s="22">
        <v>597</v>
      </c>
      <c r="D29" s="23" t="str">
        <f>VLOOKUP(C29,PLANILLA,2,FALSE)</f>
        <v>MORA  Keren*</v>
      </c>
      <c r="E29" s="24" t="str">
        <f>VLOOKUP(C29,PLANILLA,4,FALSE)</f>
        <v>CCDR MATINA CICLO SALAS BATAN</v>
      </c>
      <c r="F29" s="3"/>
      <c r="G29" s="15"/>
      <c r="H29" s="3"/>
      <c r="I29" s="25"/>
      <c r="J29" s="33"/>
      <c r="K29" s="22"/>
      <c r="L29" s="22"/>
      <c r="M29" s="34"/>
      <c r="N29" s="26"/>
      <c r="O29" s="3"/>
      <c r="P29" s="3"/>
      <c r="Q29" s="39"/>
      <c r="R29" s="16">
        <v>8</v>
      </c>
      <c r="S29" s="3">
        <f>IFERROR(VLOOKUP(R29,'Puntos XCC Menor'!$A$1:$B$15,2,FALSE),0)</f>
        <v>3</v>
      </c>
      <c r="T29" s="15">
        <v>10</v>
      </c>
      <c r="U29" s="39">
        <f>IFERROR(VLOOKUP(T29,'Puntos XCO'!$A$1:$B$63,2,FALSE),0)</f>
        <v>78</v>
      </c>
      <c r="V29" s="16">
        <f>IFERROR(VLOOKUP(C29,RESXCC_1,9,FALSE),0)</f>
        <v>0</v>
      </c>
      <c r="W29" s="15">
        <f>IFERROR(VLOOKUP(V29,'Puntos XCC Mayor'!$A$1:$B$15,2,FALSE),0)</f>
        <v>0</v>
      </c>
      <c r="X29" s="15">
        <f>IFERROR(VLOOKUP(C29,RESXCO,9,FALSE),0)</f>
        <v>0</v>
      </c>
      <c r="Y29" s="25">
        <f>IFERROR(VLOOKUP(X29,'Puntos XCO'!$A$1:$B$63,2,FALSE),0)</f>
        <v>0</v>
      </c>
      <c r="Z29" s="27">
        <f>G29+I29+K29+M29+O29+Q29+S29+U29+W29+Y29</f>
        <v>81</v>
      </c>
      <c r="AB29" s="2"/>
      <c r="AC29" s="13"/>
      <c r="AD29" s="12"/>
      <c r="AE29" s="14"/>
    </row>
    <row r="30" spans="1:31" ht="24.95" customHeight="1">
      <c r="A30" s="22">
        <v>16</v>
      </c>
      <c r="B30" s="22">
        <v>14</v>
      </c>
      <c r="C30" s="22">
        <v>592</v>
      </c>
      <c r="D30" s="23" t="str">
        <f>VLOOKUP(C30,PLANILLA,2,FALSE)</f>
        <v xml:space="preserve">ALVARADO  Elena </v>
      </c>
      <c r="E30" s="24" t="str">
        <f>VLOOKUP(C30,PLANILLA,4,FALSE)</f>
        <v xml:space="preserve">ESCUELITA GUIDO BLANCO LIBERIA </v>
      </c>
      <c r="F30" s="3"/>
      <c r="G30" s="15"/>
      <c r="H30" s="3"/>
      <c r="I30" s="25"/>
      <c r="J30" s="33">
        <v>11</v>
      </c>
      <c r="K30" s="22">
        <v>0</v>
      </c>
      <c r="L30" s="22">
        <v>10</v>
      </c>
      <c r="M30" s="34">
        <v>78</v>
      </c>
      <c r="N30" s="26"/>
      <c r="O30" s="3">
        <f>IFERROR(VLOOKUP(N30,'Puntos XCC Menor'!$A$1:$B$15,2,FALSE),0)</f>
        <v>0</v>
      </c>
      <c r="P30" s="3">
        <v>0</v>
      </c>
      <c r="Q30" s="39">
        <f>IFERROR(VLOOKUP(P30,'Puntos XCO'!$A$1:$B$63,2,FALSE),0)</f>
        <v>0</v>
      </c>
      <c r="R30" s="16">
        <v>0</v>
      </c>
      <c r="S30" s="3">
        <f>IFERROR(VLOOKUP(R30,'Puntos XCC Menor'!$A$1:$B$15,2,FALSE),0)</f>
        <v>0</v>
      </c>
      <c r="T30" s="15">
        <v>0</v>
      </c>
      <c r="U30" s="39">
        <f>IFERROR(VLOOKUP(T30,'Puntos XCO'!$A$1:$B$63,2,FALSE),0)</f>
        <v>0</v>
      </c>
      <c r="V30" s="16">
        <f>IFERROR(VLOOKUP(C30,RESXCC_1,9,FALSE),0)</f>
        <v>0</v>
      </c>
      <c r="W30" s="15">
        <f>IFERROR(VLOOKUP(V30,'Puntos XCC Mayor'!$A$1:$B$15,2,FALSE),0)</f>
        <v>0</v>
      </c>
      <c r="X30" s="15">
        <f>IFERROR(VLOOKUP(C30,RESXCO,9,FALSE),0)</f>
        <v>0</v>
      </c>
      <c r="Y30" s="25">
        <f>IFERROR(VLOOKUP(X30,'Puntos XCO'!$A$1:$B$63,2,FALSE),0)</f>
        <v>0</v>
      </c>
      <c r="Z30" s="27">
        <f>G30+I30+K30+M30+O30+Q30+S30+U30+W30+Y30</f>
        <v>78</v>
      </c>
      <c r="AB30" s="2"/>
      <c r="AC30" s="13"/>
      <c r="AD30" s="12"/>
      <c r="AE30" s="14"/>
    </row>
    <row r="31" spans="1:31" ht="24.95" customHeight="1">
      <c r="A31" s="22">
        <v>17</v>
      </c>
      <c r="B31" s="22">
        <v>15</v>
      </c>
      <c r="C31" s="22">
        <v>595</v>
      </c>
      <c r="D31" s="23" t="str">
        <f>VLOOKUP(C31,PLANILLA,2,FALSE)</f>
        <v>DIAZ  Elisa Alejandra*</v>
      </c>
      <c r="E31" s="24" t="str">
        <f>VLOOKUP(C31,PLANILLA,4,FALSE)</f>
        <v>COMITE CANTONAL DE DEPORTES SAN JOSE</v>
      </c>
      <c r="F31" s="3"/>
      <c r="G31" s="15"/>
      <c r="H31" s="3"/>
      <c r="I31" s="25"/>
      <c r="J31" s="33">
        <v>15</v>
      </c>
      <c r="K31" s="22">
        <v>0</v>
      </c>
      <c r="L31" s="22">
        <v>11</v>
      </c>
      <c r="M31" s="34">
        <v>76</v>
      </c>
      <c r="N31" s="26"/>
      <c r="O31" s="3">
        <f>IFERROR(VLOOKUP(N31,'Puntos XCC Menor'!$A$1:$B$15,2,FALSE),0)</f>
        <v>0</v>
      </c>
      <c r="P31" s="3">
        <v>0</v>
      </c>
      <c r="Q31" s="39">
        <f>IFERROR(VLOOKUP(P31,'Puntos XCO'!$A$1:$B$63,2,FALSE),0)</f>
        <v>0</v>
      </c>
      <c r="R31" s="16">
        <v>0</v>
      </c>
      <c r="S31" s="3">
        <f>IFERROR(VLOOKUP(R31,'Puntos XCC Menor'!$A$1:$B$15,2,FALSE),0)</f>
        <v>0</v>
      </c>
      <c r="T31" s="15">
        <v>0</v>
      </c>
      <c r="U31" s="39">
        <f>IFERROR(VLOOKUP(T31,'Puntos XCO'!$A$1:$B$63,2,FALSE),0)</f>
        <v>0</v>
      </c>
      <c r="V31" s="16">
        <f>IFERROR(VLOOKUP(C31,RESXCC_1,9,FALSE),0)</f>
        <v>0</v>
      </c>
      <c r="W31" s="15">
        <f>IFERROR(VLOOKUP(V31,'Puntos XCC Mayor'!$A$1:$B$15,2,FALSE),0)</f>
        <v>0</v>
      </c>
      <c r="X31" s="15">
        <f>IFERROR(VLOOKUP(C31,RESXCO,9,FALSE),0)</f>
        <v>0</v>
      </c>
      <c r="Y31" s="25">
        <f>IFERROR(VLOOKUP(X31,'Puntos XCO'!$A$1:$B$63,2,FALSE),0)</f>
        <v>0</v>
      </c>
      <c r="Z31" s="27">
        <f>G31+I31+K31+M31+O31+Q31+S31+U31+W31+Y31</f>
        <v>76</v>
      </c>
      <c r="AB31" s="2"/>
      <c r="AC31" s="13"/>
      <c r="AD31" s="12"/>
      <c r="AE31" s="14"/>
    </row>
    <row r="32" spans="1:31" ht="24.95" customHeight="1">
      <c r="A32" s="22">
        <v>18</v>
      </c>
      <c r="B32" s="22">
        <v>16</v>
      </c>
      <c r="C32" s="22">
        <v>591</v>
      </c>
      <c r="D32" s="23" t="str">
        <f>VLOOKUP(C32,PLANILLA,2,FALSE)</f>
        <v>HERNANDEZ  Isabella *</v>
      </c>
      <c r="E32" s="24" t="str">
        <f>VLOOKUP(C32,PLANILLA,4,FALSE)</f>
        <v xml:space="preserve">ESCUELITA GUIDO BLANCO </v>
      </c>
      <c r="F32" s="3"/>
      <c r="G32" s="15"/>
      <c r="H32" s="3"/>
      <c r="I32" s="25"/>
      <c r="J32" s="33">
        <v>13</v>
      </c>
      <c r="K32" s="22">
        <v>0</v>
      </c>
      <c r="L32" s="22">
        <v>12</v>
      </c>
      <c r="M32" s="34">
        <v>74</v>
      </c>
      <c r="N32" s="26"/>
      <c r="O32" s="3">
        <f>IFERROR(VLOOKUP(N32,'Puntos XCC Menor'!$A$1:$B$15,2,FALSE),0)</f>
        <v>0</v>
      </c>
      <c r="P32" s="3">
        <v>0</v>
      </c>
      <c r="Q32" s="39">
        <f>IFERROR(VLOOKUP(P32,'Puntos XCO'!$A$1:$B$63,2,FALSE),0)</f>
        <v>0</v>
      </c>
      <c r="R32" s="16">
        <v>0</v>
      </c>
      <c r="S32" s="3">
        <f>IFERROR(VLOOKUP(R32,'Puntos XCC Menor'!$A$1:$B$15,2,FALSE),0)</f>
        <v>0</v>
      </c>
      <c r="T32" s="15">
        <v>0</v>
      </c>
      <c r="U32" s="39">
        <f>IFERROR(VLOOKUP(T32,'Puntos XCO'!$A$1:$B$63,2,FALSE),0)</f>
        <v>0</v>
      </c>
      <c r="V32" s="16">
        <f>IFERROR(VLOOKUP(C32,RESXCC_1,9,FALSE),0)</f>
        <v>0</v>
      </c>
      <c r="W32" s="15">
        <f>IFERROR(VLOOKUP(V32,'Puntos XCC Mayor'!$A$1:$B$15,2,FALSE),0)</f>
        <v>0</v>
      </c>
      <c r="X32" s="15">
        <f>IFERROR(VLOOKUP(C32,RESXCO,9,FALSE),0)</f>
        <v>0</v>
      </c>
      <c r="Y32" s="25">
        <f>IFERROR(VLOOKUP(X32,'Puntos XCO'!$A$1:$B$63,2,FALSE),0)</f>
        <v>0</v>
      </c>
      <c r="Z32" s="27">
        <f>G32+I32+K32+M32+O32+Q32+S32+U32+W32+Y32</f>
        <v>74</v>
      </c>
      <c r="AB32" s="2"/>
      <c r="AC32" s="13"/>
      <c r="AD32" s="12"/>
      <c r="AE32" s="14"/>
    </row>
    <row r="33" spans="1:31" ht="24.95" customHeight="1">
      <c r="A33" s="3"/>
      <c r="B33" s="3"/>
      <c r="C33" s="22">
        <v>593</v>
      </c>
      <c r="D33" s="23" t="str">
        <f>VLOOKUP(C33,PLANILLA,2,FALSE)</f>
        <v>RODRIGUEZ Sara*</v>
      </c>
      <c r="E33" s="24" t="str">
        <f>VLOOKUP(C33,PLANILLA,4,FALSE)</f>
        <v>FRM</v>
      </c>
      <c r="F33" s="3"/>
      <c r="G33" s="15"/>
      <c r="H33" s="3"/>
      <c r="I33" s="25"/>
      <c r="J33" s="33">
        <v>14</v>
      </c>
      <c r="K33" s="22">
        <v>0</v>
      </c>
      <c r="L33" s="22">
        <v>0</v>
      </c>
      <c r="M33" s="34">
        <v>0</v>
      </c>
      <c r="N33" s="26"/>
      <c r="O33" s="3">
        <f>IFERROR(VLOOKUP(N33,'Puntos XCC Menor'!$A$1:$B$15,2,FALSE),0)</f>
        <v>0</v>
      </c>
      <c r="P33" s="3">
        <v>0</v>
      </c>
      <c r="Q33" s="39">
        <f>IFERROR(VLOOKUP(P33,'Puntos XCO'!$A$1:$B$63,2,FALSE),0)</f>
        <v>0</v>
      </c>
      <c r="R33" s="16">
        <v>0</v>
      </c>
      <c r="S33" s="3">
        <f>IFERROR(VLOOKUP(R33,'Puntos XCC Menor'!$A$1:$B$15,2,FALSE),0)</f>
        <v>0</v>
      </c>
      <c r="T33" s="15">
        <v>0</v>
      </c>
      <c r="U33" s="39">
        <f>IFERROR(VLOOKUP(T33,'Puntos XCO'!$A$1:$B$63,2,FALSE),0)</f>
        <v>0</v>
      </c>
      <c r="V33" s="16">
        <f>IFERROR(VLOOKUP(C33,RESXCC_1,9,FALSE),0)</f>
        <v>0</v>
      </c>
      <c r="W33" s="15">
        <f>IFERROR(VLOOKUP(V33,'Puntos XCC Mayor'!$A$1:$B$15,2,FALSE),0)</f>
        <v>0</v>
      </c>
      <c r="X33" s="15">
        <f>IFERROR(VLOOKUP(C33,RESXCO,9,FALSE),0)</f>
        <v>0</v>
      </c>
      <c r="Y33" s="25">
        <f>IFERROR(VLOOKUP(X33,'Puntos XCO'!$A$1:$B$63,2,FALSE),0)</f>
        <v>0</v>
      </c>
      <c r="Z33" s="27">
        <f>G33+I33+K33+M33+O33+Q33+S33+U33+W33+Y33</f>
        <v>0</v>
      </c>
      <c r="AB33" s="2"/>
      <c r="AC33" s="13"/>
      <c r="AD33" s="12"/>
      <c r="AE33" s="14"/>
    </row>
    <row r="34" spans="1:31" ht="24.95" customHeight="1">
      <c r="A34" s="3"/>
      <c r="B34" s="3"/>
      <c r="C34" s="28"/>
      <c r="D34" s="23"/>
      <c r="E34" s="24"/>
      <c r="F34" s="3"/>
      <c r="G34" s="15"/>
      <c r="H34" s="15"/>
      <c r="I34" s="25"/>
      <c r="J34" s="26"/>
      <c r="K34" s="15"/>
      <c r="L34" s="15"/>
      <c r="M34" s="25"/>
      <c r="N34" s="16"/>
      <c r="O34" s="15"/>
      <c r="P34" s="3"/>
      <c r="Q34" s="25"/>
      <c r="R34" s="16"/>
      <c r="S34" s="15"/>
      <c r="T34" s="15"/>
      <c r="U34" s="25"/>
      <c r="V34" s="16"/>
      <c r="W34" s="15"/>
      <c r="X34" s="15"/>
      <c r="Y34" s="25"/>
      <c r="Z34" s="27"/>
      <c r="AB34" s="3"/>
    </row>
    <row r="35" spans="1:3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74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spans="1:31">
      <c r="M36" s="9"/>
      <c r="N36" s="9"/>
      <c r="O36" s="9"/>
      <c r="P36" s="10"/>
      <c r="Q36" s="9"/>
      <c r="R36" s="9"/>
      <c r="S36" s="9"/>
      <c r="T36" s="9"/>
      <c r="U36" s="9"/>
    </row>
    <row r="37" spans="1:31" ht="127.5" customHeight="1"/>
    <row r="38" spans="1:3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74"/>
      <c r="Q38" s="65"/>
      <c r="R38" s="65"/>
      <c r="S38" s="65"/>
      <c r="T38" s="65"/>
      <c r="U38" s="65"/>
      <c r="V38" s="65"/>
      <c r="W38" s="65"/>
      <c r="X38" s="65"/>
      <c r="Y38" s="65"/>
      <c r="Z38" s="65"/>
    </row>
  </sheetData>
  <sortState ref="B15:Z33">
    <sortCondition descending="1" ref="Z15:Z33"/>
    <sortCondition ref="X15:X33"/>
  </sortState>
  <mergeCells count="10">
    <mergeCell ref="A8:Z8"/>
    <mergeCell ref="A10:Z10"/>
    <mergeCell ref="A11:Z11"/>
    <mergeCell ref="A13:B13"/>
    <mergeCell ref="F13:I13"/>
    <mergeCell ref="J13:M13"/>
    <mergeCell ref="N13:Q13"/>
    <mergeCell ref="R13:U13"/>
    <mergeCell ref="V13:Y13"/>
    <mergeCell ref="Z13:Z14"/>
  </mergeCells>
  <conditionalFormatting sqref="C35:C65513 C1:C9 C12:C14">
    <cfRule type="duplicateValues" dxfId="404" priority="53" stopIfTrue="1"/>
  </conditionalFormatting>
  <conditionalFormatting sqref="F34">
    <cfRule type="duplicateValues" dxfId="403" priority="54" stopIfTrue="1"/>
  </conditionalFormatting>
  <conditionalFormatting sqref="B34">
    <cfRule type="duplicateValues" dxfId="402" priority="55" stopIfTrue="1"/>
  </conditionalFormatting>
  <conditionalFormatting sqref="AB15:AB34">
    <cfRule type="duplicateValues" dxfId="401" priority="7089"/>
  </conditionalFormatting>
  <conditionalFormatting sqref="C11">
    <cfRule type="duplicateValues" dxfId="400" priority="4" stopIfTrue="1"/>
  </conditionalFormatting>
  <conditionalFormatting sqref="C11">
    <cfRule type="duplicateValues" dxfId="399" priority="5" stopIfTrue="1"/>
  </conditionalFormatting>
  <conditionalFormatting sqref="D11">
    <cfRule type="duplicateValues" dxfId="398" priority="3" stopIfTrue="1"/>
  </conditionalFormatting>
  <conditionalFormatting sqref="C10">
    <cfRule type="duplicateValues" dxfId="397" priority="1" stopIfTrue="1"/>
  </conditionalFormatting>
  <conditionalFormatting sqref="C10">
    <cfRule type="duplicateValues" dxfId="396" priority="2" stopIfTrue="1"/>
  </conditionalFormatting>
  <pageMargins left="0.70866141732283472" right="0.70866141732283472" top="0.74803149606299213" bottom="0.74803149606299213" header="0.31496062992125984" footer="0.31496062992125984"/>
  <pageSetup paperSize="9" scale="5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8:AE28"/>
  <sheetViews>
    <sheetView showGridLines="0" topLeftCell="A13" zoomScale="70" zoomScaleNormal="70" zoomScaleSheetLayoutView="90" workbookViewId="0">
      <selection activeCell="A15" sqref="A15:A23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11" style="2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26.25">
      <c r="A8" s="118" t="s">
        <v>164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20.100000000000001" customHeight="1">
      <c r="A13" s="125" t="s">
        <v>0</v>
      </c>
      <c r="B13" s="125"/>
      <c r="C13" s="65"/>
      <c r="D13" s="65"/>
      <c r="E13" s="67"/>
      <c r="F13" s="125">
        <v>1</v>
      </c>
      <c r="G13" s="125"/>
      <c r="H13" s="125"/>
      <c r="I13" s="126"/>
      <c r="J13" s="127">
        <v>2</v>
      </c>
      <c r="K13" s="125"/>
      <c r="L13" s="125"/>
      <c r="M13" s="126"/>
      <c r="N13" s="127">
        <v>3</v>
      </c>
      <c r="O13" s="125"/>
      <c r="P13" s="125"/>
      <c r="Q13" s="126"/>
      <c r="R13" s="127">
        <v>4</v>
      </c>
      <c r="S13" s="125"/>
      <c r="T13" s="125"/>
      <c r="U13" s="126"/>
      <c r="V13" s="127">
        <v>5</v>
      </c>
      <c r="W13" s="125"/>
      <c r="X13" s="125"/>
      <c r="Y13" s="126"/>
      <c r="Z13" s="117" t="s">
        <v>47</v>
      </c>
    </row>
    <row r="14" spans="1:31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117"/>
    </row>
    <row r="15" spans="1:31" ht="24.95" customHeight="1">
      <c r="A15" s="22">
        <v>1</v>
      </c>
      <c r="B15" s="22">
        <v>2</v>
      </c>
      <c r="C15" s="22">
        <v>484</v>
      </c>
      <c r="D15" s="23" t="str">
        <f>VLOOKUP(C15,PLANILLA,2,FALSE)</f>
        <v>JIMÉNEZ  Mia</v>
      </c>
      <c r="E15" s="24" t="str">
        <f>VLOOKUP(C15,PLANILLA,4,FALSE)</f>
        <v xml:space="preserve">CCDR SAN JOSÉ </v>
      </c>
      <c r="F15" s="3">
        <v>0</v>
      </c>
      <c r="G15" s="15">
        <v>0</v>
      </c>
      <c r="H15" s="3">
        <v>3</v>
      </c>
      <c r="I15" s="25">
        <v>120</v>
      </c>
      <c r="J15" s="33">
        <v>1</v>
      </c>
      <c r="K15" s="22">
        <v>10</v>
      </c>
      <c r="L15" s="22">
        <v>1</v>
      </c>
      <c r="M15" s="34">
        <v>200</v>
      </c>
      <c r="N15" s="26"/>
      <c r="O15" s="3">
        <f>IFERROR(VLOOKUP(N15,'Puntos XCC Menor'!$A$1:$B$15,2,FALSE),0)</f>
        <v>0</v>
      </c>
      <c r="P15" s="3">
        <v>2</v>
      </c>
      <c r="Q15" s="39">
        <f>IFERROR(VLOOKUP(P15,'Puntos XCO'!$A$1:$B$63,2,FALSE),0)</f>
        <v>150</v>
      </c>
      <c r="R15" s="16">
        <v>1</v>
      </c>
      <c r="S15" s="3">
        <f>IFERROR(VLOOKUP(R15,'Puntos XCC Menor'!$A$1:$B$15,2,FALSE),0)</f>
        <v>10</v>
      </c>
      <c r="T15" s="15">
        <v>2</v>
      </c>
      <c r="U15" s="39">
        <f>IFERROR(VLOOKUP(T15,'Puntos XCO'!$A$1:$B$63,2,FALSE),0)</f>
        <v>150</v>
      </c>
      <c r="V15" s="16">
        <f>IFERROR(VLOOKUP(C15,RESXCC_1,9,FALSE),0)</f>
        <v>4</v>
      </c>
      <c r="W15" s="15">
        <f>IFERROR(VLOOKUP(V15,'Puntos XCC Mayor'!$A$1:$B$15,2,FALSE),0)</f>
        <v>14</v>
      </c>
      <c r="X15" s="15">
        <f>IFERROR(VLOOKUP(C15,RESXCO,9,FALSE),0)</f>
        <v>2</v>
      </c>
      <c r="Y15" s="25">
        <f>IFERROR(VLOOKUP(X15,'Puntos XCO'!$A$1:$B$63,2,FALSE),0)</f>
        <v>150</v>
      </c>
      <c r="Z15" s="27">
        <f>G15+I15+K15+M15+O15+Q15+S15+U15+W15+Y15</f>
        <v>804</v>
      </c>
      <c r="AB15" s="2"/>
      <c r="AC15" s="13"/>
      <c r="AD15" s="12"/>
      <c r="AE15" s="14"/>
    </row>
    <row r="16" spans="1:31" ht="24.95" customHeight="1">
      <c r="A16" s="22">
        <v>2</v>
      </c>
      <c r="B16" s="22">
        <v>1</v>
      </c>
      <c r="C16" s="22">
        <v>482</v>
      </c>
      <c r="D16" s="23" t="str">
        <f>VLOOKUP(C16,PLANILLA,2,FALSE)</f>
        <v>HERNÁNDEZ  Maripaz*</v>
      </c>
      <c r="E16" s="24" t="str">
        <f>VLOOKUP(C16,PLANILLA,4,FALSE)</f>
        <v xml:space="preserve">SANTA ANA / HDZ TEAM </v>
      </c>
      <c r="F16" s="3">
        <v>1</v>
      </c>
      <c r="G16" s="15">
        <v>10</v>
      </c>
      <c r="H16" s="3">
        <v>2</v>
      </c>
      <c r="I16" s="25">
        <v>150</v>
      </c>
      <c r="J16" s="33">
        <v>2</v>
      </c>
      <c r="K16" s="22">
        <v>9</v>
      </c>
      <c r="L16" s="22">
        <v>2</v>
      </c>
      <c r="M16" s="34">
        <v>150</v>
      </c>
      <c r="N16" s="26"/>
      <c r="O16" s="3">
        <f>IFERROR(VLOOKUP(N16,'Puntos XCC Menor'!$A$1:$B$15,2,FALSE),0)</f>
        <v>0</v>
      </c>
      <c r="P16" s="3">
        <v>1</v>
      </c>
      <c r="Q16" s="39">
        <f>IFERROR(VLOOKUP(P16,'Puntos XCO'!$A$1:$B$63,2,FALSE),0)</f>
        <v>200</v>
      </c>
      <c r="R16" s="16">
        <v>3</v>
      </c>
      <c r="S16" s="3">
        <f>IFERROR(VLOOKUP(R16,'Puntos XCC Menor'!$A$1:$B$15,2,FALSE),0)</f>
        <v>8</v>
      </c>
      <c r="T16" s="15">
        <v>1</v>
      </c>
      <c r="U16" s="39">
        <f>IFERROR(VLOOKUP(T16,'Puntos XCO'!$A$1:$B$63,2,FALSE),0)</f>
        <v>200</v>
      </c>
      <c r="V16" s="16">
        <f>IFERROR(VLOOKUP(C16,RESXCC_1,9,FALSE),0)</f>
        <v>2</v>
      </c>
      <c r="W16" s="15">
        <f>IFERROR(VLOOKUP(V16,'Puntos XCC Mayor'!$A$1:$B$15,2,FALSE),0)</f>
        <v>20</v>
      </c>
      <c r="X16" s="15">
        <f>IFERROR(VLOOKUP(C16,RESXCO,9,FALSE),0)</f>
        <v>0</v>
      </c>
      <c r="Y16" s="25">
        <f>IFERROR(VLOOKUP(X16,'Puntos XCO'!$A$1:$B$63,2,FALSE),0)</f>
        <v>0</v>
      </c>
      <c r="Z16" s="27">
        <f>G16+I16+K16+M16+O16+Q16+S16+U16+W16+Y16</f>
        <v>747</v>
      </c>
      <c r="AB16" s="2"/>
      <c r="AC16" s="13"/>
      <c r="AD16" s="12"/>
      <c r="AE16" s="14"/>
    </row>
    <row r="17" spans="1:31" ht="24.95" customHeight="1">
      <c r="A17" s="22">
        <v>3</v>
      </c>
      <c r="B17" s="22">
        <v>3</v>
      </c>
      <c r="C17" s="22">
        <v>481</v>
      </c>
      <c r="D17" s="23" t="str">
        <f>VLOOKUP(C17,PLANILLA,2,FALSE)</f>
        <v>MONTEALEGRE María Paula</v>
      </c>
      <c r="E17" s="24" t="str">
        <f>VLOOKUP(C17,PLANILLA,4,FALSE)</f>
        <v>CCDR SANTA CRUZ</v>
      </c>
      <c r="F17" s="3">
        <v>3</v>
      </c>
      <c r="G17" s="15">
        <v>8</v>
      </c>
      <c r="H17" s="3">
        <v>1</v>
      </c>
      <c r="I17" s="25">
        <v>200</v>
      </c>
      <c r="J17" s="33">
        <v>4</v>
      </c>
      <c r="K17" s="22">
        <v>7</v>
      </c>
      <c r="L17" s="22">
        <v>3</v>
      </c>
      <c r="M17" s="34">
        <v>120</v>
      </c>
      <c r="N17" s="26"/>
      <c r="O17" s="3">
        <f>IFERROR(VLOOKUP(N17,'Puntos XCC Menor'!$A$1:$B$15,2,FALSE),0)</f>
        <v>0</v>
      </c>
      <c r="P17" s="3">
        <v>3</v>
      </c>
      <c r="Q17" s="39">
        <f>IFERROR(VLOOKUP(P17,'Puntos XCO'!$A$1:$B$63,2,FALSE),0)</f>
        <v>120</v>
      </c>
      <c r="R17" s="16">
        <v>2</v>
      </c>
      <c r="S17" s="3">
        <f>IFERROR(VLOOKUP(R17,'Puntos XCC Menor'!$A$1:$B$15,2,FALSE),0)</f>
        <v>9</v>
      </c>
      <c r="T17" s="15">
        <v>3</v>
      </c>
      <c r="U17" s="39">
        <f>IFERROR(VLOOKUP(T17,'Puntos XCO'!$A$1:$B$63,2,FALSE),0)</f>
        <v>120</v>
      </c>
      <c r="V17" s="16">
        <f>IFERROR(VLOOKUP(C17,RESXCC_1,9,FALSE),0)</f>
        <v>5</v>
      </c>
      <c r="W17" s="15">
        <f>IFERROR(VLOOKUP(V17,'Puntos XCC Mayor'!$A$1:$B$15,2,FALSE),0)</f>
        <v>12</v>
      </c>
      <c r="X17" s="15">
        <f>IFERROR(VLOOKUP(C17,RESXCO,9,FALSE),0)</f>
        <v>4</v>
      </c>
      <c r="Y17" s="25">
        <f>IFERROR(VLOOKUP(X17,'Puntos XCO'!$A$1:$B$63,2,FALSE),0)</f>
        <v>110</v>
      </c>
      <c r="Z17" s="27">
        <f>G17+I17+K17+M17+O17+Q17+S17+U17+W17+Y17</f>
        <v>706</v>
      </c>
      <c r="AB17" s="2"/>
      <c r="AC17" s="13"/>
      <c r="AD17" s="12"/>
      <c r="AE17" s="14"/>
    </row>
    <row r="18" spans="1:31" ht="24.95" customHeight="1">
      <c r="A18" s="22">
        <v>4</v>
      </c>
      <c r="B18" s="22">
        <v>4</v>
      </c>
      <c r="C18" s="22">
        <v>483</v>
      </c>
      <c r="D18" s="23" t="str">
        <f>VLOOKUP(C18,PLANILLA,2,FALSE)</f>
        <v xml:space="preserve">MORA  Valentina </v>
      </c>
      <c r="E18" s="24" t="str">
        <f>VLOOKUP(C18,PLANILLA,4,FALSE)</f>
        <v xml:space="preserve">CODEA/ E-VEGA TRAINER </v>
      </c>
      <c r="F18" s="3">
        <v>2</v>
      </c>
      <c r="G18" s="15">
        <v>9</v>
      </c>
      <c r="H18" s="3">
        <v>4</v>
      </c>
      <c r="I18" s="25">
        <v>110</v>
      </c>
      <c r="J18" s="33">
        <v>3</v>
      </c>
      <c r="K18" s="22">
        <v>8</v>
      </c>
      <c r="L18" s="22">
        <v>4</v>
      </c>
      <c r="M18" s="34">
        <v>110</v>
      </c>
      <c r="N18" s="26"/>
      <c r="O18" s="3">
        <f>IFERROR(VLOOKUP(N18,'Puntos XCC Menor'!$A$1:$B$15,2,FALSE),0)</f>
        <v>0</v>
      </c>
      <c r="P18" s="3">
        <v>4</v>
      </c>
      <c r="Q18" s="39">
        <f>IFERROR(VLOOKUP(P18,'Puntos XCO'!$A$1:$B$63,2,FALSE),0)</f>
        <v>110</v>
      </c>
      <c r="R18" s="16">
        <v>4</v>
      </c>
      <c r="S18" s="3">
        <f>IFERROR(VLOOKUP(R18,'Puntos XCC Menor'!$A$1:$B$15,2,FALSE),0)</f>
        <v>7</v>
      </c>
      <c r="T18" s="15">
        <v>0</v>
      </c>
      <c r="U18" s="39">
        <f>IFERROR(VLOOKUP(T18,'Puntos XCO'!$A$1:$B$63,2,FALSE),0)</f>
        <v>0</v>
      </c>
      <c r="V18" s="16">
        <f>IFERROR(VLOOKUP(C18,RESXCC_1,9,FALSE),0)</f>
        <v>3</v>
      </c>
      <c r="W18" s="15">
        <f>IFERROR(VLOOKUP(V18,'Puntos XCC Mayor'!$A$1:$B$15,2,FALSE),0)</f>
        <v>16</v>
      </c>
      <c r="X18" s="15">
        <f>IFERROR(VLOOKUP(C18,RESXCO,9,FALSE),0)</f>
        <v>3</v>
      </c>
      <c r="Y18" s="25">
        <f>IFERROR(VLOOKUP(X18,'Puntos XCO'!$A$1:$B$63,2,FALSE),0)</f>
        <v>120</v>
      </c>
      <c r="Z18" s="27">
        <f>G18+I18+K18+M18+O18+Q18+S18+U18+W18+Y18</f>
        <v>490</v>
      </c>
      <c r="AB18" s="2"/>
      <c r="AC18" s="13"/>
      <c r="AD18" s="12"/>
      <c r="AE18" s="14"/>
    </row>
    <row r="19" spans="1:31" ht="24.95" customHeight="1">
      <c r="A19" s="22">
        <v>5</v>
      </c>
      <c r="B19" s="22">
        <v>5</v>
      </c>
      <c r="C19" s="22">
        <v>486</v>
      </c>
      <c r="D19" s="23" t="str">
        <f>VLOOKUP(C19,PLANILLA,2,FALSE)</f>
        <v>PIZARRO  Shailene*</v>
      </c>
      <c r="E19" s="24" t="str">
        <f>VLOOKUP(C19,PLANILLA,4,FALSE)</f>
        <v xml:space="preserve">ACISA SARAPIQUI </v>
      </c>
      <c r="F19" s="3"/>
      <c r="G19" s="15"/>
      <c r="H19" s="3"/>
      <c r="I19" s="25"/>
      <c r="J19" s="33">
        <v>8</v>
      </c>
      <c r="K19" s="22">
        <v>3</v>
      </c>
      <c r="L19" s="22">
        <v>7</v>
      </c>
      <c r="M19" s="34">
        <v>90</v>
      </c>
      <c r="N19" s="26"/>
      <c r="O19" s="3">
        <f>IFERROR(VLOOKUP(N19,'Puntos XCC Menor'!$A$1:$B$15,2,FALSE),0)</f>
        <v>0</v>
      </c>
      <c r="P19" s="3">
        <v>0</v>
      </c>
      <c r="Q19" s="39">
        <f>IFERROR(VLOOKUP(P19,'Puntos XCO'!$A$1:$B$63,2,FALSE),0)</f>
        <v>0</v>
      </c>
      <c r="R19" s="16">
        <v>0</v>
      </c>
      <c r="S19" s="3">
        <f>IFERROR(VLOOKUP(R19,'Puntos XCC Menor'!$A$1:$B$15,2,FALSE),0)</f>
        <v>0</v>
      </c>
      <c r="T19" s="15">
        <v>4</v>
      </c>
      <c r="U19" s="39">
        <f>IFERROR(VLOOKUP(T19,'Puntos XCO'!$A$1:$B$63,2,FALSE),0)</f>
        <v>110</v>
      </c>
      <c r="V19" s="16">
        <f>IFERROR(VLOOKUP(C19,RESXCC_1,9,FALSE),0)</f>
        <v>7</v>
      </c>
      <c r="W19" s="15">
        <f>IFERROR(VLOOKUP(V19,'Puntos XCC Mayor'!$A$1:$B$15,2,FALSE),0)</f>
        <v>9</v>
      </c>
      <c r="X19" s="15">
        <f>IFERROR(VLOOKUP(C19,RESXCO,9,FALSE),0)</f>
        <v>6</v>
      </c>
      <c r="Y19" s="25">
        <f>IFERROR(VLOOKUP(X19,'Puntos XCO'!$A$1:$B$63,2,FALSE),0)</f>
        <v>95</v>
      </c>
      <c r="Z19" s="27">
        <f>G19+I19+K19+M19+O19+Q19+S19+U19+W19+Y19</f>
        <v>307</v>
      </c>
      <c r="AB19" s="2"/>
      <c r="AC19" s="13"/>
      <c r="AD19" s="12"/>
      <c r="AE19" s="14"/>
    </row>
    <row r="20" spans="1:31" ht="24.95" customHeight="1">
      <c r="A20" s="22">
        <v>6</v>
      </c>
      <c r="B20" s="22"/>
      <c r="C20" s="107">
        <v>489</v>
      </c>
      <c r="D20" s="23" t="str">
        <f>VLOOKUP(C20,PLANILLA,2,FALSE)</f>
        <v>MARÍN  Abigail</v>
      </c>
      <c r="E20" s="24" t="str">
        <f>VLOOKUP(C20,PLANILLA,4,FALSE)</f>
        <v>CCDRSJ</v>
      </c>
      <c r="F20" s="3"/>
      <c r="G20" s="15"/>
      <c r="H20" s="3"/>
      <c r="I20" s="25"/>
      <c r="J20" s="33"/>
      <c r="K20" s="22"/>
      <c r="L20" s="22"/>
      <c r="M20" s="34"/>
      <c r="N20" s="26"/>
      <c r="O20" s="3"/>
      <c r="P20" s="3"/>
      <c r="Q20" s="39"/>
      <c r="R20" s="16"/>
      <c r="S20" s="3"/>
      <c r="T20" s="15"/>
      <c r="U20" s="39"/>
      <c r="V20" s="16">
        <f>IFERROR(VLOOKUP(C20,RESXCC_1,9,FALSE),0)</f>
        <v>1</v>
      </c>
      <c r="W20" s="15">
        <f>IFERROR(VLOOKUP(V20,'Puntos XCC Mayor'!$A$1:$B$15,2,FALSE),0)</f>
        <v>25</v>
      </c>
      <c r="X20" s="15">
        <f>IFERROR(VLOOKUP(C20,RESXCO,9,FALSE),0)</f>
        <v>1</v>
      </c>
      <c r="Y20" s="25">
        <f>IFERROR(VLOOKUP(X20,'Puntos XCO'!$A$1:$B$63,2,FALSE),0)</f>
        <v>200</v>
      </c>
      <c r="Z20" s="27">
        <f>G20+I20+K20+M20+O20+Q20+S20+U20+W20+Y20</f>
        <v>225</v>
      </c>
      <c r="AB20" s="2"/>
      <c r="AC20" s="13"/>
      <c r="AD20" s="12"/>
      <c r="AE20" s="14"/>
    </row>
    <row r="21" spans="1:31" ht="24.95" customHeight="1">
      <c r="A21" s="22">
        <v>7</v>
      </c>
      <c r="B21" s="22">
        <v>8</v>
      </c>
      <c r="C21" s="22">
        <v>488</v>
      </c>
      <c r="D21" s="23" t="str">
        <f>VLOOKUP(C21,PLANILLA,2,FALSE)</f>
        <v xml:space="preserve">ZÚÑIGA  Mariangel </v>
      </c>
      <c r="E21" s="24" t="str">
        <f>VLOOKUP(C21,PLANILLA,4,FALSE)</f>
        <v xml:space="preserve">CCDR SAN JOSÉ </v>
      </c>
      <c r="F21" s="3"/>
      <c r="G21" s="15"/>
      <c r="H21" s="3"/>
      <c r="I21" s="25"/>
      <c r="J21" s="33">
        <v>7</v>
      </c>
      <c r="K21" s="22">
        <v>4</v>
      </c>
      <c r="L21" s="22">
        <v>8</v>
      </c>
      <c r="M21" s="34">
        <v>85</v>
      </c>
      <c r="N21" s="26"/>
      <c r="O21" s="3">
        <f>IFERROR(VLOOKUP(N21,'Puntos XCC Menor'!$A$1:$B$15,2,FALSE),0)</f>
        <v>0</v>
      </c>
      <c r="P21" s="3">
        <v>0</v>
      </c>
      <c r="Q21" s="39">
        <f>IFERROR(VLOOKUP(P21,'Puntos XCO'!$A$1:$B$63,2,FALSE),0)</f>
        <v>0</v>
      </c>
      <c r="R21" s="16">
        <v>0</v>
      </c>
      <c r="S21" s="3">
        <f>IFERROR(VLOOKUP(R21,'Puntos XCC Menor'!$A$1:$B$15,2,FALSE),0)</f>
        <v>0</v>
      </c>
      <c r="T21" s="15">
        <v>0</v>
      </c>
      <c r="U21" s="39">
        <f>IFERROR(VLOOKUP(T21,'Puntos XCO'!$A$1:$B$63,2,FALSE),0)</f>
        <v>0</v>
      </c>
      <c r="V21" s="16">
        <f>IFERROR(VLOOKUP(C21,RESXCC_1,9,FALSE),0)</f>
        <v>6</v>
      </c>
      <c r="W21" s="15">
        <f>IFERROR(VLOOKUP(V21,'Puntos XCC Mayor'!$A$1:$B$15,2,FALSE),0)</f>
        <v>10</v>
      </c>
      <c r="X21" s="15">
        <f>IFERROR(VLOOKUP(C21,RESXCO,9,FALSE),0)</f>
        <v>5</v>
      </c>
      <c r="Y21" s="25">
        <f>IFERROR(VLOOKUP(X21,'Puntos XCO'!$A$1:$B$63,2,FALSE),0)</f>
        <v>100</v>
      </c>
      <c r="Z21" s="27">
        <f>G21+I21+K21+M21+O21+Q21+S21+U21+W21+Y21</f>
        <v>199</v>
      </c>
      <c r="AB21" s="2"/>
      <c r="AC21" s="13"/>
      <c r="AD21" s="12"/>
      <c r="AE21" s="14"/>
    </row>
    <row r="22" spans="1:31" ht="24.95" customHeight="1">
      <c r="A22" s="22">
        <v>8</v>
      </c>
      <c r="B22" s="22">
        <v>6</v>
      </c>
      <c r="C22" s="22">
        <v>487</v>
      </c>
      <c r="D22" s="23" t="str">
        <f>VLOOKUP(C22,PLANILLA,2,FALSE)</f>
        <v xml:space="preserve">FERNÁNDEZ  Brihana </v>
      </c>
      <c r="E22" s="24" t="str">
        <f>VLOOKUP(C22,PLANILLA,4,FALSE)</f>
        <v xml:space="preserve">CCDR CARTAGO </v>
      </c>
      <c r="F22" s="3"/>
      <c r="G22" s="15"/>
      <c r="H22" s="3"/>
      <c r="I22" s="25"/>
      <c r="J22" s="33">
        <v>6</v>
      </c>
      <c r="K22" s="22">
        <v>5</v>
      </c>
      <c r="L22" s="22">
        <v>5</v>
      </c>
      <c r="M22" s="34">
        <v>100</v>
      </c>
      <c r="N22" s="26"/>
      <c r="O22" s="3">
        <f>IFERROR(VLOOKUP(N22,'Puntos XCC Menor'!$A$1:$B$15,2,FALSE),0)</f>
        <v>0</v>
      </c>
      <c r="P22" s="3">
        <v>0</v>
      </c>
      <c r="Q22" s="39">
        <f>IFERROR(VLOOKUP(P22,'Puntos XCO'!$A$1:$B$63,2,FALSE),0)</f>
        <v>0</v>
      </c>
      <c r="R22" s="16">
        <v>0</v>
      </c>
      <c r="S22" s="3">
        <f>IFERROR(VLOOKUP(R22,'Puntos XCC Menor'!$A$1:$B$15,2,FALSE),0)</f>
        <v>0</v>
      </c>
      <c r="T22" s="15">
        <v>0</v>
      </c>
      <c r="U22" s="39">
        <f>IFERROR(VLOOKUP(T22,'Puntos XCO'!$A$1:$B$63,2,FALSE),0)</f>
        <v>0</v>
      </c>
      <c r="V22" s="16">
        <f>IFERROR(VLOOKUP(C22,RESXCC_1,9,FALSE),0)</f>
        <v>0</v>
      </c>
      <c r="W22" s="15">
        <f>IFERROR(VLOOKUP(V22,'Puntos XCC Mayor'!$A$1:$B$15,2,FALSE),0)</f>
        <v>0</v>
      </c>
      <c r="X22" s="15">
        <f>IFERROR(VLOOKUP(C22,RESXCO,9,FALSE),0)</f>
        <v>0</v>
      </c>
      <c r="Y22" s="25">
        <f>IFERROR(VLOOKUP(X22,'Puntos XCO'!$A$1:$B$63,2,FALSE),0)</f>
        <v>0</v>
      </c>
      <c r="Z22" s="27">
        <f>G22+I22+K22+M22+O22+Q22+S22+U22+W22+Y22</f>
        <v>105</v>
      </c>
      <c r="AB22" s="2"/>
      <c r="AC22" s="13"/>
      <c r="AD22" s="12"/>
      <c r="AE22" s="14"/>
    </row>
    <row r="23" spans="1:31" ht="24.95" customHeight="1">
      <c r="A23" s="22">
        <v>9</v>
      </c>
      <c r="B23" s="22">
        <v>7</v>
      </c>
      <c r="C23" s="22">
        <v>485</v>
      </c>
      <c r="D23" s="23" t="str">
        <f>VLOOKUP(C23,PLANILLA,2,FALSE)</f>
        <v>HERNANDEZ  Fiorella *</v>
      </c>
      <c r="E23" s="24" t="str">
        <f>VLOOKUP(C23,PLANILLA,4,FALSE)</f>
        <v xml:space="preserve">ESCUELITA GUIDO BLANCO </v>
      </c>
      <c r="F23" s="3"/>
      <c r="G23" s="15"/>
      <c r="H23" s="3"/>
      <c r="I23" s="25"/>
      <c r="J23" s="33">
        <v>5</v>
      </c>
      <c r="K23" s="22">
        <v>6</v>
      </c>
      <c r="L23" s="22">
        <v>6</v>
      </c>
      <c r="M23" s="34">
        <v>95</v>
      </c>
      <c r="N23" s="26"/>
      <c r="O23" s="3">
        <f>IFERROR(VLOOKUP(N23,'Puntos XCC Menor'!$A$1:$B$15,2,FALSE),0)</f>
        <v>0</v>
      </c>
      <c r="P23" s="3">
        <v>0</v>
      </c>
      <c r="Q23" s="39">
        <f>IFERROR(VLOOKUP(P23,'Puntos XCO'!$A$1:$B$63,2,FALSE),0)</f>
        <v>0</v>
      </c>
      <c r="R23" s="16">
        <v>0</v>
      </c>
      <c r="S23" s="3">
        <f>IFERROR(VLOOKUP(R23,'Puntos XCC Menor'!$A$1:$B$15,2,FALSE),0)</f>
        <v>0</v>
      </c>
      <c r="T23" s="15">
        <v>0</v>
      </c>
      <c r="U23" s="39">
        <f>IFERROR(VLOOKUP(T23,'Puntos XCO'!$A$1:$B$63,2,FALSE),0)</f>
        <v>0</v>
      </c>
      <c r="V23" s="16">
        <f>IFERROR(VLOOKUP(C23,RESXCC_1,9,FALSE),0)</f>
        <v>0</v>
      </c>
      <c r="W23" s="15">
        <f>IFERROR(VLOOKUP(V23,'Puntos XCC Mayor'!$A$1:$B$15,2,FALSE),0)</f>
        <v>0</v>
      </c>
      <c r="X23" s="15">
        <f>IFERROR(VLOOKUP(C23,RESXCO,9,FALSE),0)</f>
        <v>0</v>
      </c>
      <c r="Y23" s="25">
        <f>IFERROR(VLOOKUP(X23,'Puntos XCO'!$A$1:$B$63,2,FALSE),0)</f>
        <v>0</v>
      </c>
      <c r="Z23" s="27">
        <f>G23+I23+K23+M23+O23+Q23+S23+U23+W23+Y23</f>
        <v>101</v>
      </c>
      <c r="AB23" s="2"/>
      <c r="AC23" s="13"/>
      <c r="AD23" s="12"/>
      <c r="AE23" s="14"/>
    </row>
    <row r="24" spans="1:31" ht="24.95" customHeight="1">
      <c r="A24" s="3"/>
      <c r="B24" s="3"/>
      <c r="C24" s="28"/>
      <c r="D24" s="23"/>
      <c r="E24" s="24"/>
      <c r="F24" s="3"/>
      <c r="G24" s="15"/>
      <c r="H24" s="15"/>
      <c r="I24" s="25"/>
      <c r="J24" s="26"/>
      <c r="K24" s="15"/>
      <c r="L24" s="15"/>
      <c r="M24" s="25"/>
      <c r="N24" s="16"/>
      <c r="O24" s="15"/>
      <c r="P24" s="3"/>
      <c r="Q24" s="25"/>
      <c r="R24" s="16"/>
      <c r="S24" s="15"/>
      <c r="T24" s="15"/>
      <c r="U24" s="25"/>
      <c r="V24" s="16"/>
      <c r="W24" s="15"/>
      <c r="X24" s="15"/>
      <c r="Y24" s="25"/>
      <c r="Z24" s="27"/>
      <c r="AB24" s="3"/>
    </row>
    <row r="25" spans="1:31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74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spans="1:31">
      <c r="M26" s="9"/>
      <c r="N26" s="9"/>
      <c r="O26" s="9"/>
      <c r="P26" s="10"/>
      <c r="Q26" s="9"/>
      <c r="R26" s="9"/>
      <c r="S26" s="9"/>
      <c r="T26" s="9"/>
      <c r="U26" s="9"/>
    </row>
    <row r="27" spans="1:31" ht="127.5" customHeight="1"/>
    <row r="28" spans="1:3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74"/>
      <c r="Q28" s="65"/>
      <c r="R28" s="65"/>
      <c r="S28" s="65"/>
      <c r="T28" s="65"/>
      <c r="U28" s="65"/>
      <c r="V28" s="65"/>
      <c r="W28" s="65"/>
      <c r="X28" s="65"/>
      <c r="Y28" s="65"/>
      <c r="Z28" s="65"/>
    </row>
  </sheetData>
  <sortState ref="B15:Z23">
    <sortCondition descending="1" ref="Z15:Z23"/>
  </sortState>
  <mergeCells count="10">
    <mergeCell ref="A8:Z8"/>
    <mergeCell ref="A10:Z10"/>
    <mergeCell ref="A11:Z11"/>
    <mergeCell ref="A13:B13"/>
    <mergeCell ref="F13:I13"/>
    <mergeCell ref="J13:M13"/>
    <mergeCell ref="N13:Q13"/>
    <mergeCell ref="R13:U13"/>
    <mergeCell ref="V13:Y13"/>
    <mergeCell ref="Z13:Z14"/>
  </mergeCells>
  <conditionalFormatting sqref="C25:C65503 C1:C9 C12:C14">
    <cfRule type="duplicateValues" dxfId="395" priority="21" stopIfTrue="1"/>
  </conditionalFormatting>
  <conditionalFormatting sqref="F24">
    <cfRule type="duplicateValues" dxfId="394" priority="22" stopIfTrue="1"/>
  </conditionalFormatting>
  <conditionalFormatting sqref="B24">
    <cfRule type="duplicateValues" dxfId="393" priority="23" stopIfTrue="1"/>
  </conditionalFormatting>
  <conditionalFormatting sqref="AB15:AB24">
    <cfRule type="duplicateValues" dxfId="392" priority="7264"/>
  </conditionalFormatting>
  <conditionalFormatting sqref="C11">
    <cfRule type="duplicateValues" dxfId="391" priority="4" stopIfTrue="1"/>
  </conditionalFormatting>
  <conditionalFormatting sqref="C11">
    <cfRule type="duplicateValues" dxfId="390" priority="5" stopIfTrue="1"/>
  </conditionalFormatting>
  <conditionalFormatting sqref="D11">
    <cfRule type="duplicateValues" dxfId="389" priority="3" stopIfTrue="1"/>
  </conditionalFormatting>
  <conditionalFormatting sqref="C10">
    <cfRule type="duplicateValues" dxfId="388" priority="1" stopIfTrue="1"/>
  </conditionalFormatting>
  <conditionalFormatting sqref="C10">
    <cfRule type="duplicateValues" dxfId="387" priority="2" stopIfTrue="1"/>
  </conditionalFormatting>
  <pageMargins left="0.70866141732283472" right="0.70866141732283472" top="0.74803149606299213" bottom="0.74803149606299213" header="0.31496062992125984" footer="0.31496062992125984"/>
  <pageSetup paperSize="9" scale="5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1">
    <pageSetUpPr fitToPage="1"/>
  </sheetPr>
  <dimension ref="A8:AE39"/>
  <sheetViews>
    <sheetView showGridLines="0" topLeftCell="A13" zoomScale="70" zoomScaleNormal="70" zoomScaleSheetLayoutView="90" workbookViewId="0">
      <selection activeCell="A21" sqref="A21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customWidth="1"/>
    <col min="19" max="19" width="7.7109375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11.28515625" style="2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26.25">
      <c r="A8" s="118" t="s">
        <v>61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20.100000000000001" customHeight="1">
      <c r="A13" s="125" t="s">
        <v>0</v>
      </c>
      <c r="B13" s="125"/>
      <c r="C13" s="65"/>
      <c r="D13" s="65"/>
      <c r="E13" s="66"/>
      <c r="F13" s="125">
        <v>1</v>
      </c>
      <c r="G13" s="125"/>
      <c r="H13" s="125"/>
      <c r="I13" s="126"/>
      <c r="J13" s="127">
        <v>2</v>
      </c>
      <c r="K13" s="125"/>
      <c r="L13" s="125"/>
      <c r="M13" s="126"/>
      <c r="N13" s="127">
        <v>3</v>
      </c>
      <c r="O13" s="125"/>
      <c r="P13" s="125"/>
      <c r="Q13" s="126"/>
      <c r="R13" s="127">
        <v>4</v>
      </c>
      <c r="S13" s="125"/>
      <c r="T13" s="125"/>
      <c r="U13" s="126"/>
      <c r="V13" s="127">
        <v>5</v>
      </c>
      <c r="W13" s="125"/>
      <c r="X13" s="125"/>
      <c r="Y13" s="126"/>
      <c r="Z13" s="117" t="s">
        <v>47</v>
      </c>
    </row>
    <row r="14" spans="1:31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117"/>
    </row>
    <row r="15" spans="1:31" ht="24.95" customHeight="1">
      <c r="A15" s="22">
        <v>1</v>
      </c>
      <c r="B15" s="22">
        <v>1</v>
      </c>
      <c r="C15" s="22">
        <v>701</v>
      </c>
      <c r="D15" s="23" t="str">
        <f>VLOOKUP(C15,PLANILLA,2,FALSE)</f>
        <v>MARTINEZ Andres</v>
      </c>
      <c r="E15" s="24" t="str">
        <f>VLOOKUP(C15,PLANILLA,4,FALSE)</f>
        <v>NOSOTROS DOTA</v>
      </c>
      <c r="F15" s="3">
        <v>2</v>
      </c>
      <c r="G15" s="15">
        <v>9</v>
      </c>
      <c r="H15" s="3">
        <v>1</v>
      </c>
      <c r="I15" s="25">
        <v>200</v>
      </c>
      <c r="J15" s="33">
        <v>2</v>
      </c>
      <c r="K15" s="22">
        <v>9</v>
      </c>
      <c r="L15" s="22">
        <v>1</v>
      </c>
      <c r="M15" s="34">
        <v>200</v>
      </c>
      <c r="N15" s="26"/>
      <c r="O15" s="30">
        <f>IFERROR(VLOOKUP(N15,'Puntos XCC Menor'!$A$1:$B$15,2,FALSE),0)</f>
        <v>0</v>
      </c>
      <c r="P15" s="3">
        <v>1</v>
      </c>
      <c r="Q15" s="34">
        <f>IFERROR(VLOOKUP(P15,'Puntos XCO'!$A$1:$B$63,2,FALSE),0)</f>
        <v>200</v>
      </c>
      <c r="R15" s="16">
        <v>1</v>
      </c>
      <c r="S15" s="3">
        <f>IFERROR(VLOOKUP(R15,'Puntos XCC Menor'!$A$1:$B$15,2,FALSE),0)</f>
        <v>10</v>
      </c>
      <c r="T15" s="15">
        <v>1</v>
      </c>
      <c r="U15" s="39">
        <f>IFERROR(VLOOKUP(T15,'Puntos XCO'!$A$1:$B$63,2,FALSE),0)</f>
        <v>200</v>
      </c>
      <c r="V15" s="16">
        <f>IFERROR(VLOOKUP(C15,RESXCC_1,9,FALSE),0)</f>
        <v>3</v>
      </c>
      <c r="W15" s="15">
        <f>IFERROR(VLOOKUP(V15,'Puntos XCC Mayor'!$A$1:$B$15,2,FALSE),0)</f>
        <v>16</v>
      </c>
      <c r="X15" s="15">
        <f>IFERROR(VLOOKUP(C15,RESXCO,9,FALSE),0)</f>
        <v>3</v>
      </c>
      <c r="Y15" s="25">
        <f>IFERROR(VLOOKUP(X15,'Puntos XCO'!$A$1:$B$63,2,FALSE),0)</f>
        <v>120</v>
      </c>
      <c r="Z15" s="27">
        <f>G15+I15+K15+M15+O15+Q15+S15+U15+W15+Y15</f>
        <v>964</v>
      </c>
      <c r="AB15" s="2"/>
      <c r="AC15" s="13"/>
      <c r="AD15" s="12"/>
      <c r="AE15" s="14"/>
    </row>
    <row r="16" spans="1:31" ht="24.95" customHeight="1">
      <c r="A16" s="22">
        <v>2</v>
      </c>
      <c r="B16" s="22">
        <v>2</v>
      </c>
      <c r="C16" s="22">
        <v>708</v>
      </c>
      <c r="D16" s="23" t="str">
        <f>VLOOKUP(C16,PLANILLA,2,FALSE)</f>
        <v xml:space="preserve">MORALES  Allan </v>
      </c>
      <c r="E16" s="24" t="str">
        <f>VLOOKUP(C16,PLANILLA,4,FALSE)</f>
        <v>TEAM INNOVABIKES SKOLER UH</v>
      </c>
      <c r="F16" s="3">
        <v>3</v>
      </c>
      <c r="G16" s="15">
        <v>8</v>
      </c>
      <c r="H16" s="3">
        <v>3</v>
      </c>
      <c r="I16" s="25">
        <v>120</v>
      </c>
      <c r="J16" s="33">
        <v>0</v>
      </c>
      <c r="K16" s="22">
        <v>0</v>
      </c>
      <c r="L16" s="22">
        <v>3</v>
      </c>
      <c r="M16" s="34">
        <v>120</v>
      </c>
      <c r="N16" s="26"/>
      <c r="O16" s="30">
        <f>IFERROR(VLOOKUP(N16,'Puntos XCC Menor'!$A$1:$B$15,2,FALSE),0)</f>
        <v>0</v>
      </c>
      <c r="P16" s="3">
        <v>2</v>
      </c>
      <c r="Q16" s="34">
        <f>IFERROR(VLOOKUP(P16,'Puntos XCO'!$A$1:$B$63,2,FALSE),0)</f>
        <v>150</v>
      </c>
      <c r="R16" s="16">
        <v>0</v>
      </c>
      <c r="S16" s="3">
        <f>IFERROR(VLOOKUP(R16,'Puntos XCC Menor'!$A$1:$B$15,2,FALSE),0)</f>
        <v>0</v>
      </c>
      <c r="T16" s="15">
        <v>2</v>
      </c>
      <c r="U16" s="39">
        <f>IFERROR(VLOOKUP(T16,'Puntos XCO'!$A$1:$B$63,2,FALSE),0)</f>
        <v>150</v>
      </c>
      <c r="V16" s="16">
        <f>IFERROR(VLOOKUP(C16,RESXCC_1,9,FALSE),0)</f>
        <v>1</v>
      </c>
      <c r="W16" s="15">
        <f>IFERROR(VLOOKUP(V16,'Puntos XCC Mayor'!$A$1:$B$15,2,FALSE),0)</f>
        <v>25</v>
      </c>
      <c r="X16" s="15">
        <f>IFERROR(VLOOKUP(C16,RESXCO,9,FALSE),0)</f>
        <v>2</v>
      </c>
      <c r="Y16" s="25">
        <f>IFERROR(VLOOKUP(X16,'Puntos XCO'!$A$1:$B$63,2,FALSE),0)</f>
        <v>150</v>
      </c>
      <c r="Z16" s="27">
        <f>G16+I16+K16+M16+O16+Q16+S16+U16+W16+Y16</f>
        <v>723</v>
      </c>
      <c r="AB16" s="2"/>
      <c r="AC16" s="13"/>
      <c r="AD16" s="12"/>
      <c r="AE16" s="14"/>
    </row>
    <row r="17" spans="1:31" ht="24.95" customHeight="1">
      <c r="A17" s="22">
        <v>3</v>
      </c>
      <c r="B17" s="22">
        <v>3</v>
      </c>
      <c r="C17" s="22">
        <v>713</v>
      </c>
      <c r="D17" s="23" t="str">
        <f>VLOOKUP(C17,PLANILLA,2,FALSE)</f>
        <v>ARTAVIA Enrique</v>
      </c>
      <c r="E17" s="24" t="str">
        <f>VLOOKUP(C17,PLANILLA,4,FALSE)</f>
        <v>BOBBYS CYCLING TEAM</v>
      </c>
      <c r="F17" s="3"/>
      <c r="G17" s="15"/>
      <c r="H17" s="3"/>
      <c r="I17" s="25"/>
      <c r="J17" s="33">
        <v>1</v>
      </c>
      <c r="K17" s="22">
        <v>10</v>
      </c>
      <c r="L17" s="22">
        <v>2</v>
      </c>
      <c r="M17" s="34">
        <v>150</v>
      </c>
      <c r="N17" s="26"/>
      <c r="O17" s="30">
        <f>IFERROR(VLOOKUP(N17,'Puntos XCC Menor'!$A$1:$B$15,2,FALSE),0)</f>
        <v>0</v>
      </c>
      <c r="P17" s="3">
        <v>3</v>
      </c>
      <c r="Q17" s="34">
        <f>IFERROR(VLOOKUP(P17,'Puntos XCO'!$A$1:$B$63,2,FALSE),0)</f>
        <v>120</v>
      </c>
      <c r="R17" s="16">
        <v>2</v>
      </c>
      <c r="S17" s="3">
        <f>IFERROR(VLOOKUP(R17,'Puntos XCC Menor'!$A$1:$B$15,2,FALSE),0)</f>
        <v>9</v>
      </c>
      <c r="T17" s="15">
        <v>3</v>
      </c>
      <c r="U17" s="39">
        <f>IFERROR(VLOOKUP(T17,'Puntos XCO'!$A$1:$B$63,2,FALSE),0)</f>
        <v>120</v>
      </c>
      <c r="V17" s="16">
        <f>IFERROR(VLOOKUP(C17,RESXCC_1,9,FALSE),0)</f>
        <v>2</v>
      </c>
      <c r="W17" s="15">
        <f>IFERROR(VLOOKUP(V17,'Puntos XCC Mayor'!$A$1:$B$15,2,FALSE),0)</f>
        <v>20</v>
      </c>
      <c r="X17" s="15">
        <f>IFERROR(VLOOKUP(C17,RESXCO,9,FALSE),0)</f>
        <v>1</v>
      </c>
      <c r="Y17" s="25">
        <f>IFERROR(VLOOKUP(X17,'Puntos XCO'!$A$1:$B$63,2,FALSE),0)</f>
        <v>200</v>
      </c>
      <c r="Z17" s="27">
        <f>G17+I17+K17+M17+O17+Q17+S17+U17+W17+Y17</f>
        <v>629</v>
      </c>
      <c r="AB17" s="2"/>
      <c r="AC17" s="13"/>
      <c r="AD17" s="12"/>
      <c r="AE17" s="14"/>
    </row>
    <row r="18" spans="1:31" ht="24.95" customHeight="1">
      <c r="A18" s="22">
        <v>4</v>
      </c>
      <c r="B18" s="22">
        <v>4</v>
      </c>
      <c r="C18" s="22">
        <v>702</v>
      </c>
      <c r="D18" s="23" t="str">
        <f>VLOOKUP(C18,PLANILLA,2,FALSE)</f>
        <v xml:space="preserve">ALPÍZAR  Roberto </v>
      </c>
      <c r="E18" s="24" t="str">
        <f>VLOOKUP(C18,PLANILLA,4,FALSE)</f>
        <v xml:space="preserve">TEAM GOCHA </v>
      </c>
      <c r="F18" s="3">
        <v>0</v>
      </c>
      <c r="G18" s="15">
        <v>0</v>
      </c>
      <c r="H18" s="3">
        <v>5</v>
      </c>
      <c r="I18" s="25">
        <v>100</v>
      </c>
      <c r="J18" s="33">
        <v>0</v>
      </c>
      <c r="K18" s="22">
        <v>0</v>
      </c>
      <c r="L18" s="22">
        <v>5</v>
      </c>
      <c r="M18" s="34">
        <v>100</v>
      </c>
      <c r="N18" s="26"/>
      <c r="O18" s="30">
        <f>IFERROR(VLOOKUP(N18,'Puntos XCC Menor'!$A$1:$B$15,2,FALSE),0)</f>
        <v>0</v>
      </c>
      <c r="P18" s="3">
        <v>7</v>
      </c>
      <c r="Q18" s="34">
        <f>IFERROR(VLOOKUP(P18,'Puntos XCO'!$A$1:$B$63,2,FALSE),0)</f>
        <v>90</v>
      </c>
      <c r="R18" s="16">
        <v>0</v>
      </c>
      <c r="S18" s="3">
        <f>IFERROR(VLOOKUP(R18,'Puntos XCC Menor'!$A$1:$B$15,2,FALSE),0)</f>
        <v>0</v>
      </c>
      <c r="T18" s="15">
        <v>0</v>
      </c>
      <c r="U18" s="39">
        <f>IFERROR(VLOOKUP(T18,'Puntos XCO'!$A$1:$B$63,2,FALSE),0)</f>
        <v>0</v>
      </c>
      <c r="V18" s="16">
        <f>IFERROR(VLOOKUP(C18,RESXCC_1,9,FALSE),0)</f>
        <v>4</v>
      </c>
      <c r="W18" s="15">
        <f>IFERROR(VLOOKUP(V18,'Puntos XCC Mayor'!$A$1:$B$15,2,FALSE),0)</f>
        <v>14</v>
      </c>
      <c r="X18" s="15">
        <f>IFERROR(VLOOKUP(C18,RESXCO,9,FALSE),0)</f>
        <v>4</v>
      </c>
      <c r="Y18" s="25">
        <f>IFERROR(VLOOKUP(X18,'Puntos XCO'!$A$1:$B$63,2,FALSE),0)</f>
        <v>110</v>
      </c>
      <c r="Z18" s="27">
        <f>G18+I18+K18+M18+O18+Q18+S18+U18+W18+Y18</f>
        <v>414</v>
      </c>
      <c r="AB18" s="2"/>
      <c r="AC18" s="13"/>
      <c r="AD18" s="12"/>
      <c r="AE18" s="14"/>
    </row>
    <row r="19" spans="1:31" ht="24.95" customHeight="1">
      <c r="A19" s="22">
        <v>5</v>
      </c>
      <c r="B19" s="22">
        <v>6</v>
      </c>
      <c r="C19" s="22">
        <v>709</v>
      </c>
      <c r="D19" s="23" t="str">
        <f>VLOOKUP(C19,PLANILLA,2,FALSE)</f>
        <v xml:space="preserve">CAMPOS  Diego </v>
      </c>
      <c r="E19" s="24" t="str">
        <f>VLOOKUP(C19,PLANILLA,4,FALSE)</f>
        <v>GOCHA CYCLING TEAM</v>
      </c>
      <c r="F19" s="3">
        <v>5</v>
      </c>
      <c r="G19" s="15">
        <v>6</v>
      </c>
      <c r="H19" s="3">
        <v>10</v>
      </c>
      <c r="I19" s="25">
        <v>78</v>
      </c>
      <c r="J19" s="33">
        <v>0</v>
      </c>
      <c r="K19" s="22">
        <v>0</v>
      </c>
      <c r="L19" s="22">
        <v>6</v>
      </c>
      <c r="M19" s="34">
        <v>95</v>
      </c>
      <c r="N19" s="26"/>
      <c r="O19" s="30">
        <f>IFERROR(VLOOKUP(N19,'Puntos XCC Menor'!$A$1:$B$15,2,FALSE),0)</f>
        <v>0</v>
      </c>
      <c r="P19" s="3">
        <v>8</v>
      </c>
      <c r="Q19" s="34">
        <f>IFERROR(VLOOKUP(P19,'Puntos XCO'!$A$1:$B$63,2,FALSE),0)</f>
        <v>85</v>
      </c>
      <c r="R19" s="16">
        <v>0</v>
      </c>
      <c r="S19" s="3">
        <f>IFERROR(VLOOKUP(R19,'Puntos XCC Menor'!$A$1:$B$15,2,FALSE),0)</f>
        <v>0</v>
      </c>
      <c r="T19" s="15">
        <v>0</v>
      </c>
      <c r="U19" s="39">
        <f>IFERROR(VLOOKUP(T19,'Puntos XCO'!$A$1:$B$63,2,FALSE),0)</f>
        <v>0</v>
      </c>
      <c r="V19" s="16">
        <f>IFERROR(VLOOKUP(C19,RESXCC_1,9,FALSE),0)</f>
        <v>0</v>
      </c>
      <c r="W19" s="15">
        <f>IFERROR(VLOOKUP(V19,'Puntos XCC Mayor'!$A$1:$B$15,2,FALSE),0)</f>
        <v>0</v>
      </c>
      <c r="X19" s="15">
        <f>IFERROR(VLOOKUP(C19,RESXCO,9,FALSE),0)</f>
        <v>5</v>
      </c>
      <c r="Y19" s="25">
        <f>IFERROR(VLOOKUP(X19,'Puntos XCO'!$A$1:$B$63,2,FALSE),0)</f>
        <v>100</v>
      </c>
      <c r="Z19" s="27">
        <f>G19+I19+K19+M19+O19+Q19+S19+U19+W19+Y19</f>
        <v>364</v>
      </c>
      <c r="AB19" s="2"/>
      <c r="AC19" s="13"/>
      <c r="AD19" s="12"/>
      <c r="AE19" s="14"/>
    </row>
    <row r="20" spans="1:31" ht="24.95" customHeight="1">
      <c r="A20" s="22">
        <v>6</v>
      </c>
      <c r="B20" s="22">
        <v>8</v>
      </c>
      <c r="C20" s="22">
        <v>714</v>
      </c>
      <c r="D20" s="23" t="str">
        <f>VLOOKUP(C20,PLANILLA,2,FALSE)</f>
        <v xml:space="preserve">DELGADO  Alfredo </v>
      </c>
      <c r="E20" s="24" t="str">
        <f>VLOOKUP(C20,PLANILLA,4,FALSE)</f>
        <v xml:space="preserve">CCRR ESCAZÚ </v>
      </c>
      <c r="F20" s="3"/>
      <c r="G20" s="15"/>
      <c r="H20" s="3"/>
      <c r="I20" s="25"/>
      <c r="J20" s="33">
        <v>0</v>
      </c>
      <c r="K20" s="22">
        <v>0</v>
      </c>
      <c r="L20" s="22">
        <v>7</v>
      </c>
      <c r="M20" s="34">
        <v>90</v>
      </c>
      <c r="N20" s="26"/>
      <c r="O20" s="30">
        <f>IFERROR(VLOOKUP(N20,'Puntos XCC Menor'!$A$1:$B$15,2,FALSE),0)</f>
        <v>0</v>
      </c>
      <c r="P20" s="3">
        <v>0</v>
      </c>
      <c r="Q20" s="34">
        <f>IFERROR(VLOOKUP(P20,'Puntos XCO'!$A$1:$B$63,2,FALSE),0)</f>
        <v>0</v>
      </c>
      <c r="R20" s="16">
        <v>0</v>
      </c>
      <c r="S20" s="3">
        <f>IFERROR(VLOOKUP(R20,'Puntos XCC Menor'!$A$1:$B$15,2,FALSE),0)</f>
        <v>0</v>
      </c>
      <c r="T20" s="15">
        <v>4</v>
      </c>
      <c r="U20" s="39">
        <f>IFERROR(VLOOKUP(T20,'Puntos XCO'!$A$1:$B$63,2,FALSE),0)</f>
        <v>110</v>
      </c>
      <c r="V20" s="16">
        <f>IFERROR(VLOOKUP(C20,RESXCC_1,9,FALSE),0)</f>
        <v>0</v>
      </c>
      <c r="W20" s="15">
        <f>IFERROR(VLOOKUP(V20,'Puntos XCC Mayor'!$A$1:$B$15,2,FALSE),0)</f>
        <v>0</v>
      </c>
      <c r="X20" s="15">
        <f>IFERROR(VLOOKUP(C20,RESXCO,9,FALSE),0)</f>
        <v>6</v>
      </c>
      <c r="Y20" s="25">
        <f>IFERROR(VLOOKUP(X20,'Puntos XCO'!$A$1:$B$63,2,FALSE),0)</f>
        <v>95</v>
      </c>
      <c r="Z20" s="27">
        <f>G20+I20+K20+M20+O20+Q20+S20+U20+W20+Y20</f>
        <v>295</v>
      </c>
      <c r="AB20" s="2"/>
      <c r="AC20" s="13"/>
      <c r="AD20" s="12"/>
      <c r="AE20" s="14"/>
    </row>
    <row r="21" spans="1:31" ht="24.95" customHeight="1">
      <c r="A21" s="22">
        <v>7</v>
      </c>
      <c r="B21" s="22">
        <v>5</v>
      </c>
      <c r="C21" s="22">
        <v>704</v>
      </c>
      <c r="D21" s="23" t="str">
        <f>VLOOKUP(C21,PLANILLA,2,FALSE)</f>
        <v>ARIAS Kibeth</v>
      </c>
      <c r="E21" s="24" t="str">
        <f>VLOOKUP(C21,PLANILLA,4,FALSE)</f>
        <v>VEINTE24 CYCLING</v>
      </c>
      <c r="F21" s="3">
        <v>7</v>
      </c>
      <c r="G21" s="15">
        <v>4</v>
      </c>
      <c r="H21" s="3">
        <v>8</v>
      </c>
      <c r="I21" s="25">
        <v>85</v>
      </c>
      <c r="J21" s="33">
        <v>3</v>
      </c>
      <c r="K21" s="22">
        <v>8</v>
      </c>
      <c r="L21" s="22">
        <v>4</v>
      </c>
      <c r="M21" s="34">
        <v>110</v>
      </c>
      <c r="N21" s="26"/>
      <c r="O21" s="30">
        <f>IFERROR(VLOOKUP(N21,'Puntos XCC Menor'!$A$1:$B$15,2,FALSE),0)</f>
        <v>0</v>
      </c>
      <c r="P21" s="3">
        <v>9</v>
      </c>
      <c r="Q21" s="34">
        <f>IFERROR(VLOOKUP(P21,'Puntos XCO'!$A$1:$B$63,2,FALSE),0)</f>
        <v>80</v>
      </c>
      <c r="R21" s="16">
        <v>0</v>
      </c>
      <c r="S21" s="3">
        <f>IFERROR(VLOOKUP(R21,'Puntos XCC Menor'!$A$1:$B$15,2,FALSE),0)</f>
        <v>0</v>
      </c>
      <c r="T21" s="15">
        <v>0</v>
      </c>
      <c r="U21" s="39">
        <f>IFERROR(VLOOKUP(T21,'Puntos XCO'!$A$1:$B$63,2,FALSE),0)</f>
        <v>0</v>
      </c>
      <c r="V21" s="16">
        <f>IFERROR(VLOOKUP(C21,RESXCC_1,9,FALSE),0)</f>
        <v>0</v>
      </c>
      <c r="W21" s="15">
        <f>IFERROR(VLOOKUP(V21,'Puntos XCC Mayor'!$A$1:$B$15,2,FALSE),0)</f>
        <v>0</v>
      </c>
      <c r="X21" s="15">
        <f>IFERROR(VLOOKUP(C21,RESXCO,9,FALSE),0)</f>
        <v>0</v>
      </c>
      <c r="Y21" s="25">
        <f>IFERROR(VLOOKUP(X21,'Puntos XCO'!$A$1:$B$63,2,FALSE),0)</f>
        <v>0</v>
      </c>
      <c r="Z21" s="27">
        <f>G21+I21+K21+M21+O21+Q21+S21+U21+W21+Y21</f>
        <v>287</v>
      </c>
      <c r="AB21" s="2"/>
      <c r="AC21" s="13"/>
      <c r="AD21" s="12"/>
      <c r="AE21" s="14"/>
    </row>
    <row r="22" spans="1:31" ht="24.95" customHeight="1">
      <c r="A22" s="22">
        <v>8</v>
      </c>
      <c r="B22" s="22">
        <v>7</v>
      </c>
      <c r="C22" s="22">
        <v>705</v>
      </c>
      <c r="D22" s="23" t="str">
        <f>VLOOKUP(C22,PLANILLA,2,FALSE)</f>
        <v>CALDERON Edwin</v>
      </c>
      <c r="E22" s="24" t="str">
        <f>VLOOKUP(C22,PLANILLA,4,FALSE)</f>
        <v>CAPOS MOBY BIKE TEAM</v>
      </c>
      <c r="F22" s="3">
        <v>1</v>
      </c>
      <c r="G22" s="15">
        <v>10</v>
      </c>
      <c r="H22" s="3">
        <v>2</v>
      </c>
      <c r="I22" s="25">
        <v>150</v>
      </c>
      <c r="J22" s="33">
        <v>0</v>
      </c>
      <c r="K22" s="22">
        <v>0</v>
      </c>
      <c r="L22" s="22">
        <v>0</v>
      </c>
      <c r="M22" s="34">
        <v>0</v>
      </c>
      <c r="N22" s="26"/>
      <c r="O22" s="30">
        <f>IFERROR(VLOOKUP(N22,'Puntos XCC Menor'!$A$1:$B$15,2,FALSE),0)</f>
        <v>0</v>
      </c>
      <c r="P22" s="3">
        <v>6</v>
      </c>
      <c r="Q22" s="34">
        <f>IFERROR(VLOOKUP(P22,'Puntos XCO'!$A$1:$B$63,2,FALSE),0)</f>
        <v>95</v>
      </c>
      <c r="R22" s="16">
        <v>0</v>
      </c>
      <c r="S22" s="3">
        <f>IFERROR(VLOOKUP(R22,'Puntos XCC Menor'!$A$1:$B$15,2,FALSE),0)</f>
        <v>0</v>
      </c>
      <c r="T22" s="15">
        <v>0</v>
      </c>
      <c r="U22" s="39">
        <f>IFERROR(VLOOKUP(T22,'Puntos XCO'!$A$1:$B$63,2,FALSE),0)</f>
        <v>0</v>
      </c>
      <c r="V22" s="16">
        <f>IFERROR(VLOOKUP(C22,RESXCC_1,9,FALSE),0)</f>
        <v>0</v>
      </c>
      <c r="W22" s="15">
        <f>IFERROR(VLOOKUP(V22,'Puntos XCC Mayor'!$A$1:$B$15,2,FALSE),0)</f>
        <v>0</v>
      </c>
      <c r="X22" s="15">
        <f>IFERROR(VLOOKUP(C22,RESXCO,9,FALSE),0)</f>
        <v>0</v>
      </c>
      <c r="Y22" s="25">
        <f>IFERROR(VLOOKUP(X22,'Puntos XCO'!$A$1:$B$63,2,FALSE),0)</f>
        <v>0</v>
      </c>
      <c r="Z22" s="27">
        <f>G22+I22+K22+M22+O22+Q22+S22+U22+W22+Y22</f>
        <v>255</v>
      </c>
      <c r="AB22" s="2"/>
      <c r="AC22" s="13"/>
      <c r="AD22" s="12"/>
      <c r="AE22" s="14"/>
    </row>
    <row r="23" spans="1:31" ht="24.95" customHeight="1">
      <c r="A23" s="22">
        <v>9</v>
      </c>
      <c r="B23" s="22">
        <v>9</v>
      </c>
      <c r="C23" s="22">
        <v>707</v>
      </c>
      <c r="D23" s="23" t="str">
        <f>VLOOKUP(C23,PLANILLA,2,FALSE)</f>
        <v xml:space="preserve">NAVARRO  Damon </v>
      </c>
      <c r="E23" s="24" t="str">
        <f>VLOOKUP(C23,PLANILLA,4,FALSE)</f>
        <v xml:space="preserve">CHAVO MECHANICS </v>
      </c>
      <c r="F23" s="3">
        <v>4</v>
      </c>
      <c r="G23" s="15">
        <v>7</v>
      </c>
      <c r="H23" s="3">
        <v>4</v>
      </c>
      <c r="I23" s="25">
        <v>110</v>
      </c>
      <c r="J23" s="33">
        <v>0</v>
      </c>
      <c r="K23" s="22">
        <v>0</v>
      </c>
      <c r="L23" s="22">
        <v>0</v>
      </c>
      <c r="M23" s="34">
        <v>0</v>
      </c>
      <c r="N23" s="26"/>
      <c r="O23" s="30">
        <f>IFERROR(VLOOKUP(N23,'Puntos XCC Menor'!$A$1:$B$15,2,FALSE),0)</f>
        <v>0</v>
      </c>
      <c r="P23" s="3">
        <v>0</v>
      </c>
      <c r="Q23" s="34">
        <f>IFERROR(VLOOKUP(P23,'Puntos XCO'!$A$1:$B$63,2,FALSE),0)</f>
        <v>0</v>
      </c>
      <c r="R23" s="16">
        <v>0</v>
      </c>
      <c r="S23" s="3">
        <f>IFERROR(VLOOKUP(R23,'Puntos XCC Menor'!$A$1:$B$15,2,FALSE),0)</f>
        <v>0</v>
      </c>
      <c r="T23" s="15">
        <v>0</v>
      </c>
      <c r="U23" s="39">
        <f>IFERROR(VLOOKUP(T23,'Puntos XCO'!$A$1:$B$63,2,FALSE),0)</f>
        <v>0</v>
      </c>
      <c r="V23" s="16">
        <f>IFERROR(VLOOKUP(C23,RESXCC_1,9,FALSE),0)</f>
        <v>0</v>
      </c>
      <c r="W23" s="15">
        <f>IFERROR(VLOOKUP(V23,'Puntos XCC Mayor'!$A$1:$B$15,2,FALSE),0)</f>
        <v>0</v>
      </c>
      <c r="X23" s="15">
        <f>IFERROR(VLOOKUP(C23,RESXCO,9,FALSE),0)</f>
        <v>0</v>
      </c>
      <c r="Y23" s="25">
        <f>IFERROR(VLOOKUP(X23,'Puntos XCO'!$A$1:$B$63,2,FALSE),0)</f>
        <v>0</v>
      </c>
      <c r="Z23" s="27">
        <f>G23+I23+K23+M23+O23+Q23+S23+U23+W23+Y23</f>
        <v>117</v>
      </c>
      <c r="AB23" s="2"/>
      <c r="AC23" s="13"/>
      <c r="AD23" s="12"/>
      <c r="AE23" s="14"/>
    </row>
    <row r="24" spans="1:31" ht="24.95" customHeight="1">
      <c r="A24" s="22">
        <v>10</v>
      </c>
      <c r="B24" s="22">
        <v>10</v>
      </c>
      <c r="C24" s="22">
        <v>717</v>
      </c>
      <c r="D24" s="23" t="str">
        <f>VLOOKUP(C24,PLANILLA,2,FALSE)</f>
        <v>MORA Juan Manuel</v>
      </c>
      <c r="E24" s="24" t="str">
        <f>VLOOKUP(C24,PLANILLA,4,FALSE)</f>
        <v>N/A</v>
      </c>
      <c r="F24" s="3"/>
      <c r="G24" s="15"/>
      <c r="H24" s="3"/>
      <c r="I24" s="25"/>
      <c r="J24" s="33"/>
      <c r="K24" s="22"/>
      <c r="L24" s="22"/>
      <c r="M24" s="34"/>
      <c r="N24" s="26"/>
      <c r="O24" s="30"/>
      <c r="P24" s="3">
        <v>4</v>
      </c>
      <c r="Q24" s="34">
        <f>IFERROR(VLOOKUP(P24,'Puntos XCO'!$A$1:$B$63,2,FALSE),0)</f>
        <v>110</v>
      </c>
      <c r="R24" s="16">
        <v>0</v>
      </c>
      <c r="S24" s="3">
        <f>IFERROR(VLOOKUP(R24,'Puntos XCC Menor'!$A$1:$B$15,2,FALSE),0)</f>
        <v>0</v>
      </c>
      <c r="T24" s="15">
        <v>0</v>
      </c>
      <c r="U24" s="39">
        <f>IFERROR(VLOOKUP(T24,'Puntos XCO'!$A$1:$B$63,2,FALSE),0)</f>
        <v>0</v>
      </c>
      <c r="V24" s="16">
        <f>IFERROR(VLOOKUP(C24,RESXCC_1,9,FALSE),0)</f>
        <v>0</v>
      </c>
      <c r="W24" s="15">
        <f>IFERROR(VLOOKUP(V24,'Puntos XCC Mayor'!$A$1:$B$15,2,FALSE),0)</f>
        <v>0</v>
      </c>
      <c r="X24" s="15">
        <f>IFERROR(VLOOKUP(C24,RESXCO,9,FALSE),0)</f>
        <v>0</v>
      </c>
      <c r="Y24" s="25">
        <f>IFERROR(VLOOKUP(X24,'Puntos XCO'!$A$1:$B$63,2,FALSE),0)</f>
        <v>0</v>
      </c>
      <c r="Z24" s="27">
        <f>G24+I24+K24+M24+O24+Q24+S24+U24+W24+Y24</f>
        <v>110</v>
      </c>
      <c r="AB24" s="2"/>
      <c r="AC24" s="13"/>
      <c r="AD24" s="12"/>
      <c r="AE24" s="14"/>
    </row>
    <row r="25" spans="1:31" ht="24.95" customHeight="1">
      <c r="A25" s="22">
        <v>11</v>
      </c>
      <c r="B25" s="22">
        <v>11</v>
      </c>
      <c r="C25" s="22">
        <v>706</v>
      </c>
      <c r="D25" s="23" t="str">
        <f>VLOOKUP(C25,PLANILLA,2,FALSE)</f>
        <v xml:space="preserve">RIVERA Bryan </v>
      </c>
      <c r="E25" s="24" t="str">
        <f>VLOOKUP(C25,PLANILLA,4,FALSE)</f>
        <v>CICLO JUAN VIÑAS</v>
      </c>
      <c r="F25" s="3">
        <v>6</v>
      </c>
      <c r="G25" s="15">
        <v>5</v>
      </c>
      <c r="H25" s="3">
        <v>6</v>
      </c>
      <c r="I25" s="25">
        <v>95</v>
      </c>
      <c r="J25" s="33">
        <v>0</v>
      </c>
      <c r="K25" s="22">
        <v>0</v>
      </c>
      <c r="L25" s="22">
        <v>0</v>
      </c>
      <c r="M25" s="34">
        <v>0</v>
      </c>
      <c r="N25" s="26"/>
      <c r="O25" s="30">
        <f>IFERROR(VLOOKUP(N25,'Puntos XCC Menor'!$A$1:$B$15,2,FALSE),0)</f>
        <v>0</v>
      </c>
      <c r="P25" s="3">
        <v>0</v>
      </c>
      <c r="Q25" s="34">
        <f>IFERROR(VLOOKUP(P25,'Puntos XCO'!$A$1:$B$63,2,FALSE),0)</f>
        <v>0</v>
      </c>
      <c r="R25" s="16">
        <v>0</v>
      </c>
      <c r="S25" s="3">
        <f>IFERROR(VLOOKUP(R25,'Puntos XCC Menor'!$A$1:$B$15,2,FALSE),0)</f>
        <v>0</v>
      </c>
      <c r="T25" s="15">
        <v>0</v>
      </c>
      <c r="U25" s="39">
        <f>IFERROR(VLOOKUP(T25,'Puntos XCO'!$A$1:$B$63,2,FALSE),0)</f>
        <v>0</v>
      </c>
      <c r="V25" s="16">
        <f>IFERROR(VLOOKUP(C25,RESXCC_1,9,FALSE),0)</f>
        <v>0</v>
      </c>
      <c r="W25" s="15">
        <f>IFERROR(VLOOKUP(V25,'Puntos XCC Mayor'!$A$1:$B$15,2,FALSE),0)</f>
        <v>0</v>
      </c>
      <c r="X25" s="15">
        <f>IFERROR(VLOOKUP(C25,RESXCO,9,FALSE),0)</f>
        <v>0</v>
      </c>
      <c r="Y25" s="25">
        <f>IFERROR(VLOOKUP(X25,'Puntos XCO'!$A$1:$B$63,2,FALSE),0)</f>
        <v>0</v>
      </c>
      <c r="Z25" s="27">
        <f>G25+I25+K25+M25+O25+Q25+S25+U25+W25+Y25</f>
        <v>100</v>
      </c>
      <c r="AB25" s="2"/>
      <c r="AC25" s="13"/>
      <c r="AD25" s="12"/>
      <c r="AE25" s="14"/>
    </row>
    <row r="26" spans="1:31" ht="24.95" customHeight="1">
      <c r="A26" s="22">
        <v>12</v>
      </c>
      <c r="B26" s="22">
        <v>12</v>
      </c>
      <c r="C26" s="22">
        <v>718</v>
      </c>
      <c r="D26" s="23" t="str">
        <f>VLOOKUP(C26,PLANILLA,2,FALSE)</f>
        <v>SANDOVAL  Alberto</v>
      </c>
      <c r="E26" s="24" t="str">
        <f>VLOOKUP(C26,PLANILLA,4,FALSE)</f>
        <v>ALGO RITMO DEVELOMET</v>
      </c>
      <c r="F26" s="3"/>
      <c r="G26" s="15"/>
      <c r="H26" s="3"/>
      <c r="I26" s="25"/>
      <c r="J26" s="33"/>
      <c r="K26" s="22"/>
      <c r="L26" s="22"/>
      <c r="M26" s="34"/>
      <c r="N26" s="26"/>
      <c r="O26" s="30"/>
      <c r="P26" s="3">
        <v>5</v>
      </c>
      <c r="Q26" s="34">
        <f>IFERROR(VLOOKUP(P26,'Puntos XCO'!$A$1:$B$63,2,FALSE),0)</f>
        <v>100</v>
      </c>
      <c r="R26" s="16">
        <v>0</v>
      </c>
      <c r="S26" s="3">
        <f>IFERROR(VLOOKUP(R26,'Puntos XCC Menor'!$A$1:$B$15,2,FALSE),0)</f>
        <v>0</v>
      </c>
      <c r="T26" s="15">
        <v>0</v>
      </c>
      <c r="U26" s="39">
        <f>IFERROR(VLOOKUP(T26,'Puntos XCO'!$A$1:$B$63,2,FALSE),0)</f>
        <v>0</v>
      </c>
      <c r="V26" s="16">
        <f>IFERROR(VLOOKUP(C26,RESXCC_1,9,FALSE),0)</f>
        <v>0</v>
      </c>
      <c r="W26" s="15">
        <f>IFERROR(VLOOKUP(V26,'Puntos XCC Mayor'!$A$1:$B$15,2,FALSE),0)</f>
        <v>0</v>
      </c>
      <c r="X26" s="15">
        <f>IFERROR(VLOOKUP(C26,RESXCO,9,FALSE),0)</f>
        <v>0</v>
      </c>
      <c r="Y26" s="25">
        <f>IFERROR(VLOOKUP(X26,'Puntos XCO'!$A$1:$B$63,2,FALSE),0)</f>
        <v>0</v>
      </c>
      <c r="Z26" s="27">
        <f>G26+I26+K26+M26+O26+Q26+S26+U26+W26+Y26</f>
        <v>100</v>
      </c>
      <c r="AB26" s="2"/>
      <c r="AC26" s="13"/>
      <c r="AD26" s="12"/>
      <c r="AE26" s="14"/>
    </row>
    <row r="27" spans="1:31" ht="24.95" customHeight="1">
      <c r="A27" s="22">
        <v>13</v>
      </c>
      <c r="B27" s="22">
        <v>13</v>
      </c>
      <c r="C27" s="22">
        <v>712</v>
      </c>
      <c r="D27" s="23" t="str">
        <f>VLOOKUP(C27,PLANILLA,2,FALSE)</f>
        <v xml:space="preserve">GAMBOA  Francisco </v>
      </c>
      <c r="E27" s="24" t="str">
        <f>VLOOKUP(C27,PLANILLA,4,FALSE)</f>
        <v xml:space="preserve">INDEPENDIENTE </v>
      </c>
      <c r="F27" s="3"/>
      <c r="G27" s="15"/>
      <c r="H27" s="3"/>
      <c r="I27" s="25"/>
      <c r="J27" s="33">
        <v>4</v>
      </c>
      <c r="K27" s="22">
        <v>7</v>
      </c>
      <c r="L27" s="22">
        <v>8</v>
      </c>
      <c r="M27" s="34">
        <v>85</v>
      </c>
      <c r="N27" s="26"/>
      <c r="O27" s="30">
        <f>IFERROR(VLOOKUP(N27,'Puntos XCC Menor'!$A$1:$B$15,2,FALSE),0)</f>
        <v>0</v>
      </c>
      <c r="P27" s="3">
        <v>0</v>
      </c>
      <c r="Q27" s="34">
        <f>IFERROR(VLOOKUP(P27,'Puntos XCO'!$A$1:$B$63,2,FALSE),0)</f>
        <v>0</v>
      </c>
      <c r="R27" s="16">
        <v>0</v>
      </c>
      <c r="S27" s="3">
        <f>IFERROR(VLOOKUP(R27,'Puntos XCC Menor'!$A$1:$B$15,2,FALSE),0)</f>
        <v>0</v>
      </c>
      <c r="T27" s="15">
        <v>0</v>
      </c>
      <c r="U27" s="39">
        <f>IFERROR(VLOOKUP(T27,'Puntos XCO'!$A$1:$B$63,2,FALSE),0)</f>
        <v>0</v>
      </c>
      <c r="V27" s="16">
        <f>IFERROR(VLOOKUP(C27,RESXCC_1,9,FALSE),0)</f>
        <v>0</v>
      </c>
      <c r="W27" s="15">
        <f>IFERROR(VLOOKUP(V27,'Puntos XCC Mayor'!$A$1:$B$15,2,FALSE),0)</f>
        <v>0</v>
      </c>
      <c r="X27" s="15">
        <f>IFERROR(VLOOKUP(C27,RESXCO,9,FALSE),0)</f>
        <v>0</v>
      </c>
      <c r="Y27" s="25">
        <f>IFERROR(VLOOKUP(X27,'Puntos XCO'!$A$1:$B$63,2,FALSE),0)</f>
        <v>0</v>
      </c>
      <c r="Z27" s="27">
        <f>G27+I27+K27+M27+O27+Q27+S27+U27+W27+Y27</f>
        <v>92</v>
      </c>
      <c r="AB27" s="2"/>
      <c r="AC27" s="13"/>
      <c r="AD27" s="12"/>
      <c r="AE27" s="14"/>
    </row>
    <row r="28" spans="1:31" ht="24.95" customHeight="1">
      <c r="A28" s="22">
        <v>14</v>
      </c>
      <c r="B28" s="22">
        <v>14</v>
      </c>
      <c r="C28" s="22">
        <v>703</v>
      </c>
      <c r="D28" s="23" t="str">
        <f>VLOOKUP(C28,PLANILLA,2,FALSE)</f>
        <v xml:space="preserve">ZÚÑIGA  Sergio </v>
      </c>
      <c r="E28" s="24" t="str">
        <f>VLOOKUP(C28,PLANILLA,4,FALSE)</f>
        <v>INDEPENDIENTE</v>
      </c>
      <c r="F28" s="3">
        <v>0</v>
      </c>
      <c r="G28" s="15">
        <v>0</v>
      </c>
      <c r="H28" s="3">
        <v>7</v>
      </c>
      <c r="I28" s="25">
        <v>90</v>
      </c>
      <c r="J28" s="33">
        <v>0</v>
      </c>
      <c r="K28" s="22">
        <v>0</v>
      </c>
      <c r="L28" s="22">
        <v>0</v>
      </c>
      <c r="M28" s="34">
        <v>0</v>
      </c>
      <c r="N28" s="26"/>
      <c r="O28" s="30">
        <f>IFERROR(VLOOKUP(N28,'Puntos XCC Menor'!$A$1:$B$15,2,FALSE),0)</f>
        <v>0</v>
      </c>
      <c r="P28" s="3">
        <v>0</v>
      </c>
      <c r="Q28" s="34">
        <f>IFERROR(VLOOKUP(P28,'Puntos XCO'!$A$1:$B$63,2,FALSE),0)</f>
        <v>0</v>
      </c>
      <c r="R28" s="16">
        <v>0</v>
      </c>
      <c r="S28" s="3">
        <f>IFERROR(VLOOKUP(R28,'Puntos XCC Menor'!$A$1:$B$15,2,FALSE),0)</f>
        <v>0</v>
      </c>
      <c r="T28" s="15">
        <v>0</v>
      </c>
      <c r="U28" s="39">
        <f>IFERROR(VLOOKUP(T28,'Puntos XCO'!$A$1:$B$63,2,FALSE),0)</f>
        <v>0</v>
      </c>
      <c r="V28" s="16">
        <f>IFERROR(VLOOKUP(C28,RESXCC_1,9,FALSE),0)</f>
        <v>0</v>
      </c>
      <c r="W28" s="15">
        <f>IFERROR(VLOOKUP(V28,'Puntos XCC Mayor'!$A$1:$B$15,2,FALSE),0)</f>
        <v>0</v>
      </c>
      <c r="X28" s="15">
        <f>IFERROR(VLOOKUP(C28,RESXCO,9,FALSE),0)</f>
        <v>0</v>
      </c>
      <c r="Y28" s="25">
        <f>IFERROR(VLOOKUP(X28,'Puntos XCO'!$A$1:$B$63,2,FALSE),0)</f>
        <v>0</v>
      </c>
      <c r="Z28" s="27">
        <f>G28+I28+K28+M28+O28+Q28+S28+U28+W28+Y28</f>
        <v>90</v>
      </c>
      <c r="AB28" s="2"/>
      <c r="AC28" s="13"/>
      <c r="AD28" s="12"/>
      <c r="AE28" s="14"/>
    </row>
    <row r="29" spans="1:31" ht="24.95" customHeight="1">
      <c r="A29" s="22">
        <v>15</v>
      </c>
      <c r="B29" s="22">
        <v>15</v>
      </c>
      <c r="C29" s="22">
        <v>711</v>
      </c>
      <c r="D29" s="23" t="str">
        <f>VLOOKUP(C29,PLANILLA,2,FALSE)</f>
        <v>SEGURA Luis Diego</v>
      </c>
      <c r="E29" s="24" t="str">
        <f>VLOOKUP(C29,PLANILLA,4,FALSE)</f>
        <v>AUTOPAMA - COLYPRO - CLETEROS BATAAN</v>
      </c>
      <c r="F29" s="3">
        <v>0</v>
      </c>
      <c r="G29" s="15">
        <v>0</v>
      </c>
      <c r="H29" s="3">
        <v>9</v>
      </c>
      <c r="I29" s="25">
        <v>80</v>
      </c>
      <c r="J29" s="33">
        <v>0</v>
      </c>
      <c r="K29" s="22">
        <v>0</v>
      </c>
      <c r="L29" s="22">
        <v>0</v>
      </c>
      <c r="M29" s="34">
        <v>0</v>
      </c>
      <c r="N29" s="26"/>
      <c r="O29" s="30">
        <f>IFERROR(VLOOKUP(N29,'Puntos XCC Menor'!$A$1:$B$15,2,FALSE),0)</f>
        <v>0</v>
      </c>
      <c r="P29" s="3">
        <v>0</v>
      </c>
      <c r="Q29" s="34">
        <f>IFERROR(VLOOKUP(P29,'Puntos XCO'!$A$1:$B$63,2,FALSE),0)</f>
        <v>0</v>
      </c>
      <c r="R29" s="16">
        <v>0</v>
      </c>
      <c r="S29" s="3">
        <f>IFERROR(VLOOKUP(R29,'Puntos XCC Menor'!$A$1:$B$15,2,FALSE),0)</f>
        <v>0</v>
      </c>
      <c r="T29" s="15">
        <v>0</v>
      </c>
      <c r="U29" s="39">
        <f>IFERROR(VLOOKUP(T29,'Puntos XCO'!$A$1:$B$63,2,FALSE),0)</f>
        <v>0</v>
      </c>
      <c r="V29" s="16">
        <f>IFERROR(VLOOKUP(C29,RESXCC_1,9,FALSE),0)</f>
        <v>0</v>
      </c>
      <c r="W29" s="15">
        <f>IFERROR(VLOOKUP(V29,'Puntos XCC Mayor'!$A$1:$B$15,2,FALSE),0)</f>
        <v>0</v>
      </c>
      <c r="X29" s="15">
        <f>IFERROR(VLOOKUP(C29,RESXCO,9,FALSE),0)</f>
        <v>0</v>
      </c>
      <c r="Y29" s="25">
        <f>IFERROR(VLOOKUP(X29,'Puntos XCO'!$A$1:$B$63,2,FALSE),0)</f>
        <v>0</v>
      </c>
      <c r="Z29" s="27">
        <f>G29+I29+K29+M29+O29+Q29+S29+U29+W29+Y29</f>
        <v>80</v>
      </c>
      <c r="AB29" s="2"/>
      <c r="AC29" s="13"/>
      <c r="AD29" s="12"/>
      <c r="AE29" s="14"/>
    </row>
    <row r="30" spans="1:31" ht="24.95" customHeight="1">
      <c r="A30" s="22">
        <v>16</v>
      </c>
      <c r="B30" s="22">
        <v>16</v>
      </c>
      <c r="C30" s="22">
        <v>715</v>
      </c>
      <c r="D30" s="23" t="str">
        <f>VLOOKUP(C30,PLANILLA,2,FALSE)</f>
        <v>BENAVIDES  Kenneth</v>
      </c>
      <c r="E30" s="24" t="str">
        <f>VLOOKUP(C30,PLANILLA,4,FALSE)</f>
        <v xml:space="preserve">BELÉN TEAM </v>
      </c>
      <c r="F30" s="3"/>
      <c r="G30" s="15"/>
      <c r="H30" s="3"/>
      <c r="I30" s="25"/>
      <c r="J30" s="33"/>
      <c r="K30" s="22"/>
      <c r="L30" s="22"/>
      <c r="M30" s="34"/>
      <c r="N30" s="26"/>
      <c r="O30" s="30"/>
      <c r="P30" s="3">
        <v>10</v>
      </c>
      <c r="Q30" s="34">
        <f>IFERROR(VLOOKUP(P30,'Puntos XCO'!$A$1:$B$63,2,FALSE),0)</f>
        <v>78</v>
      </c>
      <c r="R30" s="16">
        <v>0</v>
      </c>
      <c r="S30" s="3">
        <f>IFERROR(VLOOKUP(R30,'Puntos XCC Menor'!$A$1:$B$15,2,FALSE),0)</f>
        <v>0</v>
      </c>
      <c r="T30" s="15">
        <v>0</v>
      </c>
      <c r="U30" s="39">
        <f>IFERROR(VLOOKUP(T30,'Puntos XCO'!$A$1:$B$63,2,FALSE),0)</f>
        <v>0</v>
      </c>
      <c r="V30" s="16">
        <f>IFERROR(VLOOKUP(C30,RESXCC_1,9,FALSE),0)</f>
        <v>0</v>
      </c>
      <c r="W30" s="15">
        <f>IFERROR(VLOOKUP(V30,'Puntos XCC Mayor'!$A$1:$B$15,2,FALSE),0)</f>
        <v>0</v>
      </c>
      <c r="X30" s="15">
        <f>IFERROR(VLOOKUP(C30,RESXCO,9,FALSE),0)</f>
        <v>0</v>
      </c>
      <c r="Y30" s="25">
        <f>IFERROR(VLOOKUP(X30,'Puntos XCO'!$A$1:$B$63,2,FALSE),0)</f>
        <v>0</v>
      </c>
      <c r="Z30" s="27">
        <f>G30+I30+K30+M30+O30+Q30+S30+U30+W30+Y30</f>
        <v>78</v>
      </c>
      <c r="AB30" s="2"/>
      <c r="AC30" s="13"/>
      <c r="AD30" s="12"/>
      <c r="AE30" s="14"/>
    </row>
    <row r="31" spans="1:31" ht="24.95" customHeight="1">
      <c r="A31" s="22">
        <v>17</v>
      </c>
      <c r="B31" s="22">
        <v>17</v>
      </c>
      <c r="C31" s="22">
        <v>710</v>
      </c>
      <c r="D31" s="23" t="str">
        <f>VLOOKUP(C31,PLANILLA,2,FALSE)</f>
        <v xml:space="preserve">MORENO  Carlos </v>
      </c>
      <c r="E31" s="24" t="str">
        <f>VLOOKUP(C31,PLANILLA,4,FALSE)</f>
        <v xml:space="preserve">INDIVIDUAL </v>
      </c>
      <c r="F31" s="3">
        <v>0</v>
      </c>
      <c r="G31" s="15">
        <v>0</v>
      </c>
      <c r="H31" s="3">
        <v>11</v>
      </c>
      <c r="I31" s="25">
        <v>76</v>
      </c>
      <c r="J31" s="33">
        <v>0</v>
      </c>
      <c r="K31" s="22">
        <v>0</v>
      </c>
      <c r="L31" s="22">
        <v>0</v>
      </c>
      <c r="M31" s="34">
        <v>0</v>
      </c>
      <c r="N31" s="26"/>
      <c r="O31" s="30">
        <f>IFERROR(VLOOKUP(N31,'Puntos XCC Menor'!$A$1:$B$15,2,FALSE),0)</f>
        <v>0</v>
      </c>
      <c r="P31" s="3">
        <v>0</v>
      </c>
      <c r="Q31" s="34">
        <f>IFERROR(VLOOKUP(P31,'Puntos XCO'!$A$1:$B$63,2,FALSE),0)</f>
        <v>0</v>
      </c>
      <c r="R31" s="16">
        <v>0</v>
      </c>
      <c r="S31" s="3">
        <f>IFERROR(VLOOKUP(R31,'Puntos XCC Menor'!$A$1:$B$15,2,FALSE),0)</f>
        <v>0</v>
      </c>
      <c r="T31" s="15">
        <v>0</v>
      </c>
      <c r="U31" s="39">
        <f>IFERROR(VLOOKUP(T31,'Puntos XCO'!$A$1:$B$63,2,FALSE),0)</f>
        <v>0</v>
      </c>
      <c r="V31" s="16">
        <f>IFERROR(VLOOKUP(C31,RESXCC_1,9,FALSE),0)</f>
        <v>0</v>
      </c>
      <c r="W31" s="15">
        <f>IFERROR(VLOOKUP(V31,'Puntos XCC Mayor'!$A$1:$B$15,2,FALSE),0)</f>
        <v>0</v>
      </c>
      <c r="X31" s="15">
        <f>IFERROR(VLOOKUP(C31,RESXCO,9,FALSE),0)</f>
        <v>0</v>
      </c>
      <c r="Y31" s="25">
        <f>IFERROR(VLOOKUP(X31,'Puntos XCO'!$A$1:$B$63,2,FALSE),0)</f>
        <v>0</v>
      </c>
      <c r="Z31" s="27">
        <f>G31+I31+K31+M31+O31+Q31+S31+U31+W31+Y31</f>
        <v>76</v>
      </c>
      <c r="AB31" s="2"/>
      <c r="AC31" s="13"/>
      <c r="AD31" s="12"/>
      <c r="AE31" s="14"/>
    </row>
    <row r="32" spans="1:31" ht="24.95" customHeight="1">
      <c r="A32" s="22">
        <v>18</v>
      </c>
      <c r="B32" s="22">
        <v>18</v>
      </c>
      <c r="C32" s="22">
        <v>716</v>
      </c>
      <c r="D32" s="23" t="str">
        <f>VLOOKUP(C32,PLANILLA,2,FALSE)</f>
        <v>ALFARO Jonathan</v>
      </c>
      <c r="E32" s="24" t="str">
        <f>VLOOKUP(C32,PLANILLA,4,FALSE)</f>
        <v>EQUIPO QUECA</v>
      </c>
      <c r="F32" s="3"/>
      <c r="G32" s="15"/>
      <c r="H32" s="3"/>
      <c r="I32" s="25"/>
      <c r="J32" s="33"/>
      <c r="K32" s="22"/>
      <c r="L32" s="22"/>
      <c r="M32" s="34"/>
      <c r="N32" s="26"/>
      <c r="O32" s="30"/>
      <c r="P32" s="3">
        <v>11</v>
      </c>
      <c r="Q32" s="34">
        <f>IFERROR(VLOOKUP(P32,'Puntos XCO'!$A$1:$B$63,2,FALSE),0)</f>
        <v>76</v>
      </c>
      <c r="R32" s="16">
        <v>0</v>
      </c>
      <c r="S32" s="3">
        <f>IFERROR(VLOOKUP(R32,'Puntos XCC Menor'!$A$1:$B$15,2,FALSE),0)</f>
        <v>0</v>
      </c>
      <c r="T32" s="15">
        <v>0</v>
      </c>
      <c r="U32" s="39">
        <f>IFERROR(VLOOKUP(T32,'Puntos XCO'!$A$1:$B$63,2,FALSE),0)</f>
        <v>0</v>
      </c>
      <c r="V32" s="16">
        <f>IFERROR(VLOOKUP(C32,RESXCC_1,9,FALSE),0)</f>
        <v>0</v>
      </c>
      <c r="W32" s="15">
        <f>IFERROR(VLOOKUP(V32,'Puntos XCC Mayor'!$A$1:$B$15,2,FALSE),0)</f>
        <v>0</v>
      </c>
      <c r="X32" s="15">
        <f>IFERROR(VLOOKUP(C32,RESXCO,9,FALSE),0)</f>
        <v>0</v>
      </c>
      <c r="Y32" s="25">
        <f>IFERROR(VLOOKUP(X32,'Puntos XCO'!$A$1:$B$63,2,FALSE),0)</f>
        <v>0</v>
      </c>
      <c r="Z32" s="27">
        <f>G32+I32+K32+M32+O32+Q32+S32+U32+W32+Y32</f>
        <v>76</v>
      </c>
      <c r="AB32" s="2"/>
      <c r="AC32" s="13"/>
      <c r="AD32" s="12"/>
      <c r="AE32" s="14"/>
    </row>
    <row r="33" spans="1:31" ht="24.95" customHeight="1">
      <c r="A33" s="22">
        <v>19</v>
      </c>
      <c r="B33" s="22">
        <v>19</v>
      </c>
      <c r="C33" s="22">
        <v>719</v>
      </c>
      <c r="D33" s="23" t="str">
        <f>VLOOKUP(C33,PLANILLA,2,FALSE)</f>
        <v>SUAREZ Ariel</v>
      </c>
      <c r="E33" s="24" t="str">
        <f>VLOOKUP(C33,PLANILLA,4,FALSE)</f>
        <v>MCT CYCLING TEAM</v>
      </c>
      <c r="F33" s="3"/>
      <c r="G33" s="15"/>
      <c r="H33" s="3"/>
      <c r="I33" s="25"/>
      <c r="J33" s="33"/>
      <c r="K33" s="22"/>
      <c r="L33" s="22"/>
      <c r="M33" s="34"/>
      <c r="N33" s="26"/>
      <c r="O33" s="30"/>
      <c r="P33" s="3">
        <v>12</v>
      </c>
      <c r="Q33" s="34">
        <f>IFERROR(VLOOKUP(P33,'Puntos XCO'!$A$1:$B$63,2,FALSE),0)</f>
        <v>74</v>
      </c>
      <c r="R33" s="16">
        <v>0</v>
      </c>
      <c r="S33" s="3">
        <f>IFERROR(VLOOKUP(R33,'Puntos XCC Menor'!$A$1:$B$15,2,FALSE),0)</f>
        <v>0</v>
      </c>
      <c r="T33" s="15">
        <v>0</v>
      </c>
      <c r="U33" s="39">
        <f>IFERROR(VLOOKUP(T33,'Puntos XCO'!$A$1:$B$63,2,FALSE),0)</f>
        <v>0</v>
      </c>
      <c r="V33" s="16">
        <f>IFERROR(VLOOKUP(C33,RESXCC_1,9,FALSE),0)</f>
        <v>0</v>
      </c>
      <c r="W33" s="15">
        <f>IFERROR(VLOOKUP(V33,'Puntos XCC Mayor'!$A$1:$B$15,2,FALSE),0)</f>
        <v>0</v>
      </c>
      <c r="X33" s="15">
        <f>IFERROR(VLOOKUP(C33,RESXCO,9,FALSE),0)</f>
        <v>0</v>
      </c>
      <c r="Y33" s="25">
        <f>IFERROR(VLOOKUP(X33,'Puntos XCO'!$A$1:$B$63,2,FALSE),0)</f>
        <v>0</v>
      </c>
      <c r="Z33" s="27">
        <f>G33+I33+K33+M33+O33+Q33+S33+U33+W33+Y33</f>
        <v>74</v>
      </c>
      <c r="AB33" s="2"/>
      <c r="AC33" s="13"/>
      <c r="AD33" s="12"/>
      <c r="AE33" s="14"/>
    </row>
    <row r="34" spans="1:31" ht="24.95" customHeight="1">
      <c r="A34" s="22">
        <v>20</v>
      </c>
      <c r="B34" s="22"/>
      <c r="C34" s="107">
        <v>720</v>
      </c>
      <c r="D34" s="23" t="str">
        <f>VLOOKUP(C34,PLANILLA,2,FALSE)</f>
        <v xml:space="preserve">SANTANA  Jesús </v>
      </c>
      <c r="E34" s="24" t="str">
        <f>VLOOKUP(C34,PLANILLA,4,FALSE)</f>
        <v xml:space="preserve">ACISA CCDR SARAPIQUI </v>
      </c>
      <c r="F34" s="3"/>
      <c r="G34" s="15"/>
      <c r="H34" s="3"/>
      <c r="I34" s="25"/>
      <c r="J34" s="33"/>
      <c r="K34" s="22"/>
      <c r="L34" s="22"/>
      <c r="M34" s="34"/>
      <c r="N34" s="26"/>
      <c r="O34" s="30"/>
      <c r="P34" s="3"/>
      <c r="Q34" s="34"/>
      <c r="R34" s="16">
        <v>0</v>
      </c>
      <c r="S34" s="3">
        <f>IFERROR(VLOOKUP(R34,'Puntos XCC Menor'!$A$1:$B$15,2,FALSE),0)</f>
        <v>0</v>
      </c>
      <c r="T34" s="15">
        <v>0</v>
      </c>
      <c r="U34" s="39">
        <f>IFERROR(VLOOKUP(T34,'Puntos XCO'!$A$1:$B$63,2,FALSE),0)</f>
        <v>0</v>
      </c>
      <c r="V34" s="16">
        <f>IFERROR(VLOOKUP(C34,RESXCC_1,9,FALSE),0)</f>
        <v>5</v>
      </c>
      <c r="W34" s="15">
        <f>IFERROR(VLOOKUP(V34,'Puntos XCC Mayor'!$A$1:$B$15,2,FALSE),0)</f>
        <v>12</v>
      </c>
      <c r="X34" s="15">
        <f>IFERROR(VLOOKUP(C34,RESXCO,9,FALSE),0)</f>
        <v>0</v>
      </c>
      <c r="Y34" s="25">
        <f>IFERROR(VLOOKUP(X34,'Puntos XCO'!$A$1:$B$63,2,FALSE),0)</f>
        <v>0</v>
      </c>
      <c r="Z34" s="27">
        <f>G34+I34+K34+M34+O34+Q34+S34+U34+W34+Y34</f>
        <v>12</v>
      </c>
      <c r="AB34" s="2"/>
      <c r="AC34" s="13"/>
      <c r="AD34" s="12"/>
      <c r="AE34" s="14"/>
    </row>
    <row r="35" spans="1:31" ht="24.95" customHeight="1">
      <c r="A35" s="22"/>
      <c r="B35" s="22"/>
      <c r="C35" s="107"/>
      <c r="D35" s="23"/>
      <c r="E35" s="24"/>
      <c r="F35" s="3"/>
      <c r="G35" s="15"/>
      <c r="H35" s="3"/>
      <c r="I35" s="25"/>
      <c r="J35" s="33"/>
      <c r="K35" s="22"/>
      <c r="L35" s="22"/>
      <c r="M35" s="34"/>
      <c r="N35" s="26"/>
      <c r="O35" s="30"/>
      <c r="P35" s="3"/>
      <c r="Q35" s="34"/>
      <c r="R35" s="32"/>
      <c r="S35" s="30"/>
      <c r="T35" s="3"/>
      <c r="U35" s="39"/>
      <c r="V35" s="32"/>
      <c r="W35" s="30"/>
      <c r="X35" s="15"/>
      <c r="Y35" s="25"/>
      <c r="Z35" s="27"/>
      <c r="AB35" s="2"/>
      <c r="AC35" s="13"/>
      <c r="AD35" s="12"/>
      <c r="AE35" s="14"/>
    </row>
    <row r="36" spans="1:3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74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spans="1:31">
      <c r="M37" s="9"/>
      <c r="N37" s="9"/>
      <c r="O37" s="9"/>
      <c r="P37" s="10"/>
      <c r="Q37" s="9"/>
      <c r="R37" s="9"/>
      <c r="S37" s="9"/>
      <c r="T37" s="9"/>
      <c r="U37" s="9"/>
    </row>
    <row r="38" spans="1:31" ht="127.5" customHeight="1"/>
    <row r="39" spans="1:3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74"/>
      <c r="Q39" s="65"/>
      <c r="R39" s="65"/>
      <c r="S39" s="65"/>
      <c r="T39" s="65"/>
      <c r="U39" s="65"/>
      <c r="V39" s="65"/>
      <c r="W39" s="65"/>
      <c r="X39" s="65"/>
      <c r="Y39" s="65"/>
      <c r="Z39" s="65"/>
    </row>
  </sheetData>
  <sortState ref="B15:Z34">
    <sortCondition descending="1" ref="Z15:Z34"/>
    <sortCondition ref="X15:X34"/>
  </sortState>
  <mergeCells count="10">
    <mergeCell ref="A8:Z8"/>
    <mergeCell ref="A10:Z10"/>
    <mergeCell ref="A11:Z11"/>
    <mergeCell ref="A13:B13"/>
    <mergeCell ref="F13:I13"/>
    <mergeCell ref="J13:M13"/>
    <mergeCell ref="N13:Q13"/>
    <mergeCell ref="R13:U13"/>
    <mergeCell ref="V13:Y13"/>
    <mergeCell ref="Z13:Z14"/>
  </mergeCells>
  <conditionalFormatting sqref="C36:C65514 C1:C9 C12:C14">
    <cfRule type="duplicateValues" dxfId="386" priority="47" stopIfTrue="1"/>
  </conditionalFormatting>
  <conditionalFormatting sqref="C11">
    <cfRule type="duplicateValues" dxfId="385" priority="4" stopIfTrue="1"/>
  </conditionalFormatting>
  <conditionalFormatting sqref="C11">
    <cfRule type="duplicateValues" dxfId="384" priority="5" stopIfTrue="1"/>
  </conditionalFormatting>
  <conditionalFormatting sqref="D11">
    <cfRule type="duplicateValues" dxfId="383" priority="3" stopIfTrue="1"/>
  </conditionalFormatting>
  <conditionalFormatting sqref="C10">
    <cfRule type="duplicateValues" dxfId="382" priority="1" stopIfTrue="1"/>
  </conditionalFormatting>
  <conditionalFormatting sqref="C10">
    <cfRule type="duplicateValues" dxfId="381" priority="2" stopIfTrue="1"/>
  </conditionalFormatting>
  <conditionalFormatting sqref="AB15:AB35">
    <cfRule type="duplicateValues" dxfId="380" priority="7848"/>
  </conditionalFormatting>
  <pageMargins left="0.70866141732283472" right="0.70866141732283472" top="0.74803149606299213" bottom="0.74803149606299213" header="0.31496062992125984" footer="0.31496062992125984"/>
  <pageSetup paperSize="9" scale="50" fitToHeight="2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2">
    <pageSetUpPr fitToPage="1"/>
  </sheetPr>
  <dimension ref="A8:AE45"/>
  <sheetViews>
    <sheetView showGridLines="0" topLeftCell="A22" zoomScale="70" zoomScaleNormal="70" zoomScaleSheetLayoutView="90" workbookViewId="0">
      <selection activeCell="A15" sqref="A15:A38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11.7109375" style="2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26.25">
      <c r="A8" s="118" t="s">
        <v>62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20.100000000000001" customHeight="1">
      <c r="A13" s="125" t="s">
        <v>0</v>
      </c>
      <c r="B13" s="125"/>
      <c r="C13" s="65"/>
      <c r="D13" s="65"/>
      <c r="E13" s="66"/>
      <c r="F13" s="125">
        <v>1</v>
      </c>
      <c r="G13" s="125"/>
      <c r="H13" s="125"/>
      <c r="I13" s="126"/>
      <c r="J13" s="127">
        <v>2</v>
      </c>
      <c r="K13" s="125"/>
      <c r="L13" s="125"/>
      <c r="M13" s="126"/>
      <c r="N13" s="127">
        <v>3</v>
      </c>
      <c r="O13" s="125"/>
      <c r="P13" s="125"/>
      <c r="Q13" s="126"/>
      <c r="R13" s="127">
        <v>4</v>
      </c>
      <c r="S13" s="125"/>
      <c r="T13" s="125"/>
      <c r="U13" s="126"/>
      <c r="V13" s="127">
        <v>5</v>
      </c>
      <c r="W13" s="125"/>
      <c r="X13" s="125"/>
      <c r="Y13" s="126"/>
      <c r="Z13" s="117" t="s">
        <v>47</v>
      </c>
    </row>
    <row r="14" spans="1:31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117"/>
    </row>
    <row r="15" spans="1:31" ht="24.95" customHeight="1">
      <c r="A15" s="22">
        <v>1</v>
      </c>
      <c r="B15" s="22">
        <v>2</v>
      </c>
      <c r="C15" s="22">
        <v>752</v>
      </c>
      <c r="D15" s="23" t="str">
        <f>VLOOKUP(C15,PLANILLA,2,FALSE)</f>
        <v>RAMÍREZ  Federico</v>
      </c>
      <c r="E15" s="24" t="str">
        <f>VLOOKUP(C15,PLANILLA,4,FALSE)</f>
        <v xml:space="preserve">SEVEN CARD WILLIER </v>
      </c>
      <c r="F15" s="3">
        <v>0</v>
      </c>
      <c r="G15" s="15">
        <v>0</v>
      </c>
      <c r="H15" s="3">
        <v>0</v>
      </c>
      <c r="I15" s="25">
        <v>0</v>
      </c>
      <c r="J15" s="33">
        <v>0</v>
      </c>
      <c r="K15" s="22">
        <v>0</v>
      </c>
      <c r="L15" s="22">
        <v>2</v>
      </c>
      <c r="M15" s="34">
        <v>150</v>
      </c>
      <c r="N15" s="32"/>
      <c r="O15" s="30"/>
      <c r="P15" s="3">
        <v>1</v>
      </c>
      <c r="Q15" s="34">
        <f>IFERROR(VLOOKUP(P15,'Puntos XCO'!$A$1:$B$63,2,FALSE),0)</f>
        <v>200</v>
      </c>
      <c r="R15" s="16">
        <v>0</v>
      </c>
      <c r="S15" s="3">
        <f>IFERROR(VLOOKUP(R15,'Puntos XCC Menor'!$A$1:$B$15,2,FALSE),0)</f>
        <v>0</v>
      </c>
      <c r="T15" s="15">
        <v>1</v>
      </c>
      <c r="U15" s="39">
        <f>IFERROR(VLOOKUP(T15,'Puntos XCO'!$A$1:$B$63,2,FALSE),0)</f>
        <v>200</v>
      </c>
      <c r="V15" s="16">
        <f>IFERROR(VLOOKUP(C15,RESXCC_1,9,FALSE),0)</f>
        <v>1</v>
      </c>
      <c r="W15" s="15">
        <f>IFERROR(VLOOKUP(V15,'Puntos XCC Mayor'!$A$1:$B$15,2,FALSE),0)</f>
        <v>25</v>
      </c>
      <c r="X15" s="15">
        <f>IFERROR(VLOOKUP(C15,RESXCO,9,FALSE),0)</f>
        <v>1</v>
      </c>
      <c r="Y15" s="25">
        <f>IFERROR(VLOOKUP(X15,'Puntos XCO'!$A$1:$B$63,2,FALSE),0)</f>
        <v>200</v>
      </c>
      <c r="Z15" s="27">
        <f>G15+I15+K15+M15+O15+Q15+S15+U15+W15+Y15</f>
        <v>775</v>
      </c>
      <c r="AB15" s="2"/>
      <c r="AC15" s="13"/>
      <c r="AD15" s="12"/>
      <c r="AE15" s="14"/>
    </row>
    <row r="16" spans="1:31" ht="24.95" customHeight="1">
      <c r="A16" s="22">
        <v>2</v>
      </c>
      <c r="B16" s="22">
        <v>1</v>
      </c>
      <c r="C16" s="22">
        <v>751</v>
      </c>
      <c r="D16" s="23" t="str">
        <f>VLOOKUP(C16,PLANILLA,2,FALSE)</f>
        <v>HERRERA Elber</v>
      </c>
      <c r="E16" s="24" t="str">
        <f>VLOOKUP(C16,PLANILLA,4,FALSE)</f>
        <v>BOBBYS CYCLING TEAM</v>
      </c>
      <c r="F16" s="3">
        <v>1</v>
      </c>
      <c r="G16" s="15">
        <v>10</v>
      </c>
      <c r="H16" s="3">
        <v>1</v>
      </c>
      <c r="I16" s="25">
        <v>200</v>
      </c>
      <c r="J16" s="33">
        <v>1</v>
      </c>
      <c r="K16" s="22">
        <v>10</v>
      </c>
      <c r="L16" s="22">
        <v>1</v>
      </c>
      <c r="M16" s="34">
        <v>200</v>
      </c>
      <c r="N16" s="32">
        <f>IFERROR(VLOOKUP(C16,RESXCC_1,9,FALSE),0)</f>
        <v>3</v>
      </c>
      <c r="O16" s="30"/>
      <c r="P16" s="3">
        <v>2</v>
      </c>
      <c r="Q16" s="34">
        <f>IFERROR(VLOOKUP(P16,'Puntos XCO'!$A$1:$B$63,2,FALSE),0)</f>
        <v>150</v>
      </c>
      <c r="R16" s="16">
        <v>0</v>
      </c>
      <c r="S16" s="3">
        <f>IFERROR(VLOOKUP(R16,'Puntos XCC Menor'!$A$1:$B$15,2,FALSE),0)</f>
        <v>0</v>
      </c>
      <c r="T16" s="15">
        <v>0</v>
      </c>
      <c r="U16" s="39">
        <f>IFERROR(VLOOKUP(T16,'Puntos XCO'!$A$1:$B$63,2,FALSE),0)</f>
        <v>0</v>
      </c>
      <c r="V16" s="16">
        <f>IFERROR(VLOOKUP(C16,RESXCC_1,9,FALSE),0)</f>
        <v>3</v>
      </c>
      <c r="W16" s="15">
        <f>IFERROR(VLOOKUP(V16,'Puntos XCC Mayor'!$A$1:$B$15,2,FALSE),0)</f>
        <v>16</v>
      </c>
      <c r="X16" s="15">
        <f>IFERROR(VLOOKUP(C16,RESXCO,9,FALSE),0)</f>
        <v>3</v>
      </c>
      <c r="Y16" s="25">
        <f>IFERROR(VLOOKUP(X16,'Puntos XCO'!$A$1:$B$63,2,FALSE),0)</f>
        <v>120</v>
      </c>
      <c r="Z16" s="27">
        <f>G16+I16+K16+M16+O16+Q16+S16+U16+W16+Y16</f>
        <v>706</v>
      </c>
      <c r="AB16" s="2"/>
      <c r="AC16" s="13"/>
      <c r="AD16" s="12"/>
      <c r="AE16" s="14"/>
    </row>
    <row r="17" spans="1:31" ht="24.95" customHeight="1">
      <c r="A17" s="22">
        <v>3</v>
      </c>
      <c r="B17" s="22">
        <v>3</v>
      </c>
      <c r="C17" s="22">
        <v>758</v>
      </c>
      <c r="D17" s="23" t="str">
        <f>VLOOKUP(C17,PLANILLA,2,FALSE)</f>
        <v>MOLINA Hairo</v>
      </c>
      <c r="E17" s="24" t="str">
        <f>VLOOKUP(C17,PLANILLA,4,FALSE)</f>
        <v xml:space="preserve">CCDRESCAZU </v>
      </c>
      <c r="F17" s="3">
        <v>3</v>
      </c>
      <c r="G17" s="15">
        <v>8</v>
      </c>
      <c r="H17" s="3">
        <v>3</v>
      </c>
      <c r="I17" s="25">
        <v>120</v>
      </c>
      <c r="J17" s="33">
        <v>4</v>
      </c>
      <c r="K17" s="22">
        <v>7</v>
      </c>
      <c r="L17" s="22">
        <v>5</v>
      </c>
      <c r="M17" s="34">
        <v>100</v>
      </c>
      <c r="N17" s="32"/>
      <c r="O17" s="30"/>
      <c r="P17" s="3">
        <v>4</v>
      </c>
      <c r="Q17" s="34">
        <f>IFERROR(VLOOKUP(P17,'Puntos XCO'!$A$1:$B$63,2,FALSE),0)</f>
        <v>110</v>
      </c>
      <c r="R17" s="16">
        <v>1</v>
      </c>
      <c r="S17" s="3">
        <f>IFERROR(VLOOKUP(R17,'Puntos XCC Menor'!$A$1:$B$15,2,FALSE),0)</f>
        <v>10</v>
      </c>
      <c r="T17" s="15">
        <v>4</v>
      </c>
      <c r="U17" s="39">
        <f>IFERROR(VLOOKUP(T17,'Puntos XCO'!$A$1:$B$63,2,FALSE),0)</f>
        <v>110</v>
      </c>
      <c r="V17" s="16">
        <f>IFERROR(VLOOKUP(C17,RESXCC_1,9,FALSE),0)</f>
        <v>4</v>
      </c>
      <c r="W17" s="15">
        <f>IFERROR(VLOOKUP(V17,'Puntos XCC Mayor'!$A$1:$B$15,2,FALSE),0)</f>
        <v>14</v>
      </c>
      <c r="X17" s="15">
        <f>IFERROR(VLOOKUP(C17,RESXCO,9,FALSE),0)</f>
        <v>5</v>
      </c>
      <c r="Y17" s="25">
        <f>IFERROR(VLOOKUP(X17,'Puntos XCO'!$A$1:$B$63,2,FALSE),0)</f>
        <v>100</v>
      </c>
      <c r="Z17" s="27">
        <f>G17+I17+K17+M17+O17+Q17+S17+U17+W17+Y17</f>
        <v>579</v>
      </c>
      <c r="AB17" s="2"/>
      <c r="AC17" s="13"/>
      <c r="AD17" s="12"/>
      <c r="AE17" s="14"/>
    </row>
    <row r="18" spans="1:31" ht="24.95" customHeight="1">
      <c r="A18" s="22">
        <v>4</v>
      </c>
      <c r="B18" s="22">
        <v>4</v>
      </c>
      <c r="C18" s="22">
        <v>756</v>
      </c>
      <c r="D18" s="23" t="str">
        <f>VLOOKUP(C18,PLANILLA,2,FALSE)</f>
        <v>BARRANTES Richard</v>
      </c>
      <c r="E18" s="24" t="str">
        <f>VLOOKUP(C18,PLANILLA,4,FALSE)</f>
        <v>VEINTE24</v>
      </c>
      <c r="F18" s="3">
        <v>7</v>
      </c>
      <c r="G18" s="15">
        <v>4</v>
      </c>
      <c r="H18" s="3">
        <v>5</v>
      </c>
      <c r="I18" s="25">
        <v>100</v>
      </c>
      <c r="J18" s="33">
        <v>6</v>
      </c>
      <c r="K18" s="22">
        <v>5</v>
      </c>
      <c r="L18" s="22">
        <v>7</v>
      </c>
      <c r="M18" s="34">
        <v>90</v>
      </c>
      <c r="N18" s="32"/>
      <c r="O18" s="30"/>
      <c r="P18" s="3">
        <v>7</v>
      </c>
      <c r="Q18" s="34">
        <f>IFERROR(VLOOKUP(P18,'Puntos XCO'!$A$1:$B$63,2,FALSE),0)</f>
        <v>90</v>
      </c>
      <c r="R18" s="16">
        <v>3</v>
      </c>
      <c r="S18" s="3">
        <f>IFERROR(VLOOKUP(R18,'Puntos XCC Menor'!$A$1:$B$15,2,FALSE),0)</f>
        <v>8</v>
      </c>
      <c r="T18" s="15">
        <v>5</v>
      </c>
      <c r="U18" s="39">
        <f>IFERROR(VLOOKUP(T18,'Puntos XCO'!$A$1:$B$63,2,FALSE),0)</f>
        <v>100</v>
      </c>
      <c r="V18" s="16">
        <f>IFERROR(VLOOKUP(C18,RESXCC_1,9,FALSE),0)</f>
        <v>0</v>
      </c>
      <c r="W18" s="15">
        <f>IFERROR(VLOOKUP(V18,'Puntos XCC Mayor'!$A$1:$B$15,2,FALSE),0)</f>
        <v>0</v>
      </c>
      <c r="X18" s="15">
        <f>IFERROR(VLOOKUP(C18,RESXCO,9,FALSE),0)</f>
        <v>9</v>
      </c>
      <c r="Y18" s="25">
        <f>IFERROR(VLOOKUP(X18,'Puntos XCO'!$A$1:$B$63,2,FALSE),0)</f>
        <v>80</v>
      </c>
      <c r="Z18" s="27">
        <f>G18+I18+K18+M18+O18+Q18+S18+U18+W18+Y18</f>
        <v>477</v>
      </c>
      <c r="AB18" s="2"/>
      <c r="AC18" s="13"/>
      <c r="AD18" s="12"/>
      <c r="AE18" s="14"/>
    </row>
    <row r="19" spans="1:31" ht="24.95" customHeight="1">
      <c r="A19" s="22">
        <v>5</v>
      </c>
      <c r="B19" s="22">
        <v>5</v>
      </c>
      <c r="C19" s="22">
        <v>763</v>
      </c>
      <c r="D19" s="23" t="str">
        <f>VLOOKUP(C19,PLANILLA,2,FALSE)</f>
        <v xml:space="preserve">RODRÍGUEZ  Julián </v>
      </c>
      <c r="E19" s="24" t="str">
        <f>VLOOKUP(C19,PLANILLA,4,FALSE)</f>
        <v xml:space="preserve">BELÉN TEAM </v>
      </c>
      <c r="F19" s="3">
        <v>0</v>
      </c>
      <c r="G19" s="15">
        <v>0</v>
      </c>
      <c r="H19" s="3">
        <v>4</v>
      </c>
      <c r="I19" s="25">
        <v>110</v>
      </c>
      <c r="J19" s="33">
        <v>0</v>
      </c>
      <c r="K19" s="22">
        <v>0</v>
      </c>
      <c r="L19" s="22">
        <v>0</v>
      </c>
      <c r="M19" s="34">
        <v>0</v>
      </c>
      <c r="N19" s="32"/>
      <c r="O19" s="30"/>
      <c r="P19" s="3">
        <v>6</v>
      </c>
      <c r="Q19" s="34">
        <f>IFERROR(VLOOKUP(P19,'Puntos XCO'!$A$1:$B$63,2,FALSE),0)</f>
        <v>95</v>
      </c>
      <c r="R19" s="16">
        <v>2</v>
      </c>
      <c r="S19" s="3">
        <f>IFERROR(VLOOKUP(R19,'Puntos XCC Menor'!$A$1:$B$15,2,FALSE),0)</f>
        <v>9</v>
      </c>
      <c r="T19" s="15">
        <v>3</v>
      </c>
      <c r="U19" s="39">
        <f>IFERROR(VLOOKUP(T19,'Puntos XCO'!$A$1:$B$63,2,FALSE),0)</f>
        <v>120</v>
      </c>
      <c r="V19" s="16">
        <f>IFERROR(VLOOKUP(C19,RESXCC_1,9,FALSE),0)</f>
        <v>5</v>
      </c>
      <c r="W19" s="15">
        <f>IFERROR(VLOOKUP(V19,'Puntos XCC Mayor'!$A$1:$B$15,2,FALSE),0)</f>
        <v>12</v>
      </c>
      <c r="X19" s="15">
        <f>IFERROR(VLOOKUP(C19,RESXCO,9,FALSE),0)</f>
        <v>6</v>
      </c>
      <c r="Y19" s="25">
        <f>IFERROR(VLOOKUP(X19,'Puntos XCO'!$A$1:$B$63,2,FALSE),0)</f>
        <v>95</v>
      </c>
      <c r="Z19" s="27">
        <f>G19+I19+K19+M19+O19+Q19+S19+U19+W19+Y19</f>
        <v>441</v>
      </c>
      <c r="AB19" s="2"/>
      <c r="AC19" s="13"/>
      <c r="AD19" s="12"/>
      <c r="AE19" s="14"/>
    </row>
    <row r="20" spans="1:31" ht="24.95" customHeight="1">
      <c r="A20" s="22">
        <v>6</v>
      </c>
      <c r="B20" s="22">
        <v>7</v>
      </c>
      <c r="C20" s="22">
        <v>761</v>
      </c>
      <c r="D20" s="23" t="str">
        <f>VLOOKUP(C20,PLANILLA,2,FALSE)</f>
        <v>CORTES Jerry</v>
      </c>
      <c r="E20" s="24" t="str">
        <f>VLOOKUP(C20,PLANILLA,4,FALSE)</f>
        <v>BUFF, DRASANVI, ECOTIENDA.</v>
      </c>
      <c r="F20" s="3">
        <v>4</v>
      </c>
      <c r="G20" s="15">
        <v>7</v>
      </c>
      <c r="H20" s="3">
        <v>2</v>
      </c>
      <c r="I20" s="25">
        <v>150</v>
      </c>
      <c r="J20" s="33">
        <v>0</v>
      </c>
      <c r="K20" s="22">
        <v>0</v>
      </c>
      <c r="L20" s="22">
        <v>0</v>
      </c>
      <c r="M20" s="34">
        <v>0</v>
      </c>
      <c r="N20" s="32"/>
      <c r="O20" s="30"/>
      <c r="P20" s="3">
        <v>5</v>
      </c>
      <c r="Q20" s="34">
        <f>IFERROR(VLOOKUP(P20,'Puntos XCO'!$A$1:$B$63,2,FALSE),0)</f>
        <v>100</v>
      </c>
      <c r="R20" s="16">
        <v>0</v>
      </c>
      <c r="S20" s="3">
        <f>IFERROR(VLOOKUP(R20,'Puntos XCC Menor'!$A$1:$B$15,2,FALSE),0)</f>
        <v>0</v>
      </c>
      <c r="T20" s="15">
        <v>0</v>
      </c>
      <c r="U20" s="39">
        <f>IFERROR(VLOOKUP(T20,'Puntos XCO'!$A$1:$B$63,2,FALSE),0)</f>
        <v>0</v>
      </c>
      <c r="V20" s="16">
        <f>IFERROR(VLOOKUP(C20,RESXCC_1,9,FALSE),0)</f>
        <v>0</v>
      </c>
      <c r="W20" s="15">
        <f>IFERROR(VLOOKUP(V20,'Puntos XCC Mayor'!$A$1:$B$15,2,FALSE),0)</f>
        <v>0</v>
      </c>
      <c r="X20" s="15">
        <f>IFERROR(VLOOKUP(C20,RESXCO,9,FALSE),0)</f>
        <v>8</v>
      </c>
      <c r="Y20" s="25">
        <f>IFERROR(VLOOKUP(X20,'Puntos XCO'!$A$1:$B$63,2,FALSE),0)</f>
        <v>85</v>
      </c>
      <c r="Z20" s="27">
        <f>G20+I20+K20+M20+O20+Q20+S20+U20+W20+Y20</f>
        <v>342</v>
      </c>
      <c r="AB20" s="2"/>
      <c r="AC20" s="13"/>
      <c r="AD20" s="12"/>
      <c r="AE20" s="14"/>
    </row>
    <row r="21" spans="1:31" ht="24.95" customHeight="1">
      <c r="A21" s="22">
        <v>7</v>
      </c>
      <c r="B21" s="22">
        <v>12</v>
      </c>
      <c r="C21" s="22">
        <v>760</v>
      </c>
      <c r="D21" s="23" t="str">
        <f>VLOOKUP(C21,PLANILLA,2,FALSE)</f>
        <v>MORERA Oscar</v>
      </c>
      <c r="E21" s="24" t="str">
        <f>VLOOKUP(C21,PLANILLA,4,FALSE)</f>
        <v>TEAM GOCHA-MAXXIS-GRUPO 86</v>
      </c>
      <c r="F21" s="3">
        <v>2</v>
      </c>
      <c r="G21" s="15">
        <v>9</v>
      </c>
      <c r="H21" s="3">
        <v>0</v>
      </c>
      <c r="I21" s="25">
        <v>0</v>
      </c>
      <c r="J21" s="33">
        <v>2</v>
      </c>
      <c r="K21" s="22">
        <v>9</v>
      </c>
      <c r="L21" s="22">
        <v>3</v>
      </c>
      <c r="M21" s="34">
        <v>120</v>
      </c>
      <c r="N21" s="32"/>
      <c r="O21" s="30"/>
      <c r="P21" s="3">
        <v>0</v>
      </c>
      <c r="Q21" s="34">
        <f>IFERROR(VLOOKUP(P21,'Puntos XCO'!$A$1:$B$63,2,FALSE),0)</f>
        <v>0</v>
      </c>
      <c r="R21" s="16">
        <v>0</v>
      </c>
      <c r="S21" s="3">
        <f>IFERROR(VLOOKUP(R21,'Puntos XCC Menor'!$A$1:$B$15,2,FALSE),0)</f>
        <v>0</v>
      </c>
      <c r="T21" s="15">
        <v>0</v>
      </c>
      <c r="U21" s="39">
        <f>IFERROR(VLOOKUP(T21,'Puntos XCO'!$A$1:$B$63,2,FALSE),0)</f>
        <v>0</v>
      </c>
      <c r="V21" s="16">
        <f>IFERROR(VLOOKUP(C21,RESXCC_1,9,FALSE),0)</f>
        <v>0</v>
      </c>
      <c r="W21" s="15">
        <f>IFERROR(VLOOKUP(V21,'Puntos XCC Mayor'!$A$1:$B$15,2,FALSE),0)</f>
        <v>0</v>
      </c>
      <c r="X21" s="15">
        <f>IFERROR(VLOOKUP(C21,RESXCO,9,FALSE),0)</f>
        <v>2</v>
      </c>
      <c r="Y21" s="25">
        <f>IFERROR(VLOOKUP(X21,'Puntos XCO'!$A$1:$B$63,2,FALSE),0)</f>
        <v>150</v>
      </c>
      <c r="Z21" s="27">
        <f>G21+I21+K21+M21+O21+Q21+S21+U21+W21+Y21</f>
        <v>288</v>
      </c>
      <c r="AB21" s="2"/>
      <c r="AC21" s="13"/>
      <c r="AD21" s="12"/>
      <c r="AE21" s="14"/>
    </row>
    <row r="22" spans="1:31" ht="24.95" customHeight="1">
      <c r="A22" s="22">
        <v>8</v>
      </c>
      <c r="B22" s="22">
        <v>11</v>
      </c>
      <c r="C22" s="22">
        <v>774</v>
      </c>
      <c r="D22" s="23" t="str">
        <f>VLOOKUP(C22,PLANILLA,2,FALSE)</f>
        <v>DURAN Allan</v>
      </c>
      <c r="E22" s="24" t="str">
        <f>VLOOKUP(C22,PLANILLA,4,FALSE)</f>
        <v>BOBBYS CYCLING TEAM</v>
      </c>
      <c r="F22" s="3"/>
      <c r="G22" s="15"/>
      <c r="H22" s="3"/>
      <c r="I22" s="25"/>
      <c r="J22" s="33"/>
      <c r="K22" s="22"/>
      <c r="L22" s="22"/>
      <c r="M22" s="34"/>
      <c r="N22" s="32"/>
      <c r="O22" s="30"/>
      <c r="P22" s="3"/>
      <c r="Q22" s="34"/>
      <c r="R22" s="16">
        <v>0</v>
      </c>
      <c r="S22" s="3">
        <f>IFERROR(VLOOKUP(R22,'Puntos XCC Menor'!$A$1:$B$15,2,FALSE),0)</f>
        <v>0</v>
      </c>
      <c r="T22" s="15">
        <v>2</v>
      </c>
      <c r="U22" s="39">
        <f>IFERROR(VLOOKUP(T22,'Puntos XCO'!$A$1:$B$63,2,FALSE),0)</f>
        <v>150</v>
      </c>
      <c r="V22" s="16">
        <f>IFERROR(VLOOKUP(C22,RESXCC_1,9,FALSE),0)</f>
        <v>2</v>
      </c>
      <c r="W22" s="15">
        <f>IFERROR(VLOOKUP(V22,'Puntos XCC Mayor'!$A$1:$B$15,2,FALSE),0)</f>
        <v>20</v>
      </c>
      <c r="X22" s="15">
        <f>IFERROR(VLOOKUP(C22,RESXCO,9,FALSE),0)</f>
        <v>4</v>
      </c>
      <c r="Y22" s="25">
        <f>IFERROR(VLOOKUP(X22,'Puntos XCO'!$A$1:$B$63,2,FALSE),0)</f>
        <v>110</v>
      </c>
      <c r="Z22" s="27">
        <f>G22+I22+K22+M22+O22+Q22+S22+U22+W22+Y22</f>
        <v>280</v>
      </c>
      <c r="AB22" s="2"/>
      <c r="AC22" s="13"/>
      <c r="AD22" s="12"/>
      <c r="AE22" s="14"/>
    </row>
    <row r="23" spans="1:31" ht="24.95" customHeight="1">
      <c r="A23" s="22">
        <v>9</v>
      </c>
      <c r="B23" s="22">
        <v>6</v>
      </c>
      <c r="C23" s="22">
        <v>768</v>
      </c>
      <c r="D23" s="23" t="str">
        <f>VLOOKUP(C23,PLANILLA,2,FALSE)</f>
        <v xml:space="preserve">GAMBOA  Andrés </v>
      </c>
      <c r="E23" s="24" t="str">
        <f>VLOOKUP(C23,PLANILLA,4,FALSE)</f>
        <v xml:space="preserve">NUMU COACHING </v>
      </c>
      <c r="F23" s="3"/>
      <c r="G23" s="15"/>
      <c r="H23" s="3"/>
      <c r="I23" s="25"/>
      <c r="J23" s="33">
        <v>0</v>
      </c>
      <c r="K23" s="22">
        <v>0</v>
      </c>
      <c r="L23" s="22">
        <v>8</v>
      </c>
      <c r="M23" s="34">
        <v>85</v>
      </c>
      <c r="N23" s="32"/>
      <c r="O23" s="30"/>
      <c r="P23" s="3">
        <v>8</v>
      </c>
      <c r="Q23" s="34">
        <f>IFERROR(VLOOKUP(P23,'Puntos XCO'!$A$1:$B$63,2,FALSE),0)</f>
        <v>85</v>
      </c>
      <c r="R23" s="16">
        <v>0</v>
      </c>
      <c r="S23" s="3">
        <f>IFERROR(VLOOKUP(R23,'Puntos XCC Menor'!$A$1:$B$15,2,FALSE),0)</f>
        <v>0</v>
      </c>
      <c r="T23" s="15">
        <v>6</v>
      </c>
      <c r="U23" s="39">
        <f>IFERROR(VLOOKUP(T23,'Puntos XCO'!$A$1:$B$63,2,FALSE),0)</f>
        <v>95</v>
      </c>
      <c r="V23" s="16">
        <f>IFERROR(VLOOKUP(C23,RESXCC_1,9,FALSE),0)</f>
        <v>0</v>
      </c>
      <c r="W23" s="15">
        <f>IFERROR(VLOOKUP(V23,'Puntos XCC Mayor'!$A$1:$B$15,2,FALSE),0)</f>
        <v>0</v>
      </c>
      <c r="X23" s="15">
        <f>IFERROR(VLOOKUP(C23,RESXCO,9,FALSE),0)</f>
        <v>0</v>
      </c>
      <c r="Y23" s="25">
        <f>IFERROR(VLOOKUP(X23,'Puntos XCO'!$A$1:$B$63,2,FALSE),0)</f>
        <v>0</v>
      </c>
      <c r="Z23" s="27">
        <f>G23+I23+K23+M23+O23+Q23+S23+U23+W23+Y23</f>
        <v>265</v>
      </c>
      <c r="AB23" s="2"/>
      <c r="AC23" s="13"/>
      <c r="AD23" s="12"/>
      <c r="AE23" s="14"/>
    </row>
    <row r="24" spans="1:31" ht="24.95" customHeight="1">
      <c r="A24" s="22">
        <v>10</v>
      </c>
      <c r="B24" s="22">
        <v>8</v>
      </c>
      <c r="C24" s="22">
        <v>766</v>
      </c>
      <c r="D24" s="23" t="str">
        <f>VLOOKUP(C24,PLANILLA,2,FALSE)</f>
        <v xml:space="preserve">QUIRÓS  John </v>
      </c>
      <c r="E24" s="24" t="str">
        <f>VLOOKUP(C24,PLANILLA,4,FALSE)</f>
        <v xml:space="preserve">CCDR MATINA CICLO SALAS BATAAN </v>
      </c>
      <c r="F24" s="3"/>
      <c r="G24" s="15"/>
      <c r="H24" s="3"/>
      <c r="I24" s="25"/>
      <c r="J24" s="33">
        <v>8</v>
      </c>
      <c r="K24" s="22">
        <v>3</v>
      </c>
      <c r="L24" s="22">
        <v>11</v>
      </c>
      <c r="M24" s="34">
        <v>76</v>
      </c>
      <c r="N24" s="32"/>
      <c r="O24" s="30"/>
      <c r="P24" s="3">
        <v>10</v>
      </c>
      <c r="Q24" s="34">
        <f>IFERROR(VLOOKUP(P24,'Puntos XCO'!$A$1:$B$63,2,FALSE),0)</f>
        <v>78</v>
      </c>
      <c r="R24" s="16">
        <v>4</v>
      </c>
      <c r="S24" s="3">
        <f>IFERROR(VLOOKUP(R24,'Puntos XCC Menor'!$A$1:$B$15,2,FALSE),0)</f>
        <v>7</v>
      </c>
      <c r="T24" s="15">
        <v>7</v>
      </c>
      <c r="U24" s="39">
        <f>IFERROR(VLOOKUP(T24,'Puntos XCO'!$A$1:$B$63,2,FALSE),0)</f>
        <v>90</v>
      </c>
      <c r="V24" s="16">
        <f>IFERROR(VLOOKUP(C24,RESXCC_1,9,FALSE),0)</f>
        <v>0</v>
      </c>
      <c r="W24" s="15">
        <f>IFERROR(VLOOKUP(V24,'Puntos XCC Mayor'!$A$1:$B$15,2,FALSE),0)</f>
        <v>0</v>
      </c>
      <c r="X24" s="15">
        <f>IFERROR(VLOOKUP(C24,RESXCO,9,FALSE),0)</f>
        <v>0</v>
      </c>
      <c r="Y24" s="25">
        <f>IFERROR(VLOOKUP(X24,'Puntos XCO'!$A$1:$B$63,2,FALSE),0)</f>
        <v>0</v>
      </c>
      <c r="Z24" s="27">
        <f>G24+I24+K24+M24+O24+Q24+S24+U24+W24+Y24</f>
        <v>254</v>
      </c>
      <c r="AB24" s="2"/>
      <c r="AC24" s="13"/>
      <c r="AD24" s="12"/>
      <c r="AE24" s="14"/>
    </row>
    <row r="25" spans="1:31" ht="24.95" customHeight="1">
      <c r="A25" s="22">
        <v>11</v>
      </c>
      <c r="B25" s="22">
        <v>9</v>
      </c>
      <c r="C25" s="22">
        <v>769</v>
      </c>
      <c r="D25" s="23" t="str">
        <f>VLOOKUP(C25,PLANILLA,2,FALSE)</f>
        <v>SANABRIA Kenneth</v>
      </c>
      <c r="E25" s="24" t="str">
        <f>VLOOKUP(C25,PLANILLA,4,FALSE)</f>
        <v>TREK BIKE STORE</v>
      </c>
      <c r="F25" s="3"/>
      <c r="G25" s="15"/>
      <c r="H25" s="3"/>
      <c r="I25" s="25"/>
      <c r="J25" s="33">
        <v>3</v>
      </c>
      <c r="K25" s="22">
        <v>8</v>
      </c>
      <c r="L25" s="22">
        <v>4</v>
      </c>
      <c r="M25" s="34">
        <v>110</v>
      </c>
      <c r="N25" s="32"/>
      <c r="O25" s="30"/>
      <c r="P25" s="3">
        <v>3</v>
      </c>
      <c r="Q25" s="34">
        <f>IFERROR(VLOOKUP(P25,'Puntos XCO'!$A$1:$B$63,2,FALSE),0)</f>
        <v>120</v>
      </c>
      <c r="R25" s="16">
        <v>0</v>
      </c>
      <c r="S25" s="3">
        <f>IFERROR(VLOOKUP(R25,'Puntos XCC Menor'!$A$1:$B$15,2,FALSE),0)</f>
        <v>0</v>
      </c>
      <c r="T25" s="15">
        <v>0</v>
      </c>
      <c r="U25" s="39">
        <f>IFERROR(VLOOKUP(T25,'Puntos XCO'!$A$1:$B$63,2,FALSE),0)</f>
        <v>0</v>
      </c>
      <c r="V25" s="16">
        <f>IFERROR(VLOOKUP(C25,RESXCC_1,9,FALSE),0)</f>
        <v>0</v>
      </c>
      <c r="W25" s="15">
        <f>IFERROR(VLOOKUP(V25,'Puntos XCC Mayor'!$A$1:$B$15,2,FALSE),0)</f>
        <v>0</v>
      </c>
      <c r="X25" s="15">
        <f>IFERROR(VLOOKUP(C25,RESXCO,9,FALSE),0)</f>
        <v>0</v>
      </c>
      <c r="Y25" s="25">
        <f>IFERROR(VLOOKUP(X25,'Puntos XCO'!$A$1:$B$63,2,FALSE),0)</f>
        <v>0</v>
      </c>
      <c r="Z25" s="27">
        <f>G25+I25+K25+M25+O25+Q25+S25+U25+W25+Y25</f>
        <v>238</v>
      </c>
      <c r="AB25" s="2"/>
      <c r="AC25" s="13"/>
      <c r="AD25" s="12"/>
      <c r="AE25" s="14"/>
    </row>
    <row r="26" spans="1:31" ht="24.95" customHeight="1">
      <c r="A26" s="22">
        <v>12</v>
      </c>
      <c r="B26" s="22">
        <v>10</v>
      </c>
      <c r="C26" s="22">
        <v>765</v>
      </c>
      <c r="D26" s="23" t="str">
        <f>VLOOKUP(C26,PLANILLA,2,FALSE)</f>
        <v>RODRÍGUEZ Rodolfo</v>
      </c>
      <c r="E26" s="24" t="str">
        <f>VLOOKUP(C26,PLANILLA,4,FALSE)</f>
        <v xml:space="preserve">TEAM CQ-PZ </v>
      </c>
      <c r="F26" s="3">
        <v>10</v>
      </c>
      <c r="G26" s="15">
        <v>1</v>
      </c>
      <c r="H26" s="3">
        <v>10</v>
      </c>
      <c r="I26" s="25">
        <v>78</v>
      </c>
      <c r="J26" s="33">
        <v>9</v>
      </c>
      <c r="K26" s="22">
        <v>2</v>
      </c>
      <c r="L26" s="22">
        <v>10</v>
      </c>
      <c r="M26" s="34">
        <v>78</v>
      </c>
      <c r="N26" s="32"/>
      <c r="O26" s="30"/>
      <c r="P26" s="3">
        <v>11</v>
      </c>
      <c r="Q26" s="34">
        <f>IFERROR(VLOOKUP(P26,'Puntos XCO'!$A$1:$B$63,2,FALSE),0)</f>
        <v>76</v>
      </c>
      <c r="R26" s="16">
        <v>0</v>
      </c>
      <c r="S26" s="3">
        <f>IFERROR(VLOOKUP(R26,'Puntos XCC Menor'!$A$1:$B$15,2,FALSE),0)</f>
        <v>0</v>
      </c>
      <c r="T26" s="15">
        <v>0</v>
      </c>
      <c r="U26" s="39">
        <f>IFERROR(VLOOKUP(T26,'Puntos XCO'!$A$1:$B$63,2,FALSE),0)</f>
        <v>0</v>
      </c>
      <c r="V26" s="16">
        <f>IFERROR(VLOOKUP(C26,RESXCC_1,9,FALSE),0)</f>
        <v>0</v>
      </c>
      <c r="W26" s="15">
        <f>IFERROR(VLOOKUP(V26,'Puntos XCC Mayor'!$A$1:$B$15,2,FALSE),0)</f>
        <v>0</v>
      </c>
      <c r="X26" s="15">
        <f>IFERROR(VLOOKUP(C26,RESXCO,9,FALSE),0)</f>
        <v>0</v>
      </c>
      <c r="Y26" s="25">
        <f>IFERROR(VLOOKUP(X26,'Puntos XCO'!$A$1:$B$63,2,FALSE),0)</f>
        <v>0</v>
      </c>
      <c r="Z26" s="27">
        <f>G26+I26+K26+M26+O26+Q26+S26+U26+W26+Y26</f>
        <v>235</v>
      </c>
      <c r="AB26" s="2"/>
      <c r="AC26" s="13"/>
      <c r="AD26" s="12"/>
      <c r="AE26" s="14"/>
    </row>
    <row r="27" spans="1:31" ht="24.95" customHeight="1">
      <c r="A27" s="22">
        <v>13</v>
      </c>
      <c r="B27" s="22">
        <v>14</v>
      </c>
      <c r="C27" s="22">
        <v>759</v>
      </c>
      <c r="D27" s="23" t="str">
        <f>VLOOKUP(C27,PLANILLA,2,FALSE)</f>
        <v xml:space="preserve">FERNÁNDEZ  Marco </v>
      </c>
      <c r="E27" s="24" t="str">
        <f>VLOOKUP(C27,PLANILLA,4,FALSE)</f>
        <v>CMS- TRANSPORTE GRUPO EYAN- ROMA BIKES</v>
      </c>
      <c r="F27" s="3">
        <v>6</v>
      </c>
      <c r="G27" s="15">
        <v>5</v>
      </c>
      <c r="H27" s="3">
        <v>6</v>
      </c>
      <c r="I27" s="25">
        <v>95</v>
      </c>
      <c r="J27" s="33">
        <v>0</v>
      </c>
      <c r="K27" s="22">
        <v>0</v>
      </c>
      <c r="L27" s="22">
        <v>0</v>
      </c>
      <c r="M27" s="34">
        <v>0</v>
      </c>
      <c r="N27" s="32"/>
      <c r="O27" s="30"/>
      <c r="P27" s="3">
        <v>0</v>
      </c>
      <c r="Q27" s="34">
        <f>IFERROR(VLOOKUP(P27,'Puntos XCO'!$A$1:$B$63,2,FALSE),0)</f>
        <v>0</v>
      </c>
      <c r="R27" s="16">
        <v>0</v>
      </c>
      <c r="S27" s="3">
        <f>IFERROR(VLOOKUP(R27,'Puntos XCC Menor'!$A$1:$B$15,2,FALSE),0)</f>
        <v>0</v>
      </c>
      <c r="T27" s="15">
        <v>0</v>
      </c>
      <c r="U27" s="39">
        <f>IFERROR(VLOOKUP(T27,'Puntos XCO'!$A$1:$B$63,2,FALSE),0)</f>
        <v>0</v>
      </c>
      <c r="V27" s="16">
        <f>IFERROR(VLOOKUP(C27,RESXCC_1,9,FALSE),0)</f>
        <v>0</v>
      </c>
      <c r="W27" s="15">
        <f>IFERROR(VLOOKUP(V27,'Puntos XCC Mayor'!$A$1:$B$15,2,FALSE),0)</f>
        <v>0</v>
      </c>
      <c r="X27" s="15">
        <f>IFERROR(VLOOKUP(C27,RESXCO,9,FALSE),0)</f>
        <v>12</v>
      </c>
      <c r="Y27" s="25">
        <f>IFERROR(VLOOKUP(X27,'Puntos XCO'!$A$1:$B$63,2,FALSE),0)</f>
        <v>74</v>
      </c>
      <c r="Z27" s="27">
        <f>G27+I27+K27+M27+O27+Q27+S27+U27+W27+Y27</f>
        <v>174</v>
      </c>
      <c r="AB27" s="2"/>
      <c r="AC27" s="13"/>
      <c r="AD27" s="12"/>
      <c r="AE27" s="14"/>
    </row>
    <row r="28" spans="1:31" ht="24.95" customHeight="1">
      <c r="A28" s="22">
        <v>14</v>
      </c>
      <c r="B28" s="22">
        <v>17</v>
      </c>
      <c r="C28" s="22">
        <v>754</v>
      </c>
      <c r="D28" s="23" t="str">
        <f>VLOOKUP(C28,PLANILLA,2,FALSE)</f>
        <v xml:space="preserve">MENESES  Mario Alfredo </v>
      </c>
      <c r="E28" s="24" t="str">
        <f>VLOOKUP(C28,PLANILLA,4,FALSE)</f>
        <v xml:space="preserve">ADNBIKESCR </v>
      </c>
      <c r="F28" s="3">
        <v>8</v>
      </c>
      <c r="G28" s="15">
        <v>3</v>
      </c>
      <c r="H28" s="3">
        <v>9</v>
      </c>
      <c r="I28" s="25">
        <v>80</v>
      </c>
      <c r="J28" s="33">
        <v>0</v>
      </c>
      <c r="K28" s="22">
        <v>0</v>
      </c>
      <c r="L28" s="22">
        <v>0</v>
      </c>
      <c r="M28" s="34">
        <v>0</v>
      </c>
      <c r="N28" s="32"/>
      <c r="O28" s="30"/>
      <c r="P28" s="3">
        <v>0</v>
      </c>
      <c r="Q28" s="34">
        <f>IFERROR(VLOOKUP(P28,'Puntos XCO'!$A$1:$B$63,2,FALSE),0)</f>
        <v>0</v>
      </c>
      <c r="R28" s="16">
        <v>0</v>
      </c>
      <c r="S28" s="3">
        <f>IFERROR(VLOOKUP(R28,'Puntos XCC Menor'!$A$1:$B$15,2,FALSE),0)</f>
        <v>0</v>
      </c>
      <c r="T28" s="15">
        <v>0</v>
      </c>
      <c r="U28" s="39">
        <f>IFERROR(VLOOKUP(T28,'Puntos XCO'!$A$1:$B$63,2,FALSE),0)</f>
        <v>0</v>
      </c>
      <c r="V28" s="16">
        <f>IFERROR(VLOOKUP(C28,RESXCC_1,9,FALSE),0)</f>
        <v>6</v>
      </c>
      <c r="W28" s="15">
        <f>IFERROR(VLOOKUP(V28,'Puntos XCC Mayor'!$A$1:$B$15,2,FALSE),0)</f>
        <v>10</v>
      </c>
      <c r="X28" s="15">
        <f>IFERROR(VLOOKUP(C28,RESXCO,9,FALSE),0)</f>
        <v>10</v>
      </c>
      <c r="Y28" s="25">
        <f>IFERROR(VLOOKUP(X28,'Puntos XCO'!$A$1:$B$63,2,FALSE),0)</f>
        <v>78</v>
      </c>
      <c r="Z28" s="27">
        <f>G28+I28+K28+M28+O28+Q28+S28+U28+W28+Y28</f>
        <v>171</v>
      </c>
      <c r="AB28" s="2"/>
      <c r="AC28" s="13"/>
      <c r="AD28" s="12"/>
      <c r="AE28" s="14"/>
    </row>
    <row r="29" spans="1:31" ht="24.95" customHeight="1">
      <c r="A29" s="22">
        <v>15</v>
      </c>
      <c r="B29" s="22">
        <v>13</v>
      </c>
      <c r="C29" s="22">
        <v>767</v>
      </c>
      <c r="D29" s="23" t="str">
        <f>VLOOKUP(C29,PLANILLA,2,FALSE)</f>
        <v>MOLINA Felipe</v>
      </c>
      <c r="E29" s="24" t="str">
        <f>VLOOKUP(C29,PLANILLA,4,FALSE)</f>
        <v>BRAND LIFT - VIDA VERDE CBD</v>
      </c>
      <c r="F29" s="3"/>
      <c r="G29" s="15"/>
      <c r="H29" s="3"/>
      <c r="I29" s="25"/>
      <c r="J29" s="33">
        <v>5</v>
      </c>
      <c r="K29" s="22">
        <v>6</v>
      </c>
      <c r="L29" s="22">
        <v>6</v>
      </c>
      <c r="M29" s="34">
        <v>95</v>
      </c>
      <c r="N29" s="32"/>
      <c r="O29" s="30"/>
      <c r="P29" s="3">
        <v>0</v>
      </c>
      <c r="Q29" s="34">
        <f>IFERROR(VLOOKUP(P29,'Puntos XCO'!$A$1:$B$63,2,FALSE),0)</f>
        <v>0</v>
      </c>
      <c r="R29" s="16">
        <v>0</v>
      </c>
      <c r="S29" s="3">
        <f>IFERROR(VLOOKUP(R29,'Puntos XCC Menor'!$A$1:$B$15,2,FALSE),0)</f>
        <v>0</v>
      </c>
      <c r="T29" s="15">
        <v>0</v>
      </c>
      <c r="U29" s="39">
        <f>IFERROR(VLOOKUP(T29,'Puntos XCO'!$A$1:$B$63,2,FALSE),0)</f>
        <v>0</v>
      </c>
      <c r="V29" s="16">
        <f>IFERROR(VLOOKUP(C29,RESXCC_1,9,FALSE),0)</f>
        <v>0</v>
      </c>
      <c r="W29" s="15">
        <f>IFERROR(VLOOKUP(V29,'Puntos XCC Mayor'!$A$1:$B$15,2,FALSE),0)</f>
        <v>0</v>
      </c>
      <c r="X29" s="15">
        <f>IFERROR(VLOOKUP(C29,RESXCO,9,FALSE),0)</f>
        <v>0</v>
      </c>
      <c r="Y29" s="25">
        <f>IFERROR(VLOOKUP(X29,'Puntos XCO'!$A$1:$B$63,2,FALSE),0)</f>
        <v>0</v>
      </c>
      <c r="Z29" s="27">
        <f>G29+I29+K29+M29+O29+Q29+S29+U29+W29+Y29</f>
        <v>101</v>
      </c>
      <c r="AB29" s="2"/>
      <c r="AC29" s="13"/>
      <c r="AD29" s="12"/>
      <c r="AE29" s="14"/>
    </row>
    <row r="30" spans="1:31" ht="24.95" customHeight="1">
      <c r="A30" s="22">
        <v>16</v>
      </c>
      <c r="B30" s="22">
        <v>15</v>
      </c>
      <c r="C30" s="22">
        <v>757</v>
      </c>
      <c r="D30" s="23" t="str">
        <f>VLOOKUP(C30,PLANILLA,2,FALSE)</f>
        <v xml:space="preserve">SÁNCHEZ  Steven </v>
      </c>
      <c r="E30" s="24" t="str">
        <f>VLOOKUP(C30,PLANILLA,4,FALSE)</f>
        <v xml:space="preserve">CICLO JUAN VIÑAS-COLYPRO </v>
      </c>
      <c r="F30" s="3">
        <v>5</v>
      </c>
      <c r="G30" s="15">
        <v>6</v>
      </c>
      <c r="H30" s="3">
        <v>7</v>
      </c>
      <c r="I30" s="25">
        <v>90</v>
      </c>
      <c r="J30" s="33">
        <v>0</v>
      </c>
      <c r="K30" s="22">
        <v>0</v>
      </c>
      <c r="L30" s="22">
        <v>0</v>
      </c>
      <c r="M30" s="34">
        <v>0</v>
      </c>
      <c r="N30" s="32"/>
      <c r="O30" s="30"/>
      <c r="P30" s="3">
        <v>0</v>
      </c>
      <c r="Q30" s="34">
        <f>IFERROR(VLOOKUP(P30,'Puntos XCO'!$A$1:$B$63,2,FALSE),0)</f>
        <v>0</v>
      </c>
      <c r="R30" s="16">
        <v>0</v>
      </c>
      <c r="S30" s="3">
        <f>IFERROR(VLOOKUP(R30,'Puntos XCC Menor'!$A$1:$B$15,2,FALSE),0)</f>
        <v>0</v>
      </c>
      <c r="T30" s="15">
        <v>0</v>
      </c>
      <c r="U30" s="39">
        <f>IFERROR(VLOOKUP(T30,'Puntos XCO'!$A$1:$B$63,2,FALSE),0)</f>
        <v>0</v>
      </c>
      <c r="V30" s="16">
        <f>IFERROR(VLOOKUP(C30,RESXCC_1,9,FALSE),0)</f>
        <v>0</v>
      </c>
      <c r="W30" s="15">
        <f>IFERROR(VLOOKUP(V30,'Puntos XCC Mayor'!$A$1:$B$15,2,FALSE),0)</f>
        <v>0</v>
      </c>
      <c r="X30" s="15">
        <f>IFERROR(VLOOKUP(C30,RESXCO,9,FALSE),0)</f>
        <v>0</v>
      </c>
      <c r="Y30" s="25">
        <f>IFERROR(VLOOKUP(X30,'Puntos XCO'!$A$1:$B$63,2,FALSE),0)</f>
        <v>0</v>
      </c>
      <c r="Z30" s="27">
        <f>G30+I30+K30+M30+O30+Q30+S30+U30+W30+Y30</f>
        <v>96</v>
      </c>
      <c r="AB30" s="2"/>
      <c r="AC30" s="13"/>
      <c r="AD30" s="12"/>
      <c r="AE30" s="14"/>
    </row>
    <row r="31" spans="1:31" ht="24.95" customHeight="1">
      <c r="A31" s="22">
        <v>17</v>
      </c>
      <c r="B31" s="22"/>
      <c r="C31" s="107">
        <v>775</v>
      </c>
      <c r="D31" s="23" t="str">
        <f>VLOOKUP(C31,PLANILLA,2,FALSE)</f>
        <v>CHAVARRIA Henry</v>
      </c>
      <c r="E31" s="24" t="str">
        <f>VLOOKUP(C31,PLANILLA,4,FALSE)</f>
        <v>GOCHA CYCLING TEAM</v>
      </c>
      <c r="F31" s="3"/>
      <c r="G31" s="15"/>
      <c r="H31" s="3"/>
      <c r="I31" s="25"/>
      <c r="J31" s="33"/>
      <c r="K31" s="22"/>
      <c r="L31" s="22"/>
      <c r="M31" s="34"/>
      <c r="N31" s="32"/>
      <c r="O31" s="30"/>
      <c r="P31" s="3"/>
      <c r="Q31" s="34"/>
      <c r="R31" s="16"/>
      <c r="S31" s="3"/>
      <c r="T31" s="15"/>
      <c r="U31" s="39"/>
      <c r="V31" s="16">
        <f>IFERROR(VLOOKUP(C31,RESXCC_1,9,FALSE),0)</f>
        <v>0</v>
      </c>
      <c r="W31" s="15">
        <f>IFERROR(VLOOKUP(V31,'Puntos XCC Mayor'!$A$1:$B$15,2,FALSE),0)</f>
        <v>0</v>
      </c>
      <c r="X31" s="15">
        <f>IFERROR(VLOOKUP(C31,RESXCO,9,FALSE),0)</f>
        <v>7</v>
      </c>
      <c r="Y31" s="25">
        <f>IFERROR(VLOOKUP(X31,'Puntos XCO'!$A$1:$B$63,2,FALSE),0)</f>
        <v>90</v>
      </c>
      <c r="Z31" s="27">
        <f>G31+I31+K31+M31+O31+Q31+S31+U31+W31+Y31</f>
        <v>90</v>
      </c>
      <c r="AB31" s="2"/>
      <c r="AC31" s="13"/>
      <c r="AD31" s="12"/>
      <c r="AE31" s="14"/>
    </row>
    <row r="32" spans="1:31" ht="24.95" customHeight="1">
      <c r="A32" s="22">
        <v>18</v>
      </c>
      <c r="B32" s="22">
        <v>16</v>
      </c>
      <c r="C32" s="22">
        <v>764</v>
      </c>
      <c r="D32" s="23" t="str">
        <f>VLOOKUP(C32,PLANILLA,2,FALSE)</f>
        <v xml:space="preserve">SOJO Luis Miguel </v>
      </c>
      <c r="E32" s="24" t="str">
        <f>VLOOKUP(C32,PLANILLA,4,FALSE)</f>
        <v xml:space="preserve">COLYPRO </v>
      </c>
      <c r="F32" s="3">
        <v>0</v>
      </c>
      <c r="G32" s="15">
        <v>0</v>
      </c>
      <c r="H32" s="3">
        <v>8</v>
      </c>
      <c r="I32" s="25">
        <v>85</v>
      </c>
      <c r="J32" s="33">
        <v>7</v>
      </c>
      <c r="K32" s="22">
        <v>4</v>
      </c>
      <c r="L32" s="22">
        <v>0</v>
      </c>
      <c r="M32" s="34">
        <v>0</v>
      </c>
      <c r="N32" s="32"/>
      <c r="O32" s="30"/>
      <c r="P32" s="3">
        <v>0</v>
      </c>
      <c r="Q32" s="34">
        <f>IFERROR(VLOOKUP(P32,'Puntos XCO'!$A$1:$B$63,2,FALSE),0)</f>
        <v>0</v>
      </c>
      <c r="R32" s="16">
        <v>0</v>
      </c>
      <c r="S32" s="3">
        <f>IFERROR(VLOOKUP(R32,'Puntos XCC Menor'!$A$1:$B$15,2,FALSE),0)</f>
        <v>0</v>
      </c>
      <c r="T32" s="15">
        <v>0</v>
      </c>
      <c r="U32" s="39">
        <f>IFERROR(VLOOKUP(T32,'Puntos XCO'!$A$1:$B$63,2,FALSE),0)</f>
        <v>0</v>
      </c>
      <c r="V32" s="16">
        <f>IFERROR(VLOOKUP(C32,RESXCC_1,9,FALSE),0)</f>
        <v>0</v>
      </c>
      <c r="W32" s="15">
        <f>IFERROR(VLOOKUP(V32,'Puntos XCC Mayor'!$A$1:$B$15,2,FALSE),0)</f>
        <v>0</v>
      </c>
      <c r="X32" s="15">
        <f>IFERROR(VLOOKUP(C32,RESXCO,9,FALSE),0)</f>
        <v>0</v>
      </c>
      <c r="Y32" s="25">
        <f>IFERROR(VLOOKUP(X32,'Puntos XCO'!$A$1:$B$63,2,FALSE),0)</f>
        <v>0</v>
      </c>
      <c r="Z32" s="27">
        <f>G32+I32+K32+M32+O32+Q32+S32+U32+W32+Y32</f>
        <v>89</v>
      </c>
      <c r="AB32" s="2"/>
      <c r="AC32" s="13"/>
      <c r="AD32" s="12"/>
      <c r="AE32" s="14"/>
    </row>
    <row r="33" spans="1:31" ht="24.95" customHeight="1">
      <c r="A33" s="22">
        <v>19</v>
      </c>
      <c r="B33" s="22">
        <v>18</v>
      </c>
      <c r="C33" s="22">
        <v>772</v>
      </c>
      <c r="D33" s="23" t="str">
        <f>VLOOKUP(C33,PLANILLA,2,FALSE)</f>
        <v>SEGURA Luis Diego</v>
      </c>
      <c r="E33" s="24" t="str">
        <f>VLOOKUP(C33,PLANILLA,4,FALSE)</f>
        <v>COLYPRO - AUTOPAMA- CLETEROS BATAAN</v>
      </c>
      <c r="F33" s="3"/>
      <c r="G33" s="15"/>
      <c r="H33" s="3"/>
      <c r="I33" s="25"/>
      <c r="J33" s="33">
        <v>0</v>
      </c>
      <c r="K33" s="22">
        <v>0</v>
      </c>
      <c r="L33" s="22">
        <v>9</v>
      </c>
      <c r="M33" s="34">
        <v>80</v>
      </c>
      <c r="N33" s="32"/>
      <c r="O33" s="30"/>
      <c r="P33" s="3">
        <v>0</v>
      </c>
      <c r="Q33" s="34">
        <f>IFERROR(VLOOKUP(P33,'Puntos XCO'!$A$1:$B$63,2,FALSE),0)</f>
        <v>0</v>
      </c>
      <c r="R33" s="16">
        <v>0</v>
      </c>
      <c r="S33" s="3">
        <f>IFERROR(VLOOKUP(R33,'Puntos XCC Menor'!$A$1:$B$15,2,FALSE),0)</f>
        <v>0</v>
      </c>
      <c r="T33" s="15">
        <v>0</v>
      </c>
      <c r="U33" s="39">
        <f>IFERROR(VLOOKUP(T33,'Puntos XCO'!$A$1:$B$63,2,FALSE),0)</f>
        <v>0</v>
      </c>
      <c r="V33" s="16">
        <f>IFERROR(VLOOKUP(C33,RESXCC_1,9,FALSE),0)</f>
        <v>0</v>
      </c>
      <c r="W33" s="15">
        <f>IFERROR(VLOOKUP(V33,'Puntos XCC Mayor'!$A$1:$B$15,2,FALSE),0)</f>
        <v>0</v>
      </c>
      <c r="X33" s="15">
        <f>IFERROR(VLOOKUP(C33,RESXCO,9,FALSE),0)</f>
        <v>0</v>
      </c>
      <c r="Y33" s="25">
        <f>IFERROR(VLOOKUP(X33,'Puntos XCO'!$A$1:$B$63,2,FALSE),0)</f>
        <v>0</v>
      </c>
      <c r="Z33" s="27">
        <f>G33+I33+K33+M33+O33+Q33+S33+U33+W33+Y33</f>
        <v>80</v>
      </c>
      <c r="AB33" s="2"/>
      <c r="AC33" s="13"/>
      <c r="AD33" s="12"/>
      <c r="AE33" s="14"/>
    </row>
    <row r="34" spans="1:31" ht="24.95" customHeight="1">
      <c r="A34" s="22">
        <v>20</v>
      </c>
      <c r="B34" s="22">
        <v>19</v>
      </c>
      <c r="C34" s="22">
        <v>773</v>
      </c>
      <c r="D34" s="23" t="str">
        <f>VLOOKUP(C34,PLANILLA,2,FALSE)</f>
        <v>ARIAS Adrian</v>
      </c>
      <c r="E34" s="24" t="str">
        <f>VLOOKUP(C34,PLANILLA,4,FALSE)</f>
        <v>VEINTE24</v>
      </c>
      <c r="F34" s="3"/>
      <c r="G34" s="15"/>
      <c r="H34" s="15"/>
      <c r="I34" s="25"/>
      <c r="J34" s="33"/>
      <c r="K34" s="22"/>
      <c r="L34" s="22"/>
      <c r="M34" s="34"/>
      <c r="N34" s="16"/>
      <c r="O34" s="15"/>
      <c r="P34" s="3">
        <v>9</v>
      </c>
      <c r="Q34" s="34">
        <f>IFERROR(VLOOKUP(P34,'Puntos XCO'!$A$1:$B$63,2,FALSE),0)</f>
        <v>80</v>
      </c>
      <c r="R34" s="16">
        <v>0</v>
      </c>
      <c r="S34" s="3">
        <f>IFERROR(VLOOKUP(R34,'Puntos XCC Menor'!$A$1:$B$15,2,FALSE),0)</f>
        <v>0</v>
      </c>
      <c r="T34" s="15">
        <v>0</v>
      </c>
      <c r="U34" s="39">
        <f>IFERROR(VLOOKUP(T34,'Puntos XCO'!$A$1:$B$63,2,FALSE),0)</f>
        <v>0</v>
      </c>
      <c r="V34" s="16">
        <f>IFERROR(VLOOKUP(C34,RESXCC_1,9,FALSE),0)</f>
        <v>0</v>
      </c>
      <c r="W34" s="15">
        <f>IFERROR(VLOOKUP(V34,'Puntos XCC Mayor'!$A$1:$B$15,2,FALSE),0)</f>
        <v>0</v>
      </c>
      <c r="X34" s="15">
        <f>IFERROR(VLOOKUP(C34,RESXCO,9,FALSE),0)</f>
        <v>0</v>
      </c>
      <c r="Y34" s="25">
        <f>IFERROR(VLOOKUP(X34,'Puntos XCO'!$A$1:$B$63,2,FALSE),0)</f>
        <v>0</v>
      </c>
      <c r="Z34" s="27">
        <f>G34+I34+K34+M34+O34+Q34+S34+U34+W34+Y34</f>
        <v>80</v>
      </c>
      <c r="AB34" s="2"/>
      <c r="AC34" s="13"/>
      <c r="AD34" s="12"/>
      <c r="AE34" s="14"/>
    </row>
    <row r="35" spans="1:31" ht="24.95" customHeight="1">
      <c r="A35" s="22">
        <v>21</v>
      </c>
      <c r="B35" s="22"/>
      <c r="C35" s="107">
        <v>776</v>
      </c>
      <c r="D35" s="23" t="str">
        <f>VLOOKUP(C35,PLANILLA,2,FALSE)</f>
        <v>VEGA  Jose Andres</v>
      </c>
      <c r="E35" s="24" t="str">
        <f>VLOOKUP(C35,PLANILLA,4,FALSE)</f>
        <v xml:space="preserve">VEGABIKES </v>
      </c>
      <c r="F35" s="3"/>
      <c r="G35" s="15"/>
      <c r="H35" s="3"/>
      <c r="I35" s="25"/>
      <c r="J35" s="33"/>
      <c r="K35" s="22"/>
      <c r="L35" s="22"/>
      <c r="M35" s="34"/>
      <c r="N35" s="32"/>
      <c r="O35" s="30"/>
      <c r="P35" s="3"/>
      <c r="Q35" s="34"/>
      <c r="R35" s="16"/>
      <c r="S35" s="3"/>
      <c r="T35" s="15"/>
      <c r="U35" s="39"/>
      <c r="V35" s="16">
        <f>IFERROR(VLOOKUP(C35,RESXCC_1,9,FALSE),0)</f>
        <v>0</v>
      </c>
      <c r="W35" s="15">
        <f>IFERROR(VLOOKUP(V35,'Puntos XCC Mayor'!$A$1:$B$15,2,FALSE),0)</f>
        <v>0</v>
      </c>
      <c r="X35" s="15">
        <f>IFERROR(VLOOKUP(C35,RESXCO,9,FALSE),0)</f>
        <v>11</v>
      </c>
      <c r="Y35" s="25">
        <f>IFERROR(VLOOKUP(X35,'Puntos XCO'!$A$1:$B$63,2,FALSE),0)</f>
        <v>76</v>
      </c>
      <c r="Z35" s="27">
        <f>G35+I35+K35+M35+O35+Q35+S35+U35+W35+Y35</f>
        <v>76</v>
      </c>
      <c r="AB35" s="2"/>
      <c r="AC35" s="13"/>
      <c r="AD35" s="12"/>
      <c r="AE35" s="14"/>
    </row>
    <row r="36" spans="1:31" ht="24.95" customHeight="1">
      <c r="A36" s="22">
        <v>22</v>
      </c>
      <c r="B36" s="22">
        <v>20</v>
      </c>
      <c r="C36" s="22">
        <v>771</v>
      </c>
      <c r="D36" s="23" t="str">
        <f>VLOOKUP(C36,PLANILLA,2,FALSE)</f>
        <v>FONSECA Roy</v>
      </c>
      <c r="E36" s="24" t="str">
        <f>VLOOKUP(C36,PLANILLA,4,FALSE)</f>
        <v>GRUPETA DE LAS 5AM</v>
      </c>
      <c r="F36" s="3"/>
      <c r="G36" s="15"/>
      <c r="H36" s="3"/>
      <c r="I36" s="25"/>
      <c r="J36" s="33">
        <v>0</v>
      </c>
      <c r="K36" s="22">
        <v>0</v>
      </c>
      <c r="L36" s="22">
        <v>12</v>
      </c>
      <c r="M36" s="34">
        <v>74</v>
      </c>
      <c r="N36" s="32"/>
      <c r="O36" s="30"/>
      <c r="P36" s="3">
        <v>0</v>
      </c>
      <c r="Q36" s="34">
        <f>IFERROR(VLOOKUP(P36,'Puntos XCO'!$A$1:$B$63,2,FALSE),0)</f>
        <v>0</v>
      </c>
      <c r="R36" s="16">
        <v>0</v>
      </c>
      <c r="S36" s="3">
        <f>IFERROR(VLOOKUP(R36,'Puntos XCC Menor'!$A$1:$B$15,2,FALSE),0)</f>
        <v>0</v>
      </c>
      <c r="T36" s="15">
        <v>0</v>
      </c>
      <c r="U36" s="39">
        <f>IFERROR(VLOOKUP(T36,'Puntos XCO'!$A$1:$B$63,2,FALSE),0)</f>
        <v>0</v>
      </c>
      <c r="V36" s="16">
        <f>IFERROR(VLOOKUP(C36,RESXCC_1,9,FALSE),0)</f>
        <v>0</v>
      </c>
      <c r="W36" s="15">
        <f>IFERROR(VLOOKUP(V36,'Puntos XCC Mayor'!$A$1:$B$15,2,FALSE),0)</f>
        <v>0</v>
      </c>
      <c r="X36" s="15">
        <f>IFERROR(VLOOKUP(C36,RESXCO,9,FALSE),0)</f>
        <v>0</v>
      </c>
      <c r="Y36" s="25">
        <f>IFERROR(VLOOKUP(X36,'Puntos XCO'!$A$1:$B$63,2,FALSE),0)</f>
        <v>0</v>
      </c>
      <c r="Z36" s="27">
        <f>G36+I36+K36+M36+O36+Q36+S36+U36+W36+Y36</f>
        <v>74</v>
      </c>
      <c r="AB36" s="2"/>
      <c r="AC36" s="13"/>
      <c r="AD36" s="12"/>
      <c r="AE36" s="14"/>
    </row>
    <row r="37" spans="1:31" ht="24.95" customHeight="1">
      <c r="A37" s="22">
        <v>23</v>
      </c>
      <c r="B37" s="22">
        <v>21</v>
      </c>
      <c r="C37" s="22">
        <v>755</v>
      </c>
      <c r="D37" s="23" t="str">
        <f>VLOOKUP(C37,PLANILLA,2,FALSE)</f>
        <v>ALBERTO Luis</v>
      </c>
      <c r="E37" s="24" t="str">
        <f>VLOOKUP(C37,PLANILLA,4,FALSE)</f>
        <v xml:space="preserve">ESC GUIDO </v>
      </c>
      <c r="F37" s="3">
        <v>9</v>
      </c>
      <c r="G37" s="15">
        <v>2</v>
      </c>
      <c r="H37" s="3">
        <v>0</v>
      </c>
      <c r="I37" s="25">
        <v>0</v>
      </c>
      <c r="J37" s="33">
        <v>0</v>
      </c>
      <c r="K37" s="22">
        <v>0</v>
      </c>
      <c r="L37" s="22">
        <v>0</v>
      </c>
      <c r="M37" s="34">
        <v>0</v>
      </c>
      <c r="N37" s="32"/>
      <c r="O37" s="30"/>
      <c r="P37" s="3">
        <v>0</v>
      </c>
      <c r="Q37" s="34">
        <f>IFERROR(VLOOKUP(P37,'Puntos XCO'!$A$1:$B$63,2,FALSE),0)</f>
        <v>0</v>
      </c>
      <c r="R37" s="16">
        <v>0</v>
      </c>
      <c r="S37" s="3">
        <f>IFERROR(VLOOKUP(R37,'Puntos XCC Menor'!$A$1:$B$15,2,FALSE),0)</f>
        <v>0</v>
      </c>
      <c r="T37" s="15">
        <v>0</v>
      </c>
      <c r="U37" s="39">
        <f>IFERROR(VLOOKUP(T37,'Puntos XCO'!$A$1:$B$63,2,FALSE),0)</f>
        <v>0</v>
      </c>
      <c r="V37" s="16">
        <f>IFERROR(VLOOKUP(C37,RESXCC_1,9,FALSE),0)</f>
        <v>0</v>
      </c>
      <c r="W37" s="15">
        <f>IFERROR(VLOOKUP(V37,'Puntos XCC Mayor'!$A$1:$B$15,2,FALSE),0)</f>
        <v>0</v>
      </c>
      <c r="X37" s="15">
        <f>IFERROR(VLOOKUP(C37,RESXCO,9,FALSE),0)</f>
        <v>0</v>
      </c>
      <c r="Y37" s="25">
        <f>IFERROR(VLOOKUP(X37,'Puntos XCO'!$A$1:$B$63,2,FALSE),0)</f>
        <v>0</v>
      </c>
      <c r="Z37" s="27">
        <f>G37+I37+K37+M37+O37+Q37+S37+U37+W37+Y37</f>
        <v>2</v>
      </c>
      <c r="AB37" s="3"/>
    </row>
    <row r="38" spans="1:31" ht="24.95" customHeight="1">
      <c r="A38" s="22">
        <v>24</v>
      </c>
      <c r="B38" s="22">
        <v>22</v>
      </c>
      <c r="C38" s="22">
        <v>770</v>
      </c>
      <c r="D38" s="23" t="str">
        <f>VLOOKUP(C38,PLANILLA,2,FALSE)</f>
        <v xml:space="preserve">SÁNCHEZ  Daniel Jesús </v>
      </c>
      <c r="E38" s="24" t="str">
        <f>VLOOKUP(C38,PLANILLA,4,FALSE)</f>
        <v/>
      </c>
      <c r="F38" s="3"/>
      <c r="G38" s="15"/>
      <c r="H38" s="3"/>
      <c r="I38" s="25"/>
      <c r="J38" s="33">
        <v>10</v>
      </c>
      <c r="K38" s="22">
        <v>1</v>
      </c>
      <c r="L38" s="22">
        <v>0</v>
      </c>
      <c r="M38" s="34">
        <v>0</v>
      </c>
      <c r="N38" s="32"/>
      <c r="O38" s="30"/>
      <c r="P38" s="3">
        <v>0</v>
      </c>
      <c r="Q38" s="34">
        <f>IFERROR(VLOOKUP(P38,'Puntos XCO'!$A$1:$B$63,2,FALSE),0)</f>
        <v>0</v>
      </c>
      <c r="R38" s="16">
        <v>0</v>
      </c>
      <c r="S38" s="3">
        <f>IFERROR(VLOOKUP(R38,'Puntos XCC Menor'!$A$1:$B$15,2,FALSE),0)</f>
        <v>0</v>
      </c>
      <c r="T38" s="15">
        <v>0</v>
      </c>
      <c r="U38" s="39">
        <f>IFERROR(VLOOKUP(T38,'Puntos XCO'!$A$1:$B$63,2,FALSE),0)</f>
        <v>0</v>
      </c>
      <c r="V38" s="16">
        <f>IFERROR(VLOOKUP(C38,RESXCC_1,9,FALSE),0)</f>
        <v>0</v>
      </c>
      <c r="W38" s="15">
        <f>IFERROR(VLOOKUP(V38,'Puntos XCC Mayor'!$A$1:$B$15,2,FALSE),0)</f>
        <v>0</v>
      </c>
      <c r="X38" s="15">
        <f>IFERROR(VLOOKUP(C38,RESXCO,9,FALSE),0)</f>
        <v>0</v>
      </c>
      <c r="Y38" s="25">
        <f>IFERROR(VLOOKUP(X38,'Puntos XCO'!$A$1:$B$63,2,FALSE),0)</f>
        <v>0</v>
      </c>
      <c r="Z38" s="27">
        <f>G38+I38+K38+M38+O38+Q38+S38+U38+W38+Y38</f>
        <v>1</v>
      </c>
      <c r="AB38" s="3"/>
    </row>
    <row r="39" spans="1:31" ht="24.95" customHeight="1">
      <c r="A39" s="3"/>
      <c r="B39" s="22"/>
      <c r="C39" s="22">
        <v>753</v>
      </c>
      <c r="D39" s="23" t="str">
        <f>VLOOKUP(C39,PLANILLA,2,FALSE)</f>
        <v xml:space="preserve">RAMIREZ  Cristian </v>
      </c>
      <c r="E39" s="24" t="str">
        <f>VLOOKUP(C39,PLANILLA,4,FALSE)</f>
        <v xml:space="preserve">TEAM RAMIREZ REPAUT </v>
      </c>
      <c r="F39" s="3"/>
      <c r="G39" s="15">
        <v>0</v>
      </c>
      <c r="H39" s="3">
        <v>0</v>
      </c>
      <c r="I39" s="25">
        <v>0</v>
      </c>
      <c r="J39" s="33">
        <v>0</v>
      </c>
      <c r="K39" s="22">
        <v>0</v>
      </c>
      <c r="L39" s="22">
        <v>0</v>
      </c>
      <c r="M39" s="34">
        <v>0</v>
      </c>
      <c r="N39" s="32"/>
      <c r="O39" s="30"/>
      <c r="P39" s="3">
        <v>0</v>
      </c>
      <c r="Q39" s="34">
        <f>IFERROR(VLOOKUP(P39,'Puntos XCO'!$A$1:$B$63,2,FALSE),0)</f>
        <v>0</v>
      </c>
      <c r="R39" s="16">
        <v>0</v>
      </c>
      <c r="S39" s="3">
        <f>IFERROR(VLOOKUP(R39,'Puntos XCC Menor'!$A$1:$B$15,2,FALSE),0)</f>
        <v>0</v>
      </c>
      <c r="T39" s="15">
        <v>0</v>
      </c>
      <c r="U39" s="39">
        <f>IFERROR(VLOOKUP(T39,'Puntos XCO'!$A$1:$B$63,2,FALSE),0)</f>
        <v>0</v>
      </c>
      <c r="V39" s="16">
        <f>IFERROR(VLOOKUP(C39,RESXCC_1,9,FALSE),0)</f>
        <v>0</v>
      </c>
      <c r="W39" s="15">
        <f>IFERROR(VLOOKUP(V39,'Puntos XCC Mayor'!$A$1:$B$15,2,FALSE),0)</f>
        <v>0</v>
      </c>
      <c r="X39" s="15">
        <f>IFERROR(VLOOKUP(C39,RESXCO,9,FALSE),0)</f>
        <v>0</v>
      </c>
      <c r="Y39" s="25">
        <f>IFERROR(VLOOKUP(X39,'Puntos XCO'!$A$1:$B$63,2,FALSE),0)</f>
        <v>0</v>
      </c>
      <c r="Z39" s="27">
        <f>G39+I39+K39+M39+O39+Q39+S39+U39+W39+Y39</f>
        <v>0</v>
      </c>
      <c r="AB39" s="3"/>
    </row>
    <row r="40" spans="1:31" ht="24.95" customHeight="1">
      <c r="A40" s="3"/>
      <c r="B40" s="22"/>
      <c r="C40" s="22">
        <v>762</v>
      </c>
      <c r="D40" s="23" t="str">
        <f>VLOOKUP(C40,PLANILLA,2,FALSE)</f>
        <v xml:space="preserve">VASQUEZ  Michael </v>
      </c>
      <c r="E40" s="24" t="str">
        <f>VLOOKUP(C40,PLANILLA,4,FALSE)</f>
        <v xml:space="preserve">INDEPENDIENTE </v>
      </c>
      <c r="F40" s="3"/>
      <c r="G40" s="15">
        <v>0</v>
      </c>
      <c r="H40" s="3">
        <v>0</v>
      </c>
      <c r="I40" s="25">
        <v>0</v>
      </c>
      <c r="J40" s="33">
        <v>0</v>
      </c>
      <c r="K40" s="22">
        <v>0</v>
      </c>
      <c r="L40" s="22">
        <v>0</v>
      </c>
      <c r="M40" s="34">
        <v>0</v>
      </c>
      <c r="N40" s="32"/>
      <c r="O40" s="30"/>
      <c r="P40" s="3">
        <v>0</v>
      </c>
      <c r="Q40" s="34">
        <f>IFERROR(VLOOKUP(P40,'Puntos XCO'!$A$1:$B$63,2,FALSE),0)</f>
        <v>0</v>
      </c>
      <c r="R40" s="16">
        <v>0</v>
      </c>
      <c r="S40" s="3">
        <f>IFERROR(VLOOKUP(R40,'Puntos XCC Menor'!$A$1:$B$15,2,FALSE),0)</f>
        <v>0</v>
      </c>
      <c r="T40" s="15">
        <v>0</v>
      </c>
      <c r="U40" s="39">
        <f>IFERROR(VLOOKUP(T40,'Puntos XCO'!$A$1:$B$63,2,FALSE),0)</f>
        <v>0</v>
      </c>
      <c r="V40" s="16">
        <f>IFERROR(VLOOKUP(C40,RESXCC_1,9,FALSE),0)</f>
        <v>0</v>
      </c>
      <c r="W40" s="15">
        <f>IFERROR(VLOOKUP(V40,'Puntos XCC Mayor'!$A$1:$B$15,2,FALSE),0)</f>
        <v>0</v>
      </c>
      <c r="X40" s="15">
        <f>IFERROR(VLOOKUP(C40,RESXCO,9,FALSE),0)</f>
        <v>0</v>
      </c>
      <c r="Y40" s="25">
        <f>IFERROR(VLOOKUP(X40,'Puntos XCO'!$A$1:$B$63,2,FALSE),0)</f>
        <v>0</v>
      </c>
      <c r="Z40" s="27">
        <f>G40+I40+K40+M40+O40+Q40+S40+U40+W40+Y40</f>
        <v>0</v>
      </c>
      <c r="AB40" s="3"/>
    </row>
    <row r="41" spans="1:31" ht="24.95" customHeight="1">
      <c r="A41" s="3"/>
      <c r="B41" s="3"/>
      <c r="C41" s="28"/>
      <c r="D41" s="23"/>
      <c r="E41" s="24"/>
      <c r="F41" s="3"/>
      <c r="G41" s="15"/>
      <c r="H41" s="15"/>
      <c r="I41" s="25"/>
      <c r="J41" s="26"/>
      <c r="K41" s="15"/>
      <c r="L41" s="15"/>
      <c r="M41" s="25"/>
      <c r="N41" s="16"/>
      <c r="O41" s="15"/>
      <c r="P41" s="3"/>
      <c r="Q41" s="25"/>
      <c r="R41" s="16"/>
      <c r="S41" s="15"/>
      <c r="T41" s="15"/>
      <c r="U41" s="25"/>
      <c r="V41" s="16"/>
      <c r="W41" s="15"/>
      <c r="X41" s="15"/>
      <c r="Y41" s="25"/>
      <c r="Z41" s="27"/>
      <c r="AB41" s="3"/>
    </row>
    <row r="42" spans="1:3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74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31">
      <c r="M43" s="9"/>
      <c r="N43" s="9"/>
      <c r="O43" s="9"/>
      <c r="P43" s="10"/>
      <c r="Q43" s="9"/>
      <c r="R43" s="9"/>
      <c r="S43" s="9"/>
      <c r="T43" s="9"/>
      <c r="U43" s="9"/>
    </row>
    <row r="44" spans="1:31" ht="127.5" customHeight="1"/>
    <row r="45" spans="1:3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74"/>
      <c r="Q45" s="65"/>
      <c r="R45" s="65"/>
      <c r="S45" s="65"/>
      <c r="T45" s="65"/>
      <c r="U45" s="65"/>
      <c r="V45" s="65"/>
      <c r="W45" s="65"/>
      <c r="X45" s="65"/>
      <c r="Y45" s="65"/>
      <c r="Z45" s="65"/>
    </row>
  </sheetData>
  <sortState ref="B15:Z40">
    <sortCondition descending="1" ref="Z15:Z40"/>
  </sortState>
  <mergeCells count="10">
    <mergeCell ref="A8:Z8"/>
    <mergeCell ref="A10:Z10"/>
    <mergeCell ref="A11:Z11"/>
    <mergeCell ref="A13:B13"/>
    <mergeCell ref="F13:I13"/>
    <mergeCell ref="J13:M13"/>
    <mergeCell ref="N13:Q13"/>
    <mergeCell ref="R13:U13"/>
    <mergeCell ref="V13:Y13"/>
    <mergeCell ref="Z13:Z14"/>
  </mergeCells>
  <conditionalFormatting sqref="C42:C65520 C1:C9 C12:C14">
    <cfRule type="duplicateValues" dxfId="379" priority="52" stopIfTrue="1"/>
  </conditionalFormatting>
  <conditionalFormatting sqref="F41">
    <cfRule type="duplicateValues" dxfId="378" priority="53" stopIfTrue="1"/>
  </conditionalFormatting>
  <conditionalFormatting sqref="B41">
    <cfRule type="duplicateValues" dxfId="377" priority="54" stopIfTrue="1"/>
  </conditionalFormatting>
  <conditionalFormatting sqref="F37:F40">
    <cfRule type="duplicateValues" dxfId="376" priority="55" stopIfTrue="1"/>
  </conditionalFormatting>
  <conditionalFormatting sqref="B37:B40">
    <cfRule type="duplicateValues" dxfId="375" priority="56" stopIfTrue="1"/>
  </conditionalFormatting>
  <conditionalFormatting sqref="C37:C40">
    <cfRule type="duplicateValues" dxfId="374" priority="57"/>
  </conditionalFormatting>
  <conditionalFormatting sqref="C16 C18 C20 C22 C24 C26 C28">
    <cfRule type="duplicateValues" dxfId="373" priority="11"/>
  </conditionalFormatting>
  <conditionalFormatting sqref="C11">
    <cfRule type="duplicateValues" dxfId="372" priority="4" stopIfTrue="1"/>
  </conditionalFormatting>
  <conditionalFormatting sqref="C11">
    <cfRule type="duplicateValues" dxfId="371" priority="5" stopIfTrue="1"/>
  </conditionalFormatting>
  <conditionalFormatting sqref="D11">
    <cfRule type="duplicateValues" dxfId="370" priority="3" stopIfTrue="1"/>
  </conditionalFormatting>
  <conditionalFormatting sqref="C10">
    <cfRule type="duplicateValues" dxfId="369" priority="1" stopIfTrue="1"/>
  </conditionalFormatting>
  <conditionalFormatting sqref="C10">
    <cfRule type="duplicateValues" dxfId="368" priority="2" stopIfTrue="1"/>
  </conditionalFormatting>
  <conditionalFormatting sqref="AB15:AB41">
    <cfRule type="duplicateValues" dxfId="367" priority="7323"/>
  </conditionalFormatting>
  <pageMargins left="0.70866141732283472" right="0.70866141732283472" top="0.74803149606299213" bottom="0.74803149606299213" header="0.31496062992125984" footer="0.31496062992125984"/>
  <pageSetup paperSize="9" scale="50" fitToHeight="2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3">
    <pageSetUpPr fitToPage="1"/>
  </sheetPr>
  <dimension ref="A8:AE46"/>
  <sheetViews>
    <sheetView showGridLines="0" topLeftCell="A22" zoomScale="70" zoomScaleNormal="70" zoomScaleSheetLayoutView="90" workbookViewId="0">
      <selection activeCell="A15" sqref="A15:A37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8.7109375" style="2" bestFit="1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26.25">
      <c r="A8" s="118" t="s">
        <v>82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20.100000000000001" customHeight="1">
      <c r="A13" s="125" t="s">
        <v>0</v>
      </c>
      <c r="B13" s="125"/>
      <c r="C13" s="65"/>
      <c r="D13" s="65"/>
      <c r="E13" s="66"/>
      <c r="F13" s="125">
        <v>1</v>
      </c>
      <c r="G13" s="125"/>
      <c r="H13" s="125"/>
      <c r="I13" s="126"/>
      <c r="J13" s="127">
        <v>2</v>
      </c>
      <c r="K13" s="125"/>
      <c r="L13" s="125"/>
      <c r="M13" s="126"/>
      <c r="N13" s="127">
        <v>3</v>
      </c>
      <c r="O13" s="125"/>
      <c r="P13" s="125"/>
      <c r="Q13" s="126"/>
      <c r="R13" s="127">
        <v>4</v>
      </c>
      <c r="S13" s="125"/>
      <c r="T13" s="125"/>
      <c r="U13" s="126"/>
      <c r="V13" s="127">
        <v>5</v>
      </c>
      <c r="W13" s="125"/>
      <c r="X13" s="125"/>
      <c r="Y13" s="126"/>
      <c r="Z13" s="117" t="s">
        <v>47</v>
      </c>
    </row>
    <row r="14" spans="1:31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117"/>
    </row>
    <row r="15" spans="1:31" ht="24.95" customHeight="1">
      <c r="A15" s="22">
        <v>1</v>
      </c>
      <c r="B15" s="22">
        <v>1</v>
      </c>
      <c r="C15" s="96">
        <v>810</v>
      </c>
      <c r="D15" s="23" t="str">
        <f>VLOOKUP(C15,PLANILLA,2,FALSE)</f>
        <v>AZOFEIFA Marcos</v>
      </c>
      <c r="E15" s="24" t="str">
        <f>VLOOKUP(C15,PLANILLA,4,FALSE)</f>
        <v>BOBBYS CYCLNG TEAM</v>
      </c>
      <c r="F15" s="3">
        <v>1</v>
      </c>
      <c r="G15" s="15">
        <v>10</v>
      </c>
      <c r="H15" s="3">
        <v>1</v>
      </c>
      <c r="I15" s="25">
        <v>200</v>
      </c>
      <c r="J15" s="33">
        <v>0</v>
      </c>
      <c r="K15" s="22">
        <v>0</v>
      </c>
      <c r="L15" s="22">
        <v>1</v>
      </c>
      <c r="M15" s="34">
        <v>200</v>
      </c>
      <c r="N15" s="32">
        <f>IFERROR(VLOOKUP(C15,RESXCC_1,9,FALSE),0)</f>
        <v>0</v>
      </c>
      <c r="O15" s="30"/>
      <c r="P15" s="3">
        <v>2</v>
      </c>
      <c r="Q15" s="34">
        <f>IFERROR(VLOOKUP(P15,'Puntos XCO'!$A$1:$B$63,2,FALSE),0)</f>
        <v>150</v>
      </c>
      <c r="R15" s="16">
        <v>1</v>
      </c>
      <c r="S15" s="3">
        <f>IFERROR(VLOOKUP(R15,'Puntos XCC Menor'!$A$1:$B$15,2,FALSE),0)</f>
        <v>10</v>
      </c>
      <c r="T15" s="15">
        <v>2</v>
      </c>
      <c r="U15" s="39">
        <f>IFERROR(VLOOKUP(T15,'Puntos XCO'!$A$1:$B$63,2,FALSE),0)</f>
        <v>150</v>
      </c>
      <c r="V15" s="16">
        <f>IFERROR(VLOOKUP(C15,RESXCC_1,9,FALSE),0)</f>
        <v>0</v>
      </c>
      <c r="W15" s="15">
        <f>IFERROR(VLOOKUP(V15,'Puntos XCC Mayor'!$A$1:$B$15,2,FALSE),0)</f>
        <v>0</v>
      </c>
      <c r="X15" s="15">
        <f>IFERROR(VLOOKUP(C15,RESXCO,9,FALSE),0)</f>
        <v>0</v>
      </c>
      <c r="Y15" s="25">
        <f>IFERROR(VLOOKUP(X15,'Puntos XCO'!$A$1:$B$63,2,FALSE),0)</f>
        <v>0</v>
      </c>
      <c r="Z15" s="27">
        <f>G15+I15+K15+M15+O15+Q15+S15+U15+W15+Y15</f>
        <v>720</v>
      </c>
      <c r="AB15" s="2"/>
      <c r="AC15" s="13"/>
      <c r="AD15" s="12"/>
      <c r="AE15" s="14"/>
    </row>
    <row r="16" spans="1:31" ht="24.95" customHeight="1">
      <c r="A16" s="22">
        <v>2</v>
      </c>
      <c r="B16" s="22">
        <v>2</v>
      </c>
      <c r="C16" s="96">
        <v>802</v>
      </c>
      <c r="D16" s="23" t="str">
        <f>VLOOKUP(C16,PLANILLA,2,FALSE)</f>
        <v>CHACON Gonzalo</v>
      </c>
      <c r="E16" s="24" t="str">
        <f>VLOOKUP(C16,PLANILLA,4,FALSE)</f>
        <v>TEAM GOCHA</v>
      </c>
      <c r="F16" s="3">
        <v>2</v>
      </c>
      <c r="G16" s="15">
        <v>9</v>
      </c>
      <c r="H16" s="3">
        <v>0</v>
      </c>
      <c r="I16" s="25">
        <v>0</v>
      </c>
      <c r="J16" s="33">
        <v>0</v>
      </c>
      <c r="K16" s="22">
        <v>0</v>
      </c>
      <c r="L16" s="22">
        <v>0</v>
      </c>
      <c r="M16" s="34">
        <v>0</v>
      </c>
      <c r="N16" s="32"/>
      <c r="O16" s="30"/>
      <c r="P16" s="3">
        <v>1</v>
      </c>
      <c r="Q16" s="34">
        <f>IFERROR(VLOOKUP(P16,'Puntos XCO'!$A$1:$B$63,2,FALSE),0)</f>
        <v>200</v>
      </c>
      <c r="R16" s="16">
        <v>0</v>
      </c>
      <c r="S16" s="3">
        <f>IFERROR(VLOOKUP(R16,'Puntos XCC Menor'!$A$1:$B$15,2,FALSE),0)</f>
        <v>0</v>
      </c>
      <c r="T16" s="15">
        <v>1</v>
      </c>
      <c r="U16" s="39">
        <f>IFERROR(VLOOKUP(T16,'Puntos XCO'!$A$1:$B$63,2,FALSE),0)</f>
        <v>200</v>
      </c>
      <c r="V16" s="16">
        <f>IFERROR(VLOOKUP(C16,RESXCC_1,9,FALSE),0)</f>
        <v>1</v>
      </c>
      <c r="W16" s="15">
        <f>IFERROR(VLOOKUP(V16,'Puntos XCC Mayor'!$A$1:$B$15,2,FALSE),0)</f>
        <v>25</v>
      </c>
      <c r="X16" s="15">
        <f>IFERROR(VLOOKUP(C16,RESXCO,9,FALSE),0)</f>
        <v>1</v>
      </c>
      <c r="Y16" s="25">
        <f>IFERROR(VLOOKUP(X16,'Puntos XCO'!$A$1:$B$63,2,FALSE),0)</f>
        <v>200</v>
      </c>
      <c r="Z16" s="27">
        <f>G16+I16+K16+M16+O16+Q16+S16+U16+W16+Y16</f>
        <v>634</v>
      </c>
      <c r="AB16" s="2"/>
      <c r="AC16" s="13"/>
      <c r="AD16" s="12"/>
      <c r="AE16" s="14"/>
    </row>
    <row r="17" spans="1:31" ht="24.95" customHeight="1">
      <c r="A17" s="22">
        <v>3</v>
      </c>
      <c r="B17" s="22">
        <v>6</v>
      </c>
      <c r="C17" s="96">
        <v>820</v>
      </c>
      <c r="D17" s="23" t="str">
        <f>VLOOKUP(C17,PLANILLA,2,FALSE)</f>
        <v xml:space="preserve">MENDEZ  Diego </v>
      </c>
      <c r="E17" s="24" t="str">
        <f>VLOOKUP(C17,PLANILLA,4,FALSE)</f>
        <v xml:space="preserve">ULTIMATE </v>
      </c>
      <c r="F17" s="3"/>
      <c r="G17" s="15"/>
      <c r="H17" s="3"/>
      <c r="I17" s="25"/>
      <c r="J17" s="33">
        <v>4</v>
      </c>
      <c r="K17" s="22">
        <v>7</v>
      </c>
      <c r="L17" s="22">
        <v>4</v>
      </c>
      <c r="M17" s="34">
        <v>110</v>
      </c>
      <c r="N17" s="32"/>
      <c r="O17" s="30"/>
      <c r="P17" s="3">
        <v>3</v>
      </c>
      <c r="Q17" s="34">
        <f>IFERROR(VLOOKUP(P17,'Puntos XCO'!$A$1:$B$63,2,FALSE),0)</f>
        <v>120</v>
      </c>
      <c r="R17" s="16">
        <v>2</v>
      </c>
      <c r="S17" s="3">
        <f>IFERROR(VLOOKUP(R17,'Puntos XCC Menor'!$A$1:$B$15,2,FALSE),0)</f>
        <v>9</v>
      </c>
      <c r="T17" s="15">
        <v>3</v>
      </c>
      <c r="U17" s="39">
        <f>IFERROR(VLOOKUP(T17,'Puntos XCO'!$A$1:$B$63,2,FALSE),0)</f>
        <v>120</v>
      </c>
      <c r="V17" s="16">
        <f>IFERROR(VLOOKUP(C17,RESXCC_1,9,FALSE),0)</f>
        <v>2</v>
      </c>
      <c r="W17" s="15">
        <f>IFERROR(VLOOKUP(V17,'Puntos XCC Mayor'!$A$1:$B$15,2,FALSE),0)</f>
        <v>20</v>
      </c>
      <c r="X17" s="15">
        <f>IFERROR(VLOOKUP(C17,RESXCO,9,FALSE),0)</f>
        <v>2</v>
      </c>
      <c r="Y17" s="25">
        <f>IFERROR(VLOOKUP(X17,'Puntos XCO'!$A$1:$B$63,2,FALSE),0)</f>
        <v>150</v>
      </c>
      <c r="Z17" s="27">
        <f>G17+I17+K17+M17+O17+Q17+S17+U17+W17+Y17</f>
        <v>536</v>
      </c>
      <c r="AB17" s="2"/>
      <c r="AC17" s="13"/>
      <c r="AD17" s="12"/>
      <c r="AE17" s="14"/>
    </row>
    <row r="18" spans="1:31" ht="24.95" customHeight="1">
      <c r="A18" s="22">
        <v>4</v>
      </c>
      <c r="B18" s="22">
        <v>3</v>
      </c>
      <c r="C18" s="96">
        <v>801</v>
      </c>
      <c r="D18" s="23" t="str">
        <f>VLOOKUP(C18,PLANILLA,2,FALSE)</f>
        <v>EL SEMAANI Jean Paul</v>
      </c>
      <c r="E18" s="24" t="str">
        <f>VLOOKUP(C18,PLANILLA,4,FALSE)</f>
        <v>HATOVIEMO - MOMIA TS</v>
      </c>
      <c r="F18" s="3">
        <v>7</v>
      </c>
      <c r="G18" s="15">
        <v>4</v>
      </c>
      <c r="H18" s="3">
        <v>3</v>
      </c>
      <c r="I18" s="25">
        <v>120</v>
      </c>
      <c r="J18" s="33">
        <v>5</v>
      </c>
      <c r="K18" s="22">
        <v>6</v>
      </c>
      <c r="L18" s="22">
        <v>8</v>
      </c>
      <c r="M18" s="34">
        <v>85</v>
      </c>
      <c r="N18" s="32"/>
      <c r="O18" s="30"/>
      <c r="P18" s="3">
        <v>8</v>
      </c>
      <c r="Q18" s="34">
        <f>IFERROR(VLOOKUP(P18,'Puntos XCO'!$A$1:$B$63,2,FALSE),0)</f>
        <v>85</v>
      </c>
      <c r="R18" s="16">
        <v>3</v>
      </c>
      <c r="S18" s="3">
        <f>IFERROR(VLOOKUP(R18,'Puntos XCC Menor'!$A$1:$B$15,2,FALSE),0)</f>
        <v>8</v>
      </c>
      <c r="T18" s="15">
        <v>6</v>
      </c>
      <c r="U18" s="39">
        <f>IFERROR(VLOOKUP(T18,'Puntos XCO'!$A$1:$B$63,2,FALSE),0)</f>
        <v>95</v>
      </c>
      <c r="V18" s="16">
        <f>IFERROR(VLOOKUP(C18,RESXCC_1,9,FALSE),0)</f>
        <v>6</v>
      </c>
      <c r="W18" s="15">
        <f>IFERROR(VLOOKUP(V18,'Puntos XCC Mayor'!$A$1:$B$15,2,FALSE),0)</f>
        <v>10</v>
      </c>
      <c r="X18" s="15">
        <f>IFERROR(VLOOKUP(C18,RESXCO,9,FALSE),0)</f>
        <v>6</v>
      </c>
      <c r="Y18" s="25">
        <f>IFERROR(VLOOKUP(X18,'Puntos XCO'!$A$1:$B$63,2,FALSE),0)</f>
        <v>95</v>
      </c>
      <c r="Z18" s="27">
        <f>G18+I18+K18+M18+O18+Q18+S18+U18+W18+Y18</f>
        <v>508</v>
      </c>
      <c r="AB18" s="2"/>
      <c r="AC18" s="13"/>
      <c r="AD18" s="12"/>
      <c r="AE18" s="14"/>
    </row>
    <row r="19" spans="1:31" ht="24.95" customHeight="1">
      <c r="A19" s="22">
        <v>5</v>
      </c>
      <c r="B19" s="22">
        <v>4</v>
      </c>
      <c r="C19" s="96">
        <v>813</v>
      </c>
      <c r="D19" s="23" t="str">
        <f>VLOOKUP(C19,PLANILLA,2,FALSE)</f>
        <v>GARCÍA Jorge</v>
      </c>
      <c r="E19" s="24" t="str">
        <f>VLOOKUP(C19,PLANILLA,4,FALSE)</f>
        <v xml:space="preserve">GRUPETA DE LAS 5AM </v>
      </c>
      <c r="F19" s="3">
        <v>0</v>
      </c>
      <c r="G19" s="15">
        <v>0</v>
      </c>
      <c r="H19" s="3">
        <v>6</v>
      </c>
      <c r="I19" s="25">
        <v>95</v>
      </c>
      <c r="J19" s="33">
        <v>0</v>
      </c>
      <c r="K19" s="22">
        <v>0</v>
      </c>
      <c r="L19" s="22">
        <v>6</v>
      </c>
      <c r="M19" s="34">
        <v>95</v>
      </c>
      <c r="N19" s="32"/>
      <c r="O19" s="30"/>
      <c r="P19" s="3">
        <v>5</v>
      </c>
      <c r="Q19" s="34">
        <f>IFERROR(VLOOKUP(P19,'Puntos XCO'!$A$1:$B$63,2,FALSE),0)</f>
        <v>100</v>
      </c>
      <c r="R19" s="16">
        <v>0</v>
      </c>
      <c r="S19" s="3">
        <f>IFERROR(VLOOKUP(R19,'Puntos XCC Menor'!$A$1:$B$15,2,FALSE),0)</f>
        <v>0</v>
      </c>
      <c r="T19" s="15">
        <v>7</v>
      </c>
      <c r="U19" s="39">
        <f>IFERROR(VLOOKUP(T19,'Puntos XCO'!$A$1:$B$63,2,FALSE),0)</f>
        <v>90</v>
      </c>
      <c r="V19" s="16">
        <f>IFERROR(VLOOKUP(C19,RESXCC_1,9,FALSE),0)</f>
        <v>4</v>
      </c>
      <c r="W19" s="15">
        <f>IFERROR(VLOOKUP(V19,'Puntos XCC Mayor'!$A$1:$B$15,2,FALSE),0)</f>
        <v>14</v>
      </c>
      <c r="X19" s="15">
        <f>IFERROR(VLOOKUP(C19,RESXCO,9,FALSE),0)</f>
        <v>5</v>
      </c>
      <c r="Y19" s="25">
        <f>IFERROR(VLOOKUP(X19,'Puntos XCO'!$A$1:$B$63,2,FALSE),0)</f>
        <v>100</v>
      </c>
      <c r="Z19" s="27">
        <f>G19+I19+K19+M19+O19+Q19+S19+U19+W19+Y19</f>
        <v>494</v>
      </c>
      <c r="AB19" s="2"/>
      <c r="AC19" s="13"/>
      <c r="AD19" s="12"/>
      <c r="AE19" s="14"/>
    </row>
    <row r="20" spans="1:31" ht="24.95" customHeight="1">
      <c r="A20" s="22">
        <v>6</v>
      </c>
      <c r="B20" s="22">
        <v>5</v>
      </c>
      <c r="C20" s="96">
        <v>811</v>
      </c>
      <c r="D20" s="23" t="str">
        <f>VLOOKUP(C20,PLANILLA,2,FALSE)</f>
        <v xml:space="preserve">RECIO  Rodrigo </v>
      </c>
      <c r="E20" s="24" t="str">
        <f>VLOOKUP(C20,PLANILLA,4,FALSE)</f>
        <v>VEINTE24</v>
      </c>
      <c r="F20" s="3">
        <v>0</v>
      </c>
      <c r="G20" s="15">
        <v>0</v>
      </c>
      <c r="H20" s="3">
        <v>5</v>
      </c>
      <c r="I20" s="25">
        <v>100</v>
      </c>
      <c r="J20" s="33">
        <v>0</v>
      </c>
      <c r="K20" s="22">
        <v>0</v>
      </c>
      <c r="L20" s="22">
        <v>7</v>
      </c>
      <c r="M20" s="34">
        <v>90</v>
      </c>
      <c r="N20" s="32"/>
      <c r="O20" s="30"/>
      <c r="P20" s="3">
        <v>9</v>
      </c>
      <c r="Q20" s="34">
        <f>IFERROR(VLOOKUP(P20,'Puntos XCO'!$A$1:$B$63,2,FALSE),0)</f>
        <v>80</v>
      </c>
      <c r="R20" s="16">
        <v>0</v>
      </c>
      <c r="S20" s="3">
        <f>IFERROR(VLOOKUP(R20,'Puntos XCC Menor'!$A$1:$B$15,2,FALSE),0)</f>
        <v>0</v>
      </c>
      <c r="T20" s="15">
        <v>5</v>
      </c>
      <c r="U20" s="39">
        <f>IFERROR(VLOOKUP(T20,'Puntos XCO'!$A$1:$B$63,2,FALSE),0)</f>
        <v>100</v>
      </c>
      <c r="V20" s="16">
        <f>IFERROR(VLOOKUP(C20,RESXCC_1,9,FALSE),0)</f>
        <v>7</v>
      </c>
      <c r="W20" s="15">
        <f>IFERROR(VLOOKUP(V20,'Puntos XCC Mayor'!$A$1:$B$15,2,FALSE),0)</f>
        <v>9</v>
      </c>
      <c r="X20" s="15">
        <f>IFERROR(VLOOKUP(C20,RESXCO,9,FALSE),0)</f>
        <v>9</v>
      </c>
      <c r="Y20" s="25">
        <f>IFERROR(VLOOKUP(X20,'Puntos XCO'!$A$1:$B$63,2,FALSE),0)</f>
        <v>80</v>
      </c>
      <c r="Z20" s="27">
        <f>G20+I20+K20+M20+O20+Q20+S20+U20+W20+Y20</f>
        <v>459</v>
      </c>
      <c r="AB20" s="2"/>
      <c r="AC20" s="13"/>
      <c r="AD20" s="12"/>
      <c r="AE20" s="14"/>
    </row>
    <row r="21" spans="1:31" ht="24.95" customHeight="1">
      <c r="A21" s="22">
        <v>7</v>
      </c>
      <c r="B21" s="22">
        <v>7</v>
      </c>
      <c r="C21" s="96">
        <v>814</v>
      </c>
      <c r="D21" s="23" t="str">
        <f>VLOOKUP(C21,PLANILLA,2,FALSE)</f>
        <v>LIZANO Federico</v>
      </c>
      <c r="E21" s="24" t="str">
        <f>VLOOKUP(C21,PLANILLA,4,FALSE)</f>
        <v>TEAM LIZANO HERRA</v>
      </c>
      <c r="F21" s="3">
        <v>0</v>
      </c>
      <c r="G21" s="15">
        <v>0</v>
      </c>
      <c r="H21" s="3">
        <v>8</v>
      </c>
      <c r="I21" s="25">
        <v>85</v>
      </c>
      <c r="J21" s="33">
        <v>10</v>
      </c>
      <c r="K21" s="22">
        <v>1</v>
      </c>
      <c r="L21" s="22">
        <v>11</v>
      </c>
      <c r="M21" s="34">
        <v>76</v>
      </c>
      <c r="N21" s="32"/>
      <c r="O21" s="30"/>
      <c r="P21" s="3">
        <v>11</v>
      </c>
      <c r="Q21" s="34">
        <f>IFERROR(VLOOKUP(P21,'Puntos XCO'!$A$1:$B$63,2,FALSE),0)</f>
        <v>76</v>
      </c>
      <c r="R21" s="16">
        <v>5</v>
      </c>
      <c r="S21" s="3">
        <f>IFERROR(VLOOKUP(R21,'Puntos XCC Menor'!$A$1:$B$15,2,FALSE),0)</f>
        <v>6</v>
      </c>
      <c r="T21" s="15">
        <v>4</v>
      </c>
      <c r="U21" s="39">
        <f>IFERROR(VLOOKUP(T21,'Puntos XCO'!$A$1:$B$63,2,FALSE),0)</f>
        <v>110</v>
      </c>
      <c r="V21" s="16">
        <f>IFERROR(VLOOKUP(C21,RESXCC_1,9,FALSE),0)</f>
        <v>8</v>
      </c>
      <c r="W21" s="15">
        <f>IFERROR(VLOOKUP(V21,'Puntos XCC Mayor'!$A$1:$B$15,2,FALSE),0)</f>
        <v>8</v>
      </c>
      <c r="X21" s="15">
        <f>IFERROR(VLOOKUP(C21,RESXCO,9,FALSE),0)</f>
        <v>7</v>
      </c>
      <c r="Y21" s="25">
        <f>IFERROR(VLOOKUP(X21,'Puntos XCO'!$A$1:$B$63,2,FALSE),0)</f>
        <v>90</v>
      </c>
      <c r="Z21" s="27">
        <f>G21+I21+K21+M21+O21+Q21+S21+U21+W21+Y21</f>
        <v>452</v>
      </c>
      <c r="AB21" s="2"/>
      <c r="AC21" s="13"/>
      <c r="AD21" s="12"/>
      <c r="AE21" s="14"/>
    </row>
    <row r="22" spans="1:31" ht="24.95" customHeight="1">
      <c r="A22" s="22">
        <v>8</v>
      </c>
      <c r="B22" s="22">
        <v>8</v>
      </c>
      <c r="C22" s="96">
        <v>805</v>
      </c>
      <c r="D22" s="23" t="str">
        <f>VLOOKUP(C22,PLANILLA,2,FALSE)</f>
        <v>FERANANDEZ Raul</v>
      </c>
      <c r="E22" s="24" t="str">
        <f>VLOOKUP(C22,PLANILLA,4,FALSE)</f>
        <v/>
      </c>
      <c r="F22" s="3">
        <v>8</v>
      </c>
      <c r="G22" s="15">
        <v>3</v>
      </c>
      <c r="H22" s="3">
        <v>7</v>
      </c>
      <c r="I22" s="25">
        <v>90</v>
      </c>
      <c r="J22" s="33">
        <v>7</v>
      </c>
      <c r="K22" s="22">
        <v>4</v>
      </c>
      <c r="L22" s="22">
        <v>10</v>
      </c>
      <c r="M22" s="34">
        <v>78</v>
      </c>
      <c r="N22" s="32"/>
      <c r="O22" s="30"/>
      <c r="P22" s="3">
        <v>12</v>
      </c>
      <c r="Q22" s="34">
        <f>IFERROR(VLOOKUP(P22,'Puntos XCO'!$A$1:$B$63,2,FALSE),0)</f>
        <v>74</v>
      </c>
      <c r="R22" s="16">
        <v>7</v>
      </c>
      <c r="S22" s="3">
        <f>IFERROR(VLOOKUP(R22,'Puntos XCC Menor'!$A$1:$B$15,2,FALSE),0)</f>
        <v>4</v>
      </c>
      <c r="T22" s="15">
        <v>8</v>
      </c>
      <c r="U22" s="39">
        <f>IFERROR(VLOOKUP(T22,'Puntos XCO'!$A$1:$B$63,2,FALSE),0)</f>
        <v>85</v>
      </c>
      <c r="V22" s="16">
        <f>IFERROR(VLOOKUP(C22,RESXCC_1,9,FALSE),0)</f>
        <v>9</v>
      </c>
      <c r="W22" s="15">
        <f>IFERROR(VLOOKUP(V22,'Puntos XCC Mayor'!$A$1:$B$15,2,FALSE),0)</f>
        <v>7</v>
      </c>
      <c r="X22" s="15">
        <f>IFERROR(VLOOKUP(C22,RESXCO,9,FALSE),0)</f>
        <v>11</v>
      </c>
      <c r="Y22" s="25">
        <f>IFERROR(VLOOKUP(X22,'Puntos XCO'!$A$1:$B$63,2,FALSE),0)</f>
        <v>76</v>
      </c>
      <c r="Z22" s="27">
        <f>G22+I22+K22+M22+O22+Q22+S22+U22+W22+Y22</f>
        <v>421</v>
      </c>
      <c r="AB22" s="2"/>
      <c r="AC22" s="13"/>
      <c r="AD22" s="12"/>
      <c r="AE22" s="14"/>
    </row>
    <row r="23" spans="1:31" ht="24.95" customHeight="1">
      <c r="A23" s="22">
        <v>9</v>
      </c>
      <c r="B23" s="22">
        <v>10</v>
      </c>
      <c r="C23" s="96">
        <v>809</v>
      </c>
      <c r="D23" s="23" t="str">
        <f>VLOOKUP(C23,PLANILLA,2,FALSE)</f>
        <v>AZOFEIFA Guillermo</v>
      </c>
      <c r="E23" s="24" t="str">
        <f>VLOOKUP(C23,PLANILLA,4,FALSE)</f>
        <v>LOTUS TEAM</v>
      </c>
      <c r="F23" s="3">
        <v>6</v>
      </c>
      <c r="G23" s="15">
        <v>5</v>
      </c>
      <c r="H23" s="3">
        <v>0</v>
      </c>
      <c r="I23" s="25">
        <v>0</v>
      </c>
      <c r="J23" s="33">
        <v>6</v>
      </c>
      <c r="K23" s="22">
        <v>5</v>
      </c>
      <c r="L23" s="22">
        <v>9</v>
      </c>
      <c r="M23" s="34">
        <v>80</v>
      </c>
      <c r="N23" s="32"/>
      <c r="O23" s="30"/>
      <c r="P23" s="3">
        <v>10</v>
      </c>
      <c r="Q23" s="34">
        <f>IFERROR(VLOOKUP(P23,'Puntos XCO'!$A$1:$B$63,2,FALSE),0)</f>
        <v>78</v>
      </c>
      <c r="R23" s="16">
        <v>4</v>
      </c>
      <c r="S23" s="3">
        <f>IFERROR(VLOOKUP(R23,'Puntos XCC Menor'!$A$1:$B$15,2,FALSE),0)</f>
        <v>7</v>
      </c>
      <c r="T23" s="15">
        <v>10</v>
      </c>
      <c r="U23" s="39">
        <f>IFERROR(VLOOKUP(T23,'Puntos XCO'!$A$1:$B$63,2,FALSE),0)</f>
        <v>78</v>
      </c>
      <c r="V23" s="16">
        <f>IFERROR(VLOOKUP(C23,RESXCC_1,9,FALSE),0)</f>
        <v>0</v>
      </c>
      <c r="W23" s="15">
        <f>IFERROR(VLOOKUP(V23,'Puntos XCC Mayor'!$A$1:$B$15,2,FALSE),0)</f>
        <v>0</v>
      </c>
      <c r="X23" s="15">
        <f>IFERROR(VLOOKUP(C23,RESXCO,9,FALSE),0)</f>
        <v>10</v>
      </c>
      <c r="Y23" s="25">
        <f>IFERROR(VLOOKUP(X23,'Puntos XCO'!$A$1:$B$63,2,FALSE),0)</f>
        <v>78</v>
      </c>
      <c r="Z23" s="27">
        <f>G23+I23+K23+M23+O23+Q23+S23+U23+W23+Y23</f>
        <v>331</v>
      </c>
      <c r="AB23" s="2"/>
      <c r="AC23" s="13"/>
      <c r="AD23" s="12"/>
      <c r="AE23" s="14"/>
    </row>
    <row r="24" spans="1:31" ht="24.95" customHeight="1">
      <c r="A24" s="22">
        <v>10</v>
      </c>
      <c r="B24" s="22">
        <v>12</v>
      </c>
      <c r="C24" s="96">
        <v>816</v>
      </c>
      <c r="D24" s="23" t="str">
        <f>VLOOKUP(C24,PLANILLA,2,FALSE)</f>
        <v xml:space="preserve">CAMPOS  Sergio </v>
      </c>
      <c r="E24" s="24" t="str">
        <f>VLOOKUP(C24,PLANILLA,4,FALSE)</f>
        <v xml:space="preserve">SPOT DETAIL FACTORY TEAM </v>
      </c>
      <c r="F24" s="3">
        <v>5</v>
      </c>
      <c r="G24" s="15">
        <v>6</v>
      </c>
      <c r="H24" s="3">
        <v>2</v>
      </c>
      <c r="I24" s="25">
        <v>150</v>
      </c>
      <c r="J24" s="33">
        <v>0</v>
      </c>
      <c r="K24" s="22">
        <v>0</v>
      </c>
      <c r="L24" s="22">
        <v>0</v>
      </c>
      <c r="M24" s="34">
        <v>0</v>
      </c>
      <c r="N24" s="32"/>
      <c r="O24" s="30"/>
      <c r="P24" s="3">
        <v>0</v>
      </c>
      <c r="Q24" s="34">
        <f>IFERROR(VLOOKUP(P24,'Puntos XCO'!$A$1:$B$63,2,FALSE),0)</f>
        <v>0</v>
      </c>
      <c r="R24" s="16">
        <v>0</v>
      </c>
      <c r="S24" s="3">
        <f>IFERROR(VLOOKUP(R24,'Puntos XCC Menor'!$A$1:$B$15,2,FALSE),0)</f>
        <v>0</v>
      </c>
      <c r="T24" s="15">
        <v>0</v>
      </c>
      <c r="U24" s="39">
        <f>IFERROR(VLOOKUP(T24,'Puntos XCO'!$A$1:$B$63,2,FALSE),0)</f>
        <v>0</v>
      </c>
      <c r="V24" s="16">
        <f>IFERROR(VLOOKUP(C24,RESXCC_1,9,FALSE),0)</f>
        <v>3</v>
      </c>
      <c r="W24" s="15">
        <f>IFERROR(VLOOKUP(V24,'Puntos XCC Mayor'!$A$1:$B$15,2,FALSE),0)</f>
        <v>16</v>
      </c>
      <c r="X24" s="15">
        <f>IFERROR(VLOOKUP(C24,RESXCO,9,FALSE),0)</f>
        <v>3</v>
      </c>
      <c r="Y24" s="25">
        <f>IFERROR(VLOOKUP(X24,'Puntos XCO'!$A$1:$B$63,2,FALSE),0)</f>
        <v>120</v>
      </c>
      <c r="Z24" s="27">
        <f>G24+I24+K24+M24+O24+Q24+S24+U24+W24+Y24</f>
        <v>292</v>
      </c>
      <c r="AB24" s="2"/>
      <c r="AC24" s="13"/>
      <c r="AD24" s="12"/>
      <c r="AE24" s="14"/>
    </row>
    <row r="25" spans="1:31" ht="24.95" customHeight="1">
      <c r="A25" s="22">
        <v>11</v>
      </c>
      <c r="B25" s="22">
        <v>9</v>
      </c>
      <c r="C25" s="96">
        <v>818</v>
      </c>
      <c r="D25" s="23" t="str">
        <f>VLOOKUP(C25,PLANILLA,2,FALSE)</f>
        <v>LOPEZ Jose</v>
      </c>
      <c r="E25" s="24" t="str">
        <f>VLOOKUP(C25,PLANILLA,4,FALSE)</f>
        <v>TEAM GOCHA</v>
      </c>
      <c r="F25" s="3"/>
      <c r="G25" s="15"/>
      <c r="H25" s="3"/>
      <c r="I25" s="25"/>
      <c r="J25" s="33">
        <v>1</v>
      </c>
      <c r="K25" s="22">
        <v>10</v>
      </c>
      <c r="L25" s="22">
        <v>2</v>
      </c>
      <c r="M25" s="34">
        <v>150</v>
      </c>
      <c r="N25" s="32"/>
      <c r="O25" s="30"/>
      <c r="P25" s="3">
        <v>4</v>
      </c>
      <c r="Q25" s="34">
        <f>IFERROR(VLOOKUP(P25,'Puntos XCO'!$A$1:$B$63,2,FALSE),0)</f>
        <v>110</v>
      </c>
      <c r="R25" s="16">
        <v>0</v>
      </c>
      <c r="S25" s="3">
        <f>IFERROR(VLOOKUP(R25,'Puntos XCC Menor'!$A$1:$B$15,2,FALSE),0)</f>
        <v>0</v>
      </c>
      <c r="T25" s="15">
        <v>0</v>
      </c>
      <c r="U25" s="39">
        <f>IFERROR(VLOOKUP(T25,'Puntos XCO'!$A$1:$B$63,2,FALSE),0)</f>
        <v>0</v>
      </c>
      <c r="V25" s="16">
        <f>IFERROR(VLOOKUP(C25,RESXCC_1,9,FALSE),0)</f>
        <v>0</v>
      </c>
      <c r="W25" s="15">
        <f>IFERROR(VLOOKUP(V25,'Puntos XCC Mayor'!$A$1:$B$15,2,FALSE),0)</f>
        <v>0</v>
      </c>
      <c r="X25" s="15">
        <f>IFERROR(VLOOKUP(C25,RESXCO,9,FALSE),0)</f>
        <v>0</v>
      </c>
      <c r="Y25" s="25">
        <f>IFERROR(VLOOKUP(X25,'Puntos XCO'!$A$1:$B$63,2,FALSE),0)</f>
        <v>0</v>
      </c>
      <c r="Z25" s="27">
        <f>G25+I25+K25+M25+O25+Q25+S25+U25+W25+Y25</f>
        <v>270</v>
      </c>
      <c r="AB25" s="2"/>
      <c r="AC25" s="13"/>
      <c r="AD25" s="12"/>
      <c r="AE25" s="14"/>
    </row>
    <row r="26" spans="1:31" ht="24.95" customHeight="1">
      <c r="A26" s="22">
        <v>12</v>
      </c>
      <c r="B26" s="22">
        <v>11</v>
      </c>
      <c r="C26" s="96">
        <v>823</v>
      </c>
      <c r="D26" s="23" t="str">
        <f>VLOOKUP(C26,PLANILLA,2,FALSE)</f>
        <v>LORIA Luis</v>
      </c>
      <c r="E26" s="24" t="str">
        <f>VLOOKUP(C26,PLANILLA,4,FALSE)</f>
        <v/>
      </c>
      <c r="F26" s="3"/>
      <c r="G26" s="15"/>
      <c r="H26" s="3"/>
      <c r="I26" s="25"/>
      <c r="J26" s="33"/>
      <c r="K26" s="22"/>
      <c r="L26" s="22"/>
      <c r="M26" s="34"/>
      <c r="N26" s="32"/>
      <c r="O26" s="30"/>
      <c r="P26" s="3">
        <v>13</v>
      </c>
      <c r="Q26" s="34">
        <f>IFERROR(VLOOKUP(P26,'Puntos XCO'!$A$1:$B$63,2,FALSE),0)</f>
        <v>72</v>
      </c>
      <c r="R26" s="16">
        <v>6</v>
      </c>
      <c r="S26" s="3">
        <f>IFERROR(VLOOKUP(R26,'Puntos XCC Menor'!$A$1:$B$15,2,FALSE),0)</f>
        <v>5</v>
      </c>
      <c r="T26" s="15">
        <v>9</v>
      </c>
      <c r="U26" s="39">
        <f>IFERROR(VLOOKUP(T26,'Puntos XCO'!$A$1:$B$63,2,FALSE),0)</f>
        <v>80</v>
      </c>
      <c r="V26" s="16">
        <f>IFERROR(VLOOKUP(C26,RESXCC_1,9,FALSE),0)</f>
        <v>0</v>
      </c>
      <c r="W26" s="15">
        <f>IFERROR(VLOOKUP(V26,'Puntos XCC Mayor'!$A$1:$B$15,2,FALSE),0)</f>
        <v>0</v>
      </c>
      <c r="X26" s="15">
        <f>IFERROR(VLOOKUP(C26,RESXCO,9,FALSE),0)</f>
        <v>0</v>
      </c>
      <c r="Y26" s="25">
        <f>IFERROR(VLOOKUP(X26,'Puntos XCO'!$A$1:$B$63,2,FALSE),0)</f>
        <v>0</v>
      </c>
      <c r="Z26" s="27">
        <f>G26+I26+K26+M26+O26+Q26+S26+U26+W26+Y26</f>
        <v>157</v>
      </c>
      <c r="AB26" s="2"/>
      <c r="AC26" s="13"/>
      <c r="AD26" s="12"/>
      <c r="AE26" s="14"/>
    </row>
    <row r="27" spans="1:31" ht="24.95" customHeight="1">
      <c r="A27" s="22">
        <v>13</v>
      </c>
      <c r="B27" s="22">
        <v>13</v>
      </c>
      <c r="C27" s="96">
        <v>808</v>
      </c>
      <c r="D27" s="23" t="str">
        <f>VLOOKUP(C27,PLANILLA,2,FALSE)</f>
        <v xml:space="preserve">SANABRIA  Carlos Alonso </v>
      </c>
      <c r="E27" s="24" t="str">
        <f>VLOOKUP(C27,PLANILLA,4,FALSE)</f>
        <v xml:space="preserve">BIKE BROS CYCLING </v>
      </c>
      <c r="F27" s="3">
        <v>0</v>
      </c>
      <c r="G27" s="15">
        <v>0</v>
      </c>
      <c r="H27" s="3">
        <v>0</v>
      </c>
      <c r="I27" s="25">
        <v>0</v>
      </c>
      <c r="J27" s="33">
        <v>3</v>
      </c>
      <c r="K27" s="22">
        <v>8</v>
      </c>
      <c r="L27" s="22">
        <v>3</v>
      </c>
      <c r="M27" s="34">
        <v>120</v>
      </c>
      <c r="N27" s="32"/>
      <c r="O27" s="30"/>
      <c r="P27" s="3">
        <v>0</v>
      </c>
      <c r="Q27" s="34">
        <f>IFERROR(VLOOKUP(P27,'Puntos XCO'!$A$1:$B$63,2,FALSE),0)</f>
        <v>0</v>
      </c>
      <c r="R27" s="16">
        <v>0</v>
      </c>
      <c r="S27" s="3">
        <f>IFERROR(VLOOKUP(R27,'Puntos XCC Menor'!$A$1:$B$15,2,FALSE),0)</f>
        <v>0</v>
      </c>
      <c r="T27" s="15">
        <v>0</v>
      </c>
      <c r="U27" s="39">
        <f>IFERROR(VLOOKUP(T27,'Puntos XCO'!$A$1:$B$63,2,FALSE),0)</f>
        <v>0</v>
      </c>
      <c r="V27" s="16">
        <f>IFERROR(VLOOKUP(C27,RESXCC_1,9,FALSE),0)</f>
        <v>0</v>
      </c>
      <c r="W27" s="15">
        <f>IFERROR(VLOOKUP(V27,'Puntos XCC Mayor'!$A$1:$B$15,2,FALSE),0)</f>
        <v>0</v>
      </c>
      <c r="X27" s="15">
        <f>IFERROR(VLOOKUP(C27,RESXCO,9,FALSE),0)</f>
        <v>0</v>
      </c>
      <c r="Y27" s="25">
        <f>IFERROR(VLOOKUP(X27,'Puntos XCO'!$A$1:$B$63,2,FALSE),0)</f>
        <v>0</v>
      </c>
      <c r="Z27" s="27">
        <f>G27+I27+K27+M27+O27+Q27+S27+U27+W27+Y27</f>
        <v>128</v>
      </c>
      <c r="AB27" s="2"/>
      <c r="AC27" s="13"/>
      <c r="AD27" s="12"/>
      <c r="AE27" s="14"/>
    </row>
    <row r="28" spans="1:31" ht="24.95" customHeight="1">
      <c r="A28" s="22">
        <v>14</v>
      </c>
      <c r="B28" s="22">
        <v>14</v>
      </c>
      <c r="C28" s="96">
        <v>812</v>
      </c>
      <c r="D28" s="23" t="str">
        <f>VLOOKUP(C28,PLANILLA,2,FALSE)</f>
        <v>CÓRDOBA  Juan José</v>
      </c>
      <c r="E28" s="24" t="str">
        <f>VLOOKUP(C28,PLANILLA,4,FALSE)</f>
        <v xml:space="preserve">KBCT - IMPORTADORA SALAZAR </v>
      </c>
      <c r="F28" s="3">
        <v>4</v>
      </c>
      <c r="G28" s="15">
        <v>7</v>
      </c>
      <c r="H28" s="3">
        <v>4</v>
      </c>
      <c r="I28" s="25">
        <v>110</v>
      </c>
      <c r="J28" s="33">
        <v>0</v>
      </c>
      <c r="K28" s="22">
        <v>0</v>
      </c>
      <c r="L28" s="22">
        <v>0</v>
      </c>
      <c r="M28" s="34">
        <v>0</v>
      </c>
      <c r="N28" s="32"/>
      <c r="O28" s="30"/>
      <c r="P28" s="3">
        <v>0</v>
      </c>
      <c r="Q28" s="34">
        <f>IFERROR(VLOOKUP(P28,'Puntos XCO'!$A$1:$B$63,2,FALSE),0)</f>
        <v>0</v>
      </c>
      <c r="R28" s="16">
        <v>0</v>
      </c>
      <c r="S28" s="3">
        <f>IFERROR(VLOOKUP(R28,'Puntos XCC Menor'!$A$1:$B$15,2,FALSE),0)</f>
        <v>0</v>
      </c>
      <c r="T28" s="15">
        <v>0</v>
      </c>
      <c r="U28" s="39">
        <f>IFERROR(VLOOKUP(T28,'Puntos XCO'!$A$1:$B$63,2,FALSE),0)</f>
        <v>0</v>
      </c>
      <c r="V28" s="16">
        <f>IFERROR(VLOOKUP(C28,RESXCC_1,9,FALSE),0)</f>
        <v>0</v>
      </c>
      <c r="W28" s="15">
        <f>IFERROR(VLOOKUP(V28,'Puntos XCC Mayor'!$A$1:$B$15,2,FALSE),0)</f>
        <v>0</v>
      </c>
      <c r="X28" s="15">
        <f>IFERROR(VLOOKUP(C28,RESXCO,9,FALSE),0)</f>
        <v>0</v>
      </c>
      <c r="Y28" s="25">
        <f>IFERROR(VLOOKUP(X28,'Puntos XCO'!$A$1:$B$63,2,FALSE),0)</f>
        <v>0</v>
      </c>
      <c r="Z28" s="27">
        <f>G28+I28+K28+M28+O28+Q28+S28+U28+W28+Y28</f>
        <v>117</v>
      </c>
      <c r="AB28" s="3"/>
      <c r="AE28" s="29"/>
    </row>
    <row r="29" spans="1:31" ht="24.95" customHeight="1">
      <c r="A29" s="22">
        <v>15</v>
      </c>
      <c r="B29" s="22"/>
      <c r="C29" s="96">
        <v>824</v>
      </c>
      <c r="D29" s="23" t="str">
        <f>VLOOKUP(C29,PLANILLA,2,FALSE)</f>
        <v>RAMÍREZ  Luis</v>
      </c>
      <c r="E29" s="24" t="str">
        <f>VLOOKUP(C29,PLANILLA,4,FALSE)</f>
        <v xml:space="preserve">GOCHA CYCLING TEAM </v>
      </c>
      <c r="F29" s="3"/>
      <c r="G29" s="15"/>
      <c r="H29" s="3"/>
      <c r="I29" s="25"/>
      <c r="J29" s="33"/>
      <c r="K29" s="22"/>
      <c r="L29" s="22"/>
      <c r="M29" s="34"/>
      <c r="N29" s="32"/>
      <c r="O29" s="30"/>
      <c r="P29" s="3">
        <v>0</v>
      </c>
      <c r="Q29" s="34">
        <f>IFERROR(VLOOKUP(P29,'Puntos XCO'!$A$1:$B$63,2,FALSE),0)</f>
        <v>0</v>
      </c>
      <c r="R29" s="16">
        <v>0</v>
      </c>
      <c r="S29" s="3">
        <f>IFERROR(VLOOKUP(R29,'Puntos XCC Menor'!$A$1:$B$15,2,FALSE),0)</f>
        <v>0</v>
      </c>
      <c r="T29" s="15">
        <v>0</v>
      </c>
      <c r="U29" s="39">
        <f>IFERROR(VLOOKUP(T29,'Puntos XCO'!$A$1:$B$63,2,FALSE),0)</f>
        <v>0</v>
      </c>
      <c r="V29" s="16">
        <f>IFERROR(VLOOKUP(C29,RESXCC_1,9,FALSE),0)</f>
        <v>0</v>
      </c>
      <c r="W29" s="15">
        <f>IFERROR(VLOOKUP(V29,'Puntos XCC Mayor'!$A$1:$B$15,2,FALSE),0)</f>
        <v>0</v>
      </c>
      <c r="X29" s="15">
        <f>IFERROR(VLOOKUP(C29,RESXCO,9,FALSE),0)</f>
        <v>4</v>
      </c>
      <c r="Y29" s="25">
        <f>IFERROR(VLOOKUP(X29,'Puntos XCO'!$A$1:$B$63,2,FALSE),0)</f>
        <v>110</v>
      </c>
      <c r="Z29" s="27">
        <f>G29+I29+K29+M29+O29+Q29+S29+U29+W29+Y29</f>
        <v>110</v>
      </c>
      <c r="AB29" s="3"/>
    </row>
    <row r="30" spans="1:31" ht="24.95" customHeight="1">
      <c r="A30" s="22">
        <v>16</v>
      </c>
      <c r="B30" s="22">
        <v>15</v>
      </c>
      <c r="C30" s="96">
        <v>819</v>
      </c>
      <c r="D30" s="23" t="str">
        <f>VLOOKUP(C30,PLANILLA,2,FALSE)</f>
        <v xml:space="preserve">VILLALTA Carlos </v>
      </c>
      <c r="E30" s="24" t="str">
        <f>VLOOKUP(C30,PLANILLA,4,FALSE)</f>
        <v>TEAM GOCHA</v>
      </c>
      <c r="F30" s="3"/>
      <c r="G30" s="15"/>
      <c r="H30" s="3"/>
      <c r="I30" s="25"/>
      <c r="J30" s="33">
        <v>2</v>
      </c>
      <c r="K30" s="22">
        <v>9</v>
      </c>
      <c r="L30" s="22">
        <v>5</v>
      </c>
      <c r="M30" s="34">
        <v>100</v>
      </c>
      <c r="N30" s="32"/>
      <c r="O30" s="30"/>
      <c r="P30" s="3">
        <v>0</v>
      </c>
      <c r="Q30" s="34">
        <f>IFERROR(VLOOKUP(P30,'Puntos XCO'!$A$1:$B$63,2,FALSE),0)</f>
        <v>0</v>
      </c>
      <c r="R30" s="16">
        <v>0</v>
      </c>
      <c r="S30" s="3">
        <f>IFERROR(VLOOKUP(R30,'Puntos XCC Menor'!$A$1:$B$15,2,FALSE),0)</f>
        <v>0</v>
      </c>
      <c r="T30" s="15">
        <v>0</v>
      </c>
      <c r="U30" s="39">
        <f>IFERROR(VLOOKUP(T30,'Puntos XCO'!$A$1:$B$63,2,FALSE),0)</f>
        <v>0</v>
      </c>
      <c r="V30" s="16">
        <f>IFERROR(VLOOKUP(C30,RESXCC_1,9,FALSE),0)</f>
        <v>0</v>
      </c>
      <c r="W30" s="15">
        <f>IFERROR(VLOOKUP(V30,'Puntos XCC Mayor'!$A$1:$B$15,2,FALSE),0)</f>
        <v>0</v>
      </c>
      <c r="X30" s="15">
        <f>IFERROR(VLOOKUP(C30,RESXCO,9,FALSE),0)</f>
        <v>0</v>
      </c>
      <c r="Y30" s="25">
        <f>IFERROR(VLOOKUP(X30,'Puntos XCO'!$A$1:$B$63,2,FALSE),0)</f>
        <v>0</v>
      </c>
      <c r="Z30" s="27">
        <f>G30+I30+K30+M30+O30+Q30+S30+U30+W30+Y30</f>
        <v>109</v>
      </c>
      <c r="AB30" s="3"/>
    </row>
    <row r="31" spans="1:31" ht="24.95" customHeight="1">
      <c r="A31" s="22">
        <v>17</v>
      </c>
      <c r="B31" s="22">
        <v>16</v>
      </c>
      <c r="C31" s="96">
        <v>806</v>
      </c>
      <c r="D31" s="23" t="str">
        <f>VLOOKUP(C31,PLANILLA,2,FALSE)</f>
        <v xml:space="preserve">VILLALOBOS  Steven </v>
      </c>
      <c r="E31" s="24" t="str">
        <f>VLOOKUP(C31,PLANILLA,4,FALSE)</f>
        <v xml:space="preserve">CALLE NIÑO SANO </v>
      </c>
      <c r="F31" s="3">
        <v>3</v>
      </c>
      <c r="G31" s="15">
        <v>8</v>
      </c>
      <c r="H31" s="3">
        <v>0</v>
      </c>
      <c r="I31" s="25">
        <v>0</v>
      </c>
      <c r="J31" s="33">
        <v>0</v>
      </c>
      <c r="K31" s="22">
        <v>0</v>
      </c>
      <c r="L31" s="22">
        <v>0</v>
      </c>
      <c r="M31" s="34">
        <v>0</v>
      </c>
      <c r="N31" s="32"/>
      <c r="O31" s="30"/>
      <c r="P31" s="3">
        <v>7</v>
      </c>
      <c r="Q31" s="34">
        <f>IFERROR(VLOOKUP(P31,'Puntos XCO'!$A$1:$B$63,2,FALSE),0)</f>
        <v>90</v>
      </c>
      <c r="R31" s="16">
        <v>0</v>
      </c>
      <c r="S31" s="3">
        <f>IFERROR(VLOOKUP(R31,'Puntos XCC Menor'!$A$1:$B$15,2,FALSE),0)</f>
        <v>0</v>
      </c>
      <c r="T31" s="15">
        <v>0</v>
      </c>
      <c r="U31" s="39">
        <f>IFERROR(VLOOKUP(T31,'Puntos XCO'!$A$1:$B$63,2,FALSE),0)</f>
        <v>0</v>
      </c>
      <c r="V31" s="16">
        <f>IFERROR(VLOOKUP(C31,RESXCC_1,9,FALSE),0)</f>
        <v>0</v>
      </c>
      <c r="W31" s="15">
        <f>IFERROR(VLOOKUP(V31,'Puntos XCC Mayor'!$A$1:$B$15,2,FALSE),0)</f>
        <v>0</v>
      </c>
      <c r="X31" s="15">
        <f>IFERROR(VLOOKUP(C31,RESXCO,9,FALSE),0)</f>
        <v>0</v>
      </c>
      <c r="Y31" s="25">
        <f>IFERROR(VLOOKUP(X31,'Puntos XCO'!$A$1:$B$63,2,FALSE),0)</f>
        <v>0</v>
      </c>
      <c r="Z31" s="27">
        <f>G31+I31+K31+M31+O31+Q31+S31+U31+W31+Y31</f>
        <v>98</v>
      </c>
      <c r="AB31" s="3"/>
    </row>
    <row r="32" spans="1:31" ht="24.95" customHeight="1">
      <c r="A32" s="22">
        <v>18</v>
      </c>
      <c r="B32" s="22"/>
      <c r="C32" s="108">
        <v>825</v>
      </c>
      <c r="D32" s="23" t="str">
        <f>VLOOKUP(C32,PLANILLA,2,FALSE)</f>
        <v>VALERIO Walter</v>
      </c>
      <c r="E32" s="24" t="str">
        <f>VLOOKUP(C32,PLANILLA,4,FALSE)</f>
        <v>FISH AND CHIPS</v>
      </c>
      <c r="F32" s="3"/>
      <c r="G32" s="15"/>
      <c r="H32" s="3"/>
      <c r="I32" s="25"/>
      <c r="J32" s="33"/>
      <c r="K32" s="22"/>
      <c r="L32" s="22"/>
      <c r="M32" s="34"/>
      <c r="N32" s="32"/>
      <c r="O32" s="30"/>
      <c r="P32" s="3"/>
      <c r="Q32" s="34"/>
      <c r="R32" s="16"/>
      <c r="S32" s="3"/>
      <c r="T32" s="15"/>
      <c r="U32" s="39"/>
      <c r="V32" s="16">
        <f>IFERROR(VLOOKUP(C32,RESXCC_1,9,FALSE),0)</f>
        <v>5</v>
      </c>
      <c r="W32" s="15">
        <f>IFERROR(VLOOKUP(V32,'Puntos XCC Mayor'!$A$1:$B$15,2,FALSE),0)</f>
        <v>12</v>
      </c>
      <c r="X32" s="15">
        <f>IFERROR(VLOOKUP(C32,RESXCO,9,FALSE),0)</f>
        <v>8</v>
      </c>
      <c r="Y32" s="25">
        <f>IFERROR(VLOOKUP(X32,'Puntos XCO'!$A$1:$B$63,2,FALSE),0)</f>
        <v>85</v>
      </c>
      <c r="Z32" s="27">
        <f>G32+I32+K32+M32+O32+Q32+S32+U32+W32+Y32</f>
        <v>97</v>
      </c>
      <c r="AB32" s="3"/>
    </row>
    <row r="33" spans="1:28" ht="24.95" customHeight="1">
      <c r="A33" s="22">
        <v>19</v>
      </c>
      <c r="B33" s="22">
        <v>17</v>
      </c>
      <c r="C33" s="96">
        <v>822</v>
      </c>
      <c r="D33" s="23" t="str">
        <f>VLOOKUP(C33,PLANILLA,2,FALSE)</f>
        <v>PEREZ Hector</v>
      </c>
      <c r="E33" s="24" t="str">
        <f>VLOOKUP(C33,PLANILLA,4,FALSE)</f>
        <v>GW ERCO SPORTFITNESS</v>
      </c>
      <c r="F33" s="3"/>
      <c r="G33" s="15"/>
      <c r="H33" s="3"/>
      <c r="I33" s="25"/>
      <c r="J33" s="33"/>
      <c r="K33" s="22"/>
      <c r="L33" s="22"/>
      <c r="M33" s="34"/>
      <c r="N33" s="32"/>
      <c r="O33" s="30"/>
      <c r="P33" s="3">
        <v>6</v>
      </c>
      <c r="Q33" s="34">
        <f>IFERROR(VLOOKUP(P33,'Puntos XCO'!$A$1:$B$63,2,FALSE),0)</f>
        <v>95</v>
      </c>
      <c r="R33" s="16">
        <v>0</v>
      </c>
      <c r="S33" s="3">
        <f>IFERROR(VLOOKUP(R33,'Puntos XCC Menor'!$A$1:$B$15,2,FALSE),0)</f>
        <v>0</v>
      </c>
      <c r="T33" s="15">
        <v>0</v>
      </c>
      <c r="U33" s="39">
        <f>IFERROR(VLOOKUP(T33,'Puntos XCO'!$A$1:$B$63,2,FALSE),0)</f>
        <v>0</v>
      </c>
      <c r="V33" s="16">
        <f>IFERROR(VLOOKUP(C33,RESXCC_1,9,FALSE),0)</f>
        <v>0</v>
      </c>
      <c r="W33" s="15">
        <f>IFERROR(VLOOKUP(V33,'Puntos XCC Mayor'!$A$1:$B$15,2,FALSE),0)</f>
        <v>0</v>
      </c>
      <c r="X33" s="15">
        <f>IFERROR(VLOOKUP(C33,RESXCO,9,FALSE),0)</f>
        <v>0</v>
      </c>
      <c r="Y33" s="25">
        <f>IFERROR(VLOOKUP(X33,'Puntos XCO'!$A$1:$B$63,2,FALSE),0)</f>
        <v>0</v>
      </c>
      <c r="Z33" s="27">
        <f>G33+I33+K33+M33+O33+Q33+S33+U33+W33+Y33</f>
        <v>95</v>
      </c>
      <c r="AB33" s="3"/>
    </row>
    <row r="34" spans="1:28" ht="24.95" customHeight="1">
      <c r="A34" s="22">
        <v>20</v>
      </c>
      <c r="B34" s="22">
        <v>18</v>
      </c>
      <c r="C34" s="96">
        <v>821</v>
      </c>
      <c r="D34" s="23" t="str">
        <f>VLOOKUP(C34,PLANILLA,2,FALSE)</f>
        <v>UBAU Randall</v>
      </c>
      <c r="E34" s="24" t="str">
        <f>VLOOKUP(C34,PLANILLA,4,FALSE)</f>
        <v>VIVÉLO</v>
      </c>
      <c r="F34" s="3"/>
      <c r="G34" s="15"/>
      <c r="H34" s="3"/>
      <c r="I34" s="25"/>
      <c r="J34" s="33">
        <v>0</v>
      </c>
      <c r="K34" s="22">
        <v>0</v>
      </c>
      <c r="L34" s="22">
        <v>12</v>
      </c>
      <c r="M34" s="34">
        <v>74</v>
      </c>
      <c r="N34" s="32"/>
      <c r="O34" s="30"/>
      <c r="P34" s="3">
        <v>0</v>
      </c>
      <c r="Q34" s="34">
        <f>IFERROR(VLOOKUP(P34,'Puntos XCO'!$A$1:$B$63,2,FALSE),0)</f>
        <v>0</v>
      </c>
      <c r="R34" s="16">
        <v>0</v>
      </c>
      <c r="S34" s="3">
        <f>IFERROR(VLOOKUP(R34,'Puntos XCC Menor'!$A$1:$B$15,2,FALSE),0)</f>
        <v>0</v>
      </c>
      <c r="T34" s="15">
        <v>0</v>
      </c>
      <c r="U34" s="39">
        <f>IFERROR(VLOOKUP(T34,'Puntos XCO'!$A$1:$B$63,2,FALSE),0)</f>
        <v>0</v>
      </c>
      <c r="V34" s="16">
        <f>IFERROR(VLOOKUP(C34,RESXCC_1,9,FALSE),0)</f>
        <v>0</v>
      </c>
      <c r="W34" s="15">
        <f>IFERROR(VLOOKUP(V34,'Puntos XCC Mayor'!$A$1:$B$15,2,FALSE),0)</f>
        <v>0</v>
      </c>
      <c r="X34" s="15">
        <f>IFERROR(VLOOKUP(C34,RESXCO,9,FALSE),0)</f>
        <v>0</v>
      </c>
      <c r="Y34" s="25">
        <f>IFERROR(VLOOKUP(X34,'Puntos XCO'!$A$1:$B$63,2,FALSE),0)</f>
        <v>0</v>
      </c>
      <c r="Z34" s="27">
        <f>G34+I34+K34+M34+O34+Q34+S34+U34+W34+Y34</f>
        <v>74</v>
      </c>
      <c r="AB34" s="3"/>
    </row>
    <row r="35" spans="1:28" ht="24.95" customHeight="1">
      <c r="A35" s="22">
        <v>21</v>
      </c>
      <c r="B35" s="22">
        <v>19</v>
      </c>
      <c r="C35" s="96">
        <v>815</v>
      </c>
      <c r="D35" s="23" t="str">
        <f>VLOOKUP(C35,PLANILLA,2,FALSE)</f>
        <v xml:space="preserve">CAMPOS  Eduardo Alberto </v>
      </c>
      <c r="E35" s="24" t="str">
        <f>VLOOKUP(C35,PLANILLA,4,FALSE)</f>
        <v xml:space="preserve">TEAM CQ.PZ </v>
      </c>
      <c r="F35" s="3">
        <v>0</v>
      </c>
      <c r="G35" s="15">
        <v>0</v>
      </c>
      <c r="H35" s="3">
        <v>0</v>
      </c>
      <c r="I35" s="25">
        <v>0</v>
      </c>
      <c r="J35" s="33">
        <v>9</v>
      </c>
      <c r="K35" s="22">
        <v>2</v>
      </c>
      <c r="L35" s="22">
        <v>13</v>
      </c>
      <c r="M35" s="34">
        <v>72</v>
      </c>
      <c r="N35" s="32"/>
      <c r="O35" s="30"/>
      <c r="P35" s="3">
        <v>0</v>
      </c>
      <c r="Q35" s="34">
        <f>IFERROR(VLOOKUP(P35,'Puntos XCO'!$A$1:$B$63,2,FALSE),0)</f>
        <v>0</v>
      </c>
      <c r="R35" s="16">
        <v>0</v>
      </c>
      <c r="S35" s="3">
        <f>IFERROR(VLOOKUP(R35,'Puntos XCC Menor'!$A$1:$B$15,2,FALSE),0)</f>
        <v>0</v>
      </c>
      <c r="T35" s="15">
        <v>0</v>
      </c>
      <c r="U35" s="39">
        <f>IFERROR(VLOOKUP(T35,'Puntos XCO'!$A$1:$B$63,2,FALSE),0)</f>
        <v>0</v>
      </c>
      <c r="V35" s="16">
        <f>IFERROR(VLOOKUP(C35,RESXCC_1,9,FALSE),0)</f>
        <v>0</v>
      </c>
      <c r="W35" s="15">
        <f>IFERROR(VLOOKUP(V35,'Puntos XCC Mayor'!$A$1:$B$15,2,FALSE),0)</f>
        <v>0</v>
      </c>
      <c r="X35" s="15">
        <f>IFERROR(VLOOKUP(C35,RESXCO,9,FALSE),0)</f>
        <v>0</v>
      </c>
      <c r="Y35" s="25">
        <f>IFERROR(VLOOKUP(X35,'Puntos XCO'!$A$1:$B$63,2,FALSE),0)</f>
        <v>0</v>
      </c>
      <c r="Z35" s="27">
        <f>G35+I35+K35+M35+O35+Q35+S35+U35+W35+Y35</f>
        <v>74</v>
      </c>
      <c r="AB35" s="3"/>
    </row>
    <row r="36" spans="1:28" ht="24.95" customHeight="1">
      <c r="A36" s="22">
        <v>22</v>
      </c>
      <c r="B36" s="22"/>
      <c r="C36" s="108">
        <v>827</v>
      </c>
      <c r="D36" s="23" t="str">
        <f>VLOOKUP(C36,PLANILLA,2,FALSE)</f>
        <v>CASTRO Felipe</v>
      </c>
      <c r="E36" s="24" t="str">
        <f>VLOOKUP(C36,PLANILLA,4,FALSE)</f>
        <v/>
      </c>
      <c r="F36" s="3"/>
      <c r="G36" s="15"/>
      <c r="H36" s="3"/>
      <c r="I36" s="25"/>
      <c r="J36" s="33"/>
      <c r="K36" s="22"/>
      <c r="L36" s="22"/>
      <c r="M36" s="34"/>
      <c r="N36" s="32"/>
      <c r="O36" s="30"/>
      <c r="P36" s="3"/>
      <c r="Q36" s="34"/>
      <c r="R36" s="16"/>
      <c r="S36" s="3"/>
      <c r="T36" s="15"/>
      <c r="U36" s="39"/>
      <c r="V36" s="16">
        <f>IFERROR(VLOOKUP(C36,RESXCC_1,9,FALSE),0)</f>
        <v>0</v>
      </c>
      <c r="W36" s="15">
        <f>IFERROR(VLOOKUP(V36,'Puntos XCC Mayor'!$A$1:$B$15,2,FALSE),0)</f>
        <v>0</v>
      </c>
      <c r="X36" s="15">
        <f>IFERROR(VLOOKUP(C36,RESXCO,9,FALSE),0)</f>
        <v>12</v>
      </c>
      <c r="Y36" s="25">
        <f>IFERROR(VLOOKUP(X36,'Puntos XCO'!$A$1:$B$63,2,FALSE),0)</f>
        <v>74</v>
      </c>
      <c r="Z36" s="27">
        <f>G36+I36+K36+M36+O36+Q36+S36+U36+W36+Y36</f>
        <v>74</v>
      </c>
      <c r="AB36" s="3"/>
    </row>
    <row r="37" spans="1:28" ht="24.95" customHeight="1">
      <c r="A37" s="22">
        <v>23</v>
      </c>
      <c r="B37" s="22">
        <v>20</v>
      </c>
      <c r="C37" s="96">
        <v>817</v>
      </c>
      <c r="D37" s="23" t="str">
        <f>VLOOKUP(C37,PLANILLA,2,FALSE)</f>
        <v>HERNANDEZ Patricio</v>
      </c>
      <c r="E37" s="24" t="str">
        <f>VLOOKUP(C37,PLANILLA,4,FALSE)</f>
        <v>VEINTE24 CYCLING TEAM</v>
      </c>
      <c r="F37" s="3"/>
      <c r="G37" s="15"/>
      <c r="H37" s="3"/>
      <c r="I37" s="25"/>
      <c r="J37" s="33">
        <v>8</v>
      </c>
      <c r="K37" s="22">
        <v>3</v>
      </c>
      <c r="L37" s="22">
        <v>0</v>
      </c>
      <c r="M37" s="34">
        <v>0</v>
      </c>
      <c r="N37" s="32"/>
      <c r="O37" s="30"/>
      <c r="P37" s="3">
        <v>0</v>
      </c>
      <c r="Q37" s="34">
        <f>IFERROR(VLOOKUP(P37,'Puntos XCO'!$A$1:$B$63,2,FALSE),0)</f>
        <v>0</v>
      </c>
      <c r="R37" s="16">
        <v>0</v>
      </c>
      <c r="S37" s="3">
        <f>IFERROR(VLOOKUP(R37,'Puntos XCC Menor'!$A$1:$B$15,2,FALSE),0)</f>
        <v>0</v>
      </c>
      <c r="T37" s="15">
        <v>0</v>
      </c>
      <c r="U37" s="39">
        <f>IFERROR(VLOOKUP(T37,'Puntos XCO'!$A$1:$B$63,2,FALSE),0)</f>
        <v>0</v>
      </c>
      <c r="V37" s="16">
        <f>IFERROR(VLOOKUP(C37,RESXCC_1,9,FALSE),0)</f>
        <v>0</v>
      </c>
      <c r="W37" s="15">
        <f>IFERROR(VLOOKUP(V37,'Puntos XCC Mayor'!$A$1:$B$15,2,FALSE),0)</f>
        <v>0</v>
      </c>
      <c r="X37" s="15">
        <f>IFERROR(VLOOKUP(C37,RESXCO,9,FALSE),0)</f>
        <v>0</v>
      </c>
      <c r="Y37" s="25">
        <f>IFERROR(VLOOKUP(X37,'Puntos XCO'!$A$1:$B$63,2,FALSE),0)</f>
        <v>0</v>
      </c>
      <c r="Z37" s="27">
        <f>G37+I37+K37+M37+O37+Q37+S37+U37+W37+Y37</f>
        <v>3</v>
      </c>
      <c r="AB37" s="3"/>
    </row>
    <row r="38" spans="1:28" ht="24.95" customHeight="1">
      <c r="A38" s="3"/>
      <c r="B38" s="3"/>
      <c r="C38" s="96">
        <v>803</v>
      </c>
      <c r="D38" s="23" t="str">
        <f>VLOOKUP(C38,PLANILLA,2,FALSE)</f>
        <v>GONZALEZ Jose Alejandro</v>
      </c>
      <c r="E38" s="24" t="str">
        <f>VLOOKUP(C38,PLANILLA,4,FALSE)</f>
        <v>MCT</v>
      </c>
      <c r="F38" s="3">
        <v>0</v>
      </c>
      <c r="G38" s="15">
        <v>0</v>
      </c>
      <c r="H38" s="3">
        <v>0</v>
      </c>
      <c r="I38" s="25">
        <v>0</v>
      </c>
      <c r="J38" s="33">
        <v>0</v>
      </c>
      <c r="K38" s="22">
        <v>0</v>
      </c>
      <c r="L38" s="22">
        <v>0</v>
      </c>
      <c r="M38" s="34">
        <v>0</v>
      </c>
      <c r="N38" s="32"/>
      <c r="O38" s="30"/>
      <c r="P38" s="3">
        <v>0</v>
      </c>
      <c r="Q38" s="34">
        <f>IFERROR(VLOOKUP(P38,'Puntos XCO'!$A$1:$B$63,2,FALSE),0)</f>
        <v>0</v>
      </c>
      <c r="R38" s="16">
        <v>0</v>
      </c>
      <c r="S38" s="3">
        <f>IFERROR(VLOOKUP(R38,'Puntos XCC Menor'!$A$1:$B$15,2,FALSE),0)</f>
        <v>0</v>
      </c>
      <c r="T38" s="15">
        <v>0</v>
      </c>
      <c r="U38" s="39">
        <f>IFERROR(VLOOKUP(T38,'Puntos XCO'!$A$1:$B$63,2,FALSE),0)</f>
        <v>0</v>
      </c>
      <c r="V38" s="16">
        <f>IFERROR(VLOOKUP(C38,RESXCC_1,9,FALSE),0)</f>
        <v>0</v>
      </c>
      <c r="W38" s="15">
        <f>IFERROR(VLOOKUP(V38,'Puntos XCC Mayor'!$A$1:$B$15,2,FALSE),0)</f>
        <v>0</v>
      </c>
      <c r="X38" s="15">
        <f>IFERROR(VLOOKUP(C38,RESXCO,9,FALSE),0)</f>
        <v>0</v>
      </c>
      <c r="Y38" s="25">
        <f>IFERROR(VLOOKUP(X38,'Puntos XCO'!$A$1:$B$63,2,FALSE),0)</f>
        <v>0</v>
      </c>
      <c r="Z38" s="27">
        <f>G38+I38+K38+M38+O38+Q38+S38+U38+W38+Y38</f>
        <v>0</v>
      </c>
      <c r="AB38" s="3"/>
    </row>
    <row r="39" spans="1:28" ht="24.95" customHeight="1">
      <c r="A39" s="3"/>
      <c r="B39" s="22"/>
      <c r="C39" s="96">
        <v>804</v>
      </c>
      <c r="D39" s="23" t="str">
        <f>VLOOKUP(C39,PLANILLA,2,FALSE)</f>
        <v>ZUÑIGA Douglas</v>
      </c>
      <c r="E39" s="24" t="str">
        <f>VLOOKUP(C39,PLANILLA,4,FALSE)</f>
        <v>GAVIA88</v>
      </c>
      <c r="F39" s="3">
        <v>0</v>
      </c>
      <c r="G39" s="15">
        <v>0</v>
      </c>
      <c r="H39" s="3">
        <v>0</v>
      </c>
      <c r="I39" s="25">
        <v>0</v>
      </c>
      <c r="J39" s="33">
        <v>0</v>
      </c>
      <c r="K39" s="22">
        <v>0</v>
      </c>
      <c r="L39" s="22">
        <v>0</v>
      </c>
      <c r="M39" s="34">
        <v>0</v>
      </c>
      <c r="N39" s="32"/>
      <c r="O39" s="30"/>
      <c r="P39" s="3">
        <v>0</v>
      </c>
      <c r="Q39" s="34">
        <f>IFERROR(VLOOKUP(P39,'Puntos XCO'!$A$1:$B$63,2,FALSE),0)</f>
        <v>0</v>
      </c>
      <c r="R39" s="16">
        <v>0</v>
      </c>
      <c r="S39" s="3">
        <f>IFERROR(VLOOKUP(R39,'Puntos XCC Menor'!$A$1:$B$15,2,FALSE),0)</f>
        <v>0</v>
      </c>
      <c r="T39" s="15">
        <v>0</v>
      </c>
      <c r="U39" s="39">
        <f>IFERROR(VLOOKUP(T39,'Puntos XCO'!$A$1:$B$63,2,FALSE),0)</f>
        <v>0</v>
      </c>
      <c r="V39" s="16">
        <f>IFERROR(VLOOKUP(C39,RESXCC_1,9,FALSE),0)</f>
        <v>0</v>
      </c>
      <c r="W39" s="15">
        <f>IFERROR(VLOOKUP(V39,'Puntos XCC Mayor'!$A$1:$B$15,2,FALSE),0)</f>
        <v>0</v>
      </c>
      <c r="X39" s="15">
        <f>IFERROR(VLOOKUP(C39,RESXCO,9,FALSE),0)</f>
        <v>0</v>
      </c>
      <c r="Y39" s="25">
        <f>IFERROR(VLOOKUP(X39,'Puntos XCO'!$A$1:$B$63,2,FALSE),0)</f>
        <v>0</v>
      </c>
      <c r="Z39" s="27">
        <f>G39+I39+K39+M39+O39+Q39+S39+U39+W39+Y39</f>
        <v>0</v>
      </c>
      <c r="AB39" s="3"/>
    </row>
    <row r="40" spans="1:28" ht="24.95" customHeight="1">
      <c r="A40" s="3"/>
      <c r="B40" s="22"/>
      <c r="C40" s="96">
        <v>807</v>
      </c>
      <c r="D40" s="23" t="str">
        <f>VLOOKUP(C40,PLANILLA,2,FALSE)</f>
        <v>ACUÑA Luis</v>
      </c>
      <c r="E40" s="24" t="str">
        <f>VLOOKUP(C40,PLANILLA,4,FALSE)</f>
        <v>CCDR DE NARANJO</v>
      </c>
      <c r="F40" s="3">
        <v>0</v>
      </c>
      <c r="G40" s="15">
        <v>0</v>
      </c>
      <c r="H40" s="3">
        <v>0</v>
      </c>
      <c r="I40" s="25">
        <v>0</v>
      </c>
      <c r="J40" s="33">
        <v>0</v>
      </c>
      <c r="K40" s="22">
        <v>0</v>
      </c>
      <c r="L40" s="22">
        <v>0</v>
      </c>
      <c r="M40" s="34">
        <v>0</v>
      </c>
      <c r="N40" s="32"/>
      <c r="O40" s="30"/>
      <c r="P40" s="3">
        <v>0</v>
      </c>
      <c r="Q40" s="34">
        <f>IFERROR(VLOOKUP(P40,'Puntos XCO'!$A$1:$B$63,2,FALSE),0)</f>
        <v>0</v>
      </c>
      <c r="R40" s="16">
        <v>0</v>
      </c>
      <c r="S40" s="3">
        <f>IFERROR(VLOOKUP(R40,'Puntos XCC Menor'!$A$1:$B$15,2,FALSE),0)</f>
        <v>0</v>
      </c>
      <c r="T40" s="15">
        <v>0</v>
      </c>
      <c r="U40" s="39">
        <f>IFERROR(VLOOKUP(T40,'Puntos XCO'!$A$1:$B$63,2,FALSE),0)</f>
        <v>0</v>
      </c>
      <c r="V40" s="16">
        <f>IFERROR(VLOOKUP(C40,RESXCC_1,9,FALSE),0)</f>
        <v>0</v>
      </c>
      <c r="W40" s="15">
        <f>IFERROR(VLOOKUP(V40,'Puntos XCC Mayor'!$A$1:$B$15,2,FALSE),0)</f>
        <v>0</v>
      </c>
      <c r="X40" s="15">
        <f>IFERROR(VLOOKUP(C40,RESXCO,9,FALSE),0)</f>
        <v>0</v>
      </c>
      <c r="Y40" s="25">
        <f>IFERROR(VLOOKUP(X40,'Puntos XCO'!$A$1:$B$63,2,FALSE),0)</f>
        <v>0</v>
      </c>
      <c r="Z40" s="27">
        <f>G40+I40+K40+M40+O40+Q40+S40+U40+W40+Y40</f>
        <v>0</v>
      </c>
      <c r="AB40" s="3"/>
    </row>
    <row r="41" spans="1:28" ht="24.95" customHeight="1">
      <c r="A41" s="3"/>
      <c r="B41" s="22"/>
      <c r="C41" s="108">
        <v>826</v>
      </c>
      <c r="D41" s="23" t="str">
        <f>VLOOKUP(C41,PLANILLA,2,FALSE)</f>
        <v>BLANCO  Edward</v>
      </c>
      <c r="E41" s="24" t="str">
        <f>VLOOKUP(C41,PLANILLA,4,FALSE)</f>
        <v xml:space="preserve">A+TEAM </v>
      </c>
      <c r="F41" s="3"/>
      <c r="G41" s="15"/>
      <c r="H41" s="3"/>
      <c r="I41" s="25"/>
      <c r="J41" s="33"/>
      <c r="K41" s="22"/>
      <c r="L41" s="22"/>
      <c r="M41" s="34"/>
      <c r="N41" s="32"/>
      <c r="O41" s="30"/>
      <c r="P41" s="3"/>
      <c r="Q41" s="34"/>
      <c r="R41" s="16"/>
      <c r="S41" s="3"/>
      <c r="T41" s="15"/>
      <c r="U41" s="39"/>
      <c r="V41" s="16">
        <f>IFERROR(VLOOKUP(C41,RESXCC_1,9,FALSE),0)</f>
        <v>0</v>
      </c>
      <c r="W41" s="15">
        <f>IFERROR(VLOOKUP(V41,'Puntos XCC Mayor'!$A$1:$B$15,2,FALSE),0)</f>
        <v>0</v>
      </c>
      <c r="X41" s="15">
        <f>IFERROR(VLOOKUP(C41,RESXCO,9,FALSE),0)</f>
        <v>0</v>
      </c>
      <c r="Y41" s="25">
        <f>IFERROR(VLOOKUP(X41,'Puntos XCO'!$A$1:$B$63,2,FALSE),0)</f>
        <v>0</v>
      </c>
      <c r="Z41" s="27">
        <f>G41+I41+K41+M41+O41+Q41+S41+U41+W41+Y41</f>
        <v>0</v>
      </c>
      <c r="AB41" s="3"/>
    </row>
    <row r="42" spans="1:28" ht="24.95" customHeight="1">
      <c r="A42" s="3"/>
      <c r="B42" s="3"/>
      <c r="C42" s="22"/>
      <c r="D42" s="23"/>
      <c r="E42" s="24"/>
      <c r="F42" s="3"/>
      <c r="G42" s="15"/>
      <c r="H42" s="15"/>
      <c r="I42" s="25"/>
      <c r="J42" s="33"/>
      <c r="K42" s="22"/>
      <c r="L42" s="22"/>
      <c r="M42" s="34"/>
      <c r="N42" s="16"/>
      <c r="O42" s="15"/>
      <c r="P42" s="3"/>
      <c r="Q42" s="25"/>
      <c r="R42" s="16"/>
      <c r="S42" s="15"/>
      <c r="T42" s="15"/>
      <c r="U42" s="25"/>
      <c r="V42" s="16"/>
      <c r="W42" s="15"/>
      <c r="X42" s="15"/>
      <c r="Y42" s="25"/>
      <c r="Z42" s="27"/>
      <c r="AB42" s="3"/>
    </row>
    <row r="43" spans="1:28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74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spans="1:28">
      <c r="M44" s="9"/>
      <c r="N44" s="9"/>
      <c r="O44" s="9"/>
      <c r="P44" s="10"/>
      <c r="Q44" s="9"/>
      <c r="R44" s="9"/>
      <c r="S44" s="9"/>
      <c r="T44" s="9"/>
      <c r="U44" s="9"/>
    </row>
    <row r="45" spans="1:28" ht="127.5" customHeight="1"/>
    <row r="46" spans="1:28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74"/>
      <c r="Q46" s="65"/>
      <c r="R46" s="65"/>
      <c r="S46" s="65"/>
      <c r="T46" s="65"/>
      <c r="U46" s="65"/>
      <c r="V46" s="65"/>
      <c r="W46" s="65"/>
      <c r="X46" s="65"/>
      <c r="Y46" s="65"/>
      <c r="Z46" s="65"/>
    </row>
  </sheetData>
  <sortState ref="B15:Z41">
    <sortCondition descending="1" ref="Z15:Z41"/>
    <sortCondition ref="P15:P41"/>
  </sortState>
  <mergeCells count="10">
    <mergeCell ref="A8:Z8"/>
    <mergeCell ref="A10:Z10"/>
    <mergeCell ref="A11:Z11"/>
    <mergeCell ref="A13:B13"/>
    <mergeCell ref="F13:I13"/>
    <mergeCell ref="J13:M13"/>
    <mergeCell ref="N13:Q13"/>
    <mergeCell ref="R13:U13"/>
    <mergeCell ref="V13:Y13"/>
    <mergeCell ref="Z13:Z14"/>
  </mergeCells>
  <conditionalFormatting sqref="C11">
    <cfRule type="duplicateValues" dxfId="366" priority="4" stopIfTrue="1"/>
  </conditionalFormatting>
  <conditionalFormatting sqref="C11">
    <cfRule type="duplicateValues" dxfId="365" priority="5" stopIfTrue="1"/>
  </conditionalFormatting>
  <conditionalFormatting sqref="D11">
    <cfRule type="duplicateValues" dxfId="364" priority="3" stopIfTrue="1"/>
  </conditionalFormatting>
  <conditionalFormatting sqref="C10">
    <cfRule type="duplicateValues" dxfId="363" priority="1" stopIfTrue="1"/>
  </conditionalFormatting>
  <conditionalFormatting sqref="C10">
    <cfRule type="duplicateValues" dxfId="362" priority="2" stopIfTrue="1"/>
  </conditionalFormatting>
  <pageMargins left="0.70866141732283472" right="0.70866141732283472" top="0.74803149606299213" bottom="0.74803149606299213" header="0.31496062992125984" footer="0.31496062992125984"/>
  <pageSetup paperSize="9" scale="51" fitToHeight="2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4">
    <pageSetUpPr fitToPage="1"/>
  </sheetPr>
  <dimension ref="A8:AE44"/>
  <sheetViews>
    <sheetView showGridLines="0" topLeftCell="A21" zoomScale="70" zoomScaleNormal="70" zoomScaleSheetLayoutView="90" workbookViewId="0">
      <selection activeCell="A15" sqref="A15:A34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10.7109375" style="2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26.25">
      <c r="A8" s="118" t="s">
        <v>98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20.100000000000001" customHeight="1">
      <c r="A13" s="125" t="s">
        <v>0</v>
      </c>
      <c r="B13" s="125"/>
      <c r="C13" s="65"/>
      <c r="D13" s="65"/>
      <c r="E13" s="66"/>
      <c r="F13" s="125">
        <v>1</v>
      </c>
      <c r="G13" s="125"/>
      <c r="H13" s="125"/>
      <c r="I13" s="126"/>
      <c r="J13" s="127">
        <v>2</v>
      </c>
      <c r="K13" s="125"/>
      <c r="L13" s="125"/>
      <c r="M13" s="126"/>
      <c r="N13" s="127">
        <v>3</v>
      </c>
      <c r="O13" s="125"/>
      <c r="P13" s="125"/>
      <c r="Q13" s="126"/>
      <c r="R13" s="127">
        <v>4</v>
      </c>
      <c r="S13" s="125"/>
      <c r="T13" s="125"/>
      <c r="U13" s="126"/>
      <c r="V13" s="127">
        <v>5</v>
      </c>
      <c r="W13" s="125"/>
      <c r="X13" s="125"/>
      <c r="Y13" s="126"/>
      <c r="Z13" s="117" t="s">
        <v>47</v>
      </c>
    </row>
    <row r="14" spans="1:31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117"/>
    </row>
    <row r="15" spans="1:31" ht="24.95" customHeight="1">
      <c r="A15" s="22">
        <v>1</v>
      </c>
      <c r="B15" s="22">
        <v>1</v>
      </c>
      <c r="C15" s="22">
        <v>853</v>
      </c>
      <c r="D15" s="23" t="str">
        <f>VLOOKUP(C15,PLANILLA,2,FALSE)</f>
        <v>CARVAJAL Jonathan</v>
      </c>
      <c r="E15" s="24" t="str">
        <f>VLOOKUP(C15,PLANILLA,4,FALSE)</f>
        <v>BOBBYS CYCLING TEAM</v>
      </c>
      <c r="F15" s="3">
        <v>3</v>
      </c>
      <c r="G15" s="15">
        <v>8</v>
      </c>
      <c r="H15" s="3">
        <v>6</v>
      </c>
      <c r="I15" s="25">
        <v>95</v>
      </c>
      <c r="J15" s="33">
        <v>1</v>
      </c>
      <c r="K15" s="22">
        <v>10</v>
      </c>
      <c r="L15" s="22">
        <v>3</v>
      </c>
      <c r="M15" s="34">
        <v>120</v>
      </c>
      <c r="N15" s="32"/>
      <c r="O15" s="30"/>
      <c r="P15" s="3">
        <v>2</v>
      </c>
      <c r="Q15" s="34">
        <f>IFERROR(VLOOKUP(P15,'Puntos XCO'!$A$1:$B$63,2,FALSE),0)</f>
        <v>150</v>
      </c>
      <c r="R15" s="16">
        <v>1</v>
      </c>
      <c r="S15" s="3">
        <f>IFERROR(VLOOKUP(R15,'Puntos XCC Menor'!$A$1:$B$15,2,FALSE),0)</f>
        <v>10</v>
      </c>
      <c r="T15" s="15">
        <v>4</v>
      </c>
      <c r="U15" s="39">
        <f>IFERROR(VLOOKUP(T15,'Puntos XCO'!$A$1:$B$63,2,FALSE),0)</f>
        <v>110</v>
      </c>
      <c r="V15" s="16">
        <f>IFERROR(VLOOKUP(C15,RESXCC_1,9,FALSE),0)</f>
        <v>7</v>
      </c>
      <c r="W15" s="15">
        <f>IFERROR(VLOOKUP(V15,'Puntos XCC Mayor'!$A$1:$B$15,2,FALSE),0)</f>
        <v>9</v>
      </c>
      <c r="X15" s="15">
        <f>IFERROR(VLOOKUP(C15,RESXCO,9,FALSE),0)</f>
        <v>6</v>
      </c>
      <c r="Y15" s="25">
        <f>IFERROR(VLOOKUP(X15,'Puntos XCO'!$A$1:$B$63,2,FALSE),0)</f>
        <v>95</v>
      </c>
      <c r="Z15" s="27">
        <f>G15+I15+K15+M15+O15+Q15+S15+U15+W15+Y15</f>
        <v>607</v>
      </c>
      <c r="AB15" s="2"/>
      <c r="AC15" s="13"/>
      <c r="AD15" s="12"/>
      <c r="AE15" s="14"/>
    </row>
    <row r="16" spans="1:31" ht="24.95" customHeight="1">
      <c r="A16" s="22">
        <v>2</v>
      </c>
      <c r="B16" s="22">
        <v>2</v>
      </c>
      <c r="C16" s="22">
        <v>868</v>
      </c>
      <c r="D16" s="23" t="str">
        <f>VLOOKUP(C16,PLANILLA,2,FALSE)</f>
        <v>MARIN Alonso</v>
      </c>
      <c r="E16" s="24" t="str">
        <f>VLOOKUP(C16,PLANILLA,4,FALSE)</f>
        <v>TEAM GOCHA</v>
      </c>
      <c r="F16" s="3">
        <v>0</v>
      </c>
      <c r="G16" s="15">
        <v>0</v>
      </c>
      <c r="H16" s="3">
        <v>4</v>
      </c>
      <c r="I16" s="25">
        <v>110</v>
      </c>
      <c r="J16" s="33">
        <v>0</v>
      </c>
      <c r="K16" s="22">
        <v>0</v>
      </c>
      <c r="L16" s="22">
        <v>2</v>
      </c>
      <c r="M16" s="34">
        <v>150</v>
      </c>
      <c r="N16" s="32"/>
      <c r="O16" s="30"/>
      <c r="P16" s="3">
        <v>0</v>
      </c>
      <c r="Q16" s="34">
        <f>IFERROR(VLOOKUP(P16,'Puntos XCO'!$A$1:$B$63,2,FALSE),0)</f>
        <v>0</v>
      </c>
      <c r="R16" s="16">
        <v>0</v>
      </c>
      <c r="S16" s="3">
        <f>IFERROR(VLOOKUP(R16,'Puntos XCC Menor'!$A$1:$B$15,2,FALSE),0)</f>
        <v>0</v>
      </c>
      <c r="T16" s="15">
        <v>1</v>
      </c>
      <c r="U16" s="39">
        <f>IFERROR(VLOOKUP(T16,'Puntos XCO'!$A$1:$B$63,2,FALSE),0)</f>
        <v>200</v>
      </c>
      <c r="V16" s="16">
        <f>IFERROR(VLOOKUP(C16,RESXCC_1,9,FALSE),0)</f>
        <v>4</v>
      </c>
      <c r="W16" s="15">
        <f>IFERROR(VLOOKUP(V16,'Puntos XCC Mayor'!$A$1:$B$15,2,FALSE),0)</f>
        <v>14</v>
      </c>
      <c r="X16" s="15">
        <f>IFERROR(VLOOKUP(C16,RESXCO,9,FALSE),0)</f>
        <v>3</v>
      </c>
      <c r="Y16" s="25">
        <f>IFERROR(VLOOKUP(X16,'Puntos XCO'!$A$1:$B$63,2,FALSE),0)</f>
        <v>120</v>
      </c>
      <c r="Z16" s="27">
        <f>G16+I16+K16+M16+O16+Q16+S16+U16+W16+Y16</f>
        <v>594</v>
      </c>
      <c r="AB16" s="2"/>
      <c r="AC16" s="13"/>
      <c r="AD16" s="12"/>
      <c r="AE16" s="14"/>
    </row>
    <row r="17" spans="1:31" ht="24.95" customHeight="1">
      <c r="A17" s="22">
        <v>3</v>
      </c>
      <c r="B17" s="22">
        <v>3</v>
      </c>
      <c r="C17" s="22">
        <v>851</v>
      </c>
      <c r="D17" s="23" t="str">
        <f>VLOOKUP(C17,PLANILLA,2,FALSE)</f>
        <v>ARCE  Alberth</v>
      </c>
      <c r="E17" s="24" t="str">
        <f>VLOOKUP(C17,PLANILLA,4,FALSE)</f>
        <v xml:space="preserve">TOMATERO </v>
      </c>
      <c r="F17" s="3">
        <v>1</v>
      </c>
      <c r="G17" s="15">
        <v>10</v>
      </c>
      <c r="H17" s="3">
        <v>1</v>
      </c>
      <c r="I17" s="25">
        <v>200</v>
      </c>
      <c r="J17" s="33">
        <v>2</v>
      </c>
      <c r="K17" s="22">
        <v>9</v>
      </c>
      <c r="L17" s="22">
        <v>1</v>
      </c>
      <c r="M17" s="34">
        <v>200</v>
      </c>
      <c r="N17" s="32">
        <f>IFERROR(VLOOKUP(C17,RESXCC_1,9,FALSE),0)</f>
        <v>3</v>
      </c>
      <c r="O17" s="30"/>
      <c r="P17" s="3">
        <v>0</v>
      </c>
      <c r="Q17" s="34">
        <f>IFERROR(VLOOKUP(P17,'Puntos XCO'!$A$1:$B$63,2,FALSE),0)</f>
        <v>0</v>
      </c>
      <c r="R17" s="16">
        <v>0</v>
      </c>
      <c r="S17" s="3">
        <f>IFERROR(VLOOKUP(R17,'Puntos XCC Menor'!$A$1:$B$15,2,FALSE),0)</f>
        <v>0</v>
      </c>
      <c r="T17" s="15">
        <v>0</v>
      </c>
      <c r="U17" s="39">
        <f>IFERROR(VLOOKUP(T17,'Puntos XCO'!$A$1:$B$63,2,FALSE),0)</f>
        <v>0</v>
      </c>
      <c r="V17" s="16">
        <f>IFERROR(VLOOKUP(C17,RESXCC_1,9,FALSE),0)</f>
        <v>3</v>
      </c>
      <c r="W17" s="15">
        <f>IFERROR(VLOOKUP(V17,'Puntos XCC Mayor'!$A$1:$B$15,2,FALSE),0)</f>
        <v>16</v>
      </c>
      <c r="X17" s="15">
        <f>IFERROR(VLOOKUP(C17,RESXCO,9,FALSE),0)</f>
        <v>2</v>
      </c>
      <c r="Y17" s="25">
        <f>IFERROR(VLOOKUP(X17,'Puntos XCO'!$A$1:$B$63,2,FALSE),0)</f>
        <v>150</v>
      </c>
      <c r="Z17" s="27">
        <f>G17+I17+K17+M17+O17+Q17+S17+U17+W17+Y17</f>
        <v>585</v>
      </c>
      <c r="AB17" s="2"/>
      <c r="AC17" s="13"/>
      <c r="AD17" s="12"/>
      <c r="AE17" s="14"/>
    </row>
    <row r="18" spans="1:31" ht="24.95" customHeight="1">
      <c r="A18" s="22">
        <v>4</v>
      </c>
      <c r="B18" s="22">
        <v>7</v>
      </c>
      <c r="C18" s="22">
        <v>870</v>
      </c>
      <c r="D18" s="23" t="str">
        <f>VLOOKUP(C18,PLANILLA,2,FALSE)</f>
        <v>GONZALEZ  Victor</v>
      </c>
      <c r="E18" s="24" t="str">
        <f>VLOOKUP(C18,PLANILLA,4,FALSE)</f>
        <v xml:space="preserve">EPIC BIKE CENTER </v>
      </c>
      <c r="F18" s="3"/>
      <c r="G18" s="15"/>
      <c r="H18" s="3"/>
      <c r="I18" s="25"/>
      <c r="J18" s="33"/>
      <c r="K18" s="22"/>
      <c r="L18" s="22"/>
      <c r="M18" s="34"/>
      <c r="N18" s="32"/>
      <c r="O18" s="30"/>
      <c r="P18" s="3">
        <v>1</v>
      </c>
      <c r="Q18" s="34">
        <f>IFERROR(VLOOKUP(P18,'Puntos XCO'!$A$1:$B$63,2,FALSE),0)</f>
        <v>200</v>
      </c>
      <c r="R18" s="16">
        <v>3</v>
      </c>
      <c r="S18" s="3">
        <f>IFERROR(VLOOKUP(R18,'Puntos XCC Menor'!$A$1:$B$15,2,FALSE),0)</f>
        <v>8</v>
      </c>
      <c r="T18" s="15">
        <v>2</v>
      </c>
      <c r="U18" s="39">
        <f>IFERROR(VLOOKUP(T18,'Puntos XCO'!$A$1:$B$63,2,FALSE),0)</f>
        <v>150</v>
      </c>
      <c r="V18" s="16">
        <f>IFERROR(VLOOKUP(C18,RESXCC_1,9,FALSE),0)</f>
        <v>5</v>
      </c>
      <c r="W18" s="15">
        <f>IFERROR(VLOOKUP(V18,'Puntos XCC Mayor'!$A$1:$B$15,2,FALSE),0)</f>
        <v>12</v>
      </c>
      <c r="X18" s="15">
        <f>IFERROR(VLOOKUP(C18,RESXCO,9,FALSE),0)</f>
        <v>4</v>
      </c>
      <c r="Y18" s="25">
        <f>IFERROR(VLOOKUP(X18,'Puntos XCO'!$A$1:$B$63,2,FALSE),0)</f>
        <v>110</v>
      </c>
      <c r="Z18" s="27">
        <f>G18+I18+K18+M18+O18+Q18+S18+U18+W18+Y18</f>
        <v>480</v>
      </c>
      <c r="AB18" s="2"/>
      <c r="AC18" s="13"/>
      <c r="AD18" s="12"/>
      <c r="AE18" s="14"/>
    </row>
    <row r="19" spans="1:31" ht="24.95" customHeight="1">
      <c r="A19" s="22">
        <v>5</v>
      </c>
      <c r="B19" s="22">
        <v>4</v>
      </c>
      <c r="C19" s="22">
        <v>860</v>
      </c>
      <c r="D19" s="23" t="str">
        <f>VLOOKUP(C19,PLANILLA,2,FALSE)</f>
        <v>UREÑA  Edhar</v>
      </c>
      <c r="E19" s="24" t="str">
        <f>VLOOKUP(C19,PLANILLA,4,FALSE)</f>
        <v>COLYPRO</v>
      </c>
      <c r="F19" s="3">
        <v>7</v>
      </c>
      <c r="G19" s="15">
        <v>4</v>
      </c>
      <c r="H19" s="3">
        <v>7</v>
      </c>
      <c r="I19" s="25">
        <v>90</v>
      </c>
      <c r="J19" s="33">
        <v>6</v>
      </c>
      <c r="K19" s="22">
        <v>5</v>
      </c>
      <c r="L19" s="22">
        <v>6</v>
      </c>
      <c r="M19" s="34">
        <v>95</v>
      </c>
      <c r="N19" s="32"/>
      <c r="O19" s="30"/>
      <c r="P19" s="3">
        <v>8</v>
      </c>
      <c r="Q19" s="34">
        <f>IFERROR(VLOOKUP(P19,'Puntos XCO'!$A$1:$B$63,2,FALSE),0)</f>
        <v>85</v>
      </c>
      <c r="R19" s="16">
        <v>5</v>
      </c>
      <c r="S19" s="3">
        <f>IFERROR(VLOOKUP(R19,'Puntos XCC Menor'!$A$1:$B$15,2,FALSE),0)</f>
        <v>6</v>
      </c>
      <c r="T19" s="15">
        <v>5</v>
      </c>
      <c r="U19" s="39">
        <f>IFERROR(VLOOKUP(T19,'Puntos XCO'!$A$1:$B$63,2,FALSE),0)</f>
        <v>100</v>
      </c>
      <c r="V19" s="16">
        <f>IFERROR(VLOOKUP(C19,RESXCC_1,9,FALSE),0)</f>
        <v>9</v>
      </c>
      <c r="W19" s="15">
        <f>IFERROR(VLOOKUP(V19,'Puntos XCC Mayor'!$A$1:$B$15,2,FALSE),0)</f>
        <v>7</v>
      </c>
      <c r="X19" s="15">
        <f>IFERROR(VLOOKUP(C19,RESXCO,9,FALSE),0)</f>
        <v>8</v>
      </c>
      <c r="Y19" s="25">
        <f>IFERROR(VLOOKUP(X19,'Puntos XCO'!$A$1:$B$63,2,FALSE),0)</f>
        <v>85</v>
      </c>
      <c r="Z19" s="27">
        <f>G19+I19+K19+M19+O19+Q19+S19+U19+W19+Y19</f>
        <v>477</v>
      </c>
      <c r="AB19" s="2"/>
      <c r="AC19" s="13"/>
      <c r="AD19" s="12"/>
      <c r="AE19" s="14"/>
    </row>
    <row r="20" spans="1:31" ht="24.95" customHeight="1">
      <c r="A20" s="22">
        <v>6</v>
      </c>
      <c r="B20" s="22">
        <v>5</v>
      </c>
      <c r="C20" s="22">
        <v>859</v>
      </c>
      <c r="D20" s="23" t="str">
        <f>VLOOKUP(C20,PLANILLA,2,FALSE)</f>
        <v>VEGA Oldemar</v>
      </c>
      <c r="E20" s="24" t="str">
        <f>VLOOKUP(C20,PLANILLA,4,FALSE)</f>
        <v>VEGAS TEAM POAS</v>
      </c>
      <c r="F20" s="3">
        <v>4</v>
      </c>
      <c r="G20" s="15">
        <v>7</v>
      </c>
      <c r="H20" s="3">
        <v>3</v>
      </c>
      <c r="I20" s="25">
        <v>120</v>
      </c>
      <c r="J20" s="33">
        <v>4</v>
      </c>
      <c r="K20" s="22">
        <v>7</v>
      </c>
      <c r="L20" s="22">
        <v>4</v>
      </c>
      <c r="M20" s="34">
        <v>110</v>
      </c>
      <c r="N20" s="32"/>
      <c r="O20" s="30"/>
      <c r="P20" s="3">
        <v>0</v>
      </c>
      <c r="Q20" s="34">
        <f>IFERROR(VLOOKUP(P20,'Puntos XCO'!$A$1:$B$63,2,FALSE),0)</f>
        <v>0</v>
      </c>
      <c r="R20" s="16">
        <v>2</v>
      </c>
      <c r="S20" s="3">
        <f>IFERROR(VLOOKUP(R20,'Puntos XCC Menor'!$A$1:$B$15,2,FALSE),0)</f>
        <v>9</v>
      </c>
      <c r="T20" s="15">
        <v>3</v>
      </c>
      <c r="U20" s="39">
        <f>IFERROR(VLOOKUP(T20,'Puntos XCO'!$A$1:$B$63,2,FALSE),0)</f>
        <v>120</v>
      </c>
      <c r="V20" s="16">
        <f>IFERROR(VLOOKUP(C20,RESXCC_1,9,FALSE),0)</f>
        <v>6</v>
      </c>
      <c r="W20" s="15">
        <f>IFERROR(VLOOKUP(V20,'Puntos XCC Mayor'!$A$1:$B$15,2,FALSE),0)</f>
        <v>10</v>
      </c>
      <c r="X20" s="15">
        <f>IFERROR(VLOOKUP(C20,RESXCO,9,FALSE),0)</f>
        <v>7</v>
      </c>
      <c r="Y20" s="25">
        <f>IFERROR(VLOOKUP(X20,'Puntos XCO'!$A$1:$B$63,2,FALSE),0)</f>
        <v>90</v>
      </c>
      <c r="Z20" s="27">
        <f>G20+I20+K20+M20+O20+Q20+S20+U20+W20+Y20</f>
        <v>473</v>
      </c>
      <c r="AB20" s="2"/>
      <c r="AC20" s="13"/>
      <c r="AD20" s="12"/>
      <c r="AE20" s="14"/>
    </row>
    <row r="21" spans="1:31" ht="24.95" customHeight="1">
      <c r="A21" s="22">
        <v>7</v>
      </c>
      <c r="B21" s="22">
        <v>6</v>
      </c>
      <c r="C21" s="22">
        <v>865</v>
      </c>
      <c r="D21" s="23" t="str">
        <f>VLOOKUP(C21,PLANILLA,2,FALSE)</f>
        <v>BRENES  Mario</v>
      </c>
      <c r="E21" s="24" t="str">
        <f>VLOOKUP(C21,PLANILLA,4,FALSE)</f>
        <v>BDRIFTMOTORSPORTNUTRITION</v>
      </c>
      <c r="F21" s="3">
        <v>0</v>
      </c>
      <c r="G21" s="15">
        <v>0</v>
      </c>
      <c r="H21" s="3">
        <v>8</v>
      </c>
      <c r="I21" s="25">
        <v>85</v>
      </c>
      <c r="J21" s="33">
        <v>7</v>
      </c>
      <c r="K21" s="22">
        <v>4</v>
      </c>
      <c r="L21" s="22">
        <v>10</v>
      </c>
      <c r="M21" s="34">
        <v>78</v>
      </c>
      <c r="N21" s="32"/>
      <c r="O21" s="30"/>
      <c r="P21" s="3">
        <v>6</v>
      </c>
      <c r="Q21" s="34">
        <f>IFERROR(VLOOKUP(P21,'Puntos XCO'!$A$1:$B$63,2,FALSE),0)</f>
        <v>95</v>
      </c>
      <c r="R21" s="16">
        <v>4</v>
      </c>
      <c r="S21" s="3">
        <f>IFERROR(VLOOKUP(R21,'Puntos XCC Menor'!$A$1:$B$15,2,FALSE),0)</f>
        <v>7</v>
      </c>
      <c r="T21" s="15">
        <v>6</v>
      </c>
      <c r="U21" s="39">
        <f>IFERROR(VLOOKUP(T21,'Puntos XCO'!$A$1:$B$63,2,FALSE),0)</f>
        <v>95</v>
      </c>
      <c r="V21" s="16">
        <f>IFERROR(VLOOKUP(C21,RESXCC_1,9,FALSE),0)</f>
        <v>11</v>
      </c>
      <c r="W21" s="15">
        <f>IFERROR(VLOOKUP(V21,'Puntos XCC Mayor'!$A$1:$B$15,2,FALSE),0)</f>
        <v>5</v>
      </c>
      <c r="X21" s="15">
        <f>IFERROR(VLOOKUP(C21,RESXCO,9,FALSE),0)</f>
        <v>10</v>
      </c>
      <c r="Y21" s="25">
        <f>IFERROR(VLOOKUP(X21,'Puntos XCO'!$A$1:$B$63,2,FALSE),0)</f>
        <v>78</v>
      </c>
      <c r="Z21" s="27">
        <f>G21+I21+K21+M21+O21+Q21+S21+U21+W21+Y21</f>
        <v>447</v>
      </c>
      <c r="AB21" s="2"/>
      <c r="AC21" s="13"/>
      <c r="AD21" s="12"/>
      <c r="AE21" s="14"/>
    </row>
    <row r="22" spans="1:31" ht="24.95" customHeight="1">
      <c r="A22" s="22">
        <v>8</v>
      </c>
      <c r="B22" s="22">
        <v>8</v>
      </c>
      <c r="C22" s="22">
        <v>863</v>
      </c>
      <c r="D22" s="23" t="str">
        <f>VLOOKUP(C22,PLANILLA,2,FALSE)</f>
        <v>BERMUDEZ Guillermo</v>
      </c>
      <c r="E22" s="24" t="str">
        <f>VLOOKUP(C22,PLANILLA,4,FALSE)</f>
        <v xml:space="preserve">INDIVIDUAL </v>
      </c>
      <c r="F22" s="3">
        <v>12</v>
      </c>
      <c r="G22" s="15">
        <v>0</v>
      </c>
      <c r="H22" s="3">
        <v>11</v>
      </c>
      <c r="I22" s="25">
        <v>76</v>
      </c>
      <c r="J22" s="33">
        <v>11</v>
      </c>
      <c r="K22" s="22">
        <v>0</v>
      </c>
      <c r="L22" s="22">
        <v>11</v>
      </c>
      <c r="M22" s="34">
        <v>76</v>
      </c>
      <c r="N22" s="32"/>
      <c r="O22" s="30"/>
      <c r="P22" s="3">
        <v>11</v>
      </c>
      <c r="Q22" s="34">
        <f>IFERROR(VLOOKUP(P22,'Puntos XCO'!$A$1:$B$63,2,FALSE),0)</f>
        <v>76</v>
      </c>
      <c r="R22" s="16">
        <v>0</v>
      </c>
      <c r="S22" s="3">
        <f>IFERROR(VLOOKUP(R22,'Puntos XCC Menor'!$A$1:$B$15,2,FALSE),0)</f>
        <v>0</v>
      </c>
      <c r="T22" s="15">
        <v>8</v>
      </c>
      <c r="U22" s="39">
        <f>IFERROR(VLOOKUP(T22,'Puntos XCO'!$A$1:$B$63,2,FALSE),0)</f>
        <v>85</v>
      </c>
      <c r="V22" s="16">
        <f>IFERROR(VLOOKUP(C22,RESXCC_1,9,FALSE),0)</f>
        <v>14</v>
      </c>
      <c r="W22" s="15">
        <f>IFERROR(VLOOKUP(V22,'Puntos XCC Mayor'!$A$1:$B$15,2,FALSE),0)</f>
        <v>2</v>
      </c>
      <c r="X22" s="15">
        <f>IFERROR(VLOOKUP(C22,RESXCO,9,FALSE),0)</f>
        <v>15</v>
      </c>
      <c r="Y22" s="25">
        <f>IFERROR(VLOOKUP(X22,'Puntos XCO'!$A$1:$B$63,2,FALSE),0)</f>
        <v>68</v>
      </c>
      <c r="Z22" s="27">
        <f>G22+I22+K22+M22+O22+Q22+S22+U22+W22+Y22</f>
        <v>383</v>
      </c>
      <c r="AB22" s="2"/>
      <c r="AC22" s="13"/>
      <c r="AD22" s="12"/>
      <c r="AE22" s="14"/>
    </row>
    <row r="23" spans="1:31" ht="24.95" customHeight="1">
      <c r="A23" s="22">
        <v>9</v>
      </c>
      <c r="B23" s="22">
        <v>9</v>
      </c>
      <c r="C23" s="22">
        <v>855</v>
      </c>
      <c r="D23" s="23" t="str">
        <f>VLOOKUP(C23,PLANILLA,2,FALSE)</f>
        <v>PESSOA Pablo</v>
      </c>
      <c r="E23" s="24" t="str">
        <f>VLOOKUP(C23,PLANILLA,4,FALSE)</f>
        <v>SCOTT SHIMANO CYCLING TEAM</v>
      </c>
      <c r="F23" s="3">
        <v>8</v>
      </c>
      <c r="G23" s="15">
        <v>3</v>
      </c>
      <c r="H23" s="3">
        <v>12</v>
      </c>
      <c r="I23" s="25">
        <v>74</v>
      </c>
      <c r="J23" s="33">
        <v>0</v>
      </c>
      <c r="K23" s="22">
        <v>0</v>
      </c>
      <c r="L23" s="22">
        <v>0</v>
      </c>
      <c r="M23" s="34">
        <v>0</v>
      </c>
      <c r="N23" s="32"/>
      <c r="O23" s="30"/>
      <c r="P23" s="3">
        <v>10</v>
      </c>
      <c r="Q23" s="34">
        <f>IFERROR(VLOOKUP(P23,'Puntos XCO'!$A$1:$B$63,2,FALSE),0)</f>
        <v>78</v>
      </c>
      <c r="R23" s="16">
        <v>6</v>
      </c>
      <c r="S23" s="3">
        <f>IFERROR(VLOOKUP(R23,'Puntos XCC Menor'!$A$1:$B$15,2,FALSE),0)</f>
        <v>5</v>
      </c>
      <c r="T23" s="15">
        <v>7</v>
      </c>
      <c r="U23" s="39">
        <f>IFERROR(VLOOKUP(T23,'Puntos XCO'!$A$1:$B$63,2,FALSE),0)</f>
        <v>90</v>
      </c>
      <c r="V23" s="16">
        <f>IFERROR(VLOOKUP(C23,RESXCC_1,9,FALSE),0)</f>
        <v>13</v>
      </c>
      <c r="W23" s="15">
        <f>IFERROR(VLOOKUP(V23,'Puntos XCC Mayor'!$A$1:$B$15,2,FALSE),0)</f>
        <v>3</v>
      </c>
      <c r="X23" s="15">
        <f>IFERROR(VLOOKUP(C23,RESXCO,9,FALSE),0)</f>
        <v>14</v>
      </c>
      <c r="Y23" s="25">
        <f>IFERROR(VLOOKUP(X23,'Puntos XCO'!$A$1:$B$63,2,FALSE),0)</f>
        <v>70</v>
      </c>
      <c r="Z23" s="27">
        <f>G23+I23+K23+M23+O23+Q23+S23+U23+W23+Y23</f>
        <v>323</v>
      </c>
      <c r="AB23" s="2"/>
      <c r="AC23" s="13"/>
      <c r="AD23" s="12"/>
      <c r="AE23" s="14"/>
    </row>
    <row r="24" spans="1:31" ht="24.95" customHeight="1">
      <c r="A24" s="22">
        <v>10</v>
      </c>
      <c r="B24" s="22">
        <v>10</v>
      </c>
      <c r="C24" s="22">
        <v>861</v>
      </c>
      <c r="D24" s="23" t="str">
        <f>VLOOKUP(C24,PLANILLA,2,FALSE)</f>
        <v xml:space="preserve">BELTRAN  Pablo </v>
      </c>
      <c r="E24" s="24" t="str">
        <f>VLOOKUP(C24,PLANILLA,4,FALSE)</f>
        <v>BELPOWER</v>
      </c>
      <c r="F24" s="3">
        <v>6</v>
      </c>
      <c r="G24" s="15">
        <v>5</v>
      </c>
      <c r="H24" s="3">
        <v>0</v>
      </c>
      <c r="I24" s="25">
        <v>0</v>
      </c>
      <c r="J24" s="33">
        <v>5</v>
      </c>
      <c r="K24" s="22">
        <v>6</v>
      </c>
      <c r="L24" s="22">
        <v>5</v>
      </c>
      <c r="M24" s="34">
        <v>100</v>
      </c>
      <c r="N24" s="32"/>
      <c r="O24" s="30"/>
      <c r="P24" s="3">
        <v>4</v>
      </c>
      <c r="Q24" s="34">
        <f>IFERROR(VLOOKUP(P24,'Puntos XCO'!$A$1:$B$63,2,FALSE),0)</f>
        <v>110</v>
      </c>
      <c r="R24" s="16">
        <v>0</v>
      </c>
      <c r="S24" s="3">
        <f>IFERROR(VLOOKUP(R24,'Puntos XCC Menor'!$A$1:$B$15,2,FALSE),0)</f>
        <v>0</v>
      </c>
      <c r="T24" s="15">
        <v>0</v>
      </c>
      <c r="U24" s="39">
        <f>IFERROR(VLOOKUP(T24,'Puntos XCO'!$A$1:$B$63,2,FALSE),0)</f>
        <v>0</v>
      </c>
      <c r="V24" s="16">
        <f>IFERROR(VLOOKUP(C24,RESXCC_1,9,FALSE),0)</f>
        <v>0</v>
      </c>
      <c r="W24" s="15">
        <f>IFERROR(VLOOKUP(V24,'Puntos XCC Mayor'!$A$1:$B$15,2,FALSE),0)</f>
        <v>0</v>
      </c>
      <c r="X24" s="15">
        <f>IFERROR(VLOOKUP(C24,RESXCO,9,FALSE),0)</f>
        <v>13</v>
      </c>
      <c r="Y24" s="25">
        <f>IFERROR(VLOOKUP(X24,'Puntos XCO'!$A$1:$B$63,2,FALSE),0)</f>
        <v>72</v>
      </c>
      <c r="Z24" s="27">
        <f>G24+I24+K24+M24+O24+Q24+S24+U24+W24+Y24</f>
        <v>293</v>
      </c>
      <c r="AB24" s="2"/>
      <c r="AC24" s="13"/>
      <c r="AD24" s="12"/>
      <c r="AE24" s="14"/>
    </row>
    <row r="25" spans="1:31" ht="24.95" customHeight="1">
      <c r="A25" s="22">
        <v>11</v>
      </c>
      <c r="B25" s="22">
        <v>13</v>
      </c>
      <c r="C25" s="22">
        <v>852</v>
      </c>
      <c r="D25" s="23" t="str">
        <f>VLOOKUP(C25,PLANILLA,2,FALSE)</f>
        <v>HERRERA Jeffrey</v>
      </c>
      <c r="E25" s="24" t="str">
        <f>VLOOKUP(C25,PLANILLA,4,FALSE)</f>
        <v>TEAM CORECO/MOMENTUM SPORTS</v>
      </c>
      <c r="F25" s="3">
        <v>2</v>
      </c>
      <c r="G25" s="15">
        <v>9</v>
      </c>
      <c r="H25" s="3">
        <v>2</v>
      </c>
      <c r="I25" s="25">
        <v>150</v>
      </c>
      <c r="J25" s="33">
        <v>3</v>
      </c>
      <c r="K25" s="22">
        <v>8</v>
      </c>
      <c r="L25" s="22">
        <v>0</v>
      </c>
      <c r="M25" s="34">
        <v>0</v>
      </c>
      <c r="N25" s="32"/>
      <c r="O25" s="30"/>
      <c r="P25" s="3">
        <v>0</v>
      </c>
      <c r="Q25" s="34">
        <f>IFERROR(VLOOKUP(P25,'Puntos XCO'!$A$1:$B$63,2,FALSE),0)</f>
        <v>0</v>
      </c>
      <c r="R25" s="16">
        <v>0</v>
      </c>
      <c r="S25" s="3">
        <f>IFERROR(VLOOKUP(R25,'Puntos XCC Menor'!$A$1:$B$15,2,FALSE),0)</f>
        <v>0</v>
      </c>
      <c r="T25" s="15">
        <v>0</v>
      </c>
      <c r="U25" s="39">
        <f>IFERROR(VLOOKUP(T25,'Puntos XCO'!$A$1:$B$63,2,FALSE),0)</f>
        <v>0</v>
      </c>
      <c r="V25" s="16">
        <f>IFERROR(VLOOKUP(C25,RESXCC_1,9,FALSE),0)</f>
        <v>2</v>
      </c>
      <c r="W25" s="15">
        <f>IFERROR(VLOOKUP(V25,'Puntos XCC Mayor'!$A$1:$B$15,2,FALSE),0)</f>
        <v>20</v>
      </c>
      <c r="X25" s="15">
        <f>IFERROR(VLOOKUP(C25,RESXCO,9,FALSE),0)</f>
        <v>9</v>
      </c>
      <c r="Y25" s="25">
        <f>IFERROR(VLOOKUP(X25,'Puntos XCO'!$A$1:$B$63,2,FALSE),0)</f>
        <v>80</v>
      </c>
      <c r="Z25" s="27">
        <f>G25+I25+K25+M25+O25+Q25+S25+U25+W25+Y25</f>
        <v>267</v>
      </c>
      <c r="AB25" s="2"/>
      <c r="AC25" s="13"/>
      <c r="AD25" s="12"/>
      <c r="AE25" s="14"/>
    </row>
    <row r="26" spans="1:31" ht="24.95" customHeight="1">
      <c r="A26" s="22">
        <v>12</v>
      </c>
      <c r="B26" s="22">
        <v>11</v>
      </c>
      <c r="C26" s="22">
        <v>858</v>
      </c>
      <c r="D26" s="23" t="str">
        <f>VLOOKUP(C26,PLANILLA,2,FALSE)</f>
        <v>VÁSQUEZ  Ricardo</v>
      </c>
      <c r="E26" s="24" t="str">
        <f>VLOOKUP(C26,PLANILLA,4,FALSE)</f>
        <v xml:space="preserve">CH TRAINIG </v>
      </c>
      <c r="F26" s="3">
        <v>10</v>
      </c>
      <c r="G26" s="15">
        <v>1</v>
      </c>
      <c r="H26" s="3">
        <v>9</v>
      </c>
      <c r="I26" s="25">
        <v>80</v>
      </c>
      <c r="J26" s="33">
        <v>9</v>
      </c>
      <c r="K26" s="22">
        <v>2</v>
      </c>
      <c r="L26" s="22">
        <v>7</v>
      </c>
      <c r="M26" s="34">
        <v>90</v>
      </c>
      <c r="N26" s="32"/>
      <c r="O26" s="30"/>
      <c r="P26" s="3">
        <v>0</v>
      </c>
      <c r="Q26" s="34">
        <f>IFERROR(VLOOKUP(P26,'Puntos XCO'!$A$1:$B$63,2,FALSE),0)</f>
        <v>0</v>
      </c>
      <c r="R26" s="16">
        <v>0</v>
      </c>
      <c r="S26" s="3">
        <f>IFERROR(VLOOKUP(R26,'Puntos XCC Menor'!$A$1:$B$15,2,FALSE),0)</f>
        <v>0</v>
      </c>
      <c r="T26" s="15">
        <v>0</v>
      </c>
      <c r="U26" s="39">
        <f>IFERROR(VLOOKUP(T26,'Puntos XCO'!$A$1:$B$63,2,FALSE),0)</f>
        <v>0</v>
      </c>
      <c r="V26" s="16">
        <f>IFERROR(VLOOKUP(C26,RESXCC_1,9,FALSE),0)</f>
        <v>12</v>
      </c>
      <c r="W26" s="15">
        <f>IFERROR(VLOOKUP(V26,'Puntos XCC Mayor'!$A$1:$B$15,2,FALSE),0)</f>
        <v>4</v>
      </c>
      <c r="X26" s="15">
        <f>IFERROR(VLOOKUP(C26,RESXCO,9,FALSE),0)</f>
        <v>12</v>
      </c>
      <c r="Y26" s="25">
        <f>IFERROR(VLOOKUP(X26,'Puntos XCO'!$A$1:$B$63,2,FALSE),0)</f>
        <v>74</v>
      </c>
      <c r="Z26" s="27">
        <f>G26+I26+K26+M26+O26+Q26+S26+U26+W26+Y26</f>
        <v>251</v>
      </c>
      <c r="AB26" s="2"/>
      <c r="AC26" s="13"/>
      <c r="AD26" s="12"/>
      <c r="AE26" s="14"/>
    </row>
    <row r="27" spans="1:31" ht="24.95" customHeight="1">
      <c r="A27" s="22">
        <v>13</v>
      </c>
      <c r="B27" s="3"/>
      <c r="C27" s="107">
        <v>875</v>
      </c>
      <c r="D27" s="23" t="str">
        <f>VLOOKUP(C27,PLANILLA,2,FALSE)</f>
        <v xml:space="preserve">MENDOZA  Marcos Vinicio </v>
      </c>
      <c r="E27" s="24" t="str">
        <f>VLOOKUP(C27,PLANILLA,4,FALSE)</f>
        <v xml:space="preserve">PROFE REMO TRAINING CLUB </v>
      </c>
      <c r="F27" s="3"/>
      <c r="G27" s="15"/>
      <c r="H27" s="3"/>
      <c r="I27" s="25"/>
      <c r="J27" s="33"/>
      <c r="K27" s="22"/>
      <c r="L27" s="22"/>
      <c r="M27" s="34"/>
      <c r="N27" s="32"/>
      <c r="O27" s="30"/>
      <c r="P27" s="3"/>
      <c r="Q27" s="34"/>
      <c r="R27" s="16"/>
      <c r="S27" s="3"/>
      <c r="T27" s="15"/>
      <c r="U27" s="39"/>
      <c r="V27" s="16">
        <f>IFERROR(VLOOKUP(C27,RESXCC_1,9,FALSE),0)</f>
        <v>1</v>
      </c>
      <c r="W27" s="15">
        <f>IFERROR(VLOOKUP(V27,'Puntos XCC Mayor'!$A$1:$B$15,2,FALSE),0)</f>
        <v>25</v>
      </c>
      <c r="X27" s="15">
        <f>IFERROR(VLOOKUP(C27,RESXCO,9,FALSE),0)</f>
        <v>1</v>
      </c>
      <c r="Y27" s="25">
        <f>IFERROR(VLOOKUP(X27,'Puntos XCO'!$A$1:$B$63,2,FALSE),0)</f>
        <v>200</v>
      </c>
      <c r="Z27" s="27">
        <f>G27+I27+K27+M27+O27+Q27+S27+U27+W27+Y27</f>
        <v>225</v>
      </c>
      <c r="AB27" s="2"/>
      <c r="AC27" s="13"/>
      <c r="AD27" s="12"/>
      <c r="AE27" s="14"/>
    </row>
    <row r="28" spans="1:31" ht="24.95" customHeight="1">
      <c r="A28" s="22">
        <v>14</v>
      </c>
      <c r="B28" s="22">
        <v>16</v>
      </c>
      <c r="C28" s="22">
        <v>862</v>
      </c>
      <c r="D28" s="23" t="str">
        <f>VLOOKUP(C28,PLANILLA,2,FALSE)</f>
        <v xml:space="preserve">ARAYA  Pablo </v>
      </c>
      <c r="E28" s="24" t="str">
        <f>VLOOKUP(C28,PLANILLA,4,FALSE)</f>
        <v xml:space="preserve">AUTOTRONICA ARAYA </v>
      </c>
      <c r="F28" s="3">
        <v>5</v>
      </c>
      <c r="G28" s="15">
        <v>6</v>
      </c>
      <c r="H28" s="3">
        <v>5</v>
      </c>
      <c r="I28" s="25">
        <v>100</v>
      </c>
      <c r="J28" s="33">
        <v>10</v>
      </c>
      <c r="K28" s="22">
        <v>1</v>
      </c>
      <c r="L28" s="22">
        <v>0</v>
      </c>
      <c r="M28" s="34">
        <v>0</v>
      </c>
      <c r="N28" s="32"/>
      <c r="O28" s="30"/>
      <c r="P28" s="3">
        <v>0</v>
      </c>
      <c r="Q28" s="34">
        <f>IFERROR(VLOOKUP(P28,'Puntos XCO'!$A$1:$B$63,2,FALSE),0)</f>
        <v>0</v>
      </c>
      <c r="R28" s="16">
        <v>0</v>
      </c>
      <c r="S28" s="3">
        <f>IFERROR(VLOOKUP(R28,'Puntos XCC Menor'!$A$1:$B$15,2,FALSE),0)</f>
        <v>0</v>
      </c>
      <c r="T28" s="15">
        <v>0</v>
      </c>
      <c r="U28" s="39">
        <f>IFERROR(VLOOKUP(T28,'Puntos XCO'!$A$1:$B$63,2,FALSE),0)</f>
        <v>0</v>
      </c>
      <c r="V28" s="16">
        <f>IFERROR(VLOOKUP(C28,RESXCC_1,9,FALSE),0)</f>
        <v>8</v>
      </c>
      <c r="W28" s="15">
        <f>IFERROR(VLOOKUP(V28,'Puntos XCC Mayor'!$A$1:$B$15,2,FALSE),0)</f>
        <v>8</v>
      </c>
      <c r="X28" s="15">
        <f>IFERROR(VLOOKUP(C28,RESXCO,9,FALSE),0)</f>
        <v>5</v>
      </c>
      <c r="Y28" s="25">
        <f>IFERROR(VLOOKUP(X28,'Puntos XCO'!$A$1:$B$63,2,FALSE),0)</f>
        <v>100</v>
      </c>
      <c r="Z28" s="27">
        <f>G28+I28+K28+M28+O28+Q28+S28+U28+W28+Y28</f>
        <v>215</v>
      </c>
      <c r="AB28" s="3"/>
      <c r="AE28" s="29"/>
    </row>
    <row r="29" spans="1:31" ht="24.95" customHeight="1">
      <c r="A29" s="22">
        <v>15</v>
      </c>
      <c r="B29" s="22">
        <v>12</v>
      </c>
      <c r="C29" s="22">
        <v>857</v>
      </c>
      <c r="D29" s="23" t="str">
        <f>VLOOKUP(C29,PLANILLA,2,FALSE)</f>
        <v xml:space="preserve">SUÁREZ  Christian </v>
      </c>
      <c r="E29" s="24" t="str">
        <f>VLOOKUP(C29,PLANILLA,4,FALSE)</f>
        <v>GAVIA 88</v>
      </c>
      <c r="F29" s="3">
        <v>9</v>
      </c>
      <c r="G29" s="15">
        <v>2</v>
      </c>
      <c r="H29" s="3">
        <v>10</v>
      </c>
      <c r="I29" s="25">
        <v>78</v>
      </c>
      <c r="J29" s="33">
        <v>8</v>
      </c>
      <c r="K29" s="22">
        <v>3</v>
      </c>
      <c r="L29" s="22">
        <v>8</v>
      </c>
      <c r="M29" s="34">
        <v>85</v>
      </c>
      <c r="N29" s="32"/>
      <c r="O29" s="30"/>
      <c r="P29" s="3">
        <v>0</v>
      </c>
      <c r="Q29" s="34">
        <f>IFERROR(VLOOKUP(P29,'Puntos XCO'!$A$1:$B$63,2,FALSE),0)</f>
        <v>0</v>
      </c>
      <c r="R29" s="16">
        <v>0</v>
      </c>
      <c r="S29" s="3">
        <f>IFERROR(VLOOKUP(R29,'Puntos XCC Menor'!$A$1:$B$15,2,FALSE),0)</f>
        <v>0</v>
      </c>
      <c r="T29" s="15">
        <v>0</v>
      </c>
      <c r="U29" s="39">
        <f>IFERROR(VLOOKUP(T29,'Puntos XCO'!$A$1:$B$63,2,FALSE),0)</f>
        <v>0</v>
      </c>
      <c r="V29" s="16">
        <f>IFERROR(VLOOKUP(C29,RESXCC_1,9,FALSE),0)</f>
        <v>0</v>
      </c>
      <c r="W29" s="15">
        <f>IFERROR(VLOOKUP(V29,'Puntos XCC Mayor'!$A$1:$B$15,2,FALSE),0)</f>
        <v>0</v>
      </c>
      <c r="X29" s="15">
        <f>IFERROR(VLOOKUP(C29,RESXCO,9,FALSE),0)</f>
        <v>0</v>
      </c>
      <c r="Y29" s="25">
        <f>IFERROR(VLOOKUP(X29,'Puntos XCO'!$A$1:$B$63,2,FALSE),0)</f>
        <v>0</v>
      </c>
      <c r="Z29" s="27">
        <f>G29+I29+K29+M29+O29+Q29+S29+U29+W29+Y29</f>
        <v>168</v>
      </c>
      <c r="AB29" s="3"/>
    </row>
    <row r="30" spans="1:31" ht="24.95" customHeight="1">
      <c r="A30" s="22">
        <v>16</v>
      </c>
      <c r="B30" s="22">
        <v>14</v>
      </c>
      <c r="C30" s="22">
        <v>864</v>
      </c>
      <c r="D30" s="23" t="str">
        <f>VLOOKUP(C30,PLANILLA,2,FALSE)</f>
        <v>VARGAS Gustavo</v>
      </c>
      <c r="E30" s="24" t="str">
        <f>VLOOKUP(C30,PLANILLA,4,FALSE)</f>
        <v>DUROS COMO ROCA</v>
      </c>
      <c r="F30" s="3">
        <v>0</v>
      </c>
      <c r="G30" s="15">
        <v>0</v>
      </c>
      <c r="H30" s="3">
        <v>0</v>
      </c>
      <c r="I30" s="25">
        <v>0</v>
      </c>
      <c r="J30" s="33">
        <v>0</v>
      </c>
      <c r="K30" s="22">
        <v>0</v>
      </c>
      <c r="L30" s="22">
        <v>9</v>
      </c>
      <c r="M30" s="34">
        <v>80</v>
      </c>
      <c r="N30" s="32"/>
      <c r="O30" s="30"/>
      <c r="P30" s="3">
        <v>9</v>
      </c>
      <c r="Q30" s="34">
        <f>IFERROR(VLOOKUP(P30,'Puntos XCO'!$A$1:$B$63,2,FALSE),0)</f>
        <v>80</v>
      </c>
      <c r="R30" s="16">
        <v>0</v>
      </c>
      <c r="S30" s="3">
        <f>IFERROR(VLOOKUP(R30,'Puntos XCC Menor'!$A$1:$B$15,2,FALSE),0)</f>
        <v>0</v>
      </c>
      <c r="T30" s="15">
        <v>0</v>
      </c>
      <c r="U30" s="39">
        <f>IFERROR(VLOOKUP(T30,'Puntos XCO'!$A$1:$B$63,2,FALSE),0)</f>
        <v>0</v>
      </c>
      <c r="V30" s="16">
        <f>IFERROR(VLOOKUP(C30,RESXCC_1,9,FALSE),0)</f>
        <v>0</v>
      </c>
      <c r="W30" s="15">
        <f>IFERROR(VLOOKUP(V30,'Puntos XCC Mayor'!$A$1:$B$15,2,FALSE),0)</f>
        <v>0</v>
      </c>
      <c r="X30" s="15">
        <f>IFERROR(VLOOKUP(C30,RESXCO,9,FALSE),0)</f>
        <v>0</v>
      </c>
      <c r="Y30" s="25">
        <f>IFERROR(VLOOKUP(X30,'Puntos XCO'!$A$1:$B$63,2,FALSE),0)</f>
        <v>0</v>
      </c>
      <c r="Z30" s="27">
        <f>G30+I30+K30+M30+O30+Q30+S30+U30+W30+Y30</f>
        <v>160</v>
      </c>
      <c r="AB30" s="3"/>
    </row>
    <row r="31" spans="1:31" ht="24.95" customHeight="1">
      <c r="A31" s="22">
        <v>17</v>
      </c>
      <c r="B31" s="22">
        <v>15</v>
      </c>
      <c r="C31" s="22">
        <v>872</v>
      </c>
      <c r="D31" s="23" t="str">
        <f>VLOOKUP(C31,PLANILLA,2,FALSE)</f>
        <v xml:space="preserve">GÓMEZ  José Antonio </v>
      </c>
      <c r="E31" s="24" t="str">
        <f>VLOOKUP(C31,PLANILLA,4,FALSE)</f>
        <v xml:space="preserve">BPT </v>
      </c>
      <c r="F31" s="3"/>
      <c r="G31" s="15"/>
      <c r="H31" s="3"/>
      <c r="I31" s="25"/>
      <c r="J31" s="33"/>
      <c r="K31" s="22"/>
      <c r="L31" s="22"/>
      <c r="M31" s="34"/>
      <c r="N31" s="32"/>
      <c r="O31" s="30"/>
      <c r="P31" s="3">
        <v>3</v>
      </c>
      <c r="Q31" s="34">
        <f>IFERROR(VLOOKUP(P31,'Puntos XCO'!$A$1:$B$63,2,FALSE),0)</f>
        <v>120</v>
      </c>
      <c r="R31" s="16">
        <v>0</v>
      </c>
      <c r="S31" s="3">
        <f>IFERROR(VLOOKUP(R31,'Puntos XCC Menor'!$A$1:$B$15,2,FALSE),0)</f>
        <v>0</v>
      </c>
      <c r="T31" s="15">
        <v>0</v>
      </c>
      <c r="U31" s="39">
        <f>IFERROR(VLOOKUP(T31,'Puntos XCO'!$A$1:$B$63,2,FALSE),0)</f>
        <v>0</v>
      </c>
      <c r="V31" s="16">
        <f>IFERROR(VLOOKUP(C31,RESXCC_1,9,FALSE),0)</f>
        <v>0</v>
      </c>
      <c r="W31" s="15">
        <f>IFERROR(VLOOKUP(V31,'Puntos XCC Mayor'!$A$1:$B$15,2,FALSE),0)</f>
        <v>0</v>
      </c>
      <c r="X31" s="15">
        <f>IFERROR(VLOOKUP(C31,RESXCO,9,FALSE),0)</f>
        <v>0</v>
      </c>
      <c r="Y31" s="25">
        <f>IFERROR(VLOOKUP(X31,'Puntos XCO'!$A$1:$B$63,2,FALSE),0)</f>
        <v>0</v>
      </c>
      <c r="Z31" s="27">
        <f>G31+I31+K31+M31+O31+Q31+S31+U31+W31+Y31</f>
        <v>120</v>
      </c>
      <c r="AB31" s="3"/>
    </row>
    <row r="32" spans="1:31" ht="24.95" customHeight="1">
      <c r="A32" s="22">
        <v>18</v>
      </c>
      <c r="B32" s="22">
        <v>17</v>
      </c>
      <c r="C32" s="22">
        <v>871</v>
      </c>
      <c r="D32" s="23" t="str">
        <f>VLOOKUP(C32,PLANILLA,2,FALSE)</f>
        <v>ARAYA  Ronald</v>
      </c>
      <c r="E32" s="24" t="str">
        <f>VLOOKUP(C32,PLANILLA,4,FALSE)</f>
        <v xml:space="preserve">X3ME XTREME </v>
      </c>
      <c r="F32" s="3"/>
      <c r="G32" s="15"/>
      <c r="H32" s="3"/>
      <c r="I32" s="25"/>
      <c r="J32" s="33"/>
      <c r="K32" s="22"/>
      <c r="L32" s="22"/>
      <c r="M32" s="34"/>
      <c r="N32" s="32"/>
      <c r="O32" s="30"/>
      <c r="P32" s="3">
        <v>5</v>
      </c>
      <c r="Q32" s="34">
        <f>IFERROR(VLOOKUP(P32,'Puntos XCO'!$A$1:$B$63,2,FALSE),0)</f>
        <v>100</v>
      </c>
      <c r="R32" s="16">
        <v>0</v>
      </c>
      <c r="S32" s="3">
        <f>IFERROR(VLOOKUP(R32,'Puntos XCC Menor'!$A$1:$B$15,2,FALSE),0)</f>
        <v>0</v>
      </c>
      <c r="T32" s="15">
        <v>0</v>
      </c>
      <c r="U32" s="39">
        <f>IFERROR(VLOOKUP(T32,'Puntos XCO'!$A$1:$B$63,2,FALSE),0)</f>
        <v>0</v>
      </c>
      <c r="V32" s="16">
        <f>IFERROR(VLOOKUP(C32,RESXCC_1,9,FALSE),0)</f>
        <v>0</v>
      </c>
      <c r="W32" s="15">
        <f>IFERROR(VLOOKUP(V32,'Puntos XCC Mayor'!$A$1:$B$15,2,FALSE),0)</f>
        <v>0</v>
      </c>
      <c r="X32" s="15">
        <f>IFERROR(VLOOKUP(C32,RESXCO,9,FALSE),0)</f>
        <v>0</v>
      </c>
      <c r="Y32" s="25">
        <f>IFERROR(VLOOKUP(X32,'Puntos XCO'!$A$1:$B$63,2,FALSE),0)</f>
        <v>0</v>
      </c>
      <c r="Z32" s="27">
        <f>G32+I32+K32+M32+O32+Q32+S32+U32+W32+Y32</f>
        <v>100</v>
      </c>
      <c r="AB32" s="3"/>
    </row>
    <row r="33" spans="1:28" ht="24.95" customHeight="1">
      <c r="A33" s="22">
        <v>19</v>
      </c>
      <c r="B33" s="22">
        <v>18</v>
      </c>
      <c r="C33" s="22">
        <v>866</v>
      </c>
      <c r="D33" s="23" t="str">
        <f>VLOOKUP(C33,PLANILLA,2,FALSE)</f>
        <v>PORRAS Guillermo</v>
      </c>
      <c r="E33" s="24" t="str">
        <f>VLOOKUP(C33,PLANILLA,4,FALSE)</f>
        <v/>
      </c>
      <c r="F33" s="3">
        <v>0</v>
      </c>
      <c r="G33" s="15">
        <v>0</v>
      </c>
      <c r="H33" s="3">
        <v>0</v>
      </c>
      <c r="I33" s="25">
        <v>0</v>
      </c>
      <c r="J33" s="33">
        <v>0</v>
      </c>
      <c r="K33" s="22">
        <v>0</v>
      </c>
      <c r="L33" s="22">
        <v>0</v>
      </c>
      <c r="M33" s="34">
        <v>0</v>
      </c>
      <c r="N33" s="32"/>
      <c r="O33" s="30"/>
      <c r="P33" s="3">
        <v>7</v>
      </c>
      <c r="Q33" s="34">
        <f>IFERROR(VLOOKUP(P33,'Puntos XCO'!$A$1:$B$63,2,FALSE),0)</f>
        <v>90</v>
      </c>
      <c r="R33" s="16">
        <v>0</v>
      </c>
      <c r="S33" s="3">
        <f>IFERROR(VLOOKUP(R33,'Puntos XCC Menor'!$A$1:$B$15,2,FALSE),0)</f>
        <v>0</v>
      </c>
      <c r="T33" s="15">
        <v>0</v>
      </c>
      <c r="U33" s="39">
        <f>IFERROR(VLOOKUP(T33,'Puntos XCO'!$A$1:$B$63,2,FALSE),0)</f>
        <v>0</v>
      </c>
      <c r="V33" s="16">
        <f>IFERROR(VLOOKUP(C33,RESXCC_1,9,FALSE),0)</f>
        <v>0</v>
      </c>
      <c r="W33" s="15">
        <f>IFERROR(VLOOKUP(V33,'Puntos XCC Mayor'!$A$1:$B$15,2,FALSE),0)</f>
        <v>0</v>
      </c>
      <c r="X33" s="15">
        <f>IFERROR(VLOOKUP(C33,RESXCO,9,FALSE),0)</f>
        <v>0</v>
      </c>
      <c r="Y33" s="25">
        <f>IFERROR(VLOOKUP(X33,'Puntos XCO'!$A$1:$B$63,2,FALSE),0)</f>
        <v>0</v>
      </c>
      <c r="Z33" s="27">
        <f>G33+I33+K33+M33+O33+Q33+S33+U33+W33+Y33</f>
        <v>90</v>
      </c>
      <c r="AB33" s="3"/>
    </row>
    <row r="34" spans="1:28" ht="24.95" customHeight="1">
      <c r="A34" s="22">
        <v>20</v>
      </c>
      <c r="B34" s="3"/>
      <c r="C34" s="107">
        <v>873</v>
      </c>
      <c r="D34" s="23" t="str">
        <f>VLOOKUP(C34,PLANILLA,2,FALSE)</f>
        <v xml:space="preserve">QUIROS Victor Hugo </v>
      </c>
      <c r="E34" s="24" t="str">
        <f>VLOOKUP(C34,PLANILLA,4,FALSE)</f>
        <v xml:space="preserve">VEGABIKES </v>
      </c>
      <c r="F34" s="3"/>
      <c r="G34" s="15"/>
      <c r="H34" s="3"/>
      <c r="I34" s="25"/>
      <c r="J34" s="33"/>
      <c r="K34" s="22"/>
      <c r="L34" s="22"/>
      <c r="M34" s="34"/>
      <c r="N34" s="32"/>
      <c r="O34" s="30"/>
      <c r="P34" s="3"/>
      <c r="Q34" s="34"/>
      <c r="R34" s="16"/>
      <c r="S34" s="3"/>
      <c r="T34" s="15"/>
      <c r="U34" s="39"/>
      <c r="V34" s="16">
        <f>IFERROR(VLOOKUP(C34,RESXCC_1,9,FALSE),0)</f>
        <v>10</v>
      </c>
      <c r="W34" s="15">
        <f>IFERROR(VLOOKUP(V34,'Puntos XCC Mayor'!$A$1:$B$15,2,FALSE),0)</f>
        <v>6</v>
      </c>
      <c r="X34" s="15">
        <f>IFERROR(VLOOKUP(C34,RESXCO,9,FALSE),0)</f>
        <v>11</v>
      </c>
      <c r="Y34" s="25">
        <f>IFERROR(VLOOKUP(X34,'Puntos XCO'!$A$1:$B$63,2,FALSE),0)</f>
        <v>76</v>
      </c>
      <c r="Z34" s="27">
        <f>G34+I34+K34+M34+O34+Q34+S34+U34+W34+Y34</f>
        <v>82</v>
      </c>
      <c r="AB34" s="3"/>
    </row>
    <row r="35" spans="1:28" ht="24.95" customHeight="1">
      <c r="A35" s="3"/>
      <c r="B35" s="22"/>
      <c r="C35" s="22">
        <v>854</v>
      </c>
      <c r="D35" s="23" t="str">
        <f>VLOOKUP(C35,PLANILLA,2,FALSE)</f>
        <v xml:space="preserve">TENORIO  Carlos </v>
      </c>
      <c r="E35" s="24" t="str">
        <f>VLOOKUP(C35,PLANILLA,4,FALSE)</f>
        <v>ACISA SARAPIQUI</v>
      </c>
      <c r="F35" s="3">
        <v>0</v>
      </c>
      <c r="G35" s="15">
        <v>0</v>
      </c>
      <c r="H35" s="3">
        <v>0</v>
      </c>
      <c r="I35" s="25">
        <v>0</v>
      </c>
      <c r="J35" s="33">
        <v>0</v>
      </c>
      <c r="K35" s="22">
        <v>0</v>
      </c>
      <c r="L35" s="22">
        <v>0</v>
      </c>
      <c r="M35" s="34">
        <v>0</v>
      </c>
      <c r="N35" s="32"/>
      <c r="O35" s="30"/>
      <c r="P35" s="3">
        <v>0</v>
      </c>
      <c r="Q35" s="34">
        <f>IFERROR(VLOOKUP(P35,'Puntos XCO'!$A$1:$B$63,2,FALSE),0)</f>
        <v>0</v>
      </c>
      <c r="R35" s="16">
        <v>0</v>
      </c>
      <c r="S35" s="3">
        <f>IFERROR(VLOOKUP(R35,'Puntos XCC Menor'!$A$1:$B$15,2,FALSE),0)</f>
        <v>0</v>
      </c>
      <c r="T35" s="15">
        <v>0</v>
      </c>
      <c r="U35" s="39">
        <f>IFERROR(VLOOKUP(T35,'Puntos XCO'!$A$1:$B$63,2,FALSE),0)</f>
        <v>0</v>
      </c>
      <c r="V35" s="16">
        <f>IFERROR(VLOOKUP(C35,RESXCC_1,9,FALSE),0)</f>
        <v>0</v>
      </c>
      <c r="W35" s="15">
        <f>IFERROR(VLOOKUP(V35,'Puntos XCC Mayor'!$A$1:$B$15,2,FALSE),0)</f>
        <v>0</v>
      </c>
      <c r="X35" s="15">
        <f>IFERROR(VLOOKUP(C35,RESXCO,9,FALSE),0)</f>
        <v>0</v>
      </c>
      <c r="Y35" s="25">
        <f>IFERROR(VLOOKUP(X35,'Puntos XCO'!$A$1:$B$63,2,FALSE),0)</f>
        <v>0</v>
      </c>
      <c r="Z35" s="27">
        <f>G35+I35+K35+M35+O35+Q35+S35+U35+W35+Y35</f>
        <v>0</v>
      </c>
      <c r="AB35" s="3"/>
    </row>
    <row r="36" spans="1:28" ht="24.95" customHeight="1">
      <c r="A36" s="3"/>
      <c r="B36" s="3"/>
      <c r="C36" s="22">
        <v>856</v>
      </c>
      <c r="D36" s="23" t="str">
        <f>VLOOKUP(C36,PLANILLA,2,FALSE)</f>
        <v>ROBLES Cesar</v>
      </c>
      <c r="E36" s="24" t="str">
        <f>VLOOKUP(C36,PLANILLA,4,FALSE)</f>
        <v>CRS80</v>
      </c>
      <c r="F36" s="3">
        <v>11</v>
      </c>
      <c r="G36" s="15">
        <v>0</v>
      </c>
      <c r="H36" s="3">
        <v>0</v>
      </c>
      <c r="I36" s="25">
        <v>0</v>
      </c>
      <c r="J36" s="33">
        <v>0</v>
      </c>
      <c r="K36" s="22">
        <v>0</v>
      </c>
      <c r="L36" s="22">
        <v>0</v>
      </c>
      <c r="M36" s="34">
        <v>0</v>
      </c>
      <c r="N36" s="32"/>
      <c r="O36" s="30"/>
      <c r="P36" s="3">
        <v>0</v>
      </c>
      <c r="Q36" s="34">
        <f>IFERROR(VLOOKUP(P36,'Puntos XCO'!$A$1:$B$63,2,FALSE),0)</f>
        <v>0</v>
      </c>
      <c r="R36" s="16">
        <v>0</v>
      </c>
      <c r="S36" s="3">
        <f>IFERROR(VLOOKUP(R36,'Puntos XCC Menor'!$A$1:$B$15,2,FALSE),0)</f>
        <v>0</v>
      </c>
      <c r="T36" s="15">
        <v>0</v>
      </c>
      <c r="U36" s="39">
        <f>IFERROR(VLOOKUP(T36,'Puntos XCO'!$A$1:$B$63,2,FALSE),0)</f>
        <v>0</v>
      </c>
      <c r="V36" s="16">
        <f>IFERROR(VLOOKUP(C36,RESXCC_1,9,FALSE),0)</f>
        <v>0</v>
      </c>
      <c r="W36" s="15">
        <f>IFERROR(VLOOKUP(V36,'Puntos XCC Mayor'!$A$1:$B$15,2,FALSE),0)</f>
        <v>0</v>
      </c>
      <c r="X36" s="15">
        <f>IFERROR(VLOOKUP(C36,RESXCO,9,FALSE),0)</f>
        <v>0</v>
      </c>
      <c r="Y36" s="25">
        <f>IFERROR(VLOOKUP(X36,'Puntos XCO'!$A$1:$B$63,2,FALSE),0)</f>
        <v>0</v>
      </c>
      <c r="Z36" s="27">
        <f>G36+I36+K36+M36+O36+Q36+S36+U36+W36+Y36</f>
        <v>0</v>
      </c>
      <c r="AB36" s="3"/>
    </row>
    <row r="37" spans="1:28" ht="24.95" customHeight="1">
      <c r="A37" s="3"/>
      <c r="B37" s="3"/>
      <c r="C37" s="22">
        <v>867</v>
      </c>
      <c r="D37" s="23" t="str">
        <f>VLOOKUP(C37,PLANILLA,2,FALSE)</f>
        <v>BERMUDEZ  Guillermo</v>
      </c>
      <c r="E37" s="24" t="str">
        <f>VLOOKUP(C37,PLANILLA,4,FALSE)</f>
        <v xml:space="preserve">INDEPENDIENTE </v>
      </c>
      <c r="F37" s="3">
        <v>0</v>
      </c>
      <c r="G37" s="15">
        <v>0</v>
      </c>
      <c r="H37" s="3">
        <v>0</v>
      </c>
      <c r="I37" s="25">
        <v>0</v>
      </c>
      <c r="J37" s="33">
        <v>0</v>
      </c>
      <c r="K37" s="22">
        <v>0</v>
      </c>
      <c r="L37" s="22">
        <v>0</v>
      </c>
      <c r="M37" s="34">
        <v>0</v>
      </c>
      <c r="N37" s="32"/>
      <c r="O37" s="30"/>
      <c r="P37" s="3">
        <v>0</v>
      </c>
      <c r="Q37" s="34">
        <f>IFERROR(VLOOKUP(P37,'Puntos XCO'!$A$1:$B$63,2,FALSE),0)</f>
        <v>0</v>
      </c>
      <c r="R37" s="16">
        <v>0</v>
      </c>
      <c r="S37" s="3">
        <f>IFERROR(VLOOKUP(R37,'Puntos XCC Menor'!$A$1:$B$15,2,FALSE),0)</f>
        <v>0</v>
      </c>
      <c r="T37" s="15">
        <v>0</v>
      </c>
      <c r="U37" s="39">
        <f>IFERROR(VLOOKUP(T37,'Puntos XCO'!$A$1:$B$63,2,FALSE),0)</f>
        <v>0</v>
      </c>
      <c r="V37" s="16">
        <f>IFERROR(VLOOKUP(C37,RESXCC_1,9,FALSE),0)</f>
        <v>0</v>
      </c>
      <c r="W37" s="15">
        <f>IFERROR(VLOOKUP(V37,'Puntos XCC Mayor'!$A$1:$B$15,2,FALSE),0)</f>
        <v>0</v>
      </c>
      <c r="X37" s="15">
        <f>IFERROR(VLOOKUP(C37,RESXCO,9,FALSE),0)</f>
        <v>0</v>
      </c>
      <c r="Y37" s="25">
        <f>IFERROR(VLOOKUP(X37,'Puntos XCO'!$A$1:$B$63,2,FALSE),0)</f>
        <v>0</v>
      </c>
      <c r="Z37" s="27">
        <f>G37+I37+K37+M37+O37+Q37+S37+U37+W37+Y37</f>
        <v>0</v>
      </c>
      <c r="AB37" s="3"/>
    </row>
    <row r="38" spans="1:28" ht="24.95" customHeight="1">
      <c r="A38" s="3"/>
      <c r="B38" s="3"/>
      <c r="C38" s="22">
        <v>869</v>
      </c>
      <c r="D38" s="23" t="str">
        <f>VLOOKUP(C38,PLANILLA,2,FALSE)</f>
        <v xml:space="preserve">CRUZ Eddy Antonio </v>
      </c>
      <c r="E38" s="24" t="str">
        <f>VLOOKUP(C38,PLANILLA,4,FALSE)</f>
        <v>MUEBLES CRUZ</v>
      </c>
      <c r="F38" s="3">
        <v>0</v>
      </c>
      <c r="G38" s="15">
        <v>0</v>
      </c>
      <c r="H38" s="3">
        <v>0</v>
      </c>
      <c r="I38" s="25">
        <v>0</v>
      </c>
      <c r="J38" s="33">
        <v>0</v>
      </c>
      <c r="K38" s="22">
        <v>0</v>
      </c>
      <c r="L38" s="22">
        <v>0</v>
      </c>
      <c r="M38" s="34">
        <v>0</v>
      </c>
      <c r="N38" s="32"/>
      <c r="O38" s="30"/>
      <c r="P38" s="3">
        <v>0</v>
      </c>
      <c r="Q38" s="34">
        <f>IFERROR(VLOOKUP(P38,'Puntos XCO'!$A$1:$B$63,2,FALSE),0)</f>
        <v>0</v>
      </c>
      <c r="R38" s="16">
        <v>0</v>
      </c>
      <c r="S38" s="3">
        <f>IFERROR(VLOOKUP(R38,'Puntos XCC Menor'!$A$1:$B$15,2,FALSE),0)</f>
        <v>0</v>
      </c>
      <c r="T38" s="15">
        <v>0</v>
      </c>
      <c r="U38" s="39">
        <f>IFERROR(VLOOKUP(T38,'Puntos XCO'!$A$1:$B$63,2,FALSE),0)</f>
        <v>0</v>
      </c>
      <c r="V38" s="16">
        <f>IFERROR(VLOOKUP(C38,RESXCC_1,9,FALSE),0)</f>
        <v>0</v>
      </c>
      <c r="W38" s="15">
        <f>IFERROR(VLOOKUP(V38,'Puntos XCC Mayor'!$A$1:$B$15,2,FALSE),0)</f>
        <v>0</v>
      </c>
      <c r="X38" s="15">
        <f>IFERROR(VLOOKUP(C38,RESXCO,9,FALSE),0)</f>
        <v>0</v>
      </c>
      <c r="Y38" s="25">
        <f>IFERROR(VLOOKUP(X38,'Puntos XCO'!$A$1:$B$63,2,FALSE),0)</f>
        <v>0</v>
      </c>
      <c r="Z38" s="27">
        <f>G38+I38+K38+M38+O38+Q38+S38+U38+W38+Y38</f>
        <v>0</v>
      </c>
      <c r="AB38" s="3"/>
    </row>
    <row r="39" spans="1:28" ht="24.95" customHeight="1">
      <c r="A39" s="3"/>
      <c r="B39" s="3"/>
      <c r="C39" s="107">
        <v>874</v>
      </c>
      <c r="D39" s="23" t="str">
        <f>VLOOKUP(C39,PLANILLA,2,FALSE)</f>
        <v xml:space="preserve">MENESES Paulo </v>
      </c>
      <c r="E39" s="24" t="str">
        <f>VLOOKUP(C39,PLANILLA,4,FALSE)</f>
        <v>UNIFORMAX</v>
      </c>
      <c r="F39" s="3"/>
      <c r="G39" s="15"/>
      <c r="H39" s="3"/>
      <c r="I39" s="25"/>
      <c r="J39" s="33"/>
      <c r="K39" s="22"/>
      <c r="L39" s="22"/>
      <c r="M39" s="34"/>
      <c r="N39" s="32"/>
      <c r="O39" s="30"/>
      <c r="P39" s="3"/>
      <c r="Q39" s="34"/>
      <c r="R39" s="16"/>
      <c r="S39" s="3"/>
      <c r="T39" s="15"/>
      <c r="U39" s="39"/>
      <c r="V39" s="16">
        <f>IFERROR(VLOOKUP(C39,RESXCC_1,9,FALSE),0)</f>
        <v>0</v>
      </c>
      <c r="W39" s="15">
        <f>IFERROR(VLOOKUP(V39,'Puntos XCC Mayor'!$A$1:$B$15,2,FALSE),0)</f>
        <v>0</v>
      </c>
      <c r="X39" s="15">
        <f>IFERROR(VLOOKUP(C39,RESXCO,9,FALSE),0)</f>
        <v>0</v>
      </c>
      <c r="Y39" s="25">
        <f>IFERROR(VLOOKUP(X39,'Puntos XCO'!$A$1:$B$63,2,FALSE),0)</f>
        <v>0</v>
      </c>
      <c r="Z39" s="27">
        <f>G39+I39+K39+M39+O39+Q39+S39+U39+W39+Y39</f>
        <v>0</v>
      </c>
      <c r="AB39" s="3"/>
    </row>
    <row r="40" spans="1:28" ht="24.95" customHeight="1">
      <c r="A40" s="3"/>
      <c r="B40" s="3"/>
      <c r="C40" s="22"/>
      <c r="D40" s="23"/>
      <c r="E40" s="24"/>
      <c r="F40" s="3"/>
      <c r="G40" s="15"/>
      <c r="H40" s="3"/>
      <c r="I40" s="25"/>
      <c r="J40" s="33"/>
      <c r="K40" s="22"/>
      <c r="L40" s="22"/>
      <c r="M40" s="34"/>
      <c r="N40" s="32"/>
      <c r="O40" s="30"/>
      <c r="P40" s="3"/>
      <c r="Q40" s="34"/>
      <c r="R40" s="32"/>
      <c r="S40" s="30"/>
      <c r="T40" s="3"/>
      <c r="U40" s="39"/>
      <c r="V40" s="32"/>
      <c r="W40" s="30"/>
      <c r="X40" s="15"/>
      <c r="Y40" s="25"/>
      <c r="Z40" s="27"/>
      <c r="AB40" s="3"/>
    </row>
    <row r="41" spans="1:28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74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1:28">
      <c r="M42" s="9"/>
      <c r="N42" s="9"/>
      <c r="O42" s="9"/>
      <c r="P42" s="10"/>
      <c r="Q42" s="9"/>
      <c r="R42" s="9"/>
      <c r="S42" s="9"/>
      <c r="T42" s="9"/>
      <c r="U42" s="9"/>
    </row>
    <row r="43" spans="1:28" ht="127.5" customHeight="1"/>
    <row r="44" spans="1:28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74"/>
      <c r="Q44" s="65"/>
      <c r="R44" s="65"/>
      <c r="S44" s="65"/>
      <c r="T44" s="65"/>
      <c r="U44" s="65"/>
      <c r="V44" s="65"/>
      <c r="W44" s="65"/>
      <c r="X44" s="65"/>
      <c r="Y44" s="65"/>
      <c r="Z44" s="65"/>
    </row>
  </sheetData>
  <sortState ref="B15:Z39">
    <sortCondition descending="1" ref="Z15:Z39"/>
  </sortState>
  <mergeCells count="10">
    <mergeCell ref="A8:Z8"/>
    <mergeCell ref="A10:Z10"/>
    <mergeCell ref="A11:Z11"/>
    <mergeCell ref="A13:B13"/>
    <mergeCell ref="F13:I13"/>
    <mergeCell ref="J13:M13"/>
    <mergeCell ref="N13:Q13"/>
    <mergeCell ref="R13:U13"/>
    <mergeCell ref="V13:Y13"/>
    <mergeCell ref="Z13:Z14"/>
  </mergeCells>
  <conditionalFormatting sqref="C41:C65519 C1:C9 C12:C14">
    <cfRule type="duplicateValues" dxfId="361" priority="62" stopIfTrue="1"/>
  </conditionalFormatting>
  <conditionalFormatting sqref="C15 C17 C19 C21 C23 C25 C27 C29 C31 C33:C36 C40">
    <cfRule type="duplicateValues" dxfId="360" priority="12"/>
  </conditionalFormatting>
  <conditionalFormatting sqref="C16 C18 C20 C22 C24 C26 C28 C30 C32">
    <cfRule type="duplicateValues" dxfId="359" priority="13"/>
  </conditionalFormatting>
  <conditionalFormatting sqref="C11">
    <cfRule type="duplicateValues" dxfId="358" priority="5" stopIfTrue="1"/>
  </conditionalFormatting>
  <conditionalFormatting sqref="C11">
    <cfRule type="duplicateValues" dxfId="357" priority="6" stopIfTrue="1"/>
  </conditionalFormatting>
  <conditionalFormatting sqref="D11">
    <cfRule type="duplicateValues" dxfId="356" priority="4" stopIfTrue="1"/>
  </conditionalFormatting>
  <conditionalFormatting sqref="C10">
    <cfRule type="duplicateValues" dxfId="355" priority="2" stopIfTrue="1"/>
  </conditionalFormatting>
  <conditionalFormatting sqref="C10">
    <cfRule type="duplicateValues" dxfId="354" priority="3" stopIfTrue="1"/>
  </conditionalFormatting>
  <conditionalFormatting sqref="AB15:AB40">
    <cfRule type="duplicateValues" dxfId="353" priority="7852"/>
  </conditionalFormatting>
  <conditionalFormatting sqref="C37:C39">
    <cfRule type="duplicateValues" dxfId="352" priority="1"/>
  </conditionalFormatting>
  <pageMargins left="0.70866141732283472" right="0.70866141732283472" top="0.74803149606299213" bottom="0.74803149606299213" header="0.31496062992125984" footer="0.31496062992125984"/>
  <pageSetup paperSize="9" scale="50" fitToHeight="2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A8:AE42"/>
  <sheetViews>
    <sheetView showGridLines="0" topLeftCell="A19" zoomScale="70" zoomScaleNormal="70" zoomScaleSheetLayoutView="90" workbookViewId="0">
      <selection activeCell="A15" sqref="A15:A35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8.7109375" style="2" bestFit="1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26.25">
      <c r="A8" s="118" t="s">
        <v>93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20.100000000000001" customHeight="1">
      <c r="A13" s="125" t="s">
        <v>0</v>
      </c>
      <c r="B13" s="125"/>
      <c r="C13" s="65"/>
      <c r="D13" s="65"/>
      <c r="E13" s="66"/>
      <c r="F13" s="125">
        <v>1</v>
      </c>
      <c r="G13" s="125"/>
      <c r="H13" s="125"/>
      <c r="I13" s="126"/>
      <c r="J13" s="127">
        <v>2</v>
      </c>
      <c r="K13" s="125"/>
      <c r="L13" s="125"/>
      <c r="M13" s="126"/>
      <c r="N13" s="127">
        <v>3</v>
      </c>
      <c r="O13" s="125"/>
      <c r="P13" s="125"/>
      <c r="Q13" s="126"/>
      <c r="R13" s="127">
        <v>4</v>
      </c>
      <c r="S13" s="125"/>
      <c r="T13" s="125"/>
      <c r="U13" s="126"/>
      <c r="V13" s="127">
        <v>5</v>
      </c>
      <c r="W13" s="125"/>
      <c r="X13" s="125"/>
      <c r="Y13" s="126"/>
      <c r="Z13" s="117" t="s">
        <v>47</v>
      </c>
    </row>
    <row r="14" spans="1:31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117"/>
    </row>
    <row r="15" spans="1:31" ht="24.95" customHeight="1">
      <c r="A15" s="22">
        <v>1</v>
      </c>
      <c r="B15" s="22">
        <v>1</v>
      </c>
      <c r="C15" s="96">
        <v>906</v>
      </c>
      <c r="D15" s="23" t="str">
        <f>VLOOKUP(C15,PLANILLA,2,FALSE)</f>
        <v>ROJAS Melvin</v>
      </c>
      <c r="E15" s="24" t="str">
        <f>VLOOKUP(C15,PLANILLA,4,FALSE)</f>
        <v>BOBBYS CYCLING TEAM</v>
      </c>
      <c r="F15" s="3">
        <v>0</v>
      </c>
      <c r="G15" s="15">
        <v>0</v>
      </c>
      <c r="H15" s="3">
        <v>1</v>
      </c>
      <c r="I15" s="25">
        <v>200</v>
      </c>
      <c r="J15" s="33">
        <v>0</v>
      </c>
      <c r="K15" s="22">
        <v>0</v>
      </c>
      <c r="L15" s="22">
        <v>1</v>
      </c>
      <c r="M15" s="34">
        <v>200</v>
      </c>
      <c r="N15" s="32">
        <f>IFERROR(VLOOKUP(C15,RESXCC_1,9,FALSE),0)</f>
        <v>2</v>
      </c>
      <c r="O15" s="30"/>
      <c r="P15" s="3">
        <v>1</v>
      </c>
      <c r="Q15" s="34">
        <f>IFERROR(VLOOKUP(P15,'Puntos XCO'!$A$1:$B$63,2,FALSE),0)</f>
        <v>200</v>
      </c>
      <c r="R15" s="16">
        <v>0</v>
      </c>
      <c r="S15" s="3">
        <f>IFERROR(VLOOKUP(R15,'Puntos XCC Menor'!$A$1:$B$15,2,FALSE),0)</f>
        <v>0</v>
      </c>
      <c r="T15" s="15">
        <v>0</v>
      </c>
      <c r="U15" s="39">
        <f>IFERROR(VLOOKUP(T15,'Puntos XCO'!$A$1:$B$63,2,FALSE),0)</f>
        <v>0</v>
      </c>
      <c r="V15" s="16">
        <f>IFERROR(VLOOKUP(C15,RESXCC_1,9,FALSE),0)</f>
        <v>2</v>
      </c>
      <c r="W15" s="15">
        <f>IFERROR(VLOOKUP(V15,'Puntos XCC Mayor'!$A$1:$B$15,2,FALSE),0)</f>
        <v>20</v>
      </c>
      <c r="X15" s="15">
        <f>IFERROR(VLOOKUP(C15,RESXCO,9,FALSE),0)</f>
        <v>1</v>
      </c>
      <c r="Y15" s="25">
        <f>IFERROR(VLOOKUP(X15,'Puntos XCO'!$A$1:$B$63,2,FALSE),0)</f>
        <v>200</v>
      </c>
      <c r="Z15" s="27">
        <f>G15+I15+K15+M15+O15+Q15+S15+U15+W15+Y15</f>
        <v>820</v>
      </c>
      <c r="AB15" s="2"/>
      <c r="AC15" s="13"/>
      <c r="AD15" s="12"/>
      <c r="AE15" s="14"/>
    </row>
    <row r="16" spans="1:31" ht="24.95" customHeight="1">
      <c r="A16" s="22">
        <v>2</v>
      </c>
      <c r="B16" s="22">
        <v>2</v>
      </c>
      <c r="C16" s="96">
        <v>908</v>
      </c>
      <c r="D16" s="23" t="str">
        <f>VLOOKUP(C16,PLANILLA,2,FALSE)</f>
        <v>RODRÍGUEZ Luis Angel</v>
      </c>
      <c r="E16" s="24" t="str">
        <f>VLOOKUP(C16,PLANILLA,4,FALSE)</f>
        <v>JONATHAN.CYCLING/FISIO NORTE</v>
      </c>
      <c r="F16" s="3">
        <v>2</v>
      </c>
      <c r="G16" s="15">
        <v>9</v>
      </c>
      <c r="H16" s="3">
        <v>6</v>
      </c>
      <c r="I16" s="25">
        <v>95</v>
      </c>
      <c r="J16" s="33">
        <v>1</v>
      </c>
      <c r="K16" s="22">
        <v>10</v>
      </c>
      <c r="L16" s="22">
        <v>2</v>
      </c>
      <c r="M16" s="34">
        <v>150</v>
      </c>
      <c r="N16" s="32"/>
      <c r="O16" s="30"/>
      <c r="P16" s="3">
        <v>3</v>
      </c>
      <c r="Q16" s="34">
        <f>IFERROR(VLOOKUP(P16,'Puntos XCO'!$A$1:$B$63,2,FALSE),0)</f>
        <v>120</v>
      </c>
      <c r="R16" s="16">
        <v>1</v>
      </c>
      <c r="S16" s="3">
        <f>IFERROR(VLOOKUP(R16,'Puntos XCC Menor'!$A$1:$B$15,2,FALSE),0)</f>
        <v>10</v>
      </c>
      <c r="T16" s="15">
        <v>2</v>
      </c>
      <c r="U16" s="39">
        <f>IFERROR(VLOOKUP(T16,'Puntos XCO'!$A$1:$B$63,2,FALSE),0)</f>
        <v>150</v>
      </c>
      <c r="V16" s="16">
        <f>IFERROR(VLOOKUP(C16,RESXCC_1,9,FALSE),0)</f>
        <v>3</v>
      </c>
      <c r="W16" s="15">
        <f>IFERROR(VLOOKUP(V16,'Puntos XCC Mayor'!$A$1:$B$15,2,FALSE),0)</f>
        <v>16</v>
      </c>
      <c r="X16" s="15">
        <f>IFERROR(VLOOKUP(C16,RESXCO,9,FALSE),0)</f>
        <v>4</v>
      </c>
      <c r="Y16" s="25">
        <f>IFERROR(VLOOKUP(X16,'Puntos XCO'!$A$1:$B$63,2,FALSE),0)</f>
        <v>110</v>
      </c>
      <c r="Z16" s="27">
        <f>G16+I16+K16+M16+O16+Q16+S16+U16+W16+Y16</f>
        <v>670</v>
      </c>
      <c r="AB16" s="2"/>
      <c r="AC16" s="13"/>
      <c r="AD16" s="12"/>
      <c r="AE16" s="14"/>
    </row>
    <row r="17" spans="1:31" ht="24.95" customHeight="1">
      <c r="A17" s="22">
        <v>3</v>
      </c>
      <c r="B17" s="22">
        <v>3</v>
      </c>
      <c r="C17" s="96">
        <v>903</v>
      </c>
      <c r="D17" s="23" t="str">
        <f>VLOOKUP(C17,PLANILLA,2,FALSE)</f>
        <v>RUBI Luis</v>
      </c>
      <c r="E17" s="24" t="str">
        <f>VLOOKUP(C17,PLANILLA,4,FALSE)</f>
        <v>DUROS COMO ROCA</v>
      </c>
      <c r="F17" s="3">
        <v>3</v>
      </c>
      <c r="G17" s="15">
        <v>8</v>
      </c>
      <c r="H17" s="3">
        <v>9</v>
      </c>
      <c r="I17" s="25">
        <v>80</v>
      </c>
      <c r="J17" s="33">
        <v>3</v>
      </c>
      <c r="K17" s="22">
        <v>8</v>
      </c>
      <c r="L17" s="22">
        <v>5</v>
      </c>
      <c r="M17" s="34">
        <v>100</v>
      </c>
      <c r="N17" s="32"/>
      <c r="O17" s="30"/>
      <c r="P17" s="3">
        <v>5</v>
      </c>
      <c r="Q17" s="34">
        <f>IFERROR(VLOOKUP(P17,'Puntos XCO'!$A$1:$B$63,2,FALSE),0)</f>
        <v>100</v>
      </c>
      <c r="R17" s="16">
        <v>2</v>
      </c>
      <c r="S17" s="3">
        <f>IFERROR(VLOOKUP(R17,'Puntos XCC Menor'!$A$1:$B$15,2,FALSE),0)</f>
        <v>9</v>
      </c>
      <c r="T17" s="15">
        <v>3</v>
      </c>
      <c r="U17" s="39">
        <f>IFERROR(VLOOKUP(T17,'Puntos XCO'!$A$1:$B$63,2,FALSE),0)</f>
        <v>120</v>
      </c>
      <c r="V17" s="16">
        <f>IFERROR(VLOOKUP(C17,RESXCC_1,9,FALSE),0)</f>
        <v>6</v>
      </c>
      <c r="W17" s="15">
        <f>IFERROR(VLOOKUP(V17,'Puntos XCC Mayor'!$A$1:$B$15,2,FALSE),0)</f>
        <v>10</v>
      </c>
      <c r="X17" s="15">
        <f>IFERROR(VLOOKUP(C17,RESXCO,9,FALSE),0)</f>
        <v>6</v>
      </c>
      <c r="Y17" s="25">
        <f>IFERROR(VLOOKUP(X17,'Puntos XCO'!$A$1:$B$63,2,FALSE),0)</f>
        <v>95</v>
      </c>
      <c r="Z17" s="27">
        <f>G17+I17+K17+M17+O17+Q17+S17+U17+W17+Y17</f>
        <v>530</v>
      </c>
      <c r="AB17" s="2"/>
      <c r="AC17" s="13"/>
      <c r="AD17" s="12"/>
      <c r="AE17" s="14"/>
    </row>
    <row r="18" spans="1:31" ht="24.95" customHeight="1">
      <c r="A18" s="22">
        <v>4</v>
      </c>
      <c r="B18" s="22">
        <v>4</v>
      </c>
      <c r="C18" s="96">
        <v>910</v>
      </c>
      <c r="D18" s="23" t="str">
        <f>VLOOKUP(C18,PLANILLA,2,FALSE)</f>
        <v xml:space="preserve">CAMPOS  Marvin </v>
      </c>
      <c r="E18" s="24" t="str">
        <f>VLOOKUP(C18,PLANILLA,4,FALSE)</f>
        <v>BELEN TEAM</v>
      </c>
      <c r="F18" s="3">
        <v>5</v>
      </c>
      <c r="G18" s="15">
        <v>6</v>
      </c>
      <c r="H18" s="3">
        <v>5</v>
      </c>
      <c r="I18" s="25">
        <v>100</v>
      </c>
      <c r="J18" s="33">
        <v>0</v>
      </c>
      <c r="K18" s="22">
        <v>0</v>
      </c>
      <c r="L18" s="22">
        <v>0</v>
      </c>
      <c r="M18" s="34">
        <v>0</v>
      </c>
      <c r="N18" s="32"/>
      <c r="O18" s="30"/>
      <c r="P18" s="3">
        <v>4</v>
      </c>
      <c r="Q18" s="34">
        <f>IFERROR(VLOOKUP(P18,'Puntos XCO'!$A$1:$B$63,2,FALSE),0)</f>
        <v>110</v>
      </c>
      <c r="R18" s="16">
        <v>0</v>
      </c>
      <c r="S18" s="3">
        <f>IFERROR(VLOOKUP(R18,'Puntos XCC Menor'!$A$1:$B$15,2,FALSE),0)</f>
        <v>0</v>
      </c>
      <c r="T18" s="15">
        <v>1</v>
      </c>
      <c r="U18" s="39">
        <f>IFERROR(VLOOKUP(T18,'Puntos XCO'!$A$1:$B$63,2,FALSE),0)</f>
        <v>200</v>
      </c>
      <c r="V18" s="16">
        <f>IFERROR(VLOOKUP(C18,RESXCC_1,9,FALSE),0)</f>
        <v>5</v>
      </c>
      <c r="W18" s="15">
        <f>IFERROR(VLOOKUP(V18,'Puntos XCC Mayor'!$A$1:$B$15,2,FALSE),0)</f>
        <v>12</v>
      </c>
      <c r="X18" s="15">
        <f>IFERROR(VLOOKUP(C18,RESXCO,9,FALSE),0)</f>
        <v>7</v>
      </c>
      <c r="Y18" s="25">
        <f>IFERROR(VLOOKUP(X18,'Puntos XCO'!$A$1:$B$63,2,FALSE),0)</f>
        <v>90</v>
      </c>
      <c r="Z18" s="27">
        <f>G18+I18+K18+M18+O18+Q18+S18+U18+W18+Y18</f>
        <v>518</v>
      </c>
      <c r="AB18" s="2"/>
      <c r="AC18" s="13"/>
      <c r="AD18" s="12"/>
      <c r="AE18" s="14"/>
    </row>
    <row r="19" spans="1:31" ht="24.95" customHeight="1">
      <c r="A19" s="22">
        <v>5</v>
      </c>
      <c r="B19" s="22">
        <v>7</v>
      </c>
      <c r="C19" s="96">
        <v>902</v>
      </c>
      <c r="D19" s="23" t="str">
        <f>VLOOKUP(C19,PLANILLA,2,FALSE)</f>
        <v>MUÑOZ German</v>
      </c>
      <c r="E19" s="24" t="str">
        <f>VLOOKUP(C19,PLANILLA,4,FALSE)</f>
        <v>TREK</v>
      </c>
      <c r="F19" s="3">
        <v>1</v>
      </c>
      <c r="G19" s="15">
        <v>10</v>
      </c>
      <c r="H19" s="3">
        <v>2</v>
      </c>
      <c r="I19" s="25">
        <v>150</v>
      </c>
      <c r="J19" s="33">
        <v>0</v>
      </c>
      <c r="K19" s="22">
        <v>0</v>
      </c>
      <c r="L19" s="22">
        <v>0</v>
      </c>
      <c r="M19" s="34">
        <v>0</v>
      </c>
      <c r="N19" s="32"/>
      <c r="O19" s="30"/>
      <c r="P19" s="3">
        <v>2</v>
      </c>
      <c r="Q19" s="34">
        <f>IFERROR(VLOOKUP(P19,'Puntos XCO'!$A$1:$B$63,2,FALSE),0)</f>
        <v>150</v>
      </c>
      <c r="R19" s="16">
        <v>0</v>
      </c>
      <c r="S19" s="3">
        <f>IFERROR(VLOOKUP(R19,'Puntos XCC Menor'!$A$1:$B$15,2,FALSE),0)</f>
        <v>0</v>
      </c>
      <c r="T19" s="15">
        <v>0</v>
      </c>
      <c r="U19" s="39">
        <f>IFERROR(VLOOKUP(T19,'Puntos XCO'!$A$1:$B$63,2,FALSE),0)</f>
        <v>0</v>
      </c>
      <c r="V19" s="16">
        <f>IFERROR(VLOOKUP(C19,RESXCC_1,9,FALSE),0)</f>
        <v>1</v>
      </c>
      <c r="W19" s="15">
        <f>IFERROR(VLOOKUP(V19,'Puntos XCC Mayor'!$A$1:$B$15,2,FALSE),0)</f>
        <v>25</v>
      </c>
      <c r="X19" s="15">
        <f>IFERROR(VLOOKUP(C19,RESXCO,9,FALSE),0)</f>
        <v>2</v>
      </c>
      <c r="Y19" s="25">
        <f>IFERROR(VLOOKUP(X19,'Puntos XCO'!$A$1:$B$63,2,FALSE),0)</f>
        <v>150</v>
      </c>
      <c r="Z19" s="27">
        <f>G19+I19+K19+M19+O19+Q19+S19+U19+W19+Y19</f>
        <v>485</v>
      </c>
      <c r="AB19" s="2"/>
      <c r="AC19" s="13"/>
      <c r="AD19" s="12"/>
      <c r="AE19" s="14"/>
    </row>
    <row r="20" spans="1:31" ht="24.95" customHeight="1">
      <c r="A20" s="22">
        <v>6</v>
      </c>
      <c r="B20" s="22">
        <v>5</v>
      </c>
      <c r="C20" s="96">
        <v>905</v>
      </c>
      <c r="D20" s="23" t="str">
        <f>VLOOKUP(C20,PLANILLA,2,FALSE)</f>
        <v xml:space="preserve">MONGE Freizer </v>
      </c>
      <c r="E20" s="24" t="str">
        <f>VLOOKUP(C20,PLANILLA,4,FALSE)</f>
        <v>HOTEL WHYNDAN - MENSAJERÍA M.A.,JAVA</v>
      </c>
      <c r="F20" s="3">
        <v>8</v>
      </c>
      <c r="G20" s="15">
        <v>3</v>
      </c>
      <c r="H20" s="3">
        <v>11</v>
      </c>
      <c r="I20" s="25">
        <v>76</v>
      </c>
      <c r="J20" s="33">
        <v>7</v>
      </c>
      <c r="K20" s="22">
        <v>4</v>
      </c>
      <c r="L20" s="22">
        <v>12</v>
      </c>
      <c r="M20" s="34">
        <v>74</v>
      </c>
      <c r="N20" s="32"/>
      <c r="O20" s="30"/>
      <c r="P20" s="3">
        <v>7</v>
      </c>
      <c r="Q20" s="34">
        <f>IFERROR(VLOOKUP(P20,'Puntos XCO'!$A$1:$B$63,2,FALSE),0)</f>
        <v>90</v>
      </c>
      <c r="R20" s="16">
        <v>3</v>
      </c>
      <c r="S20" s="3">
        <f>IFERROR(VLOOKUP(R20,'Puntos XCC Menor'!$A$1:$B$15,2,FALSE),0)</f>
        <v>8</v>
      </c>
      <c r="T20" s="15">
        <v>5</v>
      </c>
      <c r="U20" s="39">
        <f>IFERROR(VLOOKUP(T20,'Puntos XCO'!$A$1:$B$63,2,FALSE),0)</f>
        <v>100</v>
      </c>
      <c r="V20" s="16">
        <f>IFERROR(VLOOKUP(C20,RESXCC_1,9,FALSE),0)</f>
        <v>12</v>
      </c>
      <c r="W20" s="15">
        <f>IFERROR(VLOOKUP(V20,'Puntos XCC Mayor'!$A$1:$B$15,2,FALSE),0)</f>
        <v>4</v>
      </c>
      <c r="X20" s="15">
        <f>IFERROR(VLOOKUP(C20,RESXCO,9,FALSE),0)</f>
        <v>10</v>
      </c>
      <c r="Y20" s="25">
        <f>IFERROR(VLOOKUP(X20,'Puntos XCO'!$A$1:$B$63,2,FALSE),0)</f>
        <v>78</v>
      </c>
      <c r="Z20" s="27">
        <f>G20+I20+K20+M20+O20+Q20+S20+U20+W20+Y20</f>
        <v>437</v>
      </c>
      <c r="AB20" s="2"/>
      <c r="AC20" s="13"/>
      <c r="AD20" s="12"/>
      <c r="AE20" s="14"/>
    </row>
    <row r="21" spans="1:31" ht="24.95" customHeight="1">
      <c r="A21" s="22">
        <v>7</v>
      </c>
      <c r="B21" s="22">
        <v>6</v>
      </c>
      <c r="C21" s="96">
        <v>913</v>
      </c>
      <c r="D21" s="23" t="str">
        <f>VLOOKUP(C21,PLANILLA,2,FALSE)</f>
        <v xml:space="preserve">CAMPOS Luis Javier </v>
      </c>
      <c r="E21" s="24" t="str">
        <f>VLOOKUP(C21,PLANILLA,4,FALSE)</f>
        <v>NUMU COACHING</v>
      </c>
      <c r="F21" s="3">
        <v>0</v>
      </c>
      <c r="G21" s="15">
        <v>0</v>
      </c>
      <c r="H21" s="3">
        <v>12</v>
      </c>
      <c r="I21" s="25">
        <v>74</v>
      </c>
      <c r="J21" s="33">
        <v>8</v>
      </c>
      <c r="K21" s="22">
        <v>3</v>
      </c>
      <c r="L21" s="22">
        <v>13</v>
      </c>
      <c r="M21" s="34">
        <v>72</v>
      </c>
      <c r="N21" s="32"/>
      <c r="O21" s="30"/>
      <c r="P21" s="3">
        <v>9</v>
      </c>
      <c r="Q21" s="34">
        <f>IFERROR(VLOOKUP(P21,'Puntos XCO'!$A$1:$B$63,2,FALSE),0)</f>
        <v>80</v>
      </c>
      <c r="R21" s="16">
        <v>4</v>
      </c>
      <c r="S21" s="3">
        <f>IFERROR(VLOOKUP(R21,'Puntos XCC Menor'!$A$1:$B$15,2,FALSE),0)</f>
        <v>7</v>
      </c>
      <c r="T21" s="15">
        <v>4</v>
      </c>
      <c r="U21" s="39">
        <f>IFERROR(VLOOKUP(T21,'Puntos XCO'!$A$1:$B$63,2,FALSE),0)</f>
        <v>110</v>
      </c>
      <c r="V21" s="16">
        <f>IFERROR(VLOOKUP(C21,RESXCC_1,9,FALSE),0)</f>
        <v>11</v>
      </c>
      <c r="W21" s="15">
        <f>IFERROR(VLOOKUP(V21,'Puntos XCC Mayor'!$A$1:$B$15,2,FALSE),0)</f>
        <v>5</v>
      </c>
      <c r="X21" s="15">
        <f>IFERROR(VLOOKUP(C21,RESXCO,9,FALSE),0)</f>
        <v>11</v>
      </c>
      <c r="Y21" s="25">
        <f>IFERROR(VLOOKUP(X21,'Puntos XCO'!$A$1:$B$63,2,FALSE),0)</f>
        <v>76</v>
      </c>
      <c r="Z21" s="27">
        <f>G21+I21+K21+M21+O21+Q21+S21+U21+W21+Y21</f>
        <v>427</v>
      </c>
      <c r="AB21" s="2"/>
      <c r="AC21" s="13"/>
      <c r="AD21" s="12"/>
      <c r="AE21" s="14"/>
    </row>
    <row r="22" spans="1:31" ht="24.95" customHeight="1">
      <c r="A22" s="22">
        <v>8</v>
      </c>
      <c r="B22" s="22">
        <v>8</v>
      </c>
      <c r="C22" s="96">
        <v>911</v>
      </c>
      <c r="D22" s="23" t="str">
        <f>VLOOKUP(C22,PLANILLA,2,FALSE)</f>
        <v xml:space="preserve">SALAS  Mauricio </v>
      </c>
      <c r="E22" s="24" t="str">
        <f>VLOOKUP(C22,PLANILLA,4,FALSE)</f>
        <v xml:space="preserve">AUTOS SALAS </v>
      </c>
      <c r="F22" s="3">
        <v>0</v>
      </c>
      <c r="G22" s="15">
        <v>0</v>
      </c>
      <c r="H22" s="3">
        <v>4</v>
      </c>
      <c r="I22" s="25">
        <v>110</v>
      </c>
      <c r="J22" s="33">
        <v>2</v>
      </c>
      <c r="K22" s="22">
        <v>9</v>
      </c>
      <c r="L22" s="22">
        <v>3</v>
      </c>
      <c r="M22" s="34">
        <v>120</v>
      </c>
      <c r="N22" s="32"/>
      <c r="O22" s="30"/>
      <c r="P22" s="3">
        <v>0</v>
      </c>
      <c r="Q22" s="34">
        <f>IFERROR(VLOOKUP(P22,'Puntos XCO'!$A$1:$B$63,2,FALSE),0)</f>
        <v>0</v>
      </c>
      <c r="R22" s="16">
        <v>0</v>
      </c>
      <c r="S22" s="3">
        <f>IFERROR(VLOOKUP(R22,'Puntos XCC Menor'!$A$1:$B$15,2,FALSE),0)</f>
        <v>0</v>
      </c>
      <c r="T22" s="15">
        <v>0</v>
      </c>
      <c r="U22" s="39">
        <f>IFERROR(VLOOKUP(T22,'Puntos XCO'!$A$1:$B$63,2,FALSE),0)</f>
        <v>0</v>
      </c>
      <c r="V22" s="16">
        <f>IFERROR(VLOOKUP(C22,RESXCC_1,9,FALSE),0)</f>
        <v>4</v>
      </c>
      <c r="W22" s="15">
        <f>IFERROR(VLOOKUP(V22,'Puntos XCC Mayor'!$A$1:$B$15,2,FALSE),0)</f>
        <v>14</v>
      </c>
      <c r="X22" s="15">
        <f>IFERROR(VLOOKUP(C22,RESXCO,9,FALSE),0)</f>
        <v>3</v>
      </c>
      <c r="Y22" s="25">
        <f>IFERROR(VLOOKUP(X22,'Puntos XCO'!$A$1:$B$63,2,FALSE),0)</f>
        <v>120</v>
      </c>
      <c r="Z22" s="27">
        <f>G22+I22+K22+M22+O22+Q22+S22+U22+W22+Y22</f>
        <v>373</v>
      </c>
      <c r="AB22" s="3"/>
    </row>
    <row r="23" spans="1:31" ht="24.95" customHeight="1">
      <c r="A23" s="22">
        <v>9</v>
      </c>
      <c r="B23" s="22">
        <v>9</v>
      </c>
      <c r="C23" s="96">
        <v>904</v>
      </c>
      <c r="D23" s="23" t="str">
        <f>VLOOKUP(C23,PLANILLA,2,FALSE)</f>
        <v>VALVERDE Wiliiam</v>
      </c>
      <c r="E23" s="24" t="str">
        <f>VLOOKUP(C23,PLANILLA,4,FALSE)</f>
        <v>BOBBYS CYCLING TEAM</v>
      </c>
      <c r="F23" s="3">
        <v>6</v>
      </c>
      <c r="G23" s="15">
        <v>5</v>
      </c>
      <c r="H23" s="3">
        <v>7</v>
      </c>
      <c r="I23" s="25">
        <v>90</v>
      </c>
      <c r="J23" s="33">
        <v>4</v>
      </c>
      <c r="K23" s="22">
        <v>7</v>
      </c>
      <c r="L23" s="22">
        <v>9</v>
      </c>
      <c r="M23" s="34">
        <v>80</v>
      </c>
      <c r="N23" s="32"/>
      <c r="O23" s="30"/>
      <c r="P23" s="3">
        <v>0</v>
      </c>
      <c r="Q23" s="34">
        <f>IFERROR(VLOOKUP(P23,'Puntos XCO'!$A$1:$B$63,2,FALSE),0)</f>
        <v>0</v>
      </c>
      <c r="R23" s="16">
        <v>0</v>
      </c>
      <c r="S23" s="3">
        <f>IFERROR(VLOOKUP(R23,'Puntos XCC Menor'!$A$1:$B$15,2,FALSE),0)</f>
        <v>0</v>
      </c>
      <c r="T23" s="15">
        <v>0</v>
      </c>
      <c r="U23" s="39">
        <f>IFERROR(VLOOKUP(T23,'Puntos XCO'!$A$1:$B$63,2,FALSE),0)</f>
        <v>0</v>
      </c>
      <c r="V23" s="16">
        <f>IFERROR(VLOOKUP(C23,RESXCC_1,9,FALSE),0)</f>
        <v>7</v>
      </c>
      <c r="W23" s="15">
        <f>IFERROR(VLOOKUP(V23,'Puntos XCC Mayor'!$A$1:$B$15,2,FALSE),0)</f>
        <v>9</v>
      </c>
      <c r="X23" s="15">
        <f>IFERROR(VLOOKUP(C23,RESXCO,9,FALSE),0)</f>
        <v>8</v>
      </c>
      <c r="Y23" s="25">
        <f>IFERROR(VLOOKUP(X23,'Puntos XCO'!$A$1:$B$63,2,FALSE),0)</f>
        <v>85</v>
      </c>
      <c r="Z23" s="27">
        <f>G23+I23+K23+M23+O23+Q23+S23+U23+W23+Y23</f>
        <v>276</v>
      </c>
      <c r="AB23" s="3"/>
    </row>
    <row r="24" spans="1:31" ht="24.95" customHeight="1">
      <c r="A24" s="22">
        <v>10</v>
      </c>
      <c r="B24" s="22">
        <v>11</v>
      </c>
      <c r="C24" s="96">
        <v>907</v>
      </c>
      <c r="D24" s="23" t="str">
        <f>VLOOKUP(C24,PLANILLA,2,FALSE)</f>
        <v xml:space="preserve">CASTRO  Martín </v>
      </c>
      <c r="E24" s="24" t="str">
        <f>VLOOKUP(C24,PLANILLA,4,FALSE)</f>
        <v>CCSOLDADURAS BIORACER CR</v>
      </c>
      <c r="F24" s="3">
        <v>4</v>
      </c>
      <c r="G24" s="15">
        <v>7</v>
      </c>
      <c r="H24" s="3">
        <v>0</v>
      </c>
      <c r="I24" s="25">
        <v>0</v>
      </c>
      <c r="J24" s="33">
        <v>6</v>
      </c>
      <c r="K24" s="22">
        <v>5</v>
      </c>
      <c r="L24" s="22">
        <v>4</v>
      </c>
      <c r="M24" s="34">
        <v>110</v>
      </c>
      <c r="N24" s="32"/>
      <c r="O24" s="30"/>
      <c r="P24" s="3">
        <v>0</v>
      </c>
      <c r="Q24" s="34">
        <f>IFERROR(VLOOKUP(P24,'Puntos XCO'!$A$1:$B$63,2,FALSE),0)</f>
        <v>0</v>
      </c>
      <c r="R24" s="16">
        <v>0</v>
      </c>
      <c r="S24" s="3">
        <f>IFERROR(VLOOKUP(R24,'Puntos XCC Menor'!$A$1:$B$15,2,FALSE),0)</f>
        <v>0</v>
      </c>
      <c r="T24" s="15">
        <v>0</v>
      </c>
      <c r="U24" s="39">
        <f>IFERROR(VLOOKUP(T24,'Puntos XCO'!$A$1:$B$63,2,FALSE),0)</f>
        <v>0</v>
      </c>
      <c r="V24" s="16">
        <f>IFERROR(VLOOKUP(C24,RESXCC_1,9,FALSE),0)</f>
        <v>9</v>
      </c>
      <c r="W24" s="15">
        <f>IFERROR(VLOOKUP(V24,'Puntos XCC Mayor'!$A$1:$B$15,2,FALSE),0)</f>
        <v>7</v>
      </c>
      <c r="X24" s="15">
        <f>IFERROR(VLOOKUP(C24,RESXCO,9,FALSE),0)</f>
        <v>5</v>
      </c>
      <c r="Y24" s="25">
        <f>IFERROR(VLOOKUP(X24,'Puntos XCO'!$A$1:$B$63,2,FALSE),0)</f>
        <v>100</v>
      </c>
      <c r="Z24" s="27">
        <f>G24+I24+K24+M24+O24+Q24+S24+U24+W24+Y24</f>
        <v>229</v>
      </c>
      <c r="AB24" s="3"/>
    </row>
    <row r="25" spans="1:31" ht="24.95" customHeight="1">
      <c r="A25" s="22">
        <v>11</v>
      </c>
      <c r="B25" s="22">
        <v>15</v>
      </c>
      <c r="C25" s="22">
        <v>922</v>
      </c>
      <c r="D25" s="23" t="str">
        <f>VLOOKUP(C25,PLANILLA,2,FALSE)</f>
        <v>MORA Alexander Alfredo</v>
      </c>
      <c r="E25" s="24" t="str">
        <f>VLOOKUP(C25,PLANILLA,4,FALSE)</f>
        <v>TEAM CORECO/MOMENTUM SPORT</v>
      </c>
      <c r="F25" s="3"/>
      <c r="G25" s="15"/>
      <c r="H25" s="15"/>
      <c r="I25" s="25"/>
      <c r="J25" s="33"/>
      <c r="K25" s="22"/>
      <c r="L25" s="22"/>
      <c r="M25" s="34"/>
      <c r="N25" s="16"/>
      <c r="O25" s="15"/>
      <c r="P25" s="3">
        <v>8</v>
      </c>
      <c r="Q25" s="34">
        <f>IFERROR(VLOOKUP(P25,'Puntos XCO'!$A$1:$B$63,2,FALSE),0)</f>
        <v>85</v>
      </c>
      <c r="R25" s="16">
        <v>5</v>
      </c>
      <c r="S25" s="3">
        <f>IFERROR(VLOOKUP(R25,'Puntos XCC Menor'!$A$1:$B$15,2,FALSE),0)</f>
        <v>6</v>
      </c>
      <c r="T25" s="15">
        <v>0</v>
      </c>
      <c r="U25" s="39">
        <f>IFERROR(VLOOKUP(T25,'Puntos XCO'!$A$1:$B$63,2,FALSE),0)</f>
        <v>0</v>
      </c>
      <c r="V25" s="16">
        <f>IFERROR(VLOOKUP(C25,RESXCC_1,9,FALSE),0)</f>
        <v>13</v>
      </c>
      <c r="W25" s="15">
        <f>IFERROR(VLOOKUP(V25,'Puntos XCC Mayor'!$A$1:$B$15,2,FALSE),0)</f>
        <v>3</v>
      </c>
      <c r="X25" s="15">
        <f>IFERROR(VLOOKUP(C25,RESXCO,9,FALSE),0)</f>
        <v>12</v>
      </c>
      <c r="Y25" s="25">
        <f>IFERROR(VLOOKUP(X25,'Puntos XCO'!$A$1:$B$63,2,FALSE),0)</f>
        <v>74</v>
      </c>
      <c r="Z25" s="27">
        <f>G25+I25+K25+M25+O25+Q25+S25+U25+W25+Y25</f>
        <v>168</v>
      </c>
      <c r="AB25" s="3"/>
    </row>
    <row r="26" spans="1:31" ht="24.95" customHeight="1">
      <c r="A26" s="22">
        <v>12</v>
      </c>
      <c r="B26" s="22">
        <v>10</v>
      </c>
      <c r="C26" s="96">
        <v>909</v>
      </c>
      <c r="D26" s="23" t="str">
        <f>VLOOKUP(C26,PLANILLA,2,FALSE)</f>
        <v xml:space="preserve">SOLANO Cristian </v>
      </c>
      <c r="E26" s="24" t="str">
        <f>VLOOKUP(C26,PLANILLA,4,FALSE)</f>
        <v>TEAM RRS-FR-ACADEMIA AR</v>
      </c>
      <c r="F26" s="3">
        <v>7</v>
      </c>
      <c r="G26" s="15">
        <v>4</v>
      </c>
      <c r="H26" s="3">
        <v>10</v>
      </c>
      <c r="I26" s="25">
        <v>78</v>
      </c>
      <c r="J26" s="33">
        <v>0</v>
      </c>
      <c r="K26" s="22">
        <v>0</v>
      </c>
      <c r="L26" s="22">
        <v>11</v>
      </c>
      <c r="M26" s="34">
        <v>76</v>
      </c>
      <c r="N26" s="32"/>
      <c r="O26" s="30"/>
      <c r="P26" s="3">
        <v>0</v>
      </c>
      <c r="Q26" s="34">
        <f>IFERROR(VLOOKUP(P26,'Puntos XCO'!$A$1:$B$63,2,FALSE),0)</f>
        <v>0</v>
      </c>
      <c r="R26" s="16">
        <v>0</v>
      </c>
      <c r="S26" s="3">
        <f>IFERROR(VLOOKUP(R26,'Puntos XCC Menor'!$A$1:$B$15,2,FALSE),0)</f>
        <v>0</v>
      </c>
      <c r="T26" s="15">
        <v>0</v>
      </c>
      <c r="U26" s="39">
        <f>IFERROR(VLOOKUP(T26,'Puntos XCO'!$A$1:$B$63,2,FALSE),0)</f>
        <v>0</v>
      </c>
      <c r="V26" s="16">
        <f>IFERROR(VLOOKUP(C26,RESXCC_1,9,FALSE),0)</f>
        <v>0</v>
      </c>
      <c r="W26" s="15">
        <f>IFERROR(VLOOKUP(V26,'Puntos XCC Mayor'!$A$1:$B$15,2,FALSE),0)</f>
        <v>0</v>
      </c>
      <c r="X26" s="15">
        <f>IFERROR(VLOOKUP(C26,RESXCO,9,FALSE),0)</f>
        <v>0</v>
      </c>
      <c r="Y26" s="25">
        <f>IFERROR(VLOOKUP(X26,'Puntos XCO'!$A$1:$B$63,2,FALSE),0)</f>
        <v>0</v>
      </c>
      <c r="Z26" s="27">
        <f>G26+I26+K26+M26+O26+Q26+S26+U26+W26+Y26</f>
        <v>158</v>
      </c>
      <c r="AB26" s="3"/>
    </row>
    <row r="27" spans="1:31" ht="24.95" customHeight="1">
      <c r="A27" s="22">
        <v>13</v>
      </c>
      <c r="B27" s="22">
        <v>12</v>
      </c>
      <c r="C27" s="96">
        <v>901</v>
      </c>
      <c r="D27" s="23" t="str">
        <f>VLOOKUP(C27,PLANILLA,2,FALSE)</f>
        <v>SOLIS Marco</v>
      </c>
      <c r="E27" s="24" t="str">
        <f>VLOOKUP(C27,PLANILLA,4,FALSE)</f>
        <v xml:space="preserve">CICLO VICTOR VARGAS </v>
      </c>
      <c r="F27" s="3">
        <v>0</v>
      </c>
      <c r="G27" s="15">
        <v>0</v>
      </c>
      <c r="H27" s="3">
        <v>3</v>
      </c>
      <c r="I27" s="25">
        <v>120</v>
      </c>
      <c r="J27" s="33">
        <v>0</v>
      </c>
      <c r="K27" s="22">
        <v>0</v>
      </c>
      <c r="L27" s="22">
        <v>0</v>
      </c>
      <c r="M27" s="34">
        <v>0</v>
      </c>
      <c r="N27" s="32"/>
      <c r="O27" s="30"/>
      <c r="P27" s="3">
        <v>0</v>
      </c>
      <c r="Q27" s="34">
        <f>IFERROR(VLOOKUP(P27,'Puntos XCO'!$A$1:$B$63,2,FALSE),0)</f>
        <v>0</v>
      </c>
      <c r="R27" s="16">
        <v>0</v>
      </c>
      <c r="S27" s="3">
        <f>IFERROR(VLOOKUP(R27,'Puntos XCC Menor'!$A$1:$B$15,2,FALSE),0)</f>
        <v>0</v>
      </c>
      <c r="T27" s="15">
        <v>0</v>
      </c>
      <c r="U27" s="39">
        <f>IFERROR(VLOOKUP(T27,'Puntos XCO'!$A$1:$B$63,2,FALSE),0)</f>
        <v>0</v>
      </c>
      <c r="V27" s="16">
        <f>IFERROR(VLOOKUP(C27,RESXCC_1,9,FALSE),0)</f>
        <v>0</v>
      </c>
      <c r="W27" s="15">
        <f>IFERROR(VLOOKUP(V27,'Puntos XCC Mayor'!$A$1:$B$15,2,FALSE),0)</f>
        <v>0</v>
      </c>
      <c r="X27" s="15">
        <f>IFERROR(VLOOKUP(C27,RESXCO,9,FALSE),0)</f>
        <v>0</v>
      </c>
      <c r="Y27" s="25">
        <f>IFERROR(VLOOKUP(X27,'Puntos XCO'!$A$1:$B$63,2,FALSE),0)</f>
        <v>0</v>
      </c>
      <c r="Z27" s="27">
        <f>G27+I27+K27+M27+O27+Q27+S27+U27+W27+Y27</f>
        <v>120</v>
      </c>
      <c r="AB27" s="3"/>
    </row>
    <row r="28" spans="1:31" ht="24.95" customHeight="1">
      <c r="A28" s="22">
        <v>14</v>
      </c>
      <c r="B28" s="22">
        <v>13</v>
      </c>
      <c r="C28" s="96">
        <v>916</v>
      </c>
      <c r="D28" s="23" t="str">
        <f>VLOOKUP(C28,PLANILLA,2,FALSE)</f>
        <v>VARGAS Dennis</v>
      </c>
      <c r="E28" s="24" t="str">
        <f>VLOOKUP(C28,PLANILLA,4,FALSE)</f>
        <v>X3ME/SPECIALIZED</v>
      </c>
      <c r="F28" s="3"/>
      <c r="G28" s="15"/>
      <c r="H28" s="3"/>
      <c r="I28" s="25"/>
      <c r="J28" s="33">
        <v>5</v>
      </c>
      <c r="K28" s="22">
        <v>6</v>
      </c>
      <c r="L28" s="22">
        <v>6</v>
      </c>
      <c r="M28" s="34">
        <v>95</v>
      </c>
      <c r="N28" s="32"/>
      <c r="O28" s="30"/>
      <c r="P28" s="3">
        <v>0</v>
      </c>
      <c r="Q28" s="34">
        <f>IFERROR(VLOOKUP(P28,'Puntos XCO'!$A$1:$B$63,2,FALSE),0)</f>
        <v>0</v>
      </c>
      <c r="R28" s="16">
        <v>0</v>
      </c>
      <c r="S28" s="3">
        <f>IFERROR(VLOOKUP(R28,'Puntos XCC Menor'!$A$1:$B$15,2,FALSE),0)</f>
        <v>0</v>
      </c>
      <c r="T28" s="15">
        <v>0</v>
      </c>
      <c r="U28" s="39">
        <f>IFERROR(VLOOKUP(T28,'Puntos XCO'!$A$1:$B$63,2,FALSE),0)</f>
        <v>0</v>
      </c>
      <c r="V28" s="16">
        <f>IFERROR(VLOOKUP(C28,RESXCC_1,9,FALSE),0)</f>
        <v>0</v>
      </c>
      <c r="W28" s="15">
        <f>IFERROR(VLOOKUP(V28,'Puntos XCC Mayor'!$A$1:$B$15,2,FALSE),0)</f>
        <v>0</v>
      </c>
      <c r="X28" s="15">
        <f>IFERROR(VLOOKUP(C28,RESXCO,9,FALSE),0)</f>
        <v>0</v>
      </c>
      <c r="Y28" s="25">
        <f>IFERROR(VLOOKUP(X28,'Puntos XCO'!$A$1:$B$63,2,FALSE),0)</f>
        <v>0</v>
      </c>
      <c r="Z28" s="27">
        <f>G28+I28+K28+M28+O28+Q28+S28+U28+W28+Y28</f>
        <v>101</v>
      </c>
      <c r="AB28" s="3"/>
    </row>
    <row r="29" spans="1:31" ht="24.95" customHeight="1">
      <c r="A29" s="22">
        <v>15</v>
      </c>
      <c r="B29" s="22">
        <v>14</v>
      </c>
      <c r="C29" s="22">
        <v>921</v>
      </c>
      <c r="D29" s="23" t="str">
        <f>VLOOKUP(C29,PLANILLA,2,FALSE)</f>
        <v>GONZALEZ Alejandro</v>
      </c>
      <c r="E29" s="24" t="str">
        <f>VLOOKUP(C29,PLANILLA,4,FALSE)</f>
        <v>S/E</v>
      </c>
      <c r="F29" s="3"/>
      <c r="G29" s="15"/>
      <c r="H29" s="15"/>
      <c r="I29" s="25"/>
      <c r="J29" s="33"/>
      <c r="K29" s="22"/>
      <c r="L29" s="22"/>
      <c r="M29" s="34"/>
      <c r="N29" s="16"/>
      <c r="O29" s="15"/>
      <c r="P29" s="3">
        <v>6</v>
      </c>
      <c r="Q29" s="34">
        <f>IFERROR(VLOOKUP(P29,'Puntos XCO'!$A$1:$B$63,2,FALSE),0)</f>
        <v>95</v>
      </c>
      <c r="R29" s="16">
        <v>0</v>
      </c>
      <c r="S29" s="3">
        <f>IFERROR(VLOOKUP(R29,'Puntos XCC Menor'!$A$1:$B$15,2,FALSE),0)</f>
        <v>0</v>
      </c>
      <c r="T29" s="15">
        <v>0</v>
      </c>
      <c r="U29" s="39">
        <f>IFERROR(VLOOKUP(T29,'Puntos XCO'!$A$1:$B$63,2,FALSE),0)</f>
        <v>0</v>
      </c>
      <c r="V29" s="16">
        <f>IFERROR(VLOOKUP(C29,RESXCC_1,9,FALSE),0)</f>
        <v>0</v>
      </c>
      <c r="W29" s="15">
        <f>IFERROR(VLOOKUP(V29,'Puntos XCC Mayor'!$A$1:$B$15,2,FALSE),0)</f>
        <v>0</v>
      </c>
      <c r="X29" s="15">
        <f>IFERROR(VLOOKUP(C29,RESXCO,9,FALSE),0)</f>
        <v>0</v>
      </c>
      <c r="Y29" s="25">
        <f>IFERROR(VLOOKUP(X29,'Puntos XCO'!$A$1:$B$63,2,FALSE),0)</f>
        <v>0</v>
      </c>
      <c r="Z29" s="27">
        <f>G29+I29+K29+M29+O29+Q29+S29+U29+W29+Y29</f>
        <v>95</v>
      </c>
      <c r="AB29" s="3"/>
    </row>
    <row r="30" spans="1:31" ht="24.95" customHeight="1">
      <c r="A30" s="22">
        <v>16</v>
      </c>
      <c r="B30" s="22">
        <v>16</v>
      </c>
      <c r="C30" s="96">
        <v>918</v>
      </c>
      <c r="D30" s="23" t="str">
        <f>VLOOKUP(C30,PLANILLA,2,FALSE)</f>
        <v xml:space="preserve">ULLOA  Warner </v>
      </c>
      <c r="E30" s="24" t="str">
        <f>VLOOKUP(C30,PLANILLA,4,FALSE)</f>
        <v xml:space="preserve">INDEPENDIENTE </v>
      </c>
      <c r="F30" s="3"/>
      <c r="G30" s="15"/>
      <c r="H30" s="3"/>
      <c r="I30" s="25"/>
      <c r="J30" s="33">
        <v>0</v>
      </c>
      <c r="K30" s="22">
        <v>0</v>
      </c>
      <c r="L30" s="22">
        <v>7</v>
      </c>
      <c r="M30" s="34">
        <v>90</v>
      </c>
      <c r="N30" s="32"/>
      <c r="O30" s="30"/>
      <c r="P30" s="3">
        <v>0</v>
      </c>
      <c r="Q30" s="34">
        <f>IFERROR(VLOOKUP(P30,'Puntos XCO'!$A$1:$B$63,2,FALSE),0)</f>
        <v>0</v>
      </c>
      <c r="R30" s="16">
        <v>0</v>
      </c>
      <c r="S30" s="3">
        <f>IFERROR(VLOOKUP(R30,'Puntos XCC Menor'!$A$1:$B$15,2,FALSE),0)</f>
        <v>0</v>
      </c>
      <c r="T30" s="15">
        <v>0</v>
      </c>
      <c r="U30" s="39">
        <f>IFERROR(VLOOKUP(T30,'Puntos XCO'!$A$1:$B$63,2,FALSE),0)</f>
        <v>0</v>
      </c>
      <c r="V30" s="16">
        <f>IFERROR(VLOOKUP(C30,RESXCC_1,9,FALSE),0)</f>
        <v>0</v>
      </c>
      <c r="W30" s="15">
        <f>IFERROR(VLOOKUP(V30,'Puntos XCC Mayor'!$A$1:$B$15,2,FALSE),0)</f>
        <v>0</v>
      </c>
      <c r="X30" s="15">
        <f>IFERROR(VLOOKUP(C30,RESXCO,9,FALSE),0)</f>
        <v>0</v>
      </c>
      <c r="Y30" s="25">
        <f>IFERROR(VLOOKUP(X30,'Puntos XCO'!$A$1:$B$63,2,FALSE),0)</f>
        <v>0</v>
      </c>
      <c r="Z30" s="27">
        <f>G30+I30+K30+M30+O30+Q30+S30+U30+W30+Y30</f>
        <v>90</v>
      </c>
      <c r="AB30" s="3"/>
    </row>
    <row r="31" spans="1:31" ht="24.95" customHeight="1">
      <c r="A31" s="22">
        <v>17</v>
      </c>
      <c r="B31" s="3"/>
      <c r="C31" s="96">
        <v>914</v>
      </c>
      <c r="D31" s="23" t="str">
        <f>VLOOKUP(C31,PLANILLA,2,FALSE)</f>
        <v>MENESES Rolando</v>
      </c>
      <c r="E31" s="24" t="str">
        <f>VLOOKUP(C31,PLANILLA,4,FALSE)</f>
        <v>GRUPETA DE LAS 5AM</v>
      </c>
      <c r="F31" s="3">
        <v>0</v>
      </c>
      <c r="G31" s="15">
        <v>0</v>
      </c>
      <c r="H31" s="3">
        <v>0</v>
      </c>
      <c r="I31" s="25">
        <v>0</v>
      </c>
      <c r="J31" s="33">
        <v>0</v>
      </c>
      <c r="K31" s="22">
        <v>0</v>
      </c>
      <c r="L31" s="22">
        <v>0</v>
      </c>
      <c r="M31" s="34">
        <v>0</v>
      </c>
      <c r="N31" s="32"/>
      <c r="O31" s="30"/>
      <c r="P31" s="3">
        <v>0</v>
      </c>
      <c r="Q31" s="34">
        <f>IFERROR(VLOOKUP(P31,'Puntos XCO'!$A$1:$B$63,2,FALSE),0)</f>
        <v>0</v>
      </c>
      <c r="R31" s="16">
        <v>0</v>
      </c>
      <c r="S31" s="3">
        <f>IFERROR(VLOOKUP(R31,'Puntos XCC Menor'!$A$1:$B$15,2,FALSE),0)</f>
        <v>0</v>
      </c>
      <c r="T31" s="15">
        <v>0</v>
      </c>
      <c r="U31" s="39">
        <f>IFERROR(VLOOKUP(T31,'Puntos XCO'!$A$1:$B$63,2,FALSE),0)</f>
        <v>0</v>
      </c>
      <c r="V31" s="16">
        <f>IFERROR(VLOOKUP(C31,RESXCC_1,9,FALSE),0)</f>
        <v>8</v>
      </c>
      <c r="W31" s="15">
        <f>IFERROR(VLOOKUP(V31,'Puntos XCC Mayor'!$A$1:$B$15,2,FALSE),0)</f>
        <v>8</v>
      </c>
      <c r="X31" s="15">
        <f>IFERROR(VLOOKUP(C31,RESXCO,9,FALSE),0)</f>
        <v>9</v>
      </c>
      <c r="Y31" s="25">
        <f>IFERROR(VLOOKUP(X31,'Puntos XCO'!$A$1:$B$63,2,FALSE),0)</f>
        <v>80</v>
      </c>
      <c r="Z31" s="27">
        <f>G31+I31+K31+M31+O31+Q31+S31+U31+W31+Y31</f>
        <v>88</v>
      </c>
      <c r="AB31" s="3"/>
    </row>
    <row r="32" spans="1:31" ht="24.95" customHeight="1">
      <c r="A32" s="22">
        <v>18</v>
      </c>
      <c r="B32" s="22">
        <v>17</v>
      </c>
      <c r="C32" s="96">
        <v>915</v>
      </c>
      <c r="D32" s="23" t="str">
        <f>VLOOKUP(C32,PLANILLA,2,FALSE)</f>
        <v xml:space="preserve">JIMÉNEZ  Nelson </v>
      </c>
      <c r="E32" s="24" t="str">
        <f>VLOOKUP(C32,PLANILLA,4,FALSE)</f>
        <v xml:space="preserve">LOYOLA MTB </v>
      </c>
      <c r="F32" s="3">
        <v>0</v>
      </c>
      <c r="G32" s="15">
        <v>0</v>
      </c>
      <c r="H32" s="3">
        <v>8</v>
      </c>
      <c r="I32" s="25">
        <v>85</v>
      </c>
      <c r="J32" s="33">
        <v>0</v>
      </c>
      <c r="K32" s="22">
        <v>0</v>
      </c>
      <c r="L32" s="22">
        <v>0</v>
      </c>
      <c r="M32" s="34">
        <v>0</v>
      </c>
      <c r="N32" s="32"/>
      <c r="O32" s="30"/>
      <c r="P32" s="3">
        <v>0</v>
      </c>
      <c r="Q32" s="34">
        <f>IFERROR(VLOOKUP(P32,'Puntos XCO'!$A$1:$B$63,2,FALSE),0)</f>
        <v>0</v>
      </c>
      <c r="R32" s="16">
        <v>0</v>
      </c>
      <c r="S32" s="3">
        <f>IFERROR(VLOOKUP(R32,'Puntos XCC Menor'!$A$1:$B$15,2,FALSE),0)</f>
        <v>0</v>
      </c>
      <c r="T32" s="15">
        <v>0</v>
      </c>
      <c r="U32" s="39">
        <f>IFERROR(VLOOKUP(T32,'Puntos XCO'!$A$1:$B$63,2,FALSE),0)</f>
        <v>0</v>
      </c>
      <c r="V32" s="16">
        <f>IFERROR(VLOOKUP(C32,RESXCC_1,9,FALSE),0)</f>
        <v>0</v>
      </c>
      <c r="W32" s="15">
        <f>IFERROR(VLOOKUP(V32,'Puntos XCC Mayor'!$A$1:$B$15,2,FALSE),0)</f>
        <v>0</v>
      </c>
      <c r="X32" s="15">
        <f>IFERROR(VLOOKUP(C32,RESXCO,9,FALSE),0)</f>
        <v>0</v>
      </c>
      <c r="Y32" s="25">
        <f>IFERROR(VLOOKUP(X32,'Puntos XCO'!$A$1:$B$63,2,FALSE),0)</f>
        <v>0</v>
      </c>
      <c r="Z32" s="27">
        <f>G32+I32+K32+M32+O32+Q32+S32+U32+W32+Y32</f>
        <v>85</v>
      </c>
      <c r="AB32" s="3"/>
    </row>
    <row r="33" spans="1:28" ht="24.95" customHeight="1">
      <c r="A33" s="22">
        <v>19</v>
      </c>
      <c r="B33" s="22">
        <v>18</v>
      </c>
      <c r="C33" s="96">
        <v>917</v>
      </c>
      <c r="D33" s="23" t="str">
        <f>VLOOKUP(C33,PLANILLA,2,FALSE)</f>
        <v xml:space="preserve">HERRERA  Gustavo </v>
      </c>
      <c r="E33" s="24" t="str">
        <f>VLOOKUP(C33,PLANILLA,4,FALSE)</f>
        <v>DRIN TIN</v>
      </c>
      <c r="F33" s="3"/>
      <c r="G33" s="15"/>
      <c r="H33" s="3"/>
      <c r="I33" s="25"/>
      <c r="J33" s="33">
        <v>0</v>
      </c>
      <c r="K33" s="22">
        <v>0</v>
      </c>
      <c r="L33" s="22">
        <v>8</v>
      </c>
      <c r="M33" s="34">
        <v>85</v>
      </c>
      <c r="N33" s="32"/>
      <c r="O33" s="30"/>
      <c r="P33" s="3">
        <v>0</v>
      </c>
      <c r="Q33" s="34">
        <f>IFERROR(VLOOKUP(P33,'Puntos XCO'!$A$1:$B$63,2,FALSE),0)</f>
        <v>0</v>
      </c>
      <c r="R33" s="16">
        <v>0</v>
      </c>
      <c r="S33" s="3">
        <f>IFERROR(VLOOKUP(R33,'Puntos XCC Menor'!$A$1:$B$15,2,FALSE),0)</f>
        <v>0</v>
      </c>
      <c r="T33" s="15">
        <v>0</v>
      </c>
      <c r="U33" s="39">
        <f>IFERROR(VLOOKUP(T33,'Puntos XCO'!$A$1:$B$63,2,FALSE),0)</f>
        <v>0</v>
      </c>
      <c r="V33" s="16">
        <f>IFERROR(VLOOKUP(C33,RESXCC_1,9,FALSE),0)</f>
        <v>0</v>
      </c>
      <c r="W33" s="15">
        <f>IFERROR(VLOOKUP(V33,'Puntos XCC Mayor'!$A$1:$B$15,2,FALSE),0)</f>
        <v>0</v>
      </c>
      <c r="X33" s="15">
        <f>IFERROR(VLOOKUP(C33,RESXCO,9,FALSE),0)</f>
        <v>0</v>
      </c>
      <c r="Y33" s="25">
        <f>IFERROR(VLOOKUP(X33,'Puntos XCO'!$A$1:$B$63,2,FALSE),0)</f>
        <v>0</v>
      </c>
      <c r="Z33" s="27">
        <f>G33+I33+K33+M33+O33+Q33+S33+U33+W33+Y33</f>
        <v>85</v>
      </c>
      <c r="AB33" s="3"/>
    </row>
    <row r="34" spans="1:28" ht="24.95" customHeight="1">
      <c r="A34" s="22">
        <v>20</v>
      </c>
      <c r="B34" s="22">
        <v>19</v>
      </c>
      <c r="C34" s="96">
        <v>919</v>
      </c>
      <c r="D34" s="23" t="str">
        <f>VLOOKUP(C34,PLANILLA,2,FALSE)</f>
        <v xml:space="preserve">PÉREZ  Javier </v>
      </c>
      <c r="E34" s="24" t="str">
        <f>VLOOKUP(C34,PLANILLA,4,FALSE)</f>
        <v>CNERGY</v>
      </c>
      <c r="F34" s="3"/>
      <c r="G34" s="15"/>
      <c r="H34" s="3"/>
      <c r="I34" s="25"/>
      <c r="J34" s="33">
        <v>0</v>
      </c>
      <c r="K34" s="22">
        <v>0</v>
      </c>
      <c r="L34" s="22">
        <v>10</v>
      </c>
      <c r="M34" s="34">
        <v>78</v>
      </c>
      <c r="N34" s="32"/>
      <c r="O34" s="30"/>
      <c r="P34" s="3">
        <v>0</v>
      </c>
      <c r="Q34" s="34">
        <f>IFERROR(VLOOKUP(P34,'Puntos XCO'!$A$1:$B$63,2,FALSE),0)</f>
        <v>0</v>
      </c>
      <c r="R34" s="16">
        <v>0</v>
      </c>
      <c r="S34" s="3">
        <f>IFERROR(VLOOKUP(R34,'Puntos XCC Menor'!$A$1:$B$15,2,FALSE),0)</f>
        <v>0</v>
      </c>
      <c r="T34" s="15">
        <v>0</v>
      </c>
      <c r="U34" s="39">
        <f>IFERROR(VLOOKUP(T34,'Puntos XCO'!$A$1:$B$63,2,FALSE),0)</f>
        <v>0</v>
      </c>
      <c r="V34" s="16">
        <f>IFERROR(VLOOKUP(C34,RESXCC_1,9,FALSE),0)</f>
        <v>0</v>
      </c>
      <c r="W34" s="15">
        <f>IFERROR(VLOOKUP(V34,'Puntos XCC Mayor'!$A$1:$B$15,2,FALSE),0)</f>
        <v>0</v>
      </c>
      <c r="X34" s="15">
        <f>IFERROR(VLOOKUP(C34,RESXCO,9,FALSE),0)</f>
        <v>0</v>
      </c>
      <c r="Y34" s="25">
        <f>IFERROR(VLOOKUP(X34,'Puntos XCO'!$A$1:$B$63,2,FALSE),0)</f>
        <v>0</v>
      </c>
      <c r="Z34" s="27">
        <f>G34+I34+K34+M34+O34+Q34+S34+U34+W34+Y34</f>
        <v>78</v>
      </c>
      <c r="AB34" s="3"/>
    </row>
    <row r="35" spans="1:28" ht="24.95" customHeight="1">
      <c r="A35" s="22">
        <v>21</v>
      </c>
      <c r="B35" s="3"/>
      <c r="C35" s="135">
        <v>923</v>
      </c>
      <c r="D35" s="23" t="str">
        <f>VLOOKUP(C35,PLANILLA,2,FALSE)</f>
        <v xml:space="preserve">PENTÁCOLO  Gennaro </v>
      </c>
      <c r="E35" s="24" t="str">
        <f>VLOOKUP(C35,PLANILLA,4,FALSE)</f>
        <v xml:space="preserve">CICLO PENTA BIKE </v>
      </c>
      <c r="F35" s="3"/>
      <c r="G35" s="15"/>
      <c r="H35" s="3"/>
      <c r="I35" s="25"/>
      <c r="J35" s="33"/>
      <c r="K35" s="22"/>
      <c r="L35" s="22"/>
      <c r="M35" s="34"/>
      <c r="N35" s="32"/>
      <c r="O35" s="30"/>
      <c r="P35" s="3"/>
      <c r="Q35" s="34"/>
      <c r="R35" s="16"/>
      <c r="S35" s="3"/>
      <c r="T35" s="15"/>
      <c r="U35" s="39"/>
      <c r="V35" s="16">
        <f>IFERROR(VLOOKUP(C35,RESXCC_1,9,FALSE),0)</f>
        <v>10</v>
      </c>
      <c r="W35" s="15">
        <f>IFERROR(VLOOKUP(V35,'Puntos XCC Mayor'!$A$1:$B$15,2,FALSE),0)</f>
        <v>6</v>
      </c>
      <c r="X35" s="15">
        <f>IFERROR(VLOOKUP(C35,RESXCO,9,FALSE),0)</f>
        <v>0</v>
      </c>
      <c r="Y35" s="25">
        <f>IFERROR(VLOOKUP(X35,'Puntos XCO'!$A$1:$B$63,2,FALSE),0)</f>
        <v>0</v>
      </c>
      <c r="Z35" s="27">
        <f>G35+I35+K35+M35+O35+Q35+S35+U35+W35+Y35</f>
        <v>6</v>
      </c>
      <c r="AB35" s="3"/>
    </row>
    <row r="36" spans="1:28" ht="24.95" customHeight="1">
      <c r="A36" s="3"/>
      <c r="B36" s="3"/>
      <c r="C36" s="96">
        <v>912</v>
      </c>
      <c r="D36" s="23" t="str">
        <f>VLOOKUP(C36,PLANILLA,2,FALSE)</f>
        <v xml:space="preserve">FERNÁNDEZ  José Luis </v>
      </c>
      <c r="E36" s="24" t="str">
        <f>VLOOKUP(C36,PLANILLA,4,FALSE)</f>
        <v>LUCART</v>
      </c>
      <c r="F36" s="3">
        <v>0</v>
      </c>
      <c r="G36" s="15">
        <v>0</v>
      </c>
      <c r="H36" s="3">
        <v>0</v>
      </c>
      <c r="I36" s="25">
        <v>0</v>
      </c>
      <c r="J36" s="33">
        <v>0</v>
      </c>
      <c r="K36" s="22">
        <v>0</v>
      </c>
      <c r="L36" s="22">
        <v>0</v>
      </c>
      <c r="M36" s="34">
        <v>0</v>
      </c>
      <c r="N36" s="32"/>
      <c r="O36" s="30"/>
      <c r="P36" s="3">
        <v>0</v>
      </c>
      <c r="Q36" s="34">
        <f>IFERROR(VLOOKUP(P36,'Puntos XCO'!$A$1:$B$63,2,FALSE),0)</f>
        <v>0</v>
      </c>
      <c r="R36" s="16">
        <v>0</v>
      </c>
      <c r="S36" s="3">
        <f>IFERROR(VLOOKUP(R36,'Puntos XCC Menor'!$A$1:$B$15,2,FALSE),0)</f>
        <v>0</v>
      </c>
      <c r="T36" s="15">
        <v>0</v>
      </c>
      <c r="U36" s="39">
        <f>IFERROR(VLOOKUP(T36,'Puntos XCO'!$A$1:$B$63,2,FALSE),0)</f>
        <v>0</v>
      </c>
      <c r="V36" s="16">
        <f>IFERROR(VLOOKUP(C36,RESXCC_1,9,FALSE),0)</f>
        <v>0</v>
      </c>
      <c r="W36" s="15">
        <f>IFERROR(VLOOKUP(V36,'Puntos XCC Mayor'!$A$1:$B$15,2,FALSE),0)</f>
        <v>0</v>
      </c>
      <c r="X36" s="15">
        <f>IFERROR(VLOOKUP(C36,RESXCO,9,FALSE),0)</f>
        <v>0</v>
      </c>
      <c r="Y36" s="25">
        <f>IFERROR(VLOOKUP(X36,'Puntos XCO'!$A$1:$B$63,2,FALSE),0)</f>
        <v>0</v>
      </c>
      <c r="Z36" s="27">
        <f>G36+I36+K36+M36+O36+Q36+S36+U36+W36+Y36</f>
        <v>0</v>
      </c>
      <c r="AB36" s="3"/>
    </row>
    <row r="37" spans="1:28" ht="24.95" customHeight="1">
      <c r="A37" s="3"/>
      <c r="B37" s="3"/>
      <c r="C37" s="48">
        <v>920</v>
      </c>
      <c r="D37" s="23" t="str">
        <f>VLOOKUP(C37,PLANILLA,2,FALSE)</f>
        <v>DELGADO Angelo</v>
      </c>
      <c r="E37" s="24" t="str">
        <f>VLOOKUP(C37,PLANILLA,4,FALSE)</f>
        <v>7EIGHT7 PROJECT</v>
      </c>
      <c r="F37" s="3"/>
      <c r="G37" s="15"/>
      <c r="H37" s="3"/>
      <c r="I37" s="25"/>
      <c r="J37" s="33"/>
      <c r="K37" s="22"/>
      <c r="L37" s="22"/>
      <c r="M37" s="34"/>
      <c r="N37" s="32"/>
      <c r="O37" s="30"/>
      <c r="P37" s="3">
        <v>0</v>
      </c>
      <c r="Q37" s="34">
        <f>IFERROR(VLOOKUP(P37,'Puntos XCO'!$A$1:$B$63,2,FALSE),0)</f>
        <v>0</v>
      </c>
      <c r="R37" s="16">
        <v>0</v>
      </c>
      <c r="S37" s="3">
        <f>IFERROR(VLOOKUP(R37,'Puntos XCC Menor'!$A$1:$B$15,2,FALSE),0)</f>
        <v>0</v>
      </c>
      <c r="T37" s="15">
        <v>0</v>
      </c>
      <c r="U37" s="39">
        <f>IFERROR(VLOOKUP(T37,'Puntos XCO'!$A$1:$B$63,2,FALSE),0)</f>
        <v>0</v>
      </c>
      <c r="V37" s="16">
        <f>IFERROR(VLOOKUP(C37,RESXCC_1,9,FALSE),0)</f>
        <v>0</v>
      </c>
      <c r="W37" s="15">
        <f>IFERROR(VLOOKUP(V37,'Puntos XCC Mayor'!$A$1:$B$15,2,FALSE),0)</f>
        <v>0</v>
      </c>
      <c r="X37" s="15">
        <f>IFERROR(VLOOKUP(C37,RESXCO,9,FALSE),0)</f>
        <v>0</v>
      </c>
      <c r="Y37" s="25">
        <f>IFERROR(VLOOKUP(X37,'Puntos XCO'!$A$1:$B$63,2,FALSE),0)</f>
        <v>0</v>
      </c>
      <c r="Z37" s="27">
        <f>G37+I37+K37+M37+O37+Q37+S37+U37+W37+Y37</f>
        <v>0</v>
      </c>
      <c r="AB37" s="3"/>
    </row>
    <row r="38" spans="1:28" ht="24.95" customHeight="1">
      <c r="A38" s="3"/>
      <c r="B38" s="3"/>
      <c r="C38" s="22"/>
      <c r="D38" s="23"/>
      <c r="E38" s="24"/>
      <c r="F38" s="3"/>
      <c r="G38" s="15"/>
      <c r="H38" s="15"/>
      <c r="I38" s="25"/>
      <c r="J38" s="33"/>
      <c r="K38" s="22"/>
      <c r="L38" s="22"/>
      <c r="M38" s="34"/>
      <c r="N38" s="16"/>
      <c r="O38" s="15"/>
      <c r="P38" s="3"/>
      <c r="Q38" s="25"/>
      <c r="R38" s="16"/>
      <c r="S38" s="15"/>
      <c r="T38" s="15"/>
      <c r="U38" s="25"/>
      <c r="V38" s="16"/>
      <c r="W38" s="15"/>
      <c r="X38" s="15"/>
      <c r="Y38" s="25"/>
      <c r="Z38" s="27"/>
      <c r="AB38" s="3"/>
    </row>
    <row r="39" spans="1:28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74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spans="1:28">
      <c r="M40" s="9"/>
      <c r="N40" s="9"/>
      <c r="O40" s="9"/>
      <c r="P40" s="10"/>
      <c r="Q40" s="9"/>
      <c r="R40" s="9"/>
      <c r="S40" s="9"/>
      <c r="T40" s="9"/>
      <c r="U40" s="9"/>
    </row>
    <row r="41" spans="1:28" ht="127.5" customHeight="1"/>
    <row r="42" spans="1:28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74"/>
      <c r="Q42" s="65"/>
      <c r="R42" s="65"/>
      <c r="S42" s="65"/>
      <c r="T42" s="65"/>
      <c r="U42" s="65"/>
      <c r="V42" s="65"/>
      <c r="W42" s="65"/>
      <c r="X42" s="65"/>
      <c r="Y42" s="65"/>
      <c r="Z42" s="65"/>
    </row>
  </sheetData>
  <sortState ref="B15:Z37">
    <sortCondition descending="1" ref="Z15:Z37"/>
  </sortState>
  <mergeCells count="10">
    <mergeCell ref="A8:Z8"/>
    <mergeCell ref="A10:Z10"/>
    <mergeCell ref="A11:Z11"/>
    <mergeCell ref="A13:B13"/>
    <mergeCell ref="F13:I13"/>
    <mergeCell ref="J13:M13"/>
    <mergeCell ref="N13:Q13"/>
    <mergeCell ref="R13:U13"/>
    <mergeCell ref="V13:Y13"/>
    <mergeCell ref="Z13:Z14"/>
  </mergeCells>
  <conditionalFormatting sqref="C39:C65517 C1:C9 C12:C14">
    <cfRule type="duplicateValues" dxfId="351" priority="60" stopIfTrue="1"/>
  </conditionalFormatting>
  <conditionalFormatting sqref="F35:F36 F38">
    <cfRule type="duplicateValues" dxfId="350" priority="63" stopIfTrue="1"/>
  </conditionalFormatting>
  <conditionalFormatting sqref="B35:B38">
    <cfRule type="duplicateValues" dxfId="349" priority="64" stopIfTrue="1"/>
  </conditionalFormatting>
  <conditionalFormatting sqref="C35:C38">
    <cfRule type="duplicateValues" dxfId="348" priority="65"/>
  </conditionalFormatting>
  <conditionalFormatting sqref="C34">
    <cfRule type="duplicateValues" dxfId="347" priority="19"/>
  </conditionalFormatting>
  <conditionalFormatting sqref="C15:C33">
    <cfRule type="duplicateValues" dxfId="346" priority="12"/>
  </conditionalFormatting>
  <conditionalFormatting sqref="C11">
    <cfRule type="duplicateValues" dxfId="345" priority="5" stopIfTrue="1"/>
  </conditionalFormatting>
  <conditionalFormatting sqref="C11">
    <cfRule type="duplicateValues" dxfId="344" priority="6" stopIfTrue="1"/>
  </conditionalFormatting>
  <conditionalFormatting sqref="D11">
    <cfRule type="duplicateValues" dxfId="343" priority="4" stopIfTrue="1"/>
  </conditionalFormatting>
  <conditionalFormatting sqref="C10">
    <cfRule type="duplicateValues" dxfId="342" priority="2" stopIfTrue="1"/>
  </conditionalFormatting>
  <conditionalFormatting sqref="C10">
    <cfRule type="duplicateValues" dxfId="341" priority="3" stopIfTrue="1"/>
  </conditionalFormatting>
  <conditionalFormatting sqref="AB15:AB38">
    <cfRule type="duplicateValues" dxfId="340" priority="7855"/>
  </conditionalFormatting>
  <conditionalFormatting sqref="F37">
    <cfRule type="duplicateValues" dxfId="339" priority="1" stopIfTrue="1"/>
  </conditionalFormatting>
  <pageMargins left="0.70866141732283472" right="0.70866141732283472" top="0.74803149606299213" bottom="0.74803149606299213" header="0.31496062992125984" footer="0.31496062992125984"/>
  <pageSetup paperSize="9" scale="51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5">
    <pageSetUpPr fitToPage="1"/>
  </sheetPr>
  <dimension ref="A8:AE25"/>
  <sheetViews>
    <sheetView showGridLines="0" topLeftCell="A4" zoomScale="70" zoomScaleNormal="70" zoomScaleSheetLayoutView="90" workbookViewId="0">
      <selection activeCell="A15" sqref="A15:A19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10.5703125" style="2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26.25">
      <c r="A8" s="118" t="s">
        <v>165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20.100000000000001" customHeight="1">
      <c r="A13" s="125" t="s">
        <v>0</v>
      </c>
      <c r="B13" s="125"/>
      <c r="C13" s="65"/>
      <c r="D13" s="65"/>
      <c r="E13" s="66"/>
      <c r="F13" s="125">
        <v>1</v>
      </c>
      <c r="G13" s="125"/>
      <c r="H13" s="125"/>
      <c r="I13" s="126"/>
      <c r="J13" s="127">
        <v>2</v>
      </c>
      <c r="K13" s="125"/>
      <c r="L13" s="125"/>
      <c r="M13" s="126"/>
      <c r="N13" s="127">
        <v>3</v>
      </c>
      <c r="O13" s="125"/>
      <c r="P13" s="125"/>
      <c r="Q13" s="126"/>
      <c r="R13" s="127">
        <v>4</v>
      </c>
      <c r="S13" s="125"/>
      <c r="T13" s="125"/>
      <c r="U13" s="126"/>
      <c r="V13" s="127">
        <v>5</v>
      </c>
      <c r="W13" s="125"/>
      <c r="X13" s="125"/>
      <c r="Y13" s="126"/>
      <c r="Z13" s="117" t="s">
        <v>47</v>
      </c>
    </row>
    <row r="14" spans="1:31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117"/>
    </row>
    <row r="15" spans="1:31" ht="24.95" customHeight="1">
      <c r="A15" s="22">
        <v>1</v>
      </c>
      <c r="B15" s="22">
        <v>1</v>
      </c>
      <c r="C15" s="22">
        <v>935</v>
      </c>
      <c r="D15" s="23" t="str">
        <f>VLOOKUP(C15,PLANILLA,2,FALSE)</f>
        <v xml:space="preserve">GONZALEZ  Alejandra </v>
      </c>
      <c r="E15" s="24" t="str">
        <f>VLOOKUP(C15,PLANILLA,4,FALSE)</f>
        <v xml:space="preserve">CLETA BOUTIQUE </v>
      </c>
      <c r="F15" s="3"/>
      <c r="G15" s="15"/>
      <c r="H15" s="3"/>
      <c r="I15" s="25"/>
      <c r="J15" s="33">
        <v>1</v>
      </c>
      <c r="K15" s="22">
        <v>10</v>
      </c>
      <c r="L15" s="22">
        <v>1</v>
      </c>
      <c r="M15" s="34">
        <v>200</v>
      </c>
      <c r="N15" s="32"/>
      <c r="O15" s="30"/>
      <c r="P15" s="3">
        <v>0</v>
      </c>
      <c r="Q15" s="34">
        <f>IFERROR(VLOOKUP(P15,'Puntos XCO'!$A$1:$B$63,2,FALSE),0)</f>
        <v>0</v>
      </c>
      <c r="R15" s="16">
        <v>0</v>
      </c>
      <c r="S15" s="3">
        <f>IFERROR(VLOOKUP(R15,'Puntos XCC Menor'!$A$1:$B$15,2,FALSE),0)</f>
        <v>0</v>
      </c>
      <c r="T15" s="15">
        <v>1</v>
      </c>
      <c r="U15" s="39">
        <f>IFERROR(VLOOKUP(T15,'Puntos XCO'!$A$1:$B$63,2,FALSE),0)</f>
        <v>200</v>
      </c>
      <c r="V15" s="16">
        <f>IFERROR(VLOOKUP(C15,RESXCC_1,9,FALSE),0)</f>
        <v>1</v>
      </c>
      <c r="W15" s="15">
        <f>IFERROR(VLOOKUP(V15,'Puntos XCC Mayor'!$A$1:$B$15,2,FALSE),0)</f>
        <v>25</v>
      </c>
      <c r="X15" s="15">
        <f>IFERROR(VLOOKUP(C15,RESXCO,9,FALSE),0)</f>
        <v>1</v>
      </c>
      <c r="Y15" s="25">
        <f>IFERROR(VLOOKUP(X15,'Puntos XCO'!$A$1:$B$63,2,FALSE),0)</f>
        <v>200</v>
      </c>
      <c r="Z15" s="27">
        <f>G15+I15+K15+M15+O15+Q15+S15+U15+W15+Y15</f>
        <v>635</v>
      </c>
      <c r="AB15" s="2"/>
      <c r="AC15" s="13"/>
      <c r="AD15" s="12"/>
      <c r="AE15" s="14"/>
    </row>
    <row r="16" spans="1:31" ht="24.95" customHeight="1">
      <c r="A16" s="22">
        <v>2</v>
      </c>
      <c r="B16" s="22">
        <v>2</v>
      </c>
      <c r="C16" s="22">
        <v>932</v>
      </c>
      <c r="D16" s="23" t="str">
        <f>VLOOKUP(C16,PLANILLA,2,FALSE)</f>
        <v>HERNÁNDEZ Yuliana</v>
      </c>
      <c r="E16" s="24" t="str">
        <f>VLOOKUP(C16,PLANILLA,4,FALSE)</f>
        <v xml:space="preserve">SAPPHIRE TABA CYCLING TEAM </v>
      </c>
      <c r="F16" s="3">
        <v>0</v>
      </c>
      <c r="G16" s="15">
        <v>0</v>
      </c>
      <c r="H16" s="3">
        <v>1</v>
      </c>
      <c r="I16" s="25">
        <v>200</v>
      </c>
      <c r="J16" s="33">
        <v>0</v>
      </c>
      <c r="K16" s="22">
        <v>0</v>
      </c>
      <c r="L16" s="22">
        <v>2</v>
      </c>
      <c r="M16" s="34">
        <v>150</v>
      </c>
      <c r="N16" s="32">
        <f>IFERROR(VLOOKUP(C16,RESXCC_1,9,FALSE),0)</f>
        <v>2</v>
      </c>
      <c r="O16" s="30"/>
      <c r="P16" s="3">
        <v>0</v>
      </c>
      <c r="Q16" s="34">
        <f>IFERROR(VLOOKUP(P16,'Puntos XCO'!$A$1:$B$63,2,FALSE),0)</f>
        <v>0</v>
      </c>
      <c r="R16" s="16">
        <v>0</v>
      </c>
      <c r="S16" s="3">
        <f>IFERROR(VLOOKUP(R16,'Puntos XCC Menor'!$A$1:$B$15,2,FALSE),0)</f>
        <v>0</v>
      </c>
      <c r="T16" s="15">
        <v>0</v>
      </c>
      <c r="U16" s="39">
        <f>IFERROR(VLOOKUP(T16,'Puntos XCO'!$A$1:$B$63,2,FALSE),0)</f>
        <v>0</v>
      </c>
      <c r="V16" s="16">
        <f>IFERROR(VLOOKUP(C16,RESXCC_1,9,FALSE),0)</f>
        <v>2</v>
      </c>
      <c r="W16" s="15">
        <f>IFERROR(VLOOKUP(V16,'Puntos XCC Mayor'!$A$1:$B$15,2,FALSE),0)</f>
        <v>20</v>
      </c>
      <c r="X16" s="15">
        <f>IFERROR(VLOOKUP(C16,RESXCO,9,FALSE),0)</f>
        <v>3</v>
      </c>
      <c r="Y16" s="25">
        <f>IFERROR(VLOOKUP(X16,'Puntos XCO'!$A$1:$B$63,2,FALSE),0)</f>
        <v>120</v>
      </c>
      <c r="Z16" s="27">
        <f>G16+I16+K16+M16+O16+Q16+S16+U16+W16+Y16</f>
        <v>490</v>
      </c>
      <c r="AB16" s="2"/>
      <c r="AC16" s="13"/>
      <c r="AD16" s="12"/>
      <c r="AE16" s="14"/>
    </row>
    <row r="17" spans="1:31" ht="24.95" customHeight="1">
      <c r="A17" s="22">
        <v>3</v>
      </c>
      <c r="B17" s="22">
        <v>3</v>
      </c>
      <c r="C17" s="22">
        <v>934</v>
      </c>
      <c r="D17" s="23" t="str">
        <f>VLOOKUP(C17,PLANILLA,2,FALSE)</f>
        <v xml:space="preserve">BADILLA  Valeria </v>
      </c>
      <c r="E17" s="24" t="str">
        <f>VLOOKUP(C17,PLANILLA,4,FALSE)</f>
        <v>FISIOSANA - VEINTE24</v>
      </c>
      <c r="F17" s="3">
        <v>1</v>
      </c>
      <c r="G17" s="15">
        <v>10</v>
      </c>
      <c r="H17" s="3">
        <v>3</v>
      </c>
      <c r="I17" s="25">
        <v>120</v>
      </c>
      <c r="J17" s="33">
        <v>0</v>
      </c>
      <c r="K17" s="22">
        <v>0</v>
      </c>
      <c r="L17" s="22">
        <v>0</v>
      </c>
      <c r="M17" s="34">
        <v>0</v>
      </c>
      <c r="N17" s="32"/>
      <c r="O17" s="30"/>
      <c r="P17" s="3">
        <v>0</v>
      </c>
      <c r="Q17" s="34">
        <f>IFERROR(VLOOKUP(P17,'Puntos XCO'!$A$1:$B$63,2,FALSE),0)</f>
        <v>0</v>
      </c>
      <c r="R17" s="16">
        <v>0</v>
      </c>
      <c r="S17" s="3">
        <f>IFERROR(VLOOKUP(R17,'Puntos XCC Menor'!$A$1:$B$15,2,FALSE),0)</f>
        <v>0</v>
      </c>
      <c r="T17" s="15">
        <v>2</v>
      </c>
      <c r="U17" s="39">
        <f>IFERROR(VLOOKUP(T17,'Puntos XCO'!$A$1:$B$63,2,FALSE),0)</f>
        <v>150</v>
      </c>
      <c r="V17" s="16">
        <f>IFERROR(VLOOKUP(C17,RESXCC_1,9,FALSE),0)</f>
        <v>3</v>
      </c>
      <c r="W17" s="15">
        <f>IFERROR(VLOOKUP(V17,'Puntos XCC Mayor'!$A$1:$B$15,2,FALSE),0)</f>
        <v>16</v>
      </c>
      <c r="X17" s="15">
        <f>IFERROR(VLOOKUP(C17,RESXCO,9,FALSE),0)</f>
        <v>4</v>
      </c>
      <c r="Y17" s="25">
        <f>IFERROR(VLOOKUP(X17,'Puntos XCO'!$A$1:$B$63,2,FALSE),0)</f>
        <v>110</v>
      </c>
      <c r="Z17" s="27">
        <f>G17+I17+K17+M17+O17+Q17+S17+U17+W17+Y17</f>
        <v>406</v>
      </c>
      <c r="AB17" s="2"/>
      <c r="AC17" s="13"/>
      <c r="AD17" s="12"/>
      <c r="AE17" s="14"/>
    </row>
    <row r="18" spans="1:31" ht="24.95" customHeight="1">
      <c r="A18" s="22">
        <v>4</v>
      </c>
      <c r="B18" s="22">
        <v>4</v>
      </c>
      <c r="C18" s="22">
        <v>931</v>
      </c>
      <c r="D18" s="23" t="str">
        <f>VLOOKUP(C18,PLANILLA,2,FALSE)</f>
        <v>ZÚÑIGA Laura</v>
      </c>
      <c r="E18" s="24" t="str">
        <f>VLOOKUP(C18,PLANILLA,4,FALSE)</f>
        <v xml:space="preserve">VEINTE24 </v>
      </c>
      <c r="F18" s="3">
        <v>0</v>
      </c>
      <c r="G18" s="15">
        <v>0</v>
      </c>
      <c r="H18" s="3">
        <v>2</v>
      </c>
      <c r="I18" s="25">
        <v>150</v>
      </c>
      <c r="J18" s="33">
        <v>0</v>
      </c>
      <c r="K18" s="22">
        <v>0</v>
      </c>
      <c r="L18" s="22">
        <v>3</v>
      </c>
      <c r="M18" s="34">
        <v>120</v>
      </c>
      <c r="N18" s="32"/>
      <c r="O18" s="30"/>
      <c r="P18" s="3">
        <v>0</v>
      </c>
      <c r="Q18" s="34">
        <f>IFERROR(VLOOKUP(P18,'Puntos XCO'!$A$1:$B$63,2,FALSE),0)</f>
        <v>0</v>
      </c>
      <c r="R18" s="16">
        <v>0</v>
      </c>
      <c r="S18" s="3">
        <f>IFERROR(VLOOKUP(R18,'Puntos XCC Menor'!$A$1:$B$15,2,FALSE),0)</f>
        <v>0</v>
      </c>
      <c r="T18" s="15">
        <v>0</v>
      </c>
      <c r="U18" s="39">
        <f>IFERROR(VLOOKUP(T18,'Puntos XCO'!$A$1:$B$63,2,FALSE),0)</f>
        <v>0</v>
      </c>
      <c r="V18" s="16">
        <f>IFERROR(VLOOKUP(C18,RESXCC_1,9,FALSE),0)</f>
        <v>0</v>
      </c>
      <c r="W18" s="15">
        <f>IFERROR(VLOOKUP(V18,'Puntos XCC Mayor'!$A$1:$B$15,2,FALSE),0)</f>
        <v>0</v>
      </c>
      <c r="X18" s="15">
        <f>IFERROR(VLOOKUP(C18,RESXCO,9,FALSE),0)</f>
        <v>0</v>
      </c>
      <c r="Y18" s="25">
        <f>IFERROR(VLOOKUP(X18,'Puntos XCO'!$A$1:$B$63,2,FALSE),0)</f>
        <v>0</v>
      </c>
      <c r="Z18" s="27">
        <f>G18+I18+K18+M18+O18+Q18+S18+U18+W18+Y18</f>
        <v>270</v>
      </c>
      <c r="AB18" s="2"/>
      <c r="AC18" s="13"/>
      <c r="AD18" s="12"/>
      <c r="AE18" s="14"/>
    </row>
    <row r="19" spans="1:31" ht="24.95" customHeight="1">
      <c r="A19" s="22">
        <v>5</v>
      </c>
      <c r="B19" s="22"/>
      <c r="C19" s="107">
        <v>936</v>
      </c>
      <c r="D19" s="23" t="str">
        <f>VLOOKUP(C19,PLANILLA,2,FALSE)</f>
        <v>GUERRERO Arlette</v>
      </c>
      <c r="E19" s="24" t="str">
        <f>VLOOKUP(C19,PLANILLA,4,FALSE)</f>
        <v>MMR SPORTIVSTORE</v>
      </c>
      <c r="F19" s="3"/>
      <c r="G19" s="15"/>
      <c r="H19" s="3"/>
      <c r="I19" s="25"/>
      <c r="J19" s="33"/>
      <c r="K19" s="22"/>
      <c r="L19" s="22"/>
      <c r="M19" s="34"/>
      <c r="N19" s="32"/>
      <c r="O19" s="30"/>
      <c r="P19" s="3"/>
      <c r="Q19" s="34"/>
      <c r="R19" s="16"/>
      <c r="S19" s="3"/>
      <c r="T19" s="15"/>
      <c r="U19" s="39"/>
      <c r="V19" s="16">
        <f>IFERROR(VLOOKUP(C19,RESXCC_1,9,FALSE),0)</f>
        <v>0</v>
      </c>
      <c r="W19" s="15">
        <f>IFERROR(VLOOKUP(V19,'Puntos XCC Mayor'!$A$1:$B$15,2,FALSE),0)</f>
        <v>0</v>
      </c>
      <c r="X19" s="15">
        <f>IFERROR(VLOOKUP(C19,RESXCO,9,FALSE),0)</f>
        <v>2</v>
      </c>
      <c r="Y19" s="25">
        <f>IFERROR(VLOOKUP(X19,'Puntos XCO'!$A$1:$B$63,2,FALSE),0)</f>
        <v>150</v>
      </c>
      <c r="Z19" s="27">
        <f>G19+I19+K19+M19+O19+Q19+S19+U19+W19+Y19</f>
        <v>150</v>
      </c>
      <c r="AB19" s="2"/>
      <c r="AC19" s="13"/>
      <c r="AD19" s="12"/>
      <c r="AE19" s="14"/>
    </row>
    <row r="20" spans="1:31" ht="24.95" customHeight="1">
      <c r="A20" s="22"/>
      <c r="B20" s="22"/>
      <c r="C20" s="22">
        <v>933</v>
      </c>
      <c r="D20" s="23" t="str">
        <f>VLOOKUP(C20,PLANILLA,2,FALSE)</f>
        <v xml:space="preserve">ALFARO Ana Semiramis </v>
      </c>
      <c r="E20" s="24" t="str">
        <f>VLOOKUP(C20,PLANILLA,4,FALSE)</f>
        <v>INFINITY - ONE TWO CYCLING - GAVIA88</v>
      </c>
      <c r="F20" s="3">
        <v>0</v>
      </c>
      <c r="G20" s="15">
        <v>0</v>
      </c>
      <c r="H20" s="3">
        <v>0</v>
      </c>
      <c r="I20" s="25">
        <v>0</v>
      </c>
      <c r="J20" s="33">
        <v>0</v>
      </c>
      <c r="K20" s="22">
        <v>0</v>
      </c>
      <c r="L20" s="22">
        <v>0</v>
      </c>
      <c r="M20" s="34">
        <v>0</v>
      </c>
      <c r="N20" s="32"/>
      <c r="O20" s="30"/>
      <c r="P20" s="3">
        <v>0</v>
      </c>
      <c r="Q20" s="34">
        <f>IFERROR(VLOOKUP(P20,'Puntos XCO'!$A$1:$B$63,2,FALSE),0)</f>
        <v>0</v>
      </c>
      <c r="R20" s="16">
        <v>0</v>
      </c>
      <c r="S20" s="3">
        <f>IFERROR(VLOOKUP(R20,'Puntos XCC Menor'!$A$1:$B$15,2,FALSE),0)</f>
        <v>0</v>
      </c>
      <c r="T20" s="15">
        <v>0</v>
      </c>
      <c r="U20" s="39">
        <f>IFERROR(VLOOKUP(T20,'Puntos XCO'!$A$1:$B$63,2,FALSE),0)</f>
        <v>0</v>
      </c>
      <c r="V20" s="16">
        <f>IFERROR(VLOOKUP(C20,RESXCC_1,9,FALSE),0)</f>
        <v>0</v>
      </c>
      <c r="W20" s="15">
        <f>IFERROR(VLOOKUP(V20,'Puntos XCC Mayor'!$A$1:$B$15,2,FALSE),0)</f>
        <v>0</v>
      </c>
      <c r="X20" s="15">
        <f>IFERROR(VLOOKUP(C20,RESXCO,9,FALSE),0)</f>
        <v>0</v>
      </c>
      <c r="Y20" s="25">
        <f>IFERROR(VLOOKUP(X20,'Puntos XCO'!$A$1:$B$63,2,FALSE),0)</f>
        <v>0</v>
      </c>
      <c r="Z20" s="27">
        <f>G20+I20+K20+M20+O20+Q20+S20+U20+W20+Y20</f>
        <v>0</v>
      </c>
      <c r="AB20" s="2"/>
      <c r="AC20" s="13"/>
      <c r="AD20" s="12"/>
      <c r="AE20" s="14"/>
    </row>
    <row r="21" spans="1:31" ht="24.95" customHeight="1">
      <c r="A21" s="3"/>
      <c r="B21" s="3"/>
      <c r="C21" s="28"/>
      <c r="D21" s="23"/>
      <c r="E21" s="24"/>
      <c r="F21" s="3"/>
      <c r="G21" s="15"/>
      <c r="H21" s="15"/>
      <c r="I21" s="25"/>
      <c r="J21" s="26"/>
      <c r="K21" s="15"/>
      <c r="L21" s="15"/>
      <c r="M21" s="25"/>
      <c r="N21" s="16"/>
      <c r="O21" s="15"/>
      <c r="P21" s="3"/>
      <c r="Q21" s="25"/>
      <c r="R21" s="16"/>
      <c r="S21" s="15"/>
      <c r="T21" s="15"/>
      <c r="U21" s="25"/>
      <c r="V21" s="16"/>
      <c r="W21" s="15"/>
      <c r="X21" s="15"/>
      <c r="Y21" s="25"/>
      <c r="Z21" s="27"/>
      <c r="AB21" s="3"/>
    </row>
    <row r="22" spans="1:31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74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spans="1:31">
      <c r="M23" s="9"/>
      <c r="N23" s="9"/>
      <c r="O23" s="9"/>
      <c r="P23" s="10"/>
      <c r="Q23" s="9"/>
      <c r="R23" s="9"/>
      <c r="S23" s="9"/>
      <c r="T23" s="9"/>
      <c r="U23" s="9"/>
    </row>
    <row r="24" spans="1:31" ht="127.5" customHeight="1"/>
    <row r="25" spans="1:31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74"/>
      <c r="Q25" s="65"/>
      <c r="R25" s="65"/>
      <c r="S25" s="65"/>
      <c r="T25" s="65"/>
      <c r="U25" s="65"/>
      <c r="V25" s="65"/>
      <c r="W25" s="65"/>
      <c r="X25" s="65"/>
      <c r="Y25" s="65"/>
      <c r="Z25" s="65"/>
    </row>
  </sheetData>
  <sortState ref="B15:Z20">
    <sortCondition descending="1" ref="Z15:Z20"/>
  </sortState>
  <mergeCells count="10">
    <mergeCell ref="A8:Z8"/>
    <mergeCell ref="A10:Z10"/>
    <mergeCell ref="A11:Z11"/>
    <mergeCell ref="A13:B13"/>
    <mergeCell ref="F13:I13"/>
    <mergeCell ref="J13:M13"/>
    <mergeCell ref="N13:Q13"/>
    <mergeCell ref="R13:U13"/>
    <mergeCell ref="V13:Y13"/>
    <mergeCell ref="Z13:Z14"/>
  </mergeCells>
  <conditionalFormatting sqref="C22:C65500 C1:C9 C12:C14">
    <cfRule type="duplicateValues" dxfId="338" priority="52" stopIfTrue="1"/>
  </conditionalFormatting>
  <conditionalFormatting sqref="F21">
    <cfRule type="duplicateValues" dxfId="337" priority="53" stopIfTrue="1"/>
  </conditionalFormatting>
  <conditionalFormatting sqref="B21">
    <cfRule type="duplicateValues" dxfId="336" priority="54" stopIfTrue="1"/>
  </conditionalFormatting>
  <conditionalFormatting sqref="AB15:AB21">
    <cfRule type="duplicateValues" dxfId="335" priority="7111"/>
  </conditionalFormatting>
  <conditionalFormatting sqref="C15">
    <cfRule type="duplicateValues" dxfId="334" priority="11"/>
  </conditionalFormatting>
  <conditionalFormatting sqref="C11">
    <cfRule type="duplicateValues" dxfId="333" priority="4" stopIfTrue="1"/>
  </conditionalFormatting>
  <conditionalFormatting sqref="C11">
    <cfRule type="duplicateValues" dxfId="332" priority="5" stopIfTrue="1"/>
  </conditionalFormatting>
  <conditionalFormatting sqref="D11">
    <cfRule type="duplicateValues" dxfId="331" priority="3" stopIfTrue="1"/>
  </conditionalFormatting>
  <conditionalFormatting sqref="C10">
    <cfRule type="duplicateValues" dxfId="330" priority="1" stopIfTrue="1"/>
  </conditionalFormatting>
  <conditionalFormatting sqref="C10">
    <cfRule type="duplicateValues" dxfId="329" priority="2" stopIfTrue="1"/>
  </conditionalFormatting>
  <pageMargins left="0.70866141732283472" right="0.70866141732283472" top="0.74803149606299213" bottom="0.74803149606299213" header="0.31496062992125984" footer="0.31496062992125984"/>
  <pageSetup paperSize="9" scale="5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8:AE25"/>
  <sheetViews>
    <sheetView showGridLines="0" zoomScale="70" zoomScaleNormal="70" zoomScaleSheetLayoutView="90" workbookViewId="0">
      <selection activeCell="A15" sqref="A15:A18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10.5703125" style="2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26.25">
      <c r="A8" s="118" t="s">
        <v>165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20.100000000000001" customHeight="1">
      <c r="A13" s="125" t="s">
        <v>0</v>
      </c>
      <c r="B13" s="125"/>
      <c r="C13" s="65"/>
      <c r="D13" s="65"/>
      <c r="E13" s="67"/>
      <c r="F13" s="125">
        <v>1</v>
      </c>
      <c r="G13" s="125"/>
      <c r="H13" s="125"/>
      <c r="I13" s="126"/>
      <c r="J13" s="127">
        <v>2</v>
      </c>
      <c r="K13" s="125"/>
      <c r="L13" s="125"/>
      <c r="M13" s="126"/>
      <c r="N13" s="127">
        <v>3</v>
      </c>
      <c r="O13" s="125"/>
      <c r="P13" s="125"/>
      <c r="Q13" s="126"/>
      <c r="R13" s="127">
        <v>4</v>
      </c>
      <c r="S13" s="125"/>
      <c r="T13" s="125"/>
      <c r="U13" s="126"/>
      <c r="V13" s="127">
        <v>5</v>
      </c>
      <c r="W13" s="125"/>
      <c r="X13" s="125"/>
      <c r="Y13" s="126"/>
      <c r="Z13" s="117" t="s">
        <v>47</v>
      </c>
    </row>
    <row r="14" spans="1:31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117"/>
    </row>
    <row r="15" spans="1:31" ht="24.95" customHeight="1">
      <c r="A15" s="22">
        <v>1</v>
      </c>
      <c r="B15" s="22">
        <v>1</v>
      </c>
      <c r="C15" s="22">
        <v>951</v>
      </c>
      <c r="D15" s="23" t="str">
        <f>VLOOKUP(C15,PLANILLA,2,FALSE)</f>
        <v>LORIA Dilcen</v>
      </c>
      <c r="E15" s="24" t="str">
        <f>VLOOKUP(C15,PLANILLA,4,FALSE)</f>
        <v>FISIONORTE/ JONATHANQUESADA.CYCLING</v>
      </c>
      <c r="F15" s="3">
        <v>1</v>
      </c>
      <c r="G15" s="15">
        <v>10</v>
      </c>
      <c r="H15" s="3">
        <v>1</v>
      </c>
      <c r="I15" s="25">
        <v>200</v>
      </c>
      <c r="J15" s="33">
        <v>1</v>
      </c>
      <c r="K15" s="22">
        <v>10</v>
      </c>
      <c r="L15" s="22">
        <v>2</v>
      </c>
      <c r="M15" s="34">
        <v>150</v>
      </c>
      <c r="N15" s="32">
        <f>IFERROR(VLOOKUP(C15,RESXCC_1,9,FALSE),0)</f>
        <v>1</v>
      </c>
      <c r="O15" s="30"/>
      <c r="P15" s="3">
        <v>2</v>
      </c>
      <c r="Q15" s="34">
        <f>IFERROR(VLOOKUP(P15,'Puntos XCO'!$A$1:$B$63,2,FALSE),0)</f>
        <v>150</v>
      </c>
      <c r="R15" s="16">
        <v>1</v>
      </c>
      <c r="S15" s="3">
        <f>IFERROR(VLOOKUP(R15,'Puntos XCC Menor'!$A$1:$B$15,2,FALSE),0)</f>
        <v>10</v>
      </c>
      <c r="T15" s="15">
        <v>1</v>
      </c>
      <c r="U15" s="39">
        <f>IFERROR(VLOOKUP(T15,'Puntos XCO'!$A$1:$B$63,2,FALSE),0)</f>
        <v>200</v>
      </c>
      <c r="V15" s="16">
        <f>IFERROR(VLOOKUP(C15,RESXCC_1,9,FALSE),0)</f>
        <v>1</v>
      </c>
      <c r="W15" s="15">
        <f>IFERROR(VLOOKUP(V15,'Puntos XCC Mayor'!$A$1:$B$15,2,FALSE),0)</f>
        <v>25</v>
      </c>
      <c r="X15" s="15">
        <f>IFERROR(VLOOKUP(C15,RESXCO,9,FALSE),0)</f>
        <v>1</v>
      </c>
      <c r="Y15" s="25">
        <f>IFERROR(VLOOKUP(X15,'Puntos XCO'!$A$1:$B$63,2,FALSE),0)</f>
        <v>200</v>
      </c>
      <c r="Z15" s="27">
        <f>G15+I15+K15+M15+O15+Q15+S15+U15+W15+Y15</f>
        <v>955</v>
      </c>
      <c r="AB15" s="2"/>
      <c r="AC15" s="13"/>
      <c r="AD15" s="12"/>
      <c r="AE15" s="14"/>
    </row>
    <row r="16" spans="1:31" ht="24.95" customHeight="1">
      <c r="A16" s="22">
        <v>2</v>
      </c>
      <c r="B16" s="22">
        <v>2</v>
      </c>
      <c r="C16" s="22">
        <v>955</v>
      </c>
      <c r="D16" s="23" t="str">
        <f>VLOOKUP(C16,PLANILLA,2,FALSE)</f>
        <v xml:space="preserve">ALVARADO  Lisbeth </v>
      </c>
      <c r="E16" s="24" t="str">
        <f>VLOOKUP(C16,PLANILLA,4,FALSE)</f>
        <v xml:space="preserve">ROES CENTELA </v>
      </c>
      <c r="F16" s="3"/>
      <c r="G16" s="15"/>
      <c r="H16" s="3"/>
      <c r="I16" s="25"/>
      <c r="J16" s="33">
        <v>0</v>
      </c>
      <c r="K16" s="22">
        <v>0</v>
      </c>
      <c r="L16" s="22">
        <v>1</v>
      </c>
      <c r="M16" s="34">
        <v>200</v>
      </c>
      <c r="N16" s="32"/>
      <c r="O16" s="30"/>
      <c r="P16" s="3">
        <v>1</v>
      </c>
      <c r="Q16" s="34">
        <f>IFERROR(VLOOKUP(P16,'Puntos XCO'!$A$1:$B$63,2,FALSE),0)</f>
        <v>200</v>
      </c>
      <c r="R16" s="16">
        <v>0</v>
      </c>
      <c r="S16" s="3">
        <f>IFERROR(VLOOKUP(R16,'Puntos XCC Menor'!$A$1:$B$15,2,FALSE),0)</f>
        <v>0</v>
      </c>
      <c r="T16" s="15">
        <v>0</v>
      </c>
      <c r="U16" s="39">
        <f>IFERROR(VLOOKUP(T16,'Puntos XCO'!$A$1:$B$63,2,FALSE),0)</f>
        <v>0</v>
      </c>
      <c r="V16" s="16">
        <f>IFERROR(VLOOKUP(C16,RESXCC_1,9,FALSE),0)</f>
        <v>0</v>
      </c>
      <c r="W16" s="15">
        <f>IFERROR(VLOOKUP(V16,'Puntos XCC Mayor'!$A$1:$B$15,2,FALSE),0)</f>
        <v>0</v>
      </c>
      <c r="X16" s="15">
        <f>IFERROR(VLOOKUP(C16,RESXCO,9,FALSE),0)</f>
        <v>0</v>
      </c>
      <c r="Y16" s="25">
        <f>IFERROR(VLOOKUP(X16,'Puntos XCO'!$A$1:$B$63,2,FALSE),0)</f>
        <v>0</v>
      </c>
      <c r="Z16" s="27">
        <f>G16+I16+K16+M16+O16+Q16+S16+U16+W16+Y16</f>
        <v>400</v>
      </c>
      <c r="AB16" s="2"/>
      <c r="AC16" s="13"/>
      <c r="AD16" s="12"/>
      <c r="AE16" s="14"/>
    </row>
    <row r="17" spans="1:31" ht="24.95" customHeight="1">
      <c r="A17" s="22">
        <v>3</v>
      </c>
      <c r="B17" s="22"/>
      <c r="C17" s="107">
        <v>956</v>
      </c>
      <c r="D17" s="23" t="str">
        <f>VLOOKUP(C17,PLANILLA,2,FALSE)</f>
        <v>DURÁN Anny</v>
      </c>
      <c r="E17" s="24" t="str">
        <f>VLOOKUP(C17,PLANILLA,4,FALSE)</f>
        <v xml:space="preserve">INDEPENDIENTE </v>
      </c>
      <c r="F17" s="3"/>
      <c r="G17" s="15"/>
      <c r="H17" s="3"/>
      <c r="I17" s="25"/>
      <c r="J17" s="33"/>
      <c r="K17" s="22"/>
      <c r="L17" s="22"/>
      <c r="M17" s="34"/>
      <c r="N17" s="32"/>
      <c r="O17" s="30"/>
      <c r="P17" s="3"/>
      <c r="Q17" s="34"/>
      <c r="R17" s="16"/>
      <c r="S17" s="3"/>
      <c r="T17" s="15"/>
      <c r="U17" s="39"/>
      <c r="V17" s="16">
        <f>IFERROR(VLOOKUP(C17,RESXCC_1,9,FALSE),0)</f>
        <v>2</v>
      </c>
      <c r="W17" s="15">
        <f>IFERROR(VLOOKUP(V17,'Puntos XCC Mayor'!$A$1:$B$15,2,FALSE),0)</f>
        <v>20</v>
      </c>
      <c r="X17" s="15">
        <f>IFERROR(VLOOKUP(C17,RESXCO,9,FALSE),0)</f>
        <v>2</v>
      </c>
      <c r="Y17" s="25">
        <f>IFERROR(VLOOKUP(X17,'Puntos XCO'!$A$1:$B$63,2,FALSE),0)</f>
        <v>150</v>
      </c>
      <c r="Z17" s="27">
        <f>G17+I17+K17+M17+O17+Q17+S17+U17+W17+Y17</f>
        <v>170</v>
      </c>
      <c r="AB17" s="2"/>
      <c r="AC17" s="13"/>
      <c r="AD17" s="12"/>
      <c r="AE17" s="14"/>
    </row>
    <row r="18" spans="1:31" ht="24.95" customHeight="1">
      <c r="A18" s="22">
        <v>4</v>
      </c>
      <c r="B18" s="22">
        <v>3</v>
      </c>
      <c r="C18" s="22">
        <v>954</v>
      </c>
      <c r="D18" s="23" t="str">
        <f>VLOOKUP(C18,PLANILLA,2,FALSE)</f>
        <v>MORA  Odexinia</v>
      </c>
      <c r="E18" s="24" t="str">
        <f>VLOOKUP(C18,PLANILLA,4,FALSE)</f>
        <v xml:space="preserve">DESAMPARADOS BIKE CAFÉ </v>
      </c>
      <c r="F18" s="3"/>
      <c r="G18" s="15"/>
      <c r="H18" s="3"/>
      <c r="I18" s="25"/>
      <c r="J18" s="33">
        <v>2</v>
      </c>
      <c r="K18" s="22">
        <v>9</v>
      </c>
      <c r="L18" s="22">
        <v>3</v>
      </c>
      <c r="M18" s="34">
        <v>120</v>
      </c>
      <c r="N18" s="32"/>
      <c r="O18" s="30"/>
      <c r="P18" s="3">
        <v>0</v>
      </c>
      <c r="Q18" s="34">
        <f>IFERROR(VLOOKUP(P18,'Puntos XCO'!$A$1:$B$63,2,FALSE),0)</f>
        <v>0</v>
      </c>
      <c r="R18" s="16">
        <v>0</v>
      </c>
      <c r="S18" s="3">
        <f>IFERROR(VLOOKUP(R18,'Puntos XCC Menor'!$A$1:$B$15,2,FALSE),0)</f>
        <v>0</v>
      </c>
      <c r="T18" s="15">
        <v>0</v>
      </c>
      <c r="U18" s="39">
        <f>IFERROR(VLOOKUP(T18,'Puntos XCO'!$A$1:$B$63,2,FALSE),0)</f>
        <v>0</v>
      </c>
      <c r="V18" s="16">
        <f>IFERROR(VLOOKUP(C18,RESXCC_1,9,FALSE),0)</f>
        <v>0</v>
      </c>
      <c r="W18" s="15">
        <f>IFERROR(VLOOKUP(V18,'Puntos XCC Mayor'!$A$1:$B$15,2,FALSE),0)</f>
        <v>0</v>
      </c>
      <c r="X18" s="15">
        <f>IFERROR(VLOOKUP(C18,RESXCO,9,FALSE),0)</f>
        <v>0</v>
      </c>
      <c r="Y18" s="25">
        <f>IFERROR(VLOOKUP(X18,'Puntos XCO'!$A$1:$B$63,2,FALSE),0)</f>
        <v>0</v>
      </c>
      <c r="Z18" s="27">
        <f>G18+I18+K18+M18+O18+Q18+S18+U18+W18+Y18</f>
        <v>129</v>
      </c>
      <c r="AB18" s="2"/>
      <c r="AC18" s="13"/>
      <c r="AD18" s="12"/>
      <c r="AE18" s="14"/>
    </row>
    <row r="19" spans="1:31" ht="24.95" customHeight="1">
      <c r="A19" s="22"/>
      <c r="B19" s="22"/>
      <c r="C19" s="22">
        <v>952</v>
      </c>
      <c r="D19" s="23" t="str">
        <f>VLOOKUP(C19,PLANILLA,2,FALSE)</f>
        <v>VARGAS Laura</v>
      </c>
      <c r="E19" s="24" t="str">
        <f>VLOOKUP(C19,PLANILLA,4,FALSE)</f>
        <v>SCOTT SHIMANO CYCLING TEAM</v>
      </c>
      <c r="F19" s="3">
        <v>0</v>
      </c>
      <c r="G19" s="15">
        <v>0</v>
      </c>
      <c r="H19" s="3">
        <v>0</v>
      </c>
      <c r="I19" s="25">
        <v>0</v>
      </c>
      <c r="J19" s="33">
        <v>0</v>
      </c>
      <c r="K19" s="22">
        <v>0</v>
      </c>
      <c r="L19" s="22">
        <v>0</v>
      </c>
      <c r="M19" s="34">
        <v>0</v>
      </c>
      <c r="N19" s="32"/>
      <c r="O19" s="30"/>
      <c r="P19" s="3">
        <v>0</v>
      </c>
      <c r="Q19" s="34">
        <f>IFERROR(VLOOKUP(P19,'Puntos XCO'!$A$1:$B$63,2,FALSE),0)</f>
        <v>0</v>
      </c>
      <c r="R19" s="16">
        <v>0</v>
      </c>
      <c r="S19" s="3">
        <f>IFERROR(VLOOKUP(R19,'Puntos XCC Menor'!$A$1:$B$15,2,FALSE),0)</f>
        <v>0</v>
      </c>
      <c r="T19" s="15">
        <v>0</v>
      </c>
      <c r="U19" s="39">
        <f>IFERROR(VLOOKUP(T19,'Puntos XCO'!$A$1:$B$63,2,FALSE),0)</f>
        <v>0</v>
      </c>
      <c r="V19" s="16">
        <f>IFERROR(VLOOKUP(C19,RESXCC_1,9,FALSE),0)</f>
        <v>0</v>
      </c>
      <c r="W19" s="15">
        <f>IFERROR(VLOOKUP(V19,'Puntos XCC Mayor'!$A$1:$B$15,2,FALSE),0)</f>
        <v>0</v>
      </c>
      <c r="X19" s="15">
        <f>IFERROR(VLOOKUP(C19,RESXCO,9,FALSE),0)</f>
        <v>0</v>
      </c>
      <c r="Y19" s="25">
        <f>IFERROR(VLOOKUP(X19,'Puntos XCO'!$A$1:$B$63,2,FALSE),0)</f>
        <v>0</v>
      </c>
      <c r="Z19" s="27">
        <f>G19+I19+K19+M19+O19+Q19+S19+U19+W19+Y19</f>
        <v>0</v>
      </c>
      <c r="AB19" s="2"/>
      <c r="AC19" s="13"/>
      <c r="AD19" s="12"/>
      <c r="AE19" s="14"/>
    </row>
    <row r="20" spans="1:31" ht="24.95" customHeight="1">
      <c r="A20" s="22"/>
      <c r="B20" s="22"/>
      <c r="C20" s="22">
        <v>953</v>
      </c>
      <c r="D20" s="23" t="str">
        <f>VLOOKUP(C20,PLANILLA,2,FALSE)</f>
        <v>FERNÁNDEZ  Sindy</v>
      </c>
      <c r="E20" s="24" t="str">
        <f>VLOOKUP(C20,PLANILLA,4,FALSE)</f>
        <v xml:space="preserve">VELOZ CYCLING - CICLO BOUTIQUE ROES - COLYPRO </v>
      </c>
      <c r="F20" s="3"/>
      <c r="G20" s="15"/>
      <c r="H20" s="3"/>
      <c r="I20" s="25"/>
      <c r="J20" s="33">
        <v>0</v>
      </c>
      <c r="K20" s="22">
        <v>0</v>
      </c>
      <c r="L20" s="22">
        <v>0</v>
      </c>
      <c r="M20" s="34">
        <v>0</v>
      </c>
      <c r="N20" s="32"/>
      <c r="O20" s="30"/>
      <c r="P20" s="3">
        <v>0</v>
      </c>
      <c r="Q20" s="34">
        <f>IFERROR(VLOOKUP(P20,'Puntos XCO'!$A$1:$B$63,2,FALSE),0)</f>
        <v>0</v>
      </c>
      <c r="R20" s="16">
        <v>0</v>
      </c>
      <c r="S20" s="3">
        <f>IFERROR(VLOOKUP(R20,'Puntos XCC Menor'!$A$1:$B$15,2,FALSE),0)</f>
        <v>0</v>
      </c>
      <c r="T20" s="15">
        <v>0</v>
      </c>
      <c r="U20" s="39">
        <f>IFERROR(VLOOKUP(T20,'Puntos XCO'!$A$1:$B$63,2,FALSE),0)</f>
        <v>0</v>
      </c>
      <c r="V20" s="16">
        <f>IFERROR(VLOOKUP(C20,RESXCC_1,9,FALSE),0)</f>
        <v>0</v>
      </c>
      <c r="W20" s="15">
        <f>IFERROR(VLOOKUP(V20,'Puntos XCC Mayor'!$A$1:$B$15,2,FALSE),0)</f>
        <v>0</v>
      </c>
      <c r="X20" s="15">
        <f>IFERROR(VLOOKUP(C20,RESXCO,9,FALSE),0)</f>
        <v>0</v>
      </c>
      <c r="Y20" s="25">
        <f>IFERROR(VLOOKUP(X20,'Puntos XCO'!$A$1:$B$63,2,FALSE),0)</f>
        <v>0</v>
      </c>
      <c r="Z20" s="27">
        <f>G20+I20+K20+M20+O20+Q20+S20+U20+W20+Y20</f>
        <v>0</v>
      </c>
      <c r="AB20" s="2"/>
      <c r="AC20" s="13"/>
      <c r="AD20" s="12"/>
      <c r="AE20" s="14"/>
    </row>
    <row r="21" spans="1:31" ht="24.95" customHeight="1">
      <c r="A21" s="22"/>
      <c r="B21" s="22"/>
      <c r="C21" s="22"/>
      <c r="D21" s="23"/>
      <c r="E21" s="24"/>
      <c r="F21" s="3"/>
      <c r="G21" s="15"/>
      <c r="H21" s="3"/>
      <c r="I21" s="25"/>
      <c r="J21" s="33"/>
      <c r="K21" s="22"/>
      <c r="L21" s="22"/>
      <c r="M21" s="34"/>
      <c r="N21" s="32"/>
      <c r="O21" s="30"/>
      <c r="P21" s="3"/>
      <c r="Q21" s="34"/>
      <c r="R21" s="32"/>
      <c r="S21" s="30"/>
      <c r="T21" s="3"/>
      <c r="U21" s="39"/>
      <c r="V21" s="32"/>
      <c r="W21" s="30"/>
      <c r="X21" s="15"/>
      <c r="Y21" s="25"/>
      <c r="Z21" s="27"/>
      <c r="AB21" s="2"/>
      <c r="AC21" s="13"/>
      <c r="AD21" s="12"/>
      <c r="AE21" s="14"/>
    </row>
    <row r="22" spans="1:31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74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spans="1:31">
      <c r="M23" s="9"/>
      <c r="N23" s="9"/>
      <c r="O23" s="9"/>
      <c r="P23" s="10"/>
      <c r="Q23" s="9"/>
      <c r="R23" s="9"/>
      <c r="S23" s="9"/>
      <c r="T23" s="9"/>
      <c r="U23" s="9"/>
    </row>
    <row r="24" spans="1:31" ht="127.5" customHeight="1"/>
    <row r="25" spans="1:31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74"/>
      <c r="Q25" s="65"/>
      <c r="R25" s="65"/>
      <c r="S25" s="65"/>
      <c r="T25" s="65"/>
      <c r="U25" s="65"/>
      <c r="V25" s="65"/>
      <c r="W25" s="65"/>
      <c r="X25" s="65"/>
      <c r="Y25" s="65"/>
      <c r="Z25" s="65"/>
    </row>
  </sheetData>
  <sortState ref="B15:Z20">
    <sortCondition descending="1" ref="Z15:Z20"/>
  </sortState>
  <mergeCells count="10">
    <mergeCell ref="A8:Z8"/>
    <mergeCell ref="A10:Z10"/>
    <mergeCell ref="A11:Z11"/>
    <mergeCell ref="A13:B13"/>
    <mergeCell ref="F13:I13"/>
    <mergeCell ref="J13:M13"/>
    <mergeCell ref="N13:Q13"/>
    <mergeCell ref="R13:U13"/>
    <mergeCell ref="V13:Y13"/>
    <mergeCell ref="Z13:Z14"/>
  </mergeCells>
  <conditionalFormatting sqref="C22:C65500 C1:C9 C12:C14">
    <cfRule type="duplicateValues" dxfId="328" priority="22" stopIfTrue="1"/>
  </conditionalFormatting>
  <conditionalFormatting sqref="C11">
    <cfRule type="duplicateValues" dxfId="327" priority="4" stopIfTrue="1"/>
  </conditionalFormatting>
  <conditionalFormatting sqref="C11">
    <cfRule type="duplicateValues" dxfId="326" priority="5" stopIfTrue="1"/>
  </conditionalFormatting>
  <conditionalFormatting sqref="D11">
    <cfRule type="duplicateValues" dxfId="325" priority="3" stopIfTrue="1"/>
  </conditionalFormatting>
  <conditionalFormatting sqref="C10">
    <cfRule type="duplicateValues" dxfId="324" priority="1" stopIfTrue="1"/>
  </conditionalFormatting>
  <conditionalFormatting sqref="C10">
    <cfRule type="duplicateValues" dxfId="323" priority="2" stopIfTrue="1"/>
  </conditionalFormatting>
  <conditionalFormatting sqref="AB15:AB21">
    <cfRule type="duplicateValues" dxfId="322" priority="7857"/>
  </conditionalFormatting>
  <pageMargins left="0.70866141732283472" right="0.70866141732283472" top="0.74803149606299213" bottom="0.74803149606299213" header="0.31496062992125984" footer="0.31496062992125984"/>
  <pageSetup paperSize="9" scale="50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6">
    <pageSetUpPr fitToPage="1"/>
  </sheetPr>
  <dimension ref="A8:AE47"/>
  <sheetViews>
    <sheetView showGridLines="0" topLeftCell="A24" zoomScale="70" zoomScaleNormal="70" zoomScaleSheetLayoutView="90" workbookViewId="0">
      <selection activeCell="A15" sqref="A15:A36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11.42578125" style="2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26.25">
      <c r="A8" s="118" t="s">
        <v>83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20.100000000000001" customHeight="1">
      <c r="A13" s="125" t="s">
        <v>0</v>
      </c>
      <c r="B13" s="125"/>
      <c r="C13" s="65"/>
      <c r="D13" s="65"/>
      <c r="E13" s="66"/>
      <c r="F13" s="125">
        <v>1</v>
      </c>
      <c r="G13" s="125"/>
      <c r="H13" s="125"/>
      <c r="I13" s="126"/>
      <c r="J13" s="127">
        <v>2</v>
      </c>
      <c r="K13" s="125"/>
      <c r="L13" s="125"/>
      <c r="M13" s="126"/>
      <c r="N13" s="127">
        <v>3</v>
      </c>
      <c r="O13" s="125"/>
      <c r="P13" s="125"/>
      <c r="Q13" s="126"/>
      <c r="R13" s="127">
        <v>4</v>
      </c>
      <c r="S13" s="125"/>
      <c r="T13" s="125"/>
      <c r="U13" s="126"/>
      <c r="V13" s="127">
        <v>5</v>
      </c>
      <c r="W13" s="125"/>
      <c r="X13" s="125"/>
      <c r="Y13" s="126"/>
      <c r="Z13" s="117" t="s">
        <v>47</v>
      </c>
    </row>
    <row r="14" spans="1:31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117"/>
    </row>
    <row r="15" spans="1:31" ht="24.95" customHeight="1">
      <c r="A15" s="22">
        <v>1</v>
      </c>
      <c r="B15" s="22">
        <v>1</v>
      </c>
      <c r="C15" s="22">
        <v>614</v>
      </c>
      <c r="D15" s="23" t="str">
        <f>VLOOKUP(C15,PLANILLA,2,FALSE)</f>
        <v>MENESES Jose</v>
      </c>
      <c r="E15" s="24" t="str">
        <f>VLOOKUP(C15,PLANILLA,4,FALSE)</f>
        <v>STYM</v>
      </c>
      <c r="F15" s="3">
        <v>0</v>
      </c>
      <c r="G15" s="15">
        <v>0</v>
      </c>
      <c r="H15" s="3">
        <v>1</v>
      </c>
      <c r="I15" s="25">
        <v>200</v>
      </c>
      <c r="J15" s="33">
        <v>0</v>
      </c>
      <c r="K15" s="22">
        <v>0</v>
      </c>
      <c r="L15" s="22">
        <v>2</v>
      </c>
      <c r="M15" s="34">
        <v>150</v>
      </c>
      <c r="N15" s="32"/>
      <c r="O15" s="30"/>
      <c r="P15" s="3">
        <v>1</v>
      </c>
      <c r="Q15" s="34">
        <f>IFERROR(VLOOKUP(P15,'Puntos XCO'!$A$1:$B$63,2,FALSE),0)</f>
        <v>200</v>
      </c>
      <c r="R15" s="16">
        <v>1</v>
      </c>
      <c r="S15" s="3">
        <f>IFERROR(VLOOKUP(R15,'Puntos XCC Menor'!$A$1:$B$15,2,FALSE),0)</f>
        <v>10</v>
      </c>
      <c r="T15" s="15">
        <v>1</v>
      </c>
      <c r="U15" s="39">
        <f>IFERROR(VLOOKUP(T15,'Puntos XCO'!$A$1:$B$63,2,FALSE),0)</f>
        <v>200</v>
      </c>
      <c r="V15" s="16">
        <f>IFERROR(VLOOKUP(C15,RESXCC_1,9,FALSE),0)</f>
        <v>2</v>
      </c>
      <c r="W15" s="15">
        <f>IFERROR(VLOOKUP(V15,'Puntos XCC Mayor'!$A$1:$B$15,2,FALSE),0)</f>
        <v>20</v>
      </c>
      <c r="X15" s="15">
        <f>IFERROR(VLOOKUP(C15,RESXCO,9,FALSE),0)</f>
        <v>3</v>
      </c>
      <c r="Y15" s="25">
        <f>IFERROR(VLOOKUP(X15,'Puntos XCO'!$A$1:$B$63,2,FALSE),0)</f>
        <v>120</v>
      </c>
      <c r="Z15" s="27">
        <f>G15+I15+K15+M15+O15+Q15+S15+U15+W15+Y15</f>
        <v>900</v>
      </c>
      <c r="AB15" s="2"/>
      <c r="AC15" s="13"/>
      <c r="AD15" s="12"/>
      <c r="AE15" s="14"/>
    </row>
    <row r="16" spans="1:31" ht="24.95" customHeight="1">
      <c r="A16" s="22">
        <v>2</v>
      </c>
      <c r="B16" s="22">
        <v>2</v>
      </c>
      <c r="C16" s="22">
        <v>609</v>
      </c>
      <c r="D16" s="23" t="str">
        <f>VLOOKUP(C16,PLANILLA,2,FALSE)</f>
        <v>SANDI Kendall</v>
      </c>
      <c r="E16" s="24" t="str">
        <f>VLOOKUP(C16,PLANILLA,4,FALSE)</f>
        <v xml:space="preserve">TEAM POWERCYCLING </v>
      </c>
      <c r="F16" s="3">
        <v>1</v>
      </c>
      <c r="G16" s="15">
        <v>10</v>
      </c>
      <c r="H16" s="3">
        <v>2</v>
      </c>
      <c r="I16" s="25">
        <v>150</v>
      </c>
      <c r="J16" s="33">
        <v>7</v>
      </c>
      <c r="K16" s="22">
        <v>4</v>
      </c>
      <c r="L16" s="22">
        <v>1</v>
      </c>
      <c r="M16" s="34">
        <v>200</v>
      </c>
      <c r="N16" s="32">
        <f>IFERROR(VLOOKUP(C16,RESXCC_1,9,FALSE),0)</f>
        <v>3</v>
      </c>
      <c r="O16" s="30"/>
      <c r="P16" s="3">
        <v>3</v>
      </c>
      <c r="Q16" s="34">
        <f>IFERROR(VLOOKUP(P16,'Puntos XCO'!$A$1:$B$63,2,FALSE),0)</f>
        <v>120</v>
      </c>
      <c r="R16" s="16">
        <v>2</v>
      </c>
      <c r="S16" s="3">
        <f>IFERROR(VLOOKUP(R16,'Puntos XCC Menor'!$A$1:$B$15,2,FALSE),0)</f>
        <v>9</v>
      </c>
      <c r="T16" s="15">
        <v>3</v>
      </c>
      <c r="U16" s="39">
        <f>IFERROR(VLOOKUP(T16,'Puntos XCO'!$A$1:$B$63,2,FALSE),0)</f>
        <v>120</v>
      </c>
      <c r="V16" s="16">
        <f>IFERROR(VLOOKUP(C16,RESXCC_1,9,FALSE),0)</f>
        <v>3</v>
      </c>
      <c r="W16" s="15">
        <f>IFERROR(VLOOKUP(V16,'Puntos XCC Mayor'!$A$1:$B$15,2,FALSE),0)</f>
        <v>16</v>
      </c>
      <c r="X16" s="15">
        <f>IFERROR(VLOOKUP(C16,RESXCO,9,FALSE),0)</f>
        <v>2</v>
      </c>
      <c r="Y16" s="25">
        <f>IFERROR(VLOOKUP(X16,'Puntos XCO'!$A$1:$B$63,2,FALSE),0)</f>
        <v>150</v>
      </c>
      <c r="Z16" s="27">
        <f>G16+I16+K16+M16+O16+Q16+S16+U16+W16+Y16</f>
        <v>779</v>
      </c>
      <c r="AB16" s="2"/>
      <c r="AC16" s="13"/>
      <c r="AD16" s="12"/>
      <c r="AE16" s="14"/>
    </row>
    <row r="17" spans="1:31" ht="24.95" customHeight="1">
      <c r="A17" s="22">
        <v>3</v>
      </c>
      <c r="B17" s="22">
        <v>4</v>
      </c>
      <c r="C17" s="22">
        <v>618</v>
      </c>
      <c r="D17" s="23" t="str">
        <f>VLOOKUP(C17,PLANILLA,2,FALSE)</f>
        <v xml:space="preserve">ZAMORA  José David </v>
      </c>
      <c r="E17" s="24" t="str">
        <f>VLOOKUP(C17,PLANILLA,4,FALSE)</f>
        <v>VEINTE24</v>
      </c>
      <c r="F17" s="3">
        <v>0</v>
      </c>
      <c r="G17" s="15">
        <v>0</v>
      </c>
      <c r="H17" s="3">
        <v>5</v>
      </c>
      <c r="I17" s="25">
        <v>100</v>
      </c>
      <c r="J17" s="33">
        <v>0</v>
      </c>
      <c r="K17" s="22">
        <v>0</v>
      </c>
      <c r="L17" s="22">
        <v>0</v>
      </c>
      <c r="M17" s="34">
        <v>0</v>
      </c>
      <c r="N17" s="32"/>
      <c r="O17" s="30"/>
      <c r="P17" s="3">
        <v>2</v>
      </c>
      <c r="Q17" s="34">
        <f>IFERROR(VLOOKUP(P17,'Puntos XCO'!$A$1:$B$63,2,FALSE),0)</f>
        <v>150</v>
      </c>
      <c r="R17" s="16">
        <v>0</v>
      </c>
      <c r="S17" s="3">
        <f>IFERROR(VLOOKUP(R17,'Puntos XCC Menor'!$A$1:$B$15,2,FALSE),0)</f>
        <v>0</v>
      </c>
      <c r="T17" s="15">
        <v>2</v>
      </c>
      <c r="U17" s="39">
        <f>IFERROR(VLOOKUP(T17,'Puntos XCO'!$A$1:$B$63,2,FALSE),0)</f>
        <v>150</v>
      </c>
      <c r="V17" s="16">
        <f>IFERROR(VLOOKUP(C17,RESXCC_1,9,FALSE),0)</f>
        <v>1</v>
      </c>
      <c r="W17" s="15">
        <f>IFERROR(VLOOKUP(V17,'Puntos XCC Mayor'!$A$1:$B$15,2,FALSE),0)</f>
        <v>25</v>
      </c>
      <c r="X17" s="15">
        <f>IFERROR(VLOOKUP(C17,RESXCO,9,FALSE),0)</f>
        <v>1</v>
      </c>
      <c r="Y17" s="25">
        <f>IFERROR(VLOOKUP(X17,'Puntos XCO'!$A$1:$B$63,2,FALSE),0)</f>
        <v>200</v>
      </c>
      <c r="Z17" s="27">
        <f>G17+I17+K17+M17+O17+Q17+S17+U17+W17+Y17</f>
        <v>625</v>
      </c>
      <c r="AB17" s="2"/>
      <c r="AC17" s="13"/>
      <c r="AD17" s="12"/>
      <c r="AE17" s="14"/>
    </row>
    <row r="18" spans="1:31" ht="24.95" customHeight="1">
      <c r="A18" s="22">
        <v>4</v>
      </c>
      <c r="B18" s="22">
        <v>3</v>
      </c>
      <c r="C18" s="22">
        <v>603</v>
      </c>
      <c r="D18" s="23" t="str">
        <f>VLOOKUP(C18,PLANILLA,2,FALSE)</f>
        <v>RIVERA  Jackdanny</v>
      </c>
      <c r="E18" s="24" t="str">
        <f>VLOOKUP(C18,PLANILLA,4,FALSE)</f>
        <v xml:space="preserve">VEINTE24 CYCLING </v>
      </c>
      <c r="F18" s="3">
        <v>3</v>
      </c>
      <c r="G18" s="15">
        <v>8</v>
      </c>
      <c r="H18" s="3">
        <v>4</v>
      </c>
      <c r="I18" s="25">
        <v>110</v>
      </c>
      <c r="J18" s="33">
        <v>2</v>
      </c>
      <c r="K18" s="22">
        <v>9</v>
      </c>
      <c r="L18" s="22">
        <v>4</v>
      </c>
      <c r="M18" s="34">
        <v>110</v>
      </c>
      <c r="N18" s="32"/>
      <c r="O18" s="30"/>
      <c r="P18" s="3">
        <v>5</v>
      </c>
      <c r="Q18" s="34">
        <f>IFERROR(VLOOKUP(P18,'Puntos XCO'!$A$1:$B$63,2,FALSE),0)</f>
        <v>100</v>
      </c>
      <c r="R18" s="16">
        <v>3</v>
      </c>
      <c r="S18" s="3">
        <f>IFERROR(VLOOKUP(R18,'Puntos XCC Menor'!$A$1:$B$15,2,FALSE),0)</f>
        <v>8</v>
      </c>
      <c r="T18" s="15">
        <v>4</v>
      </c>
      <c r="U18" s="39">
        <f>IFERROR(VLOOKUP(T18,'Puntos XCO'!$A$1:$B$63,2,FALSE),0)</f>
        <v>110</v>
      </c>
      <c r="V18" s="16">
        <f>IFERROR(VLOOKUP(C18,RESXCC_1,9,FALSE),0)</f>
        <v>0</v>
      </c>
      <c r="W18" s="15">
        <f>IFERROR(VLOOKUP(V18,'Puntos XCC Mayor'!$A$1:$B$15,2,FALSE),0)</f>
        <v>0</v>
      </c>
      <c r="X18" s="15">
        <f>IFERROR(VLOOKUP(C18,RESXCO,9,FALSE),0)</f>
        <v>6</v>
      </c>
      <c r="Y18" s="25">
        <f>IFERROR(VLOOKUP(X18,'Puntos XCO'!$A$1:$B$63,2,FALSE),0)</f>
        <v>95</v>
      </c>
      <c r="Z18" s="27">
        <f>G18+I18+K18+M18+O18+Q18+S18+U18+W18+Y18</f>
        <v>550</v>
      </c>
      <c r="AB18" s="2"/>
      <c r="AC18" s="13"/>
      <c r="AD18" s="12"/>
      <c r="AE18" s="14"/>
    </row>
    <row r="19" spans="1:31" ht="24.95" customHeight="1">
      <c r="A19" s="22">
        <v>5</v>
      </c>
      <c r="B19" s="22">
        <v>5</v>
      </c>
      <c r="C19" s="22">
        <v>622</v>
      </c>
      <c r="D19" s="23" t="str">
        <f>VLOOKUP(C19,PLANILLA,2,FALSE)</f>
        <v xml:space="preserve">MORENO  Carlos </v>
      </c>
      <c r="E19" s="24" t="str">
        <f>VLOOKUP(C19,PLANILLA,4,FALSE)</f>
        <v xml:space="preserve">NUMUCOACHING </v>
      </c>
      <c r="F19" s="3"/>
      <c r="G19" s="15"/>
      <c r="H19" s="3"/>
      <c r="I19" s="25"/>
      <c r="J19" s="33">
        <v>4</v>
      </c>
      <c r="K19" s="22">
        <v>7</v>
      </c>
      <c r="L19" s="22">
        <v>3</v>
      </c>
      <c r="M19" s="34">
        <v>120</v>
      </c>
      <c r="N19" s="32"/>
      <c r="O19" s="30"/>
      <c r="P19" s="3">
        <v>4</v>
      </c>
      <c r="Q19" s="34">
        <f>IFERROR(VLOOKUP(P19,'Puntos XCO'!$A$1:$B$63,2,FALSE),0)</f>
        <v>110</v>
      </c>
      <c r="R19" s="16">
        <v>5</v>
      </c>
      <c r="S19" s="3">
        <f>IFERROR(VLOOKUP(R19,'Puntos XCC Menor'!$A$1:$B$15,2,FALSE),0)</f>
        <v>6</v>
      </c>
      <c r="T19" s="15">
        <v>6</v>
      </c>
      <c r="U19" s="39">
        <f>IFERROR(VLOOKUP(T19,'Puntos XCO'!$A$1:$B$63,2,FALSE),0)</f>
        <v>95</v>
      </c>
      <c r="V19" s="16">
        <f>IFERROR(VLOOKUP(C19,RESXCC_1,9,FALSE),0)</f>
        <v>5</v>
      </c>
      <c r="W19" s="15">
        <f>IFERROR(VLOOKUP(V19,'Puntos XCC Mayor'!$A$1:$B$15,2,FALSE),0)</f>
        <v>12</v>
      </c>
      <c r="X19" s="15">
        <f>IFERROR(VLOOKUP(C19,RESXCO,9,FALSE),0)</f>
        <v>7</v>
      </c>
      <c r="Y19" s="25">
        <f>IFERROR(VLOOKUP(X19,'Puntos XCO'!$A$1:$B$63,2,FALSE),0)</f>
        <v>90</v>
      </c>
      <c r="Z19" s="27">
        <f>G19+I19+K19+M19+O19+Q19+S19+U19+W19+Y19</f>
        <v>440</v>
      </c>
      <c r="AB19" s="2"/>
      <c r="AC19" s="13"/>
      <c r="AD19" s="12"/>
      <c r="AE19" s="14"/>
    </row>
    <row r="20" spans="1:31" ht="24.95" customHeight="1">
      <c r="A20" s="22">
        <v>6</v>
      </c>
      <c r="B20" s="22">
        <v>6</v>
      </c>
      <c r="C20" s="22">
        <v>610</v>
      </c>
      <c r="D20" s="23" t="str">
        <f>VLOOKUP(C20,PLANILLA,2,FALSE)</f>
        <v>ROJAS Gonzalo</v>
      </c>
      <c r="E20" s="24" t="str">
        <f>VLOOKUP(C20,PLANILLA,4,FALSE)</f>
        <v>TALENTTEC</v>
      </c>
      <c r="F20" s="3">
        <v>0</v>
      </c>
      <c r="G20" s="15">
        <v>0</v>
      </c>
      <c r="H20" s="3">
        <v>10</v>
      </c>
      <c r="I20" s="25">
        <v>78</v>
      </c>
      <c r="J20" s="33">
        <v>0</v>
      </c>
      <c r="K20" s="22">
        <v>0</v>
      </c>
      <c r="L20" s="22">
        <v>10</v>
      </c>
      <c r="M20" s="34">
        <v>78</v>
      </c>
      <c r="N20" s="32"/>
      <c r="O20" s="30"/>
      <c r="P20" s="3">
        <v>7</v>
      </c>
      <c r="Q20" s="34">
        <f>IFERROR(VLOOKUP(P20,'Puntos XCO'!$A$1:$B$63,2,FALSE),0)</f>
        <v>90</v>
      </c>
      <c r="R20" s="16">
        <v>0</v>
      </c>
      <c r="S20" s="3">
        <f>IFERROR(VLOOKUP(R20,'Puntos XCC Menor'!$A$1:$B$15,2,FALSE),0)</f>
        <v>0</v>
      </c>
      <c r="T20" s="15">
        <v>7</v>
      </c>
      <c r="U20" s="39">
        <f>IFERROR(VLOOKUP(T20,'Puntos XCO'!$A$1:$B$63,2,FALSE),0)</f>
        <v>90</v>
      </c>
      <c r="V20" s="16">
        <f>IFERROR(VLOOKUP(C20,RESXCC_1,9,FALSE),0)</f>
        <v>0</v>
      </c>
      <c r="W20" s="15">
        <f>IFERROR(VLOOKUP(V20,'Puntos XCC Mayor'!$A$1:$B$15,2,FALSE),0)</f>
        <v>0</v>
      </c>
      <c r="X20" s="15">
        <f>IFERROR(VLOOKUP(C20,RESXCO,9,FALSE),0)</f>
        <v>0</v>
      </c>
      <c r="Y20" s="25">
        <f>IFERROR(VLOOKUP(X20,'Puntos XCO'!$A$1:$B$63,2,FALSE),0)</f>
        <v>0</v>
      </c>
      <c r="Z20" s="27">
        <f>G20+I20+K20+M20+O20+Q20+S20+U20+W20+Y20</f>
        <v>336</v>
      </c>
      <c r="AB20" s="2"/>
      <c r="AC20" s="13"/>
      <c r="AD20" s="12"/>
      <c r="AE20" s="14"/>
    </row>
    <row r="21" spans="1:31" ht="24.95" customHeight="1">
      <c r="A21" s="22">
        <v>7</v>
      </c>
      <c r="B21" s="22">
        <v>7</v>
      </c>
      <c r="C21" s="22">
        <v>608</v>
      </c>
      <c r="D21" s="23" t="str">
        <f>VLOOKUP(C21,PLANILLA,2,FALSE)</f>
        <v xml:space="preserve">SANTANA  Jesús </v>
      </c>
      <c r="E21" s="24" t="str">
        <f>VLOOKUP(C21,PLANILLA,4,FALSE)</f>
        <v xml:space="preserve">ACISA CCDR SARAPIQUI </v>
      </c>
      <c r="F21" s="3">
        <v>5</v>
      </c>
      <c r="G21" s="15">
        <v>6</v>
      </c>
      <c r="H21" s="3">
        <v>6</v>
      </c>
      <c r="I21" s="25">
        <v>95</v>
      </c>
      <c r="J21" s="33">
        <v>1</v>
      </c>
      <c r="K21" s="22">
        <v>10</v>
      </c>
      <c r="L21" s="22">
        <v>6</v>
      </c>
      <c r="M21" s="34">
        <v>95</v>
      </c>
      <c r="N21" s="32"/>
      <c r="O21" s="30"/>
      <c r="P21" s="3">
        <v>0</v>
      </c>
      <c r="Q21" s="34">
        <f>IFERROR(VLOOKUP(P21,'Puntos XCO'!$A$1:$B$63,2,FALSE),0)</f>
        <v>0</v>
      </c>
      <c r="R21" s="16">
        <v>4</v>
      </c>
      <c r="S21" s="3">
        <f>IFERROR(VLOOKUP(R21,'Puntos XCC Menor'!$A$1:$B$15,2,FALSE),0)</f>
        <v>7</v>
      </c>
      <c r="T21" s="15">
        <v>5</v>
      </c>
      <c r="U21" s="39">
        <f>IFERROR(VLOOKUP(T21,'Puntos XCO'!$A$1:$B$63,2,FALSE),0)</f>
        <v>100</v>
      </c>
      <c r="V21" s="16">
        <f>IFERROR(VLOOKUP(C21,RESXCC_1,9,FALSE),0)</f>
        <v>0</v>
      </c>
      <c r="W21" s="15">
        <f>IFERROR(VLOOKUP(V21,'Puntos XCC Mayor'!$A$1:$B$15,2,FALSE),0)</f>
        <v>0</v>
      </c>
      <c r="X21" s="15">
        <f>IFERROR(VLOOKUP(C21,RESXCO,9,FALSE),0)</f>
        <v>0</v>
      </c>
      <c r="Y21" s="25">
        <f>IFERROR(VLOOKUP(X21,'Puntos XCO'!$A$1:$B$63,2,FALSE),0)</f>
        <v>0</v>
      </c>
      <c r="Z21" s="27">
        <f>G21+I21+K21+M21+O21+Q21+S21+U21+W21+Y21</f>
        <v>313</v>
      </c>
      <c r="AB21" s="2"/>
      <c r="AC21" s="13"/>
      <c r="AD21" s="12"/>
      <c r="AE21" s="14"/>
    </row>
    <row r="22" spans="1:31" ht="24.95" customHeight="1">
      <c r="A22" s="22">
        <v>8</v>
      </c>
      <c r="B22" s="22">
        <v>9</v>
      </c>
      <c r="C22" s="22">
        <v>625</v>
      </c>
      <c r="D22" s="23" t="str">
        <f>VLOOKUP(C22,PLANILLA,2,FALSE)</f>
        <v>LEIVA Kenneth</v>
      </c>
      <c r="E22" s="24" t="str">
        <f>VLOOKUP(C22,PLANILLA,4,FALSE)</f>
        <v/>
      </c>
      <c r="F22" s="3"/>
      <c r="G22" s="15"/>
      <c r="H22" s="3"/>
      <c r="I22" s="25"/>
      <c r="J22" s="33">
        <v>0</v>
      </c>
      <c r="K22" s="22">
        <v>0</v>
      </c>
      <c r="L22" s="22">
        <v>9</v>
      </c>
      <c r="M22" s="34">
        <v>80</v>
      </c>
      <c r="N22" s="32"/>
      <c r="O22" s="30"/>
      <c r="P22" s="3">
        <v>9</v>
      </c>
      <c r="Q22" s="34">
        <f>IFERROR(VLOOKUP(P22,'Puntos XCO'!$A$1:$B$63,2,FALSE),0)</f>
        <v>80</v>
      </c>
      <c r="R22" s="16">
        <v>0</v>
      </c>
      <c r="S22" s="3">
        <f>IFERROR(VLOOKUP(R22,'Puntos XCC Menor'!$A$1:$B$15,2,FALSE),0)</f>
        <v>0</v>
      </c>
      <c r="T22" s="15">
        <v>0</v>
      </c>
      <c r="U22" s="39">
        <f>IFERROR(VLOOKUP(T22,'Puntos XCO'!$A$1:$B$63,2,FALSE),0)</f>
        <v>0</v>
      </c>
      <c r="V22" s="16">
        <f>IFERROR(VLOOKUP(C22,RESXCC_1,9,FALSE),0)</f>
        <v>0</v>
      </c>
      <c r="W22" s="15">
        <f>IFERROR(VLOOKUP(V22,'Puntos XCC Mayor'!$A$1:$B$15,2,FALSE),0)</f>
        <v>0</v>
      </c>
      <c r="X22" s="15">
        <f>IFERROR(VLOOKUP(C22,RESXCO,9,FALSE),0)</f>
        <v>8</v>
      </c>
      <c r="Y22" s="25">
        <f>IFERROR(VLOOKUP(X22,'Puntos XCO'!$A$1:$B$63,2,FALSE),0)</f>
        <v>85</v>
      </c>
      <c r="Z22" s="27">
        <f>G22+I22+K22+M22+O22+Q22+S22+U22+W22+Y22</f>
        <v>245</v>
      </c>
      <c r="AB22" s="2"/>
      <c r="AC22" s="13"/>
      <c r="AD22" s="12"/>
      <c r="AE22" s="14"/>
    </row>
    <row r="23" spans="1:31" ht="24.95" customHeight="1">
      <c r="A23" s="22">
        <v>9</v>
      </c>
      <c r="B23" s="22">
        <v>11</v>
      </c>
      <c r="C23" s="22">
        <v>602</v>
      </c>
      <c r="D23" s="23" t="str">
        <f>VLOOKUP(C23,PLANILLA,2,FALSE)</f>
        <v>MARIN Daniel</v>
      </c>
      <c r="E23" s="24" t="str">
        <f>VLOOKUP(C23,PLANILLA,4,FALSE)</f>
        <v>BIKE BROS CYCLING</v>
      </c>
      <c r="F23" s="3">
        <v>10</v>
      </c>
      <c r="G23" s="15">
        <v>1</v>
      </c>
      <c r="H23" s="3">
        <v>0</v>
      </c>
      <c r="I23" s="25">
        <v>0</v>
      </c>
      <c r="J23" s="33">
        <v>3</v>
      </c>
      <c r="K23" s="22">
        <v>8</v>
      </c>
      <c r="L23" s="22">
        <v>5</v>
      </c>
      <c r="M23" s="34">
        <v>100</v>
      </c>
      <c r="N23" s="32"/>
      <c r="O23" s="30"/>
      <c r="P23" s="3">
        <v>0</v>
      </c>
      <c r="Q23" s="34">
        <f>IFERROR(VLOOKUP(P23,'Puntos XCO'!$A$1:$B$63,2,FALSE),0)</f>
        <v>0</v>
      </c>
      <c r="R23" s="16">
        <v>0</v>
      </c>
      <c r="S23" s="3">
        <f>IFERROR(VLOOKUP(R23,'Puntos XCC Menor'!$A$1:$B$15,2,FALSE),0)</f>
        <v>0</v>
      </c>
      <c r="T23" s="15">
        <v>0</v>
      </c>
      <c r="U23" s="39">
        <f>IFERROR(VLOOKUP(T23,'Puntos XCO'!$A$1:$B$63,2,FALSE),0)</f>
        <v>0</v>
      </c>
      <c r="V23" s="16">
        <f>IFERROR(VLOOKUP(C23,RESXCC_1,9,FALSE),0)</f>
        <v>4</v>
      </c>
      <c r="W23" s="15">
        <f>IFERROR(VLOOKUP(V23,'Puntos XCC Mayor'!$A$1:$B$15,2,FALSE),0)</f>
        <v>14</v>
      </c>
      <c r="X23" s="15">
        <f>IFERROR(VLOOKUP(C23,RESXCO,9,FALSE),0)</f>
        <v>4</v>
      </c>
      <c r="Y23" s="25">
        <f>IFERROR(VLOOKUP(X23,'Puntos XCO'!$A$1:$B$63,2,FALSE),0)</f>
        <v>110</v>
      </c>
      <c r="Z23" s="27">
        <f>G23+I23+K23+M23+O23+Q23+S23+U23+W23+Y23</f>
        <v>233</v>
      </c>
      <c r="AB23" s="2"/>
      <c r="AC23" s="13"/>
      <c r="AD23" s="12"/>
      <c r="AE23" s="14"/>
    </row>
    <row r="24" spans="1:31" ht="24.95" customHeight="1">
      <c r="A24" s="22">
        <v>10</v>
      </c>
      <c r="B24" s="22">
        <v>15</v>
      </c>
      <c r="C24" s="22">
        <v>616</v>
      </c>
      <c r="D24" s="23" t="str">
        <f>VLOOKUP(C24,PLANILLA,2,FALSE)</f>
        <v xml:space="preserve">QUIRÓS  Arturo </v>
      </c>
      <c r="E24" s="24" t="str">
        <f>VLOOKUP(C24,PLANILLA,4,FALSE)</f>
        <v>ASOCIACIÓN VQ CARTAGO</v>
      </c>
      <c r="F24" s="3">
        <v>11</v>
      </c>
      <c r="G24" s="15">
        <v>0</v>
      </c>
      <c r="H24" s="3">
        <v>8</v>
      </c>
      <c r="I24" s="25">
        <v>85</v>
      </c>
      <c r="J24" s="33">
        <v>0</v>
      </c>
      <c r="K24" s="22">
        <v>0</v>
      </c>
      <c r="L24" s="22">
        <v>0</v>
      </c>
      <c r="M24" s="34">
        <v>0</v>
      </c>
      <c r="N24" s="32"/>
      <c r="O24" s="30"/>
      <c r="P24" s="3">
        <v>0</v>
      </c>
      <c r="Q24" s="34">
        <f>IFERROR(VLOOKUP(P24,'Puntos XCO'!$A$1:$B$63,2,FALSE),0)</f>
        <v>0</v>
      </c>
      <c r="R24" s="16">
        <v>0</v>
      </c>
      <c r="S24" s="3">
        <f>IFERROR(VLOOKUP(R24,'Puntos XCC Menor'!$A$1:$B$15,2,FALSE),0)</f>
        <v>0</v>
      </c>
      <c r="T24" s="15">
        <v>0</v>
      </c>
      <c r="U24" s="39">
        <f>IFERROR(VLOOKUP(T24,'Puntos XCO'!$A$1:$B$63,2,FALSE),0)</f>
        <v>0</v>
      </c>
      <c r="V24" s="16">
        <f>IFERROR(VLOOKUP(C24,RESXCC_1,9,FALSE),0)</f>
        <v>0</v>
      </c>
      <c r="W24" s="15">
        <f>IFERROR(VLOOKUP(V24,'Puntos XCC Mayor'!$A$1:$B$15,2,FALSE),0)</f>
        <v>0</v>
      </c>
      <c r="X24" s="15">
        <f>IFERROR(VLOOKUP(C24,RESXCO,9,FALSE),0)</f>
        <v>5</v>
      </c>
      <c r="Y24" s="25">
        <f>IFERROR(VLOOKUP(X24,'Puntos XCO'!$A$1:$B$63,2,FALSE),0)</f>
        <v>100</v>
      </c>
      <c r="Z24" s="27">
        <f>G24+I24+K24+M24+O24+Q24+S24+U24+W24+Y24</f>
        <v>185</v>
      </c>
      <c r="AB24" s="2"/>
      <c r="AC24" s="13"/>
      <c r="AD24" s="12"/>
      <c r="AE24" s="14"/>
    </row>
    <row r="25" spans="1:31" ht="24.95" customHeight="1">
      <c r="A25" s="22">
        <v>11</v>
      </c>
      <c r="B25" s="22">
        <v>8</v>
      </c>
      <c r="C25" s="22">
        <v>619</v>
      </c>
      <c r="D25" s="23" t="str">
        <f>VLOOKUP(C25,PLANILLA,2,FALSE)</f>
        <v>GUTIERREZ  Daniel</v>
      </c>
      <c r="E25" s="24" t="str">
        <f>VLOOKUP(C25,PLANILLA,4,FALSE)</f>
        <v xml:space="preserve">TURRIALBA </v>
      </c>
      <c r="F25" s="3">
        <v>9</v>
      </c>
      <c r="G25" s="15">
        <v>2</v>
      </c>
      <c r="H25" s="3">
        <v>9</v>
      </c>
      <c r="I25" s="25">
        <v>80</v>
      </c>
      <c r="J25" s="33">
        <v>0</v>
      </c>
      <c r="K25" s="22">
        <v>0</v>
      </c>
      <c r="L25" s="22">
        <v>0</v>
      </c>
      <c r="M25" s="34">
        <v>0</v>
      </c>
      <c r="N25" s="32"/>
      <c r="O25" s="30"/>
      <c r="P25" s="3">
        <v>8</v>
      </c>
      <c r="Q25" s="34">
        <f>IFERROR(VLOOKUP(P25,'Puntos XCO'!$A$1:$B$63,2,FALSE),0)</f>
        <v>85</v>
      </c>
      <c r="R25" s="16">
        <v>0</v>
      </c>
      <c r="S25" s="3">
        <f>IFERROR(VLOOKUP(R25,'Puntos XCC Menor'!$A$1:$B$15,2,FALSE),0)</f>
        <v>0</v>
      </c>
      <c r="T25" s="15">
        <v>0</v>
      </c>
      <c r="U25" s="39">
        <f>IFERROR(VLOOKUP(T25,'Puntos XCO'!$A$1:$B$63,2,FALSE),0)</f>
        <v>0</v>
      </c>
      <c r="V25" s="16">
        <f>IFERROR(VLOOKUP(C25,RESXCC_1,9,FALSE),0)</f>
        <v>0</v>
      </c>
      <c r="W25" s="15">
        <f>IFERROR(VLOOKUP(V25,'Puntos XCC Mayor'!$A$1:$B$15,2,FALSE),0)</f>
        <v>0</v>
      </c>
      <c r="X25" s="15">
        <f>IFERROR(VLOOKUP(C25,RESXCO,9,FALSE),0)</f>
        <v>0</v>
      </c>
      <c r="Y25" s="25">
        <f>IFERROR(VLOOKUP(X25,'Puntos XCO'!$A$1:$B$63,2,FALSE),0)</f>
        <v>0</v>
      </c>
      <c r="Z25" s="27">
        <f>G25+I25+K25+M25+O25+Q25+S25+U25+W25+Y25</f>
        <v>167</v>
      </c>
      <c r="AB25" s="2"/>
      <c r="AC25" s="13"/>
      <c r="AD25" s="12"/>
      <c r="AE25" s="14"/>
    </row>
    <row r="26" spans="1:31" ht="24.95" customHeight="1">
      <c r="A26" s="22">
        <v>12</v>
      </c>
      <c r="B26" s="22">
        <v>10</v>
      </c>
      <c r="C26" s="22">
        <v>620</v>
      </c>
      <c r="D26" s="23" t="str">
        <f>VLOOKUP(C26,PLANILLA,2,FALSE)</f>
        <v>CHAVES Jose</v>
      </c>
      <c r="E26" s="24" t="str">
        <f>VLOOKUP(C26,PLANILLA,4,FALSE)</f>
        <v>VEINTE24</v>
      </c>
      <c r="F26" s="3">
        <v>4</v>
      </c>
      <c r="G26" s="15">
        <v>7</v>
      </c>
      <c r="H26" s="3">
        <v>3</v>
      </c>
      <c r="I26" s="25">
        <v>120</v>
      </c>
      <c r="J26" s="33">
        <v>0</v>
      </c>
      <c r="K26" s="22">
        <v>0</v>
      </c>
      <c r="L26" s="22">
        <v>0</v>
      </c>
      <c r="M26" s="34">
        <v>0</v>
      </c>
      <c r="N26" s="32"/>
      <c r="O26" s="30"/>
      <c r="P26" s="3">
        <v>0</v>
      </c>
      <c r="Q26" s="34">
        <f>IFERROR(VLOOKUP(P26,'Puntos XCO'!$A$1:$B$63,2,FALSE),0)</f>
        <v>0</v>
      </c>
      <c r="R26" s="16">
        <v>0</v>
      </c>
      <c r="S26" s="3">
        <f>IFERROR(VLOOKUP(R26,'Puntos XCC Menor'!$A$1:$B$15,2,FALSE),0)</f>
        <v>0</v>
      </c>
      <c r="T26" s="15">
        <v>0</v>
      </c>
      <c r="U26" s="39">
        <f>IFERROR(VLOOKUP(T26,'Puntos XCO'!$A$1:$B$63,2,FALSE),0)</f>
        <v>0</v>
      </c>
      <c r="V26" s="16">
        <f>IFERROR(VLOOKUP(C26,RESXCC_1,9,FALSE),0)</f>
        <v>0</v>
      </c>
      <c r="W26" s="15">
        <f>IFERROR(VLOOKUP(V26,'Puntos XCC Mayor'!$A$1:$B$15,2,FALSE),0)</f>
        <v>0</v>
      </c>
      <c r="X26" s="15">
        <f>IFERROR(VLOOKUP(C26,RESXCO,9,FALSE),0)</f>
        <v>0</v>
      </c>
      <c r="Y26" s="25">
        <f>IFERROR(VLOOKUP(X26,'Puntos XCO'!$A$1:$B$63,2,FALSE),0)</f>
        <v>0</v>
      </c>
      <c r="Z26" s="27">
        <f>G26+I26+K26+M26+O26+Q26+S26+U26+W26+Y26</f>
        <v>127</v>
      </c>
      <c r="AB26" s="2"/>
      <c r="AC26" s="13"/>
      <c r="AD26" s="12"/>
      <c r="AE26" s="14"/>
    </row>
    <row r="27" spans="1:31" ht="24.95" customHeight="1">
      <c r="A27" s="22">
        <v>13</v>
      </c>
      <c r="B27" s="22">
        <v>12</v>
      </c>
      <c r="C27" s="22">
        <v>611</v>
      </c>
      <c r="D27" s="23" t="str">
        <f>VLOOKUP(C27,PLANILLA,2,FALSE)</f>
        <v>SALAS Randall</v>
      </c>
      <c r="E27" s="24" t="str">
        <f>VLOOKUP(C27,PLANILLA,4,FALSE)</f>
        <v xml:space="preserve">ACISA </v>
      </c>
      <c r="F27" s="3">
        <v>0</v>
      </c>
      <c r="G27" s="15">
        <v>0</v>
      </c>
      <c r="H27" s="3">
        <v>0</v>
      </c>
      <c r="I27" s="25">
        <v>0</v>
      </c>
      <c r="J27" s="33">
        <v>6</v>
      </c>
      <c r="K27" s="22">
        <v>5</v>
      </c>
      <c r="L27" s="22">
        <v>7</v>
      </c>
      <c r="M27" s="34">
        <v>90</v>
      </c>
      <c r="N27" s="32"/>
      <c r="O27" s="30"/>
      <c r="P27" s="3">
        <v>0</v>
      </c>
      <c r="Q27" s="34">
        <f>IFERROR(VLOOKUP(P27,'Puntos XCO'!$A$1:$B$63,2,FALSE),0)</f>
        <v>0</v>
      </c>
      <c r="R27" s="16">
        <v>0</v>
      </c>
      <c r="S27" s="3">
        <f>IFERROR(VLOOKUP(R27,'Puntos XCC Menor'!$A$1:$B$15,2,FALSE),0)</f>
        <v>0</v>
      </c>
      <c r="T27" s="15">
        <v>0</v>
      </c>
      <c r="U27" s="39">
        <f>IFERROR(VLOOKUP(T27,'Puntos XCO'!$A$1:$B$63,2,FALSE),0)</f>
        <v>0</v>
      </c>
      <c r="V27" s="16">
        <f>IFERROR(VLOOKUP(C27,RESXCC_1,9,FALSE),0)</f>
        <v>0</v>
      </c>
      <c r="W27" s="15">
        <f>IFERROR(VLOOKUP(V27,'Puntos XCC Mayor'!$A$1:$B$15,2,FALSE),0)</f>
        <v>0</v>
      </c>
      <c r="X27" s="15">
        <f>IFERROR(VLOOKUP(C27,RESXCO,9,FALSE),0)</f>
        <v>0</v>
      </c>
      <c r="Y27" s="25">
        <f>IFERROR(VLOOKUP(X27,'Puntos XCO'!$A$1:$B$63,2,FALSE),0)</f>
        <v>0</v>
      </c>
      <c r="Z27" s="27">
        <f>G27+I27+K27+M27+O27+Q27+S27+U27+W27+Y27</f>
        <v>95</v>
      </c>
      <c r="AB27" s="2"/>
      <c r="AC27" s="13"/>
      <c r="AD27" s="12"/>
      <c r="AE27" s="14"/>
    </row>
    <row r="28" spans="1:31" ht="24.95" customHeight="1">
      <c r="A28" s="22">
        <v>14</v>
      </c>
      <c r="B28" s="22">
        <v>13</v>
      </c>
      <c r="C28" s="52">
        <v>627</v>
      </c>
      <c r="D28" s="23" t="str">
        <f>VLOOKUP(C28,PLANILLA,2,FALSE)</f>
        <v>ARAYA Bryan</v>
      </c>
      <c r="E28" s="24" t="str">
        <f>VLOOKUP(C28,PLANILLA,4,FALSE)</f>
        <v>BPT/ CYCLINGLAB</v>
      </c>
      <c r="F28" s="3"/>
      <c r="G28" s="15"/>
      <c r="H28" s="15"/>
      <c r="I28" s="25"/>
      <c r="J28" s="33"/>
      <c r="K28" s="22"/>
      <c r="L28" s="22"/>
      <c r="M28" s="34"/>
      <c r="N28" s="16"/>
      <c r="O28" s="15"/>
      <c r="P28" s="3">
        <v>6</v>
      </c>
      <c r="Q28" s="34">
        <f>IFERROR(VLOOKUP(P28,'Puntos XCO'!$A$1:$B$63,2,FALSE),0)</f>
        <v>95</v>
      </c>
      <c r="R28" s="16">
        <v>0</v>
      </c>
      <c r="S28" s="3">
        <f>IFERROR(VLOOKUP(R28,'Puntos XCC Menor'!$A$1:$B$15,2,FALSE),0)</f>
        <v>0</v>
      </c>
      <c r="T28" s="15">
        <v>0</v>
      </c>
      <c r="U28" s="39">
        <f>IFERROR(VLOOKUP(T28,'Puntos XCO'!$A$1:$B$63,2,FALSE),0)</f>
        <v>0</v>
      </c>
      <c r="V28" s="16">
        <f>IFERROR(VLOOKUP(C28,RESXCC_1,9,FALSE),0)</f>
        <v>0</v>
      </c>
      <c r="W28" s="15">
        <f>IFERROR(VLOOKUP(V28,'Puntos XCC Mayor'!$A$1:$B$15,2,FALSE),0)</f>
        <v>0</v>
      </c>
      <c r="X28" s="15">
        <f>IFERROR(VLOOKUP(C28,RESXCO,9,FALSE),0)</f>
        <v>0</v>
      </c>
      <c r="Y28" s="25">
        <f>IFERROR(VLOOKUP(X28,'Puntos XCO'!$A$1:$B$63,2,FALSE),0)</f>
        <v>0</v>
      </c>
      <c r="Z28" s="27">
        <f>G28+I28+K28+M28+O28+Q28+S28+U28+W28+Y28</f>
        <v>95</v>
      </c>
      <c r="AB28" s="3"/>
      <c r="AE28" s="29"/>
    </row>
    <row r="29" spans="1:31" ht="24.95" customHeight="1">
      <c r="A29" s="22">
        <v>15</v>
      </c>
      <c r="B29" s="22">
        <v>14</v>
      </c>
      <c r="C29" s="22">
        <v>604</v>
      </c>
      <c r="D29" s="23" t="str">
        <f>VLOOKUP(C29,PLANILLA,2,FALSE)</f>
        <v>BARRANTES  Lenin Juran</v>
      </c>
      <c r="E29" s="24" t="str">
        <f>VLOOKUP(C29,PLANILLA,4,FALSE)</f>
        <v>SCOTT SHIMANO CYCLING TEAM</v>
      </c>
      <c r="F29" s="3">
        <v>0</v>
      </c>
      <c r="G29" s="15">
        <v>0</v>
      </c>
      <c r="H29" s="3">
        <v>7</v>
      </c>
      <c r="I29" s="25">
        <v>90</v>
      </c>
      <c r="J29" s="33">
        <v>0</v>
      </c>
      <c r="K29" s="22">
        <v>0</v>
      </c>
      <c r="L29" s="22">
        <v>0</v>
      </c>
      <c r="M29" s="34">
        <v>0</v>
      </c>
      <c r="N29" s="32"/>
      <c r="O29" s="30"/>
      <c r="P29" s="3">
        <v>0</v>
      </c>
      <c r="Q29" s="34">
        <f>IFERROR(VLOOKUP(P29,'Puntos XCO'!$A$1:$B$63,2,FALSE),0)</f>
        <v>0</v>
      </c>
      <c r="R29" s="16">
        <v>0</v>
      </c>
      <c r="S29" s="3">
        <f>IFERROR(VLOOKUP(R29,'Puntos XCC Menor'!$A$1:$B$15,2,FALSE),0)</f>
        <v>0</v>
      </c>
      <c r="T29" s="15">
        <v>0</v>
      </c>
      <c r="U29" s="39">
        <f>IFERROR(VLOOKUP(T29,'Puntos XCO'!$A$1:$B$63,2,FALSE),0)</f>
        <v>0</v>
      </c>
      <c r="V29" s="16">
        <f>IFERROR(VLOOKUP(C29,RESXCC_1,9,FALSE),0)</f>
        <v>0</v>
      </c>
      <c r="W29" s="15">
        <f>IFERROR(VLOOKUP(V29,'Puntos XCC Mayor'!$A$1:$B$15,2,FALSE),0)</f>
        <v>0</v>
      </c>
      <c r="X29" s="15">
        <f>IFERROR(VLOOKUP(C29,RESXCO,9,FALSE),0)</f>
        <v>0</v>
      </c>
      <c r="Y29" s="25">
        <f>IFERROR(VLOOKUP(X29,'Puntos XCO'!$A$1:$B$63,2,FALSE),0)</f>
        <v>0</v>
      </c>
      <c r="Z29" s="27">
        <f>G29+I29+K29+M29+O29+Q29+S29+U29+W29+Y29</f>
        <v>90</v>
      </c>
      <c r="AB29" s="3"/>
    </row>
    <row r="30" spans="1:31" ht="24.95" customHeight="1">
      <c r="A30" s="22">
        <v>16</v>
      </c>
      <c r="B30" s="22">
        <v>16</v>
      </c>
      <c r="C30" s="22">
        <v>624</v>
      </c>
      <c r="D30" s="23" t="str">
        <f>VLOOKUP(C30,PLANILLA,2,FALSE)</f>
        <v xml:space="preserve">OCAMPO  Yalí </v>
      </c>
      <c r="E30" s="24" t="str">
        <f>VLOOKUP(C30,PLANILLA,4,FALSE)</f>
        <v xml:space="preserve">TEAM BELSCO </v>
      </c>
      <c r="F30" s="3"/>
      <c r="G30" s="15"/>
      <c r="H30" s="3"/>
      <c r="I30" s="25"/>
      <c r="J30" s="33">
        <v>0</v>
      </c>
      <c r="K30" s="22">
        <v>0</v>
      </c>
      <c r="L30" s="22">
        <v>8</v>
      </c>
      <c r="M30" s="34">
        <v>85</v>
      </c>
      <c r="N30" s="32"/>
      <c r="O30" s="30"/>
      <c r="P30" s="3">
        <v>0</v>
      </c>
      <c r="Q30" s="34">
        <f>IFERROR(VLOOKUP(P30,'Puntos XCO'!$A$1:$B$63,2,FALSE),0)</f>
        <v>0</v>
      </c>
      <c r="R30" s="16">
        <v>0</v>
      </c>
      <c r="S30" s="3">
        <f>IFERROR(VLOOKUP(R30,'Puntos XCC Menor'!$A$1:$B$15,2,FALSE),0)</f>
        <v>0</v>
      </c>
      <c r="T30" s="15">
        <v>0</v>
      </c>
      <c r="U30" s="39">
        <f>IFERROR(VLOOKUP(T30,'Puntos XCO'!$A$1:$B$63,2,FALSE),0)</f>
        <v>0</v>
      </c>
      <c r="V30" s="16">
        <f>IFERROR(VLOOKUP(C30,RESXCC_1,9,FALSE),0)</f>
        <v>0</v>
      </c>
      <c r="W30" s="15">
        <f>IFERROR(VLOOKUP(V30,'Puntos XCC Mayor'!$A$1:$B$15,2,FALSE),0)</f>
        <v>0</v>
      </c>
      <c r="X30" s="15">
        <f>IFERROR(VLOOKUP(C30,RESXCO,9,FALSE),0)</f>
        <v>0</v>
      </c>
      <c r="Y30" s="25">
        <f>IFERROR(VLOOKUP(X30,'Puntos XCO'!$A$1:$B$63,2,FALSE),0)</f>
        <v>0</v>
      </c>
      <c r="Z30" s="27">
        <f>G30+I30+K30+M30+O30+Q30+S30+U30+W30+Y30</f>
        <v>85</v>
      </c>
      <c r="AB30" s="3"/>
    </row>
    <row r="31" spans="1:31" ht="24.95" customHeight="1">
      <c r="A31" s="22">
        <v>17</v>
      </c>
      <c r="B31" s="22">
        <v>17</v>
      </c>
      <c r="C31" s="22">
        <v>605</v>
      </c>
      <c r="D31" s="23" t="str">
        <f>VLOOKUP(C31,PLANILLA,2,FALSE)</f>
        <v>CUBILLO Yuster</v>
      </c>
      <c r="E31" s="24" t="str">
        <f>VLOOKUP(C31,PLANILLA,4,FALSE)</f>
        <v xml:space="preserve">CCDR MATINA CICLO SALAS BATAN </v>
      </c>
      <c r="F31" s="3">
        <v>13</v>
      </c>
      <c r="G31" s="15">
        <v>0</v>
      </c>
      <c r="H31" s="3">
        <v>11</v>
      </c>
      <c r="I31" s="25">
        <v>76</v>
      </c>
      <c r="J31" s="33">
        <v>0</v>
      </c>
      <c r="K31" s="22">
        <v>0</v>
      </c>
      <c r="L31" s="22">
        <v>0</v>
      </c>
      <c r="M31" s="34">
        <v>0</v>
      </c>
      <c r="N31" s="32"/>
      <c r="O31" s="30"/>
      <c r="P31" s="3">
        <v>0</v>
      </c>
      <c r="Q31" s="34">
        <f>IFERROR(VLOOKUP(P31,'Puntos XCO'!$A$1:$B$63,2,FALSE),0)</f>
        <v>0</v>
      </c>
      <c r="R31" s="16">
        <v>0</v>
      </c>
      <c r="S31" s="3">
        <f>IFERROR(VLOOKUP(R31,'Puntos XCC Menor'!$A$1:$B$15,2,FALSE),0)</f>
        <v>0</v>
      </c>
      <c r="T31" s="15">
        <v>0</v>
      </c>
      <c r="U31" s="39">
        <f>IFERROR(VLOOKUP(T31,'Puntos XCO'!$A$1:$B$63,2,FALSE),0)</f>
        <v>0</v>
      </c>
      <c r="V31" s="16">
        <f>IFERROR(VLOOKUP(C31,RESXCC_1,9,FALSE),0)</f>
        <v>0</v>
      </c>
      <c r="W31" s="15">
        <f>IFERROR(VLOOKUP(V31,'Puntos XCC Mayor'!$A$1:$B$15,2,FALSE),0)</f>
        <v>0</v>
      </c>
      <c r="X31" s="15">
        <f>IFERROR(VLOOKUP(C31,RESXCO,9,FALSE),0)</f>
        <v>0</v>
      </c>
      <c r="Y31" s="25">
        <f>IFERROR(VLOOKUP(X31,'Puntos XCO'!$A$1:$B$63,2,FALSE),0)</f>
        <v>0</v>
      </c>
      <c r="Z31" s="27">
        <f>G31+I31+K31+M31+O31+Q31+S31+U31+W31+Y31</f>
        <v>76</v>
      </c>
      <c r="AB31" s="3"/>
    </row>
    <row r="32" spans="1:31" ht="24.95" customHeight="1">
      <c r="A32" s="22">
        <v>18</v>
      </c>
      <c r="B32" s="22">
        <v>18</v>
      </c>
      <c r="C32" s="22">
        <v>615</v>
      </c>
      <c r="D32" s="23" t="str">
        <f>VLOOKUP(C32,PLANILLA,2,FALSE)</f>
        <v xml:space="preserve">CALVO  Gabriel Andres </v>
      </c>
      <c r="E32" s="24" t="str">
        <f>VLOOKUP(C32,PLANILLA,4,FALSE)</f>
        <v xml:space="preserve">CDR TURRIALBA </v>
      </c>
      <c r="F32" s="3">
        <v>14</v>
      </c>
      <c r="G32" s="15">
        <v>0</v>
      </c>
      <c r="H32" s="3">
        <v>12</v>
      </c>
      <c r="I32" s="25">
        <v>74</v>
      </c>
      <c r="J32" s="33">
        <v>0</v>
      </c>
      <c r="K32" s="22">
        <v>0</v>
      </c>
      <c r="L32" s="22">
        <v>0</v>
      </c>
      <c r="M32" s="34">
        <v>0</v>
      </c>
      <c r="N32" s="32"/>
      <c r="O32" s="30"/>
      <c r="P32" s="3">
        <v>0</v>
      </c>
      <c r="Q32" s="34">
        <f>IFERROR(VLOOKUP(P32,'Puntos XCO'!$A$1:$B$63,2,FALSE),0)</f>
        <v>0</v>
      </c>
      <c r="R32" s="16">
        <v>0</v>
      </c>
      <c r="S32" s="3">
        <f>IFERROR(VLOOKUP(R32,'Puntos XCC Menor'!$A$1:$B$15,2,FALSE),0)</f>
        <v>0</v>
      </c>
      <c r="T32" s="15">
        <v>0</v>
      </c>
      <c r="U32" s="39">
        <f>IFERROR(VLOOKUP(T32,'Puntos XCO'!$A$1:$B$63,2,FALSE),0)</f>
        <v>0</v>
      </c>
      <c r="V32" s="16">
        <f>IFERROR(VLOOKUP(C32,RESXCC_1,9,FALSE),0)</f>
        <v>0</v>
      </c>
      <c r="W32" s="15">
        <f>IFERROR(VLOOKUP(V32,'Puntos XCC Mayor'!$A$1:$B$15,2,FALSE),0)</f>
        <v>0</v>
      </c>
      <c r="X32" s="15">
        <f>IFERROR(VLOOKUP(C32,RESXCO,9,FALSE),0)</f>
        <v>0</v>
      </c>
      <c r="Y32" s="25">
        <f>IFERROR(VLOOKUP(X32,'Puntos XCO'!$A$1:$B$63,2,FALSE),0)</f>
        <v>0</v>
      </c>
      <c r="Z32" s="27">
        <f>G32+I32+K32+M32+O32+Q32+S32+U32+W32+Y32</f>
        <v>74</v>
      </c>
      <c r="AB32" s="3"/>
    </row>
    <row r="33" spans="1:28" ht="24.95" customHeight="1">
      <c r="A33" s="22">
        <v>19</v>
      </c>
      <c r="B33" s="22">
        <v>19</v>
      </c>
      <c r="C33" s="22">
        <v>613</v>
      </c>
      <c r="D33" s="23" t="str">
        <f>VLOOKUP(C33,PLANILLA,2,FALSE)</f>
        <v>SIBAJA Jean Carlo</v>
      </c>
      <c r="E33" s="24" t="str">
        <f>VLOOKUP(C33,PLANILLA,4,FALSE)</f>
        <v/>
      </c>
      <c r="F33" s="3">
        <v>2</v>
      </c>
      <c r="G33" s="15">
        <v>9</v>
      </c>
      <c r="H33" s="3">
        <v>0</v>
      </c>
      <c r="I33" s="25">
        <v>0</v>
      </c>
      <c r="J33" s="33">
        <v>0</v>
      </c>
      <c r="K33" s="22">
        <v>0</v>
      </c>
      <c r="L33" s="22">
        <v>0</v>
      </c>
      <c r="M33" s="34">
        <v>0</v>
      </c>
      <c r="N33" s="32"/>
      <c r="O33" s="30"/>
      <c r="P33" s="3">
        <v>0</v>
      </c>
      <c r="Q33" s="34">
        <f>IFERROR(VLOOKUP(P33,'Puntos XCO'!$A$1:$B$63,2,FALSE),0)</f>
        <v>0</v>
      </c>
      <c r="R33" s="16">
        <v>0</v>
      </c>
      <c r="S33" s="3">
        <f>IFERROR(VLOOKUP(R33,'Puntos XCC Menor'!$A$1:$B$15,2,FALSE),0)</f>
        <v>0</v>
      </c>
      <c r="T33" s="15">
        <v>0</v>
      </c>
      <c r="U33" s="39">
        <f>IFERROR(VLOOKUP(T33,'Puntos XCO'!$A$1:$B$63,2,FALSE),0)</f>
        <v>0</v>
      </c>
      <c r="V33" s="16">
        <f>IFERROR(VLOOKUP(C33,RESXCC_1,9,FALSE),0)</f>
        <v>0</v>
      </c>
      <c r="W33" s="15">
        <f>IFERROR(VLOOKUP(V33,'Puntos XCC Mayor'!$A$1:$B$15,2,FALSE),0)</f>
        <v>0</v>
      </c>
      <c r="X33" s="15">
        <f>IFERROR(VLOOKUP(C33,RESXCO,9,FALSE),0)</f>
        <v>0</v>
      </c>
      <c r="Y33" s="25">
        <f>IFERROR(VLOOKUP(X33,'Puntos XCO'!$A$1:$B$63,2,FALSE),0)</f>
        <v>0</v>
      </c>
      <c r="Z33" s="27">
        <f>G33+I33+K33+M33+O33+Q33+S33+U33+W33+Y33</f>
        <v>9</v>
      </c>
      <c r="AB33" s="3"/>
    </row>
    <row r="34" spans="1:28" ht="24.95" customHeight="1">
      <c r="A34" s="22">
        <v>20</v>
      </c>
      <c r="B34" s="22">
        <v>20</v>
      </c>
      <c r="C34" s="22">
        <v>606</v>
      </c>
      <c r="D34" s="23" t="str">
        <f>VLOOKUP(C34,PLANILLA,2,FALSE)</f>
        <v xml:space="preserve">MENA Juan Carlos </v>
      </c>
      <c r="E34" s="24" t="str">
        <f>VLOOKUP(C34,PLANILLA,4,FALSE)</f>
        <v>GOCHA CYCLINGTEAM</v>
      </c>
      <c r="F34" s="3">
        <v>8</v>
      </c>
      <c r="G34" s="15">
        <v>3</v>
      </c>
      <c r="H34" s="3">
        <v>0</v>
      </c>
      <c r="I34" s="25">
        <v>0</v>
      </c>
      <c r="J34" s="33">
        <v>5</v>
      </c>
      <c r="K34" s="22">
        <v>6</v>
      </c>
      <c r="L34" s="22">
        <v>0</v>
      </c>
      <c r="M34" s="34">
        <v>0</v>
      </c>
      <c r="N34" s="32"/>
      <c r="O34" s="30"/>
      <c r="P34" s="3">
        <v>0</v>
      </c>
      <c r="Q34" s="34">
        <f>IFERROR(VLOOKUP(P34,'Puntos XCO'!$A$1:$B$63,2,FALSE),0)</f>
        <v>0</v>
      </c>
      <c r="R34" s="16">
        <v>0</v>
      </c>
      <c r="S34" s="3">
        <f>IFERROR(VLOOKUP(R34,'Puntos XCC Menor'!$A$1:$B$15,2,FALSE),0)</f>
        <v>0</v>
      </c>
      <c r="T34" s="15">
        <v>0</v>
      </c>
      <c r="U34" s="39">
        <f>IFERROR(VLOOKUP(T34,'Puntos XCO'!$A$1:$B$63,2,FALSE),0)</f>
        <v>0</v>
      </c>
      <c r="V34" s="16">
        <f>IFERROR(VLOOKUP(C34,RESXCC_1,9,FALSE),0)</f>
        <v>0</v>
      </c>
      <c r="W34" s="15">
        <f>IFERROR(VLOOKUP(V34,'Puntos XCC Mayor'!$A$1:$B$15,2,FALSE),0)</f>
        <v>0</v>
      </c>
      <c r="X34" s="15">
        <f>IFERROR(VLOOKUP(C34,RESXCO,9,FALSE),0)</f>
        <v>0</v>
      </c>
      <c r="Y34" s="25">
        <f>IFERROR(VLOOKUP(X34,'Puntos XCO'!$A$1:$B$63,2,FALSE),0)</f>
        <v>0</v>
      </c>
      <c r="Z34" s="27">
        <f>G34+I34+K34+M34+O34+Q34+S34+U34+W34+Y34</f>
        <v>9</v>
      </c>
      <c r="AB34" s="3"/>
    </row>
    <row r="35" spans="1:28" ht="24.95" customHeight="1">
      <c r="A35" s="22">
        <v>21</v>
      </c>
      <c r="B35" s="22">
        <v>21</v>
      </c>
      <c r="C35" s="22">
        <v>607</v>
      </c>
      <c r="D35" s="23" t="str">
        <f>VLOOKUP(C35,PLANILLA,2,FALSE)</f>
        <v>ALFARO  Jonathan Alberto</v>
      </c>
      <c r="E35" s="24" t="str">
        <f>VLOOKUP(C35,PLANILLA,4,FALSE)</f>
        <v>QUECA</v>
      </c>
      <c r="F35" s="3">
        <v>6</v>
      </c>
      <c r="G35" s="15">
        <v>5</v>
      </c>
      <c r="H35" s="3">
        <v>0</v>
      </c>
      <c r="I35" s="25">
        <v>0</v>
      </c>
      <c r="J35" s="33">
        <v>0</v>
      </c>
      <c r="K35" s="22">
        <v>0</v>
      </c>
      <c r="L35" s="22">
        <v>0</v>
      </c>
      <c r="M35" s="34">
        <v>0</v>
      </c>
      <c r="N35" s="32"/>
      <c r="O35" s="30"/>
      <c r="P35" s="3">
        <v>0</v>
      </c>
      <c r="Q35" s="34">
        <f>IFERROR(VLOOKUP(P35,'Puntos XCO'!$A$1:$B$63,2,FALSE),0)</f>
        <v>0</v>
      </c>
      <c r="R35" s="16">
        <v>0</v>
      </c>
      <c r="S35" s="3">
        <f>IFERROR(VLOOKUP(R35,'Puntos XCC Menor'!$A$1:$B$15,2,FALSE),0)</f>
        <v>0</v>
      </c>
      <c r="T35" s="15">
        <v>0</v>
      </c>
      <c r="U35" s="39">
        <f>IFERROR(VLOOKUP(T35,'Puntos XCO'!$A$1:$B$63,2,FALSE),0)</f>
        <v>0</v>
      </c>
      <c r="V35" s="16">
        <f>IFERROR(VLOOKUP(C35,RESXCC_1,9,FALSE),0)</f>
        <v>0</v>
      </c>
      <c r="W35" s="15">
        <f>IFERROR(VLOOKUP(V35,'Puntos XCC Mayor'!$A$1:$B$15,2,FALSE),0)</f>
        <v>0</v>
      </c>
      <c r="X35" s="15">
        <f>IFERROR(VLOOKUP(C35,RESXCO,9,FALSE),0)</f>
        <v>0</v>
      </c>
      <c r="Y35" s="25">
        <f>IFERROR(VLOOKUP(X35,'Puntos XCO'!$A$1:$B$63,2,FALSE),0)</f>
        <v>0</v>
      </c>
      <c r="Z35" s="27">
        <f>G35+I35+K35+M35+O35+Q35+S35+U35+W35+Y35</f>
        <v>5</v>
      </c>
      <c r="AB35" s="3"/>
    </row>
    <row r="36" spans="1:28" ht="24.95" customHeight="1">
      <c r="A36" s="22">
        <v>22</v>
      </c>
      <c r="B36" s="22">
        <v>22</v>
      </c>
      <c r="C36" s="22">
        <v>601</v>
      </c>
      <c r="D36" s="23" t="str">
        <f>VLOOKUP(C36,PLANILLA,2,FALSE)</f>
        <v>MORA Esteban</v>
      </c>
      <c r="E36" s="24" t="str">
        <f>VLOOKUP(C36,PLANILLA,4,FALSE)</f>
        <v>NA</v>
      </c>
      <c r="F36" s="3">
        <v>7</v>
      </c>
      <c r="G36" s="15">
        <v>4</v>
      </c>
      <c r="H36" s="3">
        <v>0</v>
      </c>
      <c r="I36" s="25">
        <v>0</v>
      </c>
      <c r="J36" s="33">
        <v>0</v>
      </c>
      <c r="K36" s="22">
        <v>0</v>
      </c>
      <c r="L36" s="22">
        <v>0</v>
      </c>
      <c r="M36" s="34">
        <v>0</v>
      </c>
      <c r="N36" s="32"/>
      <c r="O36" s="30"/>
      <c r="P36" s="3">
        <v>0</v>
      </c>
      <c r="Q36" s="34">
        <f>IFERROR(VLOOKUP(P36,'Puntos XCO'!$A$1:$B$63,2,FALSE),0)</f>
        <v>0</v>
      </c>
      <c r="R36" s="16">
        <v>0</v>
      </c>
      <c r="S36" s="3">
        <f>IFERROR(VLOOKUP(R36,'Puntos XCC Menor'!$A$1:$B$15,2,FALSE),0)</f>
        <v>0</v>
      </c>
      <c r="T36" s="15">
        <v>0</v>
      </c>
      <c r="U36" s="39">
        <f>IFERROR(VLOOKUP(T36,'Puntos XCO'!$A$1:$B$63,2,FALSE),0)</f>
        <v>0</v>
      </c>
      <c r="V36" s="16">
        <f>IFERROR(VLOOKUP(C36,RESXCC_1,9,FALSE),0)</f>
        <v>0</v>
      </c>
      <c r="W36" s="15">
        <f>IFERROR(VLOOKUP(V36,'Puntos XCC Mayor'!$A$1:$B$15,2,FALSE),0)</f>
        <v>0</v>
      </c>
      <c r="X36" s="15">
        <f>IFERROR(VLOOKUP(C36,RESXCO,9,FALSE),0)</f>
        <v>0</v>
      </c>
      <c r="Y36" s="25">
        <f>IFERROR(VLOOKUP(X36,'Puntos XCO'!$A$1:$B$63,2,FALSE),0)</f>
        <v>0</v>
      </c>
      <c r="Z36" s="27">
        <f>G36+I36+K36+M36+O36+Q36+S36+U36+W36+Y36</f>
        <v>4</v>
      </c>
      <c r="AB36" s="3"/>
    </row>
    <row r="37" spans="1:28" ht="24.95" customHeight="1">
      <c r="A37" s="22"/>
      <c r="B37" s="22"/>
      <c r="C37" s="22">
        <v>612</v>
      </c>
      <c r="D37" s="23" t="str">
        <f>VLOOKUP(C37,PLANILLA,2,FALSE)</f>
        <v>QUIROS  John</v>
      </c>
      <c r="E37" s="24" t="str">
        <f>VLOOKUP(C37,PLANILLA,4,FALSE)</f>
        <v xml:space="preserve">JQ_ CICLO SALAS BATAN </v>
      </c>
      <c r="F37" s="3">
        <v>12</v>
      </c>
      <c r="G37" s="15">
        <v>0</v>
      </c>
      <c r="H37" s="3">
        <v>0</v>
      </c>
      <c r="I37" s="25">
        <v>0</v>
      </c>
      <c r="J37" s="33">
        <v>0</v>
      </c>
      <c r="K37" s="22">
        <v>0</v>
      </c>
      <c r="L37" s="22">
        <v>0</v>
      </c>
      <c r="M37" s="34">
        <v>0</v>
      </c>
      <c r="N37" s="32"/>
      <c r="O37" s="30"/>
      <c r="P37" s="3">
        <v>0</v>
      </c>
      <c r="Q37" s="34">
        <f>IFERROR(VLOOKUP(P37,'Puntos XCO'!$A$1:$B$63,2,FALSE),0)</f>
        <v>0</v>
      </c>
      <c r="R37" s="16">
        <v>0</v>
      </c>
      <c r="S37" s="3">
        <f>IFERROR(VLOOKUP(R37,'Puntos XCC Menor'!$A$1:$B$15,2,FALSE),0)</f>
        <v>0</v>
      </c>
      <c r="T37" s="15">
        <v>0</v>
      </c>
      <c r="U37" s="39">
        <f>IFERROR(VLOOKUP(T37,'Puntos XCO'!$A$1:$B$63,2,FALSE),0)</f>
        <v>0</v>
      </c>
      <c r="V37" s="16">
        <f>IFERROR(VLOOKUP(C37,RESXCC_1,9,FALSE),0)</f>
        <v>0</v>
      </c>
      <c r="W37" s="15">
        <f>IFERROR(VLOOKUP(V37,'Puntos XCC Mayor'!$A$1:$B$15,2,FALSE),0)</f>
        <v>0</v>
      </c>
      <c r="X37" s="15">
        <f>IFERROR(VLOOKUP(C37,RESXCO,9,FALSE),0)</f>
        <v>0</v>
      </c>
      <c r="Y37" s="25">
        <f>IFERROR(VLOOKUP(X37,'Puntos XCO'!$A$1:$B$63,2,FALSE),0)</f>
        <v>0</v>
      </c>
      <c r="Z37" s="27">
        <f>G37+I37+K37+M37+O37+Q37+S37+U37+W37+Y37</f>
        <v>0</v>
      </c>
      <c r="AB37" s="3"/>
    </row>
    <row r="38" spans="1:28" ht="24.95" customHeight="1">
      <c r="A38" s="22"/>
      <c r="B38" s="22"/>
      <c r="C38" s="22">
        <v>617</v>
      </c>
      <c r="D38" s="23" t="str">
        <f>VLOOKUP(C38,PLANILLA,2,FALSE)</f>
        <v>BRENES Cristopher</v>
      </c>
      <c r="E38" s="24" t="str">
        <f>VLOOKUP(C38,PLANILLA,4,FALSE)</f>
        <v>SARAPIQUI</v>
      </c>
      <c r="F38" s="3">
        <v>0</v>
      </c>
      <c r="G38" s="15">
        <v>0</v>
      </c>
      <c r="H38" s="3">
        <v>0</v>
      </c>
      <c r="I38" s="25">
        <v>0</v>
      </c>
      <c r="J38" s="33">
        <v>0</v>
      </c>
      <c r="K38" s="22">
        <v>0</v>
      </c>
      <c r="L38" s="22">
        <v>0</v>
      </c>
      <c r="M38" s="34">
        <v>0</v>
      </c>
      <c r="N38" s="32"/>
      <c r="O38" s="30"/>
      <c r="P38" s="3">
        <v>0</v>
      </c>
      <c r="Q38" s="34">
        <f>IFERROR(VLOOKUP(P38,'Puntos XCO'!$A$1:$B$63,2,FALSE),0)</f>
        <v>0</v>
      </c>
      <c r="R38" s="16">
        <v>0</v>
      </c>
      <c r="S38" s="3">
        <f>IFERROR(VLOOKUP(R38,'Puntos XCC Menor'!$A$1:$B$15,2,FALSE),0)</f>
        <v>0</v>
      </c>
      <c r="T38" s="15">
        <v>0</v>
      </c>
      <c r="U38" s="39">
        <f>IFERROR(VLOOKUP(T38,'Puntos XCO'!$A$1:$B$63,2,FALSE),0)</f>
        <v>0</v>
      </c>
      <c r="V38" s="16">
        <f>IFERROR(VLOOKUP(C38,RESXCC_1,9,FALSE),0)</f>
        <v>0</v>
      </c>
      <c r="W38" s="15">
        <f>IFERROR(VLOOKUP(V38,'Puntos XCC Mayor'!$A$1:$B$15,2,FALSE),0)</f>
        <v>0</v>
      </c>
      <c r="X38" s="15">
        <f>IFERROR(VLOOKUP(C38,RESXCO,9,FALSE),0)</f>
        <v>0</v>
      </c>
      <c r="Y38" s="25">
        <f>IFERROR(VLOOKUP(X38,'Puntos XCO'!$A$1:$B$63,2,FALSE),0)</f>
        <v>0</v>
      </c>
      <c r="Z38" s="27">
        <f>G38+I38+K38+M38+O38+Q38+S38+U38+W38+Y38</f>
        <v>0</v>
      </c>
      <c r="AB38" s="3"/>
    </row>
    <row r="39" spans="1:28" ht="24.95" customHeight="1">
      <c r="A39" s="22"/>
      <c r="B39" s="22"/>
      <c r="C39" s="22">
        <v>621</v>
      </c>
      <c r="D39" s="23" t="str">
        <f>VLOOKUP(C39,PLANILLA,2,FALSE)</f>
        <v xml:space="preserve">MÉNDEZ  Miguel Alonso </v>
      </c>
      <c r="E39" s="24" t="str">
        <f>VLOOKUP(C39,PLANILLA,4,FALSE)</f>
        <v xml:space="preserve">KOKOS MECHANIC </v>
      </c>
      <c r="F39" s="3">
        <v>0</v>
      </c>
      <c r="G39" s="15">
        <v>0</v>
      </c>
      <c r="H39" s="3">
        <v>0</v>
      </c>
      <c r="I39" s="25">
        <v>0</v>
      </c>
      <c r="J39" s="33">
        <v>0</v>
      </c>
      <c r="K39" s="22">
        <v>0</v>
      </c>
      <c r="L39" s="22">
        <v>0</v>
      </c>
      <c r="M39" s="34">
        <v>0</v>
      </c>
      <c r="N39" s="32"/>
      <c r="O39" s="30"/>
      <c r="P39" s="3">
        <v>0</v>
      </c>
      <c r="Q39" s="34">
        <f>IFERROR(VLOOKUP(P39,'Puntos XCO'!$A$1:$B$63,2,FALSE),0)</f>
        <v>0</v>
      </c>
      <c r="R39" s="16">
        <v>0</v>
      </c>
      <c r="S39" s="3">
        <f>IFERROR(VLOOKUP(R39,'Puntos XCC Menor'!$A$1:$B$15,2,FALSE),0)</f>
        <v>0</v>
      </c>
      <c r="T39" s="15">
        <v>0</v>
      </c>
      <c r="U39" s="39">
        <f>IFERROR(VLOOKUP(T39,'Puntos XCO'!$A$1:$B$63,2,FALSE),0)</f>
        <v>0</v>
      </c>
      <c r="V39" s="16">
        <f>IFERROR(VLOOKUP(C39,RESXCC_1,9,FALSE),0)</f>
        <v>0</v>
      </c>
      <c r="W39" s="15">
        <f>IFERROR(VLOOKUP(V39,'Puntos XCC Mayor'!$A$1:$B$15,2,FALSE),0)</f>
        <v>0</v>
      </c>
      <c r="X39" s="15">
        <f>IFERROR(VLOOKUP(C39,RESXCO,9,FALSE),0)</f>
        <v>0</v>
      </c>
      <c r="Y39" s="25">
        <f>IFERROR(VLOOKUP(X39,'Puntos XCO'!$A$1:$B$63,2,FALSE),0)</f>
        <v>0</v>
      </c>
      <c r="Z39" s="27">
        <f>G39+I39+K39+M39+O39+Q39+S39+U39+W39+Y39</f>
        <v>0</v>
      </c>
      <c r="AB39" s="3"/>
    </row>
    <row r="40" spans="1:28" ht="24.95" customHeight="1">
      <c r="A40" s="22"/>
      <c r="B40" s="22"/>
      <c r="C40" s="22">
        <v>623</v>
      </c>
      <c r="D40" s="23" t="str">
        <f>VLOOKUP(C40,PLANILLA,2,FALSE)</f>
        <v xml:space="preserve">VARGAS Kenneth </v>
      </c>
      <c r="E40" s="24" t="str">
        <f>VLOOKUP(C40,PLANILLA,4,FALSE)</f>
        <v>MATINA</v>
      </c>
      <c r="F40" s="3"/>
      <c r="G40" s="15"/>
      <c r="H40" s="3"/>
      <c r="I40" s="25"/>
      <c r="J40" s="33">
        <v>0</v>
      </c>
      <c r="K40" s="22">
        <v>0</v>
      </c>
      <c r="L40" s="22">
        <v>0</v>
      </c>
      <c r="M40" s="34">
        <v>0</v>
      </c>
      <c r="N40" s="32"/>
      <c r="O40" s="30"/>
      <c r="P40" s="3">
        <v>0</v>
      </c>
      <c r="Q40" s="34">
        <f>IFERROR(VLOOKUP(P40,'Puntos XCO'!$A$1:$B$63,2,FALSE),0)</f>
        <v>0</v>
      </c>
      <c r="R40" s="16">
        <v>0</v>
      </c>
      <c r="S40" s="3">
        <f>IFERROR(VLOOKUP(R40,'Puntos XCC Menor'!$A$1:$B$15,2,FALSE),0)</f>
        <v>0</v>
      </c>
      <c r="T40" s="15">
        <v>0</v>
      </c>
      <c r="U40" s="39">
        <f>IFERROR(VLOOKUP(T40,'Puntos XCO'!$A$1:$B$63,2,FALSE),0)</f>
        <v>0</v>
      </c>
      <c r="V40" s="16">
        <f>IFERROR(VLOOKUP(C40,RESXCC_1,9,FALSE),0)</f>
        <v>0</v>
      </c>
      <c r="W40" s="15">
        <f>IFERROR(VLOOKUP(V40,'Puntos XCC Mayor'!$A$1:$B$15,2,FALSE),0)</f>
        <v>0</v>
      </c>
      <c r="X40" s="15">
        <f>IFERROR(VLOOKUP(C40,RESXCO,9,FALSE),0)</f>
        <v>0</v>
      </c>
      <c r="Y40" s="25">
        <f>IFERROR(VLOOKUP(X40,'Puntos XCO'!$A$1:$B$63,2,FALSE),0)</f>
        <v>0</v>
      </c>
      <c r="Z40" s="27">
        <f>G40+I40+K40+M40+O40+Q40+S40+U40+W40+Y40</f>
        <v>0</v>
      </c>
      <c r="AB40" s="3"/>
    </row>
    <row r="41" spans="1:28" ht="24.95" customHeight="1">
      <c r="A41" s="3"/>
      <c r="B41" s="22"/>
      <c r="C41" s="22">
        <v>626</v>
      </c>
      <c r="D41" s="23" t="str">
        <f>VLOOKUP(C41,PLANILLA,2,FALSE)</f>
        <v xml:space="preserve">SÁNCHEZ  Daniel Jesús </v>
      </c>
      <c r="E41" s="24" t="str">
        <f>VLOOKUP(C41,PLANILLA,4,FALSE)</f>
        <v/>
      </c>
      <c r="F41" s="3"/>
      <c r="G41" s="15"/>
      <c r="H41" s="3"/>
      <c r="I41" s="25"/>
      <c r="J41" s="33">
        <v>0</v>
      </c>
      <c r="K41" s="22">
        <v>0</v>
      </c>
      <c r="L41" s="22">
        <v>0</v>
      </c>
      <c r="M41" s="34">
        <v>0</v>
      </c>
      <c r="N41" s="32"/>
      <c r="O41" s="30"/>
      <c r="P41" s="3">
        <v>0</v>
      </c>
      <c r="Q41" s="34">
        <f>IFERROR(VLOOKUP(P41,'Puntos XCO'!$A$1:$B$63,2,FALSE),0)</f>
        <v>0</v>
      </c>
      <c r="R41" s="16">
        <v>0</v>
      </c>
      <c r="S41" s="3">
        <f>IFERROR(VLOOKUP(R41,'Puntos XCC Menor'!$A$1:$B$15,2,FALSE),0)</f>
        <v>0</v>
      </c>
      <c r="T41" s="15">
        <v>0</v>
      </c>
      <c r="U41" s="39">
        <f>IFERROR(VLOOKUP(T41,'Puntos XCO'!$A$1:$B$63,2,FALSE),0)</f>
        <v>0</v>
      </c>
      <c r="V41" s="16">
        <f>IFERROR(VLOOKUP(C41,RESXCC_1,9,FALSE),0)</f>
        <v>0</v>
      </c>
      <c r="W41" s="15">
        <f>IFERROR(VLOOKUP(V41,'Puntos XCC Mayor'!$A$1:$B$15,2,FALSE),0)</f>
        <v>0</v>
      </c>
      <c r="X41" s="15">
        <f>IFERROR(VLOOKUP(C41,RESXCO,9,FALSE),0)</f>
        <v>0</v>
      </c>
      <c r="Y41" s="25">
        <f>IFERROR(VLOOKUP(X41,'Puntos XCO'!$A$1:$B$63,2,FALSE),0)</f>
        <v>0</v>
      </c>
      <c r="Z41" s="27">
        <f>G41+I41+K41+M41+O41+Q41+S41+U41+W41+Y41</f>
        <v>0</v>
      </c>
      <c r="AB41" s="3"/>
    </row>
    <row r="42" spans="1:28" ht="24.95" customHeight="1">
      <c r="A42" s="3"/>
      <c r="B42" s="22"/>
      <c r="C42" s="107">
        <v>628</v>
      </c>
      <c r="D42" s="23" t="str">
        <f>VLOOKUP(C42,PLANILLA,2,FALSE)</f>
        <v xml:space="preserve">GAMBOA  Jose Daniel </v>
      </c>
      <c r="E42" s="24" t="str">
        <f>VLOOKUP(C42,PLANILLA,4,FALSE)</f>
        <v>MANTENIMIENTO GABRE</v>
      </c>
      <c r="F42" s="3"/>
      <c r="G42" s="15"/>
      <c r="H42" s="3"/>
      <c r="I42" s="25"/>
      <c r="J42" s="33"/>
      <c r="K42" s="22"/>
      <c r="L42" s="22"/>
      <c r="M42" s="34"/>
      <c r="N42" s="32"/>
      <c r="O42" s="30"/>
      <c r="P42" s="3"/>
      <c r="Q42" s="34"/>
      <c r="R42" s="16"/>
      <c r="S42" s="3"/>
      <c r="T42" s="15"/>
      <c r="U42" s="39"/>
      <c r="V42" s="16">
        <f>IFERROR(VLOOKUP(C42,RESXCC_1,9,FALSE),0)</f>
        <v>0</v>
      </c>
      <c r="W42" s="15">
        <f>IFERROR(VLOOKUP(V42,'Puntos XCC Mayor'!$A$1:$B$15,2,FALSE),0)</f>
        <v>0</v>
      </c>
      <c r="X42" s="15">
        <f>IFERROR(VLOOKUP(C42,RESXCO,9,FALSE),0)</f>
        <v>0</v>
      </c>
      <c r="Y42" s="25">
        <f>IFERROR(VLOOKUP(X42,'Puntos XCO'!$A$1:$B$63,2,FALSE),0)</f>
        <v>0</v>
      </c>
      <c r="Z42" s="27">
        <f>G42+I42+K42+M42+O42+Q42+S42+U42+W42+Y42</f>
        <v>0</v>
      </c>
      <c r="AB42" s="3"/>
    </row>
    <row r="43" spans="1:28" ht="24.95" customHeight="1">
      <c r="A43" s="3"/>
      <c r="B43" s="3"/>
      <c r="C43" s="28"/>
      <c r="D43" s="23"/>
      <c r="E43" s="24"/>
      <c r="F43" s="3"/>
      <c r="G43" s="15"/>
      <c r="H43" s="15"/>
      <c r="I43" s="25"/>
      <c r="J43" s="26"/>
      <c r="K43" s="15"/>
      <c r="L43" s="15"/>
      <c r="M43" s="25"/>
      <c r="N43" s="16"/>
      <c r="O43" s="15"/>
      <c r="P43" s="3"/>
      <c r="Q43" s="25"/>
      <c r="R43" s="16"/>
      <c r="S43" s="15"/>
      <c r="T43" s="15"/>
      <c r="U43" s="25"/>
      <c r="V43" s="16"/>
      <c r="W43" s="15"/>
      <c r="X43" s="15"/>
      <c r="Y43" s="25"/>
      <c r="Z43" s="27"/>
      <c r="AB43" s="3"/>
    </row>
    <row r="44" spans="1:28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74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8">
      <c r="M45" s="9"/>
      <c r="N45" s="9"/>
      <c r="O45" s="9"/>
      <c r="P45" s="10"/>
      <c r="Q45" s="9"/>
      <c r="R45" s="9"/>
      <c r="S45" s="9"/>
      <c r="T45" s="9"/>
      <c r="U45" s="9"/>
    </row>
    <row r="46" spans="1:28" ht="127.5" customHeight="1"/>
    <row r="47" spans="1:28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74"/>
      <c r="Q47" s="65"/>
      <c r="R47" s="65"/>
      <c r="S47" s="65"/>
      <c r="T47" s="65"/>
      <c r="U47" s="65"/>
      <c r="V47" s="65"/>
      <c r="W47" s="65"/>
      <c r="X47" s="65"/>
      <c r="Y47" s="65"/>
      <c r="Z47" s="65"/>
    </row>
  </sheetData>
  <sortState ref="B15:Z42">
    <sortCondition descending="1" ref="Z15:Z42"/>
  </sortState>
  <mergeCells count="10">
    <mergeCell ref="A8:Z8"/>
    <mergeCell ref="A10:Z10"/>
    <mergeCell ref="A11:Z11"/>
    <mergeCell ref="A13:B13"/>
    <mergeCell ref="F13:I13"/>
    <mergeCell ref="J13:M13"/>
    <mergeCell ref="N13:Q13"/>
    <mergeCell ref="R13:U13"/>
    <mergeCell ref="V13:Y13"/>
    <mergeCell ref="Z13:Z14"/>
  </mergeCells>
  <conditionalFormatting sqref="C44:C65522 C1:C9 C12:C14">
    <cfRule type="duplicateValues" dxfId="321" priority="51" stopIfTrue="1"/>
  </conditionalFormatting>
  <conditionalFormatting sqref="F43">
    <cfRule type="duplicateValues" dxfId="320" priority="52" stopIfTrue="1"/>
  </conditionalFormatting>
  <conditionalFormatting sqref="B43">
    <cfRule type="duplicateValues" dxfId="319" priority="53" stopIfTrue="1"/>
  </conditionalFormatting>
  <conditionalFormatting sqref="F41">
    <cfRule type="duplicateValues" dxfId="318" priority="54" stopIfTrue="1"/>
  </conditionalFormatting>
  <conditionalFormatting sqref="B41:B42">
    <cfRule type="duplicateValues" dxfId="317" priority="55" stopIfTrue="1"/>
  </conditionalFormatting>
  <conditionalFormatting sqref="C41:C42">
    <cfRule type="duplicateValues" dxfId="316" priority="56"/>
  </conditionalFormatting>
  <conditionalFormatting sqref="AB15:AB43">
    <cfRule type="duplicateValues" dxfId="315" priority="7280"/>
  </conditionalFormatting>
  <conditionalFormatting sqref="C11">
    <cfRule type="duplicateValues" dxfId="314" priority="5" stopIfTrue="1"/>
  </conditionalFormatting>
  <conditionalFormatting sqref="C11">
    <cfRule type="duplicateValues" dxfId="313" priority="6" stopIfTrue="1"/>
  </conditionalFormatting>
  <conditionalFormatting sqref="D11">
    <cfRule type="duplicateValues" dxfId="312" priority="4" stopIfTrue="1"/>
  </conditionalFormatting>
  <conditionalFormatting sqref="C10">
    <cfRule type="duplicateValues" dxfId="311" priority="2" stopIfTrue="1"/>
  </conditionalFormatting>
  <conditionalFormatting sqref="C10">
    <cfRule type="duplicateValues" dxfId="310" priority="3" stopIfTrue="1"/>
  </conditionalFormatting>
  <conditionalFormatting sqref="F42">
    <cfRule type="duplicateValues" dxfId="309" priority="1" stopIfTrue="1"/>
  </conditionalFormatting>
  <pageMargins left="0.70866141732283472" right="0.70866141732283472" top="0.74803149606299213" bottom="0.74803149606299213" header="0.31496062992125984" footer="0.31496062992125984"/>
  <pageSetup paperSize="9" scale="50" fitToHeight="3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A8:AE21"/>
  <sheetViews>
    <sheetView showGridLines="0" zoomScale="70" zoomScaleNormal="70" zoomScaleSheetLayoutView="90" workbookViewId="0">
      <selection activeCell="E16" sqref="E16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11.5703125" style="2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26.25">
      <c r="A8" s="118" t="s">
        <v>94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20.100000000000001" customHeight="1">
      <c r="A13" s="125" t="s">
        <v>0</v>
      </c>
      <c r="B13" s="125"/>
      <c r="C13" s="65"/>
      <c r="D13" s="65"/>
      <c r="E13" s="66"/>
      <c r="F13" s="125">
        <v>1</v>
      </c>
      <c r="G13" s="125"/>
      <c r="H13" s="125"/>
      <c r="I13" s="126"/>
      <c r="J13" s="127">
        <v>2</v>
      </c>
      <c r="K13" s="125"/>
      <c r="L13" s="125"/>
      <c r="M13" s="126"/>
      <c r="N13" s="127">
        <v>3</v>
      </c>
      <c r="O13" s="125"/>
      <c r="P13" s="125"/>
      <c r="Q13" s="126"/>
      <c r="R13" s="127">
        <v>4</v>
      </c>
      <c r="S13" s="125"/>
      <c r="T13" s="125"/>
      <c r="U13" s="126"/>
      <c r="V13" s="127">
        <v>5</v>
      </c>
      <c r="W13" s="125"/>
      <c r="X13" s="125"/>
      <c r="Y13" s="126"/>
      <c r="Z13" s="117" t="s">
        <v>47</v>
      </c>
    </row>
    <row r="14" spans="1:31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117"/>
    </row>
    <row r="15" spans="1:31" ht="24.95" customHeight="1">
      <c r="A15" s="22">
        <v>1</v>
      </c>
      <c r="B15" s="22">
        <v>1</v>
      </c>
      <c r="C15" s="22">
        <v>671</v>
      </c>
      <c r="D15" s="23" t="str">
        <f>VLOOKUP(C15,PLANILLA,2,FALSE)</f>
        <v>TRETTI Caterina</v>
      </c>
      <c r="E15" s="24" t="str">
        <f>VLOOKUP(C15,PLANILLA,4,FALSE)</f>
        <v>VEINTE24</v>
      </c>
      <c r="F15" s="3">
        <v>0</v>
      </c>
      <c r="G15" s="15">
        <v>0</v>
      </c>
      <c r="H15" s="3">
        <v>1</v>
      </c>
      <c r="I15" s="25">
        <v>200</v>
      </c>
      <c r="J15" s="33">
        <v>0</v>
      </c>
      <c r="K15" s="22">
        <v>0</v>
      </c>
      <c r="L15" s="22">
        <v>1</v>
      </c>
      <c r="M15" s="34">
        <v>200</v>
      </c>
      <c r="N15" s="32">
        <f>IFERROR(VLOOKUP(C15,RESXCC_1,9,FALSE),0)</f>
        <v>0</v>
      </c>
      <c r="O15" s="30"/>
      <c r="P15" s="3">
        <v>1</v>
      </c>
      <c r="Q15" s="34">
        <f>IFERROR(VLOOKUP(P15,'Puntos XCO'!$A$1:$B$63,2,FALSE),0)</f>
        <v>200</v>
      </c>
      <c r="R15" s="16">
        <v>0</v>
      </c>
      <c r="S15" s="3">
        <f>IFERROR(VLOOKUP(R15,'Puntos XCC Menor'!$A$1:$B$15,2,FALSE),0)</f>
        <v>0</v>
      </c>
      <c r="T15" s="15">
        <v>1</v>
      </c>
      <c r="U15" s="39">
        <f>IFERROR(VLOOKUP(T15,'Puntos XCO'!$A$1:$B$63,2,FALSE),0)</f>
        <v>200</v>
      </c>
      <c r="V15" s="16">
        <f>IFERROR(VLOOKUP(C15,RESXCC_1,9,FALSE),0)</f>
        <v>0</v>
      </c>
      <c r="W15" s="15">
        <f>IFERROR(VLOOKUP(V15,'Puntos XCC Mayor'!$A$1:$B$15,2,FALSE),0)</f>
        <v>0</v>
      </c>
      <c r="X15" s="15">
        <f>IFERROR(VLOOKUP(C15,RESXCO,9,FALSE),0)</f>
        <v>1</v>
      </c>
      <c r="Y15" s="25">
        <f>IFERROR(VLOOKUP(X15,'Puntos XCO'!$A$1:$B$63,2,FALSE),0)</f>
        <v>200</v>
      </c>
      <c r="Z15" s="27">
        <f>G15+I15+K15+M15+O15+Q15+S15+U15+W15+Y15</f>
        <v>1000</v>
      </c>
      <c r="AB15" s="2"/>
      <c r="AC15" s="13"/>
      <c r="AD15" s="12"/>
      <c r="AE15" s="14"/>
    </row>
    <row r="16" spans="1:31" ht="24.95" customHeight="1">
      <c r="A16" s="3">
        <v>2</v>
      </c>
      <c r="B16" s="3">
        <v>2</v>
      </c>
      <c r="C16" s="22">
        <v>672</v>
      </c>
      <c r="D16" s="23" t="str">
        <f>VLOOKUP(C16,PLANILLA,2,FALSE)</f>
        <v xml:space="preserve">SOLÍS  Thania Daniela </v>
      </c>
      <c r="E16" s="24" t="str">
        <f>VLOOKUP(C16,PLANILLA,4,FALSE)</f>
        <v>VEINTE24</v>
      </c>
      <c r="F16" s="3"/>
      <c r="G16" s="15"/>
      <c r="H16" s="15"/>
      <c r="I16" s="25"/>
      <c r="J16" s="33">
        <v>0</v>
      </c>
      <c r="K16" s="22">
        <v>0</v>
      </c>
      <c r="L16" s="22">
        <v>2</v>
      </c>
      <c r="M16" s="34">
        <v>150</v>
      </c>
      <c r="N16" s="32"/>
      <c r="O16" s="30"/>
      <c r="P16" s="3"/>
      <c r="Q16" s="34">
        <f>IFERROR(VLOOKUP(P16,'Puntos XCO'!$A$1:$B$63,2,FALSE),0)</f>
        <v>0</v>
      </c>
      <c r="R16" s="16">
        <v>1</v>
      </c>
      <c r="S16" s="3">
        <f>IFERROR(VLOOKUP(R16,'Puntos XCC Menor'!$A$1:$B$15,2,FALSE),0)</f>
        <v>10</v>
      </c>
      <c r="T16" s="15">
        <v>2</v>
      </c>
      <c r="U16" s="39">
        <f>IFERROR(VLOOKUP(T16,'Puntos XCO'!$A$1:$B$63,2,FALSE),0)</f>
        <v>150</v>
      </c>
      <c r="V16" s="16">
        <f>IFERROR(VLOOKUP(C16,RESXCC_1,9,FALSE),0)</f>
        <v>0</v>
      </c>
      <c r="W16" s="15">
        <f>IFERROR(VLOOKUP(V16,'Puntos XCC Mayor'!$A$1:$B$15,2,FALSE),0)</f>
        <v>0</v>
      </c>
      <c r="X16" s="15">
        <f>IFERROR(VLOOKUP(C16,RESXCO,9,FALSE),0)</f>
        <v>0</v>
      </c>
      <c r="Y16" s="25">
        <f>IFERROR(VLOOKUP(X16,'Puntos XCO'!$A$1:$B$63,2,FALSE),0)</f>
        <v>0</v>
      </c>
      <c r="Z16" s="27">
        <f t="shared" ref="Z16" si="0">G16+I16+K16+M16+O16+Q16+S16+U16+W16+Y16</f>
        <v>310</v>
      </c>
      <c r="AB16" s="3"/>
    </row>
    <row r="17" spans="1:28" ht="24.95" customHeight="1">
      <c r="A17" s="3"/>
      <c r="B17" s="3"/>
      <c r="C17" s="28"/>
      <c r="D17" s="23"/>
      <c r="E17" s="24"/>
      <c r="F17" s="3"/>
      <c r="G17" s="15"/>
      <c r="H17" s="15"/>
      <c r="I17" s="25"/>
      <c r="J17" s="26"/>
      <c r="K17" s="15"/>
      <c r="L17" s="15"/>
      <c r="M17" s="25"/>
      <c r="N17" s="16"/>
      <c r="O17" s="15"/>
      <c r="P17" s="3"/>
      <c r="Q17" s="25"/>
      <c r="R17" s="16"/>
      <c r="S17" s="15"/>
      <c r="T17" s="15"/>
      <c r="U17" s="25"/>
      <c r="V17" s="16"/>
      <c r="W17" s="15"/>
      <c r="X17" s="15"/>
      <c r="Y17" s="25"/>
      <c r="Z17" s="27"/>
      <c r="AB17" s="3"/>
    </row>
    <row r="18" spans="1:28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74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8">
      <c r="M19" s="9"/>
      <c r="N19" s="9"/>
      <c r="O19" s="9"/>
      <c r="P19" s="10"/>
      <c r="Q19" s="9"/>
      <c r="R19" s="9"/>
      <c r="S19" s="9"/>
      <c r="T19" s="9"/>
      <c r="U19" s="9"/>
    </row>
    <row r="20" spans="1:28" ht="127.5" customHeight="1"/>
    <row r="21" spans="1:28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74"/>
      <c r="Q21" s="65"/>
      <c r="R21" s="65"/>
      <c r="S21" s="65"/>
      <c r="T21" s="65"/>
      <c r="U21" s="65"/>
      <c r="V21" s="65"/>
      <c r="W21" s="65"/>
      <c r="X21" s="65"/>
      <c r="Y21" s="65"/>
      <c r="Z21" s="65"/>
    </row>
  </sheetData>
  <sortState ref="B15:Z17">
    <sortCondition descending="1" ref="Z15:Z17"/>
  </sortState>
  <mergeCells count="10">
    <mergeCell ref="A8:Z8"/>
    <mergeCell ref="A10:Z10"/>
    <mergeCell ref="A11:Z11"/>
    <mergeCell ref="A13:B13"/>
    <mergeCell ref="F13:I13"/>
    <mergeCell ref="J13:M13"/>
    <mergeCell ref="N13:Q13"/>
    <mergeCell ref="R13:U13"/>
    <mergeCell ref="V13:Y13"/>
    <mergeCell ref="Z13:Z14"/>
  </mergeCells>
  <conditionalFormatting sqref="C18:C65496 C1:C9 C12:C14">
    <cfRule type="duplicateValues" dxfId="308" priority="46" stopIfTrue="1"/>
  </conditionalFormatting>
  <conditionalFormatting sqref="F17">
    <cfRule type="duplicateValues" dxfId="307" priority="47" stopIfTrue="1"/>
  </conditionalFormatting>
  <conditionalFormatting sqref="B17">
    <cfRule type="duplicateValues" dxfId="306" priority="48" stopIfTrue="1"/>
  </conditionalFormatting>
  <conditionalFormatting sqref="F16">
    <cfRule type="duplicateValues" dxfId="305" priority="49" stopIfTrue="1"/>
  </conditionalFormatting>
  <conditionalFormatting sqref="C16">
    <cfRule type="duplicateValues" dxfId="304" priority="51"/>
  </conditionalFormatting>
  <conditionalFormatting sqref="AB15:AB17">
    <cfRule type="duplicateValues" dxfId="303" priority="7282"/>
  </conditionalFormatting>
  <conditionalFormatting sqref="C11">
    <cfRule type="duplicateValues" dxfId="302" priority="4" stopIfTrue="1"/>
  </conditionalFormatting>
  <conditionalFormatting sqref="C11">
    <cfRule type="duplicateValues" dxfId="301" priority="5" stopIfTrue="1"/>
  </conditionalFormatting>
  <conditionalFormatting sqref="D11">
    <cfRule type="duplicateValues" dxfId="300" priority="3" stopIfTrue="1"/>
  </conditionalFormatting>
  <conditionalFormatting sqref="C10">
    <cfRule type="duplicateValues" dxfId="299" priority="1" stopIfTrue="1"/>
  </conditionalFormatting>
  <conditionalFormatting sqref="C10">
    <cfRule type="duplicateValues" dxfId="298" priority="2" stopIfTrue="1"/>
  </conditionalFormatting>
  <pageMargins left="0.70866141732283472" right="0.70866141732283472" top="0.74803149606299213" bottom="0.74803149606299213" header="0.31496062992125984" footer="0.31496062992125984"/>
  <pageSetup paperSize="9" scale="50" fitToHeight="2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8:AE27"/>
  <sheetViews>
    <sheetView showGridLines="0" topLeftCell="A8" zoomScale="70" zoomScaleNormal="70" zoomScaleSheetLayoutView="90" workbookViewId="0">
      <selection activeCell="A15" sqref="A15:A22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11.42578125" style="2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26.25">
      <c r="A8" s="118" t="s">
        <v>168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20.100000000000001" customHeight="1">
      <c r="A13" s="125" t="s">
        <v>0</v>
      </c>
      <c r="B13" s="125"/>
      <c r="C13" s="65"/>
      <c r="D13" s="65"/>
      <c r="E13" s="67"/>
      <c r="F13" s="125">
        <v>1</v>
      </c>
      <c r="G13" s="125"/>
      <c r="H13" s="125"/>
      <c r="I13" s="126"/>
      <c r="J13" s="127">
        <v>2</v>
      </c>
      <c r="K13" s="125"/>
      <c r="L13" s="125"/>
      <c r="M13" s="126"/>
      <c r="N13" s="127">
        <v>3</v>
      </c>
      <c r="O13" s="125"/>
      <c r="P13" s="125"/>
      <c r="Q13" s="126"/>
      <c r="R13" s="127">
        <v>4</v>
      </c>
      <c r="S13" s="125"/>
      <c r="T13" s="125"/>
      <c r="U13" s="126"/>
      <c r="V13" s="127">
        <v>5</v>
      </c>
      <c r="W13" s="125"/>
      <c r="X13" s="125"/>
      <c r="Y13" s="126"/>
      <c r="Z13" s="117" t="s">
        <v>47</v>
      </c>
    </row>
    <row r="14" spans="1:31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117"/>
    </row>
    <row r="15" spans="1:31" ht="24.95" customHeight="1">
      <c r="A15" s="22">
        <v>1</v>
      </c>
      <c r="B15" s="22">
        <v>1</v>
      </c>
      <c r="C15" s="22">
        <v>981</v>
      </c>
      <c r="D15" s="23" t="str">
        <f>VLOOKUP(C15,PLANILLA,2,FALSE)</f>
        <v>ALFARO  Dany</v>
      </c>
      <c r="E15" s="24" t="str">
        <f>VLOOKUP(C15,PLANILLA,4,FALSE)</f>
        <v xml:space="preserve">SERVICIO AUTOMOTRIZ NEO CICLYNG </v>
      </c>
      <c r="F15" s="3"/>
      <c r="G15" s="15"/>
      <c r="H15" s="3"/>
      <c r="I15" s="25"/>
      <c r="J15" s="33"/>
      <c r="K15" s="22"/>
      <c r="L15" s="22">
        <v>1</v>
      </c>
      <c r="M15" s="34">
        <v>200</v>
      </c>
      <c r="N15" s="32"/>
      <c r="O15" s="30"/>
      <c r="P15" s="3">
        <v>0</v>
      </c>
      <c r="Q15" s="34">
        <f>IFERROR(VLOOKUP(P15,'Puntos XCO'!$A$1:$B$63,2,FALSE),0)</f>
        <v>0</v>
      </c>
      <c r="R15" s="32"/>
      <c r="S15" s="30"/>
      <c r="T15" s="15">
        <v>1</v>
      </c>
      <c r="U15" s="39">
        <f>IFERROR(VLOOKUP(T15,'Puntos XCO'!$A$1:$B$63,2,FALSE),0)</f>
        <v>200</v>
      </c>
      <c r="V15" s="16">
        <f>IFERROR(VLOOKUP(C15,RESXCC_1,9,FALSE),0)</f>
        <v>0</v>
      </c>
      <c r="W15" s="15">
        <f>IFERROR(VLOOKUP(V15,'Puntos XCC Mayor'!$A$1:$B$15,2,FALSE),0)</f>
        <v>0</v>
      </c>
      <c r="X15" s="15">
        <f>IFERROR(VLOOKUP(C15,RESXCO,9,FALSE),0)</f>
        <v>1</v>
      </c>
      <c r="Y15" s="25">
        <f>IFERROR(VLOOKUP(X15,'Puntos XCO'!$A$1:$B$63,2,FALSE),0)</f>
        <v>200</v>
      </c>
      <c r="Z15" s="27">
        <f>G15+I15+K15+M15+O15+Q15+S15+U15+W15+Y15</f>
        <v>600</v>
      </c>
      <c r="AB15" s="2"/>
      <c r="AC15" s="13"/>
      <c r="AD15" s="12"/>
      <c r="AE15" s="14"/>
    </row>
    <row r="16" spans="1:31" ht="24.95" customHeight="1">
      <c r="A16" s="22">
        <v>2</v>
      </c>
      <c r="B16" s="22">
        <v>7</v>
      </c>
      <c r="C16" s="22">
        <v>982</v>
      </c>
      <c r="D16" s="23" t="str">
        <f>VLOOKUP(C16,PLANILLA,2,FALSE)</f>
        <v>VARGAS Omar</v>
      </c>
      <c r="E16" s="24" t="str">
        <f>VLOOKUP(C16,PLANILLA,4,FALSE)</f>
        <v>ANCM EL COMI CASI ENDURERO</v>
      </c>
      <c r="F16" s="3"/>
      <c r="G16" s="15"/>
      <c r="H16" s="3"/>
      <c r="I16" s="25"/>
      <c r="J16" s="33"/>
      <c r="K16" s="22"/>
      <c r="L16" s="22">
        <v>3</v>
      </c>
      <c r="M16" s="34">
        <v>120</v>
      </c>
      <c r="N16" s="32"/>
      <c r="O16" s="30"/>
      <c r="P16" s="3">
        <v>0</v>
      </c>
      <c r="Q16" s="34">
        <f>IFERROR(VLOOKUP(P16,'Puntos XCO'!$A$1:$B$63,2,FALSE),0)</f>
        <v>0</v>
      </c>
      <c r="R16" s="32"/>
      <c r="S16" s="30"/>
      <c r="T16" s="15">
        <v>0</v>
      </c>
      <c r="U16" s="39">
        <f>IFERROR(VLOOKUP(T16,'Puntos XCO'!$A$1:$B$63,2,FALSE),0)</f>
        <v>0</v>
      </c>
      <c r="V16" s="16">
        <f>IFERROR(VLOOKUP(C16,RESXCC_1,9,FALSE),0)</f>
        <v>0</v>
      </c>
      <c r="W16" s="15">
        <f>IFERROR(VLOOKUP(V16,'Puntos XCC Mayor'!$A$1:$B$15,2,FALSE),0)</f>
        <v>0</v>
      </c>
      <c r="X16" s="15">
        <f>IFERROR(VLOOKUP(C16,RESXCO,9,FALSE),0)</f>
        <v>2</v>
      </c>
      <c r="Y16" s="25">
        <f>IFERROR(VLOOKUP(X16,'Puntos XCO'!$A$1:$B$63,2,FALSE),0)</f>
        <v>150</v>
      </c>
      <c r="Z16" s="27">
        <f>G16+I16+K16+M16+O16+Q16+S16+U16+W16+Y16</f>
        <v>270</v>
      </c>
      <c r="AB16" s="2"/>
      <c r="AC16" s="13"/>
      <c r="AD16" s="12"/>
      <c r="AE16" s="14"/>
    </row>
    <row r="17" spans="1:31" ht="24.95" customHeight="1">
      <c r="A17" s="22">
        <v>3</v>
      </c>
      <c r="B17" s="22">
        <v>5</v>
      </c>
      <c r="C17" s="22">
        <v>978</v>
      </c>
      <c r="D17" s="23" t="str">
        <f>VLOOKUP(C17,PLANILLA,2,FALSE)</f>
        <v>JIMÉNEZ  Royland</v>
      </c>
      <c r="E17" s="24" t="str">
        <f>VLOOKUP(C17,PLANILLA,4,FALSE)</f>
        <v xml:space="preserve">SKALA-TRI-CYC/ CICLO FOFO /TALLER ROY </v>
      </c>
      <c r="F17" s="3"/>
      <c r="G17" s="15"/>
      <c r="H17" s="3">
        <v>0</v>
      </c>
      <c r="I17" s="25">
        <v>0</v>
      </c>
      <c r="J17" s="33"/>
      <c r="K17" s="22"/>
      <c r="L17" s="22">
        <v>0</v>
      </c>
      <c r="M17" s="34">
        <v>0</v>
      </c>
      <c r="N17" s="32"/>
      <c r="O17" s="30"/>
      <c r="P17" s="3">
        <v>0</v>
      </c>
      <c r="Q17" s="34">
        <f>IFERROR(VLOOKUP(P17,'Puntos XCO'!$A$1:$B$63,2,FALSE),0)</f>
        <v>0</v>
      </c>
      <c r="R17" s="32"/>
      <c r="S17" s="30"/>
      <c r="T17" s="15">
        <v>2</v>
      </c>
      <c r="U17" s="39">
        <f>IFERROR(VLOOKUP(T17,'Puntos XCO'!$A$1:$B$63,2,FALSE),0)</f>
        <v>150</v>
      </c>
      <c r="V17" s="16">
        <f>IFERROR(VLOOKUP(C17,RESXCC_1,9,FALSE),0)</f>
        <v>0</v>
      </c>
      <c r="W17" s="15">
        <f>IFERROR(VLOOKUP(V17,'Puntos XCC Mayor'!$A$1:$B$15,2,FALSE),0)</f>
        <v>0</v>
      </c>
      <c r="X17" s="15">
        <f>IFERROR(VLOOKUP(C17,RESXCO,9,FALSE),0)</f>
        <v>3</v>
      </c>
      <c r="Y17" s="25">
        <f>IFERROR(VLOOKUP(X17,'Puntos XCO'!$A$1:$B$63,2,FALSE),0)</f>
        <v>120</v>
      </c>
      <c r="Z17" s="27">
        <f>G17+I17+K17+M17+O17+Q17+S17+U17+W17+Y17</f>
        <v>270</v>
      </c>
      <c r="AB17" s="2"/>
      <c r="AC17" s="13"/>
      <c r="AD17" s="12"/>
      <c r="AE17" s="14"/>
    </row>
    <row r="18" spans="1:31" ht="24.95" customHeight="1">
      <c r="A18" s="22">
        <v>4</v>
      </c>
      <c r="B18" s="22">
        <v>2</v>
      </c>
      <c r="C18" s="22">
        <v>977</v>
      </c>
      <c r="D18" s="23" t="str">
        <f>VLOOKUP(C18,PLANILLA,2,FALSE)</f>
        <v xml:space="preserve">MORA Leonardo </v>
      </c>
      <c r="E18" s="24" t="str">
        <f>VLOOKUP(C18,PLANILLA,4,FALSE)</f>
        <v xml:space="preserve">GALERÍA DEPORTIVA </v>
      </c>
      <c r="F18" s="3"/>
      <c r="G18" s="15"/>
      <c r="H18" s="3">
        <v>1</v>
      </c>
      <c r="I18" s="25">
        <v>200</v>
      </c>
      <c r="J18" s="33"/>
      <c r="K18" s="22"/>
      <c r="L18" s="22">
        <v>0</v>
      </c>
      <c r="M18" s="34">
        <v>0</v>
      </c>
      <c r="N18" s="32"/>
      <c r="O18" s="30"/>
      <c r="P18" s="3">
        <v>0</v>
      </c>
      <c r="Q18" s="34">
        <f>IFERROR(VLOOKUP(P18,'Puntos XCO'!$A$1:$B$63,2,FALSE),0)</f>
        <v>0</v>
      </c>
      <c r="R18" s="16"/>
      <c r="S18" s="3"/>
      <c r="T18" s="15">
        <v>0</v>
      </c>
      <c r="U18" s="39">
        <f>IFERROR(VLOOKUP(T18,'Puntos XCO'!$A$1:$B$63,2,FALSE),0)</f>
        <v>0</v>
      </c>
      <c r="V18" s="16">
        <f>IFERROR(VLOOKUP(C18,RESXCC_1,9,FALSE),0)</f>
        <v>0</v>
      </c>
      <c r="W18" s="15">
        <f>IFERROR(VLOOKUP(V18,'Puntos XCC Mayor'!$A$1:$B$15,2,FALSE),0)</f>
        <v>0</v>
      </c>
      <c r="X18" s="15">
        <f>IFERROR(VLOOKUP(C18,RESXCO,9,FALSE),0)</f>
        <v>0</v>
      </c>
      <c r="Y18" s="25">
        <f>IFERROR(VLOOKUP(X18,'Puntos XCO'!$A$1:$B$63,2,FALSE),0)</f>
        <v>0</v>
      </c>
      <c r="Z18" s="27">
        <f>G18+I18+K18+M18+O18+Q18+S18+U18+W18+Y18</f>
        <v>200</v>
      </c>
      <c r="AB18" s="2"/>
      <c r="AC18" s="13"/>
      <c r="AD18" s="12"/>
      <c r="AE18" s="14"/>
    </row>
    <row r="19" spans="1:31" ht="24.95" customHeight="1">
      <c r="A19" s="22">
        <v>5</v>
      </c>
      <c r="B19" s="22">
        <v>3</v>
      </c>
      <c r="C19" s="22">
        <v>976</v>
      </c>
      <c r="D19" s="23" t="str">
        <f>VLOOKUP(C19,PLANILLA,2,FALSE)</f>
        <v>LEIVA Kenneth</v>
      </c>
      <c r="E19" s="24" t="str">
        <f>VLOOKUP(C19,PLANILLA,4,FALSE)</f>
        <v/>
      </c>
      <c r="F19" s="3"/>
      <c r="G19" s="15"/>
      <c r="H19" s="3">
        <v>2</v>
      </c>
      <c r="I19" s="25">
        <v>150</v>
      </c>
      <c r="J19" s="33"/>
      <c r="K19" s="22"/>
      <c r="L19" s="22">
        <v>0</v>
      </c>
      <c r="M19" s="34">
        <v>0</v>
      </c>
      <c r="N19" s="32"/>
      <c r="O19" s="30"/>
      <c r="P19" s="3">
        <v>0</v>
      </c>
      <c r="Q19" s="34">
        <f>IFERROR(VLOOKUP(P19,'Puntos XCO'!$A$1:$B$63,2,FALSE),0)</f>
        <v>0</v>
      </c>
      <c r="R19" s="32"/>
      <c r="S19" s="30"/>
      <c r="T19" s="15">
        <v>0</v>
      </c>
      <c r="U19" s="39">
        <f>IFERROR(VLOOKUP(T19,'Puntos XCO'!$A$1:$B$63,2,FALSE),0)</f>
        <v>0</v>
      </c>
      <c r="V19" s="16">
        <f>IFERROR(VLOOKUP(C19,RESXCC_1,9,FALSE),0)</f>
        <v>0</v>
      </c>
      <c r="W19" s="15">
        <f>IFERROR(VLOOKUP(V19,'Puntos XCC Mayor'!$A$1:$B$15,2,FALSE),0)</f>
        <v>0</v>
      </c>
      <c r="X19" s="15">
        <f>IFERROR(VLOOKUP(C19,RESXCO,9,FALSE),0)</f>
        <v>0</v>
      </c>
      <c r="Y19" s="25">
        <f>IFERROR(VLOOKUP(X19,'Puntos XCO'!$A$1:$B$63,2,FALSE),0)</f>
        <v>0</v>
      </c>
      <c r="Z19" s="27">
        <f>G19+I19+K19+M19+O19+Q19+S19+U19+W19+Y19</f>
        <v>150</v>
      </c>
      <c r="AB19" s="2"/>
      <c r="AC19" s="13"/>
      <c r="AD19" s="12"/>
      <c r="AE19" s="14"/>
    </row>
    <row r="20" spans="1:31" ht="24.95" customHeight="1">
      <c r="A20" s="22">
        <v>6</v>
      </c>
      <c r="B20" s="22">
        <v>4</v>
      </c>
      <c r="C20" s="22">
        <v>980</v>
      </c>
      <c r="D20" s="23" t="str">
        <f>VLOOKUP(C20,PLANILLA,2,FALSE)</f>
        <v>CISNEROS Cristofer</v>
      </c>
      <c r="E20" s="24" t="str">
        <f>VLOOKUP(C20,PLANILLA,4,FALSE)</f>
        <v>TEAM CQ PZ</v>
      </c>
      <c r="F20" s="3"/>
      <c r="G20" s="15"/>
      <c r="H20" s="3"/>
      <c r="I20" s="25"/>
      <c r="J20" s="33"/>
      <c r="K20" s="22"/>
      <c r="L20" s="22">
        <v>2</v>
      </c>
      <c r="M20" s="34">
        <v>150</v>
      </c>
      <c r="N20" s="32"/>
      <c r="O20" s="30"/>
      <c r="P20" s="3">
        <v>0</v>
      </c>
      <c r="Q20" s="34">
        <f>IFERROR(VLOOKUP(P20,'Puntos XCO'!$A$1:$B$63,2,FALSE),0)</f>
        <v>0</v>
      </c>
      <c r="R20" s="32"/>
      <c r="S20" s="30"/>
      <c r="T20" s="15">
        <v>0</v>
      </c>
      <c r="U20" s="39">
        <f>IFERROR(VLOOKUP(T20,'Puntos XCO'!$A$1:$B$63,2,FALSE),0)</f>
        <v>0</v>
      </c>
      <c r="V20" s="16">
        <f>IFERROR(VLOOKUP(C20,RESXCC_1,9,FALSE),0)</f>
        <v>0</v>
      </c>
      <c r="W20" s="15">
        <f>IFERROR(VLOOKUP(V20,'Puntos XCC Mayor'!$A$1:$B$15,2,FALSE),0)</f>
        <v>0</v>
      </c>
      <c r="X20" s="15">
        <f>IFERROR(VLOOKUP(C20,RESXCO,9,FALSE),0)</f>
        <v>0</v>
      </c>
      <c r="Y20" s="25">
        <f>IFERROR(VLOOKUP(X20,'Puntos XCO'!$A$1:$B$63,2,FALSE),0)</f>
        <v>0</v>
      </c>
      <c r="Z20" s="27">
        <f>G20+I20+K20+M20+O20+Q20+S20+U20+W20+Y20</f>
        <v>150</v>
      </c>
      <c r="AB20" s="2"/>
      <c r="AC20" s="13"/>
      <c r="AD20" s="12"/>
      <c r="AE20" s="14"/>
    </row>
    <row r="21" spans="1:31" ht="24.95" customHeight="1">
      <c r="A21" s="22">
        <v>7</v>
      </c>
      <c r="B21" s="22">
        <v>6</v>
      </c>
      <c r="C21" s="22">
        <v>979</v>
      </c>
      <c r="D21" s="23" t="str">
        <f>VLOOKUP(C21,PLANILLA,2,FALSE)</f>
        <v xml:space="preserve">MATA  Jefrey Alexander </v>
      </c>
      <c r="E21" s="24" t="str">
        <f>VLOOKUP(C21,PLANILLA,4,FALSE)</f>
        <v>GRUPETA 5AM</v>
      </c>
      <c r="F21" s="3"/>
      <c r="G21" s="15"/>
      <c r="H21" s="3">
        <v>3</v>
      </c>
      <c r="I21" s="25">
        <v>120</v>
      </c>
      <c r="J21" s="33"/>
      <c r="K21" s="22"/>
      <c r="L21" s="22">
        <v>0</v>
      </c>
      <c r="M21" s="34">
        <v>0</v>
      </c>
      <c r="N21" s="32"/>
      <c r="O21" s="30"/>
      <c r="P21" s="3">
        <v>0</v>
      </c>
      <c r="Q21" s="34">
        <f>IFERROR(VLOOKUP(P21,'Puntos XCO'!$A$1:$B$63,2,FALSE),0)</f>
        <v>0</v>
      </c>
      <c r="R21" s="32"/>
      <c r="S21" s="30"/>
      <c r="T21" s="15">
        <v>0</v>
      </c>
      <c r="U21" s="39">
        <f>IFERROR(VLOOKUP(T21,'Puntos XCO'!$A$1:$B$63,2,FALSE),0)</f>
        <v>0</v>
      </c>
      <c r="V21" s="16">
        <f>IFERROR(VLOOKUP(C21,RESXCC_1,9,FALSE),0)</f>
        <v>0</v>
      </c>
      <c r="W21" s="15">
        <f>IFERROR(VLOOKUP(V21,'Puntos XCC Mayor'!$A$1:$B$15,2,FALSE),0)</f>
        <v>0</v>
      </c>
      <c r="X21" s="15">
        <f>IFERROR(VLOOKUP(C21,RESXCO,9,FALSE),0)</f>
        <v>0</v>
      </c>
      <c r="Y21" s="25">
        <f>IFERROR(VLOOKUP(X21,'Puntos XCO'!$A$1:$B$63,2,FALSE),0)</f>
        <v>0</v>
      </c>
      <c r="Z21" s="27">
        <f>G21+I21+K21+M21+O21+Q21+S21+U21+W21+Y21</f>
        <v>120</v>
      </c>
      <c r="AB21" s="2"/>
      <c r="AC21" s="13"/>
      <c r="AD21" s="12"/>
      <c r="AE21" s="14"/>
    </row>
    <row r="22" spans="1:31" ht="24.95" customHeight="1">
      <c r="A22" s="22">
        <v>8</v>
      </c>
      <c r="B22" s="22"/>
      <c r="C22" s="22">
        <v>983</v>
      </c>
      <c r="D22" s="23" t="str">
        <f>VLOOKUP(C22,PLANILLA,2,FALSE)</f>
        <v>CALDERON Alejandro</v>
      </c>
      <c r="E22" s="24" t="str">
        <f>VLOOKUP(C22,PLANILLA,4,FALSE)</f>
        <v>EL PALIDAZO CYCLING CLUB</v>
      </c>
      <c r="F22" s="3"/>
      <c r="G22" s="15"/>
      <c r="H22" s="3"/>
      <c r="I22" s="25"/>
      <c r="J22" s="33"/>
      <c r="K22" s="22"/>
      <c r="L22" s="22"/>
      <c r="M22" s="34"/>
      <c r="N22" s="32"/>
      <c r="O22" s="30"/>
      <c r="P22" s="3"/>
      <c r="Q22" s="34"/>
      <c r="R22" s="32"/>
      <c r="S22" s="30"/>
      <c r="T22" s="15"/>
      <c r="U22" s="39"/>
      <c r="V22" s="16">
        <f>IFERROR(VLOOKUP(C22,RESXCC_1,9,FALSE),0)</f>
        <v>0</v>
      </c>
      <c r="W22" s="15">
        <f>IFERROR(VLOOKUP(V22,'Puntos XCC Mayor'!$A$1:$B$15,2,FALSE),0)</f>
        <v>0</v>
      </c>
      <c r="X22" s="15">
        <f>IFERROR(VLOOKUP(C22,RESXCO,9,FALSE),0)</f>
        <v>4</v>
      </c>
      <c r="Y22" s="25">
        <f>IFERROR(VLOOKUP(X22,'Puntos XCO'!$A$1:$B$63,2,FALSE),0)</f>
        <v>110</v>
      </c>
      <c r="Z22" s="27">
        <f>G22+I22+K22+M22+O22+Q22+S22+U22+W22+Y22</f>
        <v>110</v>
      </c>
      <c r="AB22" s="2"/>
      <c r="AC22" s="13"/>
      <c r="AD22" s="12"/>
      <c r="AE22" s="14"/>
    </row>
    <row r="23" spans="1:31" ht="24.95" customHeight="1">
      <c r="A23" s="3"/>
      <c r="B23" s="3"/>
      <c r="C23" s="28"/>
      <c r="D23" s="23"/>
      <c r="E23" s="24"/>
      <c r="F23" s="3"/>
      <c r="G23" s="15"/>
      <c r="H23" s="15"/>
      <c r="I23" s="25"/>
      <c r="J23" s="26"/>
      <c r="K23" s="15"/>
      <c r="L23" s="15"/>
      <c r="M23" s="25"/>
      <c r="N23" s="16"/>
      <c r="O23" s="15"/>
      <c r="P23" s="3"/>
      <c r="Q23" s="25"/>
      <c r="R23" s="16"/>
      <c r="S23" s="15"/>
      <c r="T23" s="15"/>
      <c r="U23" s="25"/>
      <c r="V23" s="16"/>
      <c r="W23" s="15"/>
      <c r="X23" s="15"/>
      <c r="Y23" s="25"/>
      <c r="Z23" s="27"/>
      <c r="AB23" s="3"/>
    </row>
    <row r="24" spans="1:31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74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spans="1:31">
      <c r="M25" s="9"/>
      <c r="N25" s="9"/>
      <c r="O25" s="9"/>
      <c r="P25" s="10"/>
      <c r="Q25" s="9"/>
      <c r="R25" s="9"/>
      <c r="S25" s="9"/>
      <c r="T25" s="9"/>
      <c r="U25" s="9"/>
    </row>
    <row r="26" spans="1:31" ht="127.5" customHeight="1"/>
    <row r="27" spans="1:3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74"/>
      <c r="Q27" s="65"/>
      <c r="R27" s="65"/>
      <c r="S27" s="65"/>
      <c r="T27" s="65"/>
      <c r="U27" s="65"/>
      <c r="V27" s="65"/>
      <c r="W27" s="65"/>
      <c r="X27" s="65"/>
      <c r="Y27" s="65"/>
      <c r="Z27" s="65"/>
    </row>
  </sheetData>
  <sortState ref="B15:Z22">
    <sortCondition descending="1" ref="Z15:Z22"/>
    <sortCondition ref="T15:T22"/>
  </sortState>
  <mergeCells count="10">
    <mergeCell ref="A8:Z8"/>
    <mergeCell ref="A10:Z10"/>
    <mergeCell ref="A11:Z11"/>
    <mergeCell ref="A13:B13"/>
    <mergeCell ref="F13:I13"/>
    <mergeCell ref="J13:M13"/>
    <mergeCell ref="N13:Q13"/>
    <mergeCell ref="R13:U13"/>
    <mergeCell ref="V13:Y13"/>
    <mergeCell ref="Z13:Z14"/>
  </mergeCells>
  <conditionalFormatting sqref="C24:C65502 C1:C9 C12:C14">
    <cfRule type="duplicateValues" dxfId="297" priority="22" stopIfTrue="1"/>
  </conditionalFormatting>
  <conditionalFormatting sqref="F23">
    <cfRule type="duplicateValues" dxfId="296" priority="23" stopIfTrue="1"/>
  </conditionalFormatting>
  <conditionalFormatting sqref="B23">
    <cfRule type="duplicateValues" dxfId="295" priority="24" stopIfTrue="1"/>
  </conditionalFormatting>
  <conditionalFormatting sqref="AB15:AB23">
    <cfRule type="duplicateValues" dxfId="294" priority="7285"/>
  </conditionalFormatting>
  <conditionalFormatting sqref="C11">
    <cfRule type="duplicateValues" dxfId="293" priority="4" stopIfTrue="1"/>
  </conditionalFormatting>
  <conditionalFormatting sqref="C11">
    <cfRule type="duplicateValues" dxfId="292" priority="5" stopIfTrue="1"/>
  </conditionalFormatting>
  <conditionalFormatting sqref="D11">
    <cfRule type="duplicateValues" dxfId="291" priority="3" stopIfTrue="1"/>
  </conditionalFormatting>
  <conditionalFormatting sqref="C10">
    <cfRule type="duplicateValues" dxfId="290" priority="1" stopIfTrue="1"/>
  </conditionalFormatting>
  <conditionalFormatting sqref="C10">
    <cfRule type="duplicateValues" dxfId="289" priority="2" stopIfTrue="1"/>
  </conditionalFormatting>
  <pageMargins left="0.70866141732283472" right="0.70866141732283472" top="0.74803149606299213" bottom="0.74803149606299213" header="0.31496062992125984" footer="0.31496062992125984"/>
  <pageSetup paperSize="9" scale="50" fitToHeight="3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8:AE25"/>
  <sheetViews>
    <sheetView showGridLines="0" zoomScale="70" zoomScaleNormal="70" zoomScaleSheetLayoutView="90" workbookViewId="0">
      <selection activeCell="A20" sqref="A20"/>
    </sheetView>
  </sheetViews>
  <sheetFormatPr baseColWidth="10" defaultRowHeight="15"/>
  <cols>
    <col min="1" max="1" width="10.28515625" customWidth="1"/>
    <col min="2" max="2" width="13.28515625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11" width="7.85546875" customWidth="1"/>
    <col min="12" max="12" width="6.42578125" bestFit="1" customWidth="1"/>
    <col min="13" max="15" width="7.85546875" customWidth="1"/>
    <col min="16" max="16" width="7.85546875" style="38" customWidth="1"/>
    <col min="17" max="25" width="7.85546875" customWidth="1"/>
    <col min="26" max="26" width="11.7109375" style="2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26.25">
      <c r="A8" s="118" t="s">
        <v>102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20.100000000000001" customHeight="1">
      <c r="A13" s="129" t="s">
        <v>0</v>
      </c>
      <c r="B13" s="129"/>
      <c r="C13" s="81"/>
      <c r="D13" s="81"/>
      <c r="E13" s="82"/>
      <c r="F13" s="129">
        <v>1</v>
      </c>
      <c r="G13" s="129"/>
      <c r="H13" s="129"/>
      <c r="I13" s="130"/>
      <c r="J13" s="131">
        <v>2</v>
      </c>
      <c r="K13" s="129"/>
      <c r="L13" s="129"/>
      <c r="M13" s="130"/>
      <c r="N13" s="131">
        <v>3</v>
      </c>
      <c r="O13" s="129"/>
      <c r="P13" s="129"/>
      <c r="Q13" s="130"/>
      <c r="R13" s="131">
        <v>4</v>
      </c>
      <c r="S13" s="129"/>
      <c r="T13" s="129"/>
      <c r="U13" s="130"/>
      <c r="V13" s="131">
        <v>5</v>
      </c>
      <c r="W13" s="129"/>
      <c r="X13" s="129"/>
      <c r="Y13" s="130"/>
      <c r="Z13" s="132" t="s">
        <v>47</v>
      </c>
    </row>
    <row r="14" spans="1:31" ht="33" customHeight="1">
      <c r="A14" s="83" t="s">
        <v>1</v>
      </c>
      <c r="B14" s="83" t="s">
        <v>2</v>
      </c>
      <c r="C14" s="83" t="s">
        <v>3</v>
      </c>
      <c r="D14" s="84" t="s">
        <v>4</v>
      </c>
      <c r="E14" s="85" t="s">
        <v>5</v>
      </c>
      <c r="F14" s="86"/>
      <c r="G14" s="86"/>
      <c r="H14" s="86" t="s">
        <v>45</v>
      </c>
      <c r="I14" s="87" t="s">
        <v>46</v>
      </c>
      <c r="J14" s="88"/>
      <c r="K14" s="86"/>
      <c r="L14" s="86" t="s">
        <v>45</v>
      </c>
      <c r="M14" s="87" t="s">
        <v>46</v>
      </c>
      <c r="N14" s="88"/>
      <c r="O14" s="86"/>
      <c r="P14" s="86" t="s">
        <v>45</v>
      </c>
      <c r="Q14" s="87" t="s">
        <v>46</v>
      </c>
      <c r="R14" s="88"/>
      <c r="S14" s="86"/>
      <c r="T14" s="86" t="s">
        <v>45</v>
      </c>
      <c r="U14" s="87" t="s">
        <v>46</v>
      </c>
      <c r="V14" s="88"/>
      <c r="W14" s="86"/>
      <c r="X14" s="86" t="s">
        <v>45</v>
      </c>
      <c r="Y14" s="87" t="s">
        <v>46</v>
      </c>
      <c r="Z14" s="132"/>
    </row>
    <row r="15" spans="1:31" ht="24.95" customHeight="1">
      <c r="A15" s="22">
        <v>1</v>
      </c>
      <c r="B15" s="22">
        <v>1</v>
      </c>
      <c r="C15" s="22">
        <v>961</v>
      </c>
      <c r="D15" s="23" t="str">
        <f>VLOOKUP(C15,PLANILLA,2,FALSE)</f>
        <v>GUZMAN Aaron</v>
      </c>
      <c r="E15" s="24" t="str">
        <f>VLOOKUP(C15,PLANILLA,4,FALSE)</f>
        <v>ACISA</v>
      </c>
      <c r="F15" s="3"/>
      <c r="G15" s="15"/>
      <c r="H15" s="3">
        <v>2</v>
      </c>
      <c r="I15" s="25">
        <v>150</v>
      </c>
      <c r="J15" s="33"/>
      <c r="K15" s="22"/>
      <c r="L15" s="22">
        <v>1</v>
      </c>
      <c r="M15" s="34">
        <v>200</v>
      </c>
      <c r="N15" s="32"/>
      <c r="O15" s="30"/>
      <c r="P15" s="3"/>
      <c r="Q15" s="34">
        <f>IFERROR(VLOOKUP(P15,'Puntos XCO'!$A$1:$B$63,2,FALSE),0)</f>
        <v>0</v>
      </c>
      <c r="R15" s="32"/>
      <c r="S15" s="30"/>
      <c r="T15" s="15">
        <v>1</v>
      </c>
      <c r="U15" s="39">
        <f>IFERROR(VLOOKUP(T15,'Puntos XCO'!$A$1:$B$63,2,FALSE),0)</f>
        <v>200</v>
      </c>
      <c r="V15" s="16"/>
      <c r="W15" s="15"/>
      <c r="X15" s="15">
        <f>IFERROR(VLOOKUP(C15,RESXCO,9,FALSE),0)</f>
        <v>1</v>
      </c>
      <c r="Y15" s="25">
        <f>IFERROR(VLOOKUP(X15,'Puntos XCO'!$A$1:$B$63,2,FALSE),0)</f>
        <v>200</v>
      </c>
      <c r="Z15" s="27">
        <f>G15+I15+K15+M15+O15+Q15+S15+U15+W15+Y15</f>
        <v>750</v>
      </c>
      <c r="AB15" s="2"/>
      <c r="AC15" s="13"/>
      <c r="AD15" s="12"/>
      <c r="AE15" s="14"/>
    </row>
    <row r="16" spans="1:31" ht="24.95" customHeight="1">
      <c r="A16" s="22">
        <v>2</v>
      </c>
      <c r="B16" s="22">
        <v>2</v>
      </c>
      <c r="C16" s="22">
        <v>962</v>
      </c>
      <c r="D16" s="23" t="str">
        <f>VLOOKUP(C16,PLANILLA,2,FALSE)</f>
        <v>GUZMÁN  Alex</v>
      </c>
      <c r="E16" s="24" t="str">
        <f>VLOOKUP(C16,PLANILLA,4,FALSE)</f>
        <v>ACISA</v>
      </c>
      <c r="F16" s="3"/>
      <c r="G16" s="15"/>
      <c r="H16" s="3">
        <v>1</v>
      </c>
      <c r="I16" s="25">
        <v>200</v>
      </c>
      <c r="J16" s="33"/>
      <c r="K16" s="22"/>
      <c r="L16" s="22">
        <v>4</v>
      </c>
      <c r="M16" s="34">
        <v>110</v>
      </c>
      <c r="N16" s="32"/>
      <c r="O16" s="30"/>
      <c r="P16" s="3"/>
      <c r="Q16" s="34">
        <f>IFERROR(VLOOKUP(P16,'Puntos XCO'!$A$1:$B$63,2,FALSE),0)</f>
        <v>0</v>
      </c>
      <c r="R16" s="32"/>
      <c r="S16" s="30"/>
      <c r="T16" s="15">
        <v>2</v>
      </c>
      <c r="U16" s="39">
        <f>IFERROR(VLOOKUP(T16,'Puntos XCO'!$A$1:$B$63,2,FALSE),0)</f>
        <v>150</v>
      </c>
      <c r="V16" s="32"/>
      <c r="W16" s="30"/>
      <c r="X16" s="15">
        <f>IFERROR(VLOOKUP(C16,RESXCO,9,FALSE),0)</f>
        <v>3</v>
      </c>
      <c r="Y16" s="25">
        <f>IFERROR(VLOOKUP(X16,'Puntos XCO'!$A$1:$B$63,2,FALSE),0)</f>
        <v>120</v>
      </c>
      <c r="Z16" s="27">
        <f>G16+I16+K16+M16+O16+Q16+S16+U16+W16+Y16</f>
        <v>580</v>
      </c>
      <c r="AB16" s="2"/>
      <c r="AC16" s="13"/>
      <c r="AD16" s="12"/>
      <c r="AE16" s="14"/>
    </row>
    <row r="17" spans="1:28" ht="24.95" customHeight="1">
      <c r="A17" s="22">
        <v>3</v>
      </c>
      <c r="B17" s="3">
        <v>3</v>
      </c>
      <c r="C17" s="22">
        <v>964</v>
      </c>
      <c r="D17" s="23" t="str">
        <f>VLOOKUP(C17,PLANILLA,2,FALSE)</f>
        <v>TENORIO Carlos</v>
      </c>
      <c r="E17" s="24" t="str">
        <f>VLOOKUP(C17,PLANILLA,4,FALSE)</f>
        <v>ASISA SARAPIQUI</v>
      </c>
      <c r="F17" s="3"/>
      <c r="G17" s="15"/>
      <c r="H17" s="15"/>
      <c r="I17" s="25"/>
      <c r="J17" s="33"/>
      <c r="K17" s="22"/>
      <c r="L17" s="22">
        <v>2</v>
      </c>
      <c r="M17" s="34">
        <v>150</v>
      </c>
      <c r="N17" s="32"/>
      <c r="O17" s="30"/>
      <c r="P17" s="3"/>
      <c r="Q17" s="34">
        <f>IFERROR(VLOOKUP(P17,'Puntos XCO'!$A$1:$B$63,2,FALSE),0)</f>
        <v>0</v>
      </c>
      <c r="R17" s="32"/>
      <c r="S17" s="30"/>
      <c r="T17" s="15">
        <v>3</v>
      </c>
      <c r="U17" s="39">
        <f>IFERROR(VLOOKUP(T17,'Puntos XCO'!$A$1:$B$63,2,FALSE),0)</f>
        <v>120</v>
      </c>
      <c r="V17" s="32"/>
      <c r="W17" s="30"/>
      <c r="X17" s="15">
        <f>IFERROR(VLOOKUP(C17,RESXCO,9,FALSE),0)</f>
        <v>2</v>
      </c>
      <c r="Y17" s="25">
        <f>IFERROR(VLOOKUP(X17,'Puntos XCO'!$A$1:$B$63,2,FALSE),0)</f>
        <v>150</v>
      </c>
      <c r="Z17" s="27">
        <f>G17+I17+K17+M17+O17+Q17+S17+U17+W17+Y17</f>
        <v>420</v>
      </c>
      <c r="AB17" s="3"/>
    </row>
    <row r="18" spans="1:28" ht="24.95" customHeight="1">
      <c r="A18" s="22">
        <v>4</v>
      </c>
      <c r="B18" s="3">
        <v>4</v>
      </c>
      <c r="C18" s="22">
        <v>963</v>
      </c>
      <c r="D18" s="23" t="str">
        <f>VLOOKUP(C18,PLANILLA,2,FALSE)</f>
        <v xml:space="preserve">SALAS Mauricio </v>
      </c>
      <c r="E18" s="24" t="str">
        <f>VLOOKUP(C18,PLANILLA,4,FALSE)</f>
        <v xml:space="preserve">AUTOS SALAS </v>
      </c>
      <c r="F18" s="3"/>
      <c r="G18" s="15"/>
      <c r="H18" s="15"/>
      <c r="I18" s="25"/>
      <c r="J18" s="33"/>
      <c r="K18" s="22"/>
      <c r="L18" s="22">
        <v>3</v>
      </c>
      <c r="M18" s="34">
        <v>120</v>
      </c>
      <c r="N18" s="32"/>
      <c r="O18" s="30"/>
      <c r="P18" s="3"/>
      <c r="Q18" s="34">
        <f>IFERROR(VLOOKUP(P18,'Puntos XCO'!$A$1:$B$63,2,FALSE),0)</f>
        <v>0</v>
      </c>
      <c r="R18" s="32"/>
      <c r="S18" s="30"/>
      <c r="T18" s="15">
        <v>0</v>
      </c>
      <c r="U18" s="39">
        <f>IFERROR(VLOOKUP(T18,'Puntos XCO'!$A$1:$B$63,2,FALSE),0)</f>
        <v>0</v>
      </c>
      <c r="V18" s="32"/>
      <c r="W18" s="30"/>
      <c r="X18" s="15">
        <f>IFERROR(VLOOKUP(C18,RESXCO,9,FALSE),0)</f>
        <v>0</v>
      </c>
      <c r="Y18" s="25">
        <f>IFERROR(VLOOKUP(X18,'Puntos XCO'!$A$1:$B$63,2,FALSE),0)</f>
        <v>0</v>
      </c>
      <c r="Z18" s="27">
        <f>G18+I18+K18+M18+O18+Q18+S18+U18+W18+Y18</f>
        <v>120</v>
      </c>
      <c r="AB18" s="3"/>
    </row>
    <row r="19" spans="1:28" ht="24.95" customHeight="1">
      <c r="A19" s="22">
        <v>5</v>
      </c>
      <c r="B19" s="3"/>
      <c r="C19" s="107">
        <v>965</v>
      </c>
      <c r="D19" s="23" t="str">
        <f>VLOOKUP(C19,PLANILLA,2,FALSE)</f>
        <v>CALDERON Gerardo</v>
      </c>
      <c r="E19" s="24" t="str">
        <f>VLOOKUP(C19,PLANILLA,4,FALSE)</f>
        <v>CAMEL 4X4</v>
      </c>
      <c r="F19" s="3"/>
      <c r="G19" s="15"/>
      <c r="H19" s="15"/>
      <c r="I19" s="25"/>
      <c r="J19" s="33"/>
      <c r="K19" s="22"/>
      <c r="L19" s="22"/>
      <c r="M19" s="34"/>
      <c r="N19" s="32"/>
      <c r="O19" s="30"/>
      <c r="P19" s="3"/>
      <c r="Q19" s="34"/>
      <c r="R19" s="32"/>
      <c r="S19" s="30"/>
      <c r="T19" s="15"/>
      <c r="U19" s="39"/>
      <c r="V19" s="32"/>
      <c r="W19" s="30"/>
      <c r="X19" s="15">
        <f>IFERROR(VLOOKUP(C19,RESXCO,9,FALSE),0)</f>
        <v>4</v>
      </c>
      <c r="Y19" s="25">
        <f>IFERROR(VLOOKUP(X19,'Puntos XCO'!$A$1:$B$63,2,FALSE),0)</f>
        <v>110</v>
      </c>
      <c r="Z19" s="27">
        <f>G19+I19+K19+M19+O19+Q19+S19+U19+W19+Y19</f>
        <v>110</v>
      </c>
      <c r="AB19" s="3"/>
    </row>
    <row r="20" spans="1:28" ht="24.95" customHeight="1">
      <c r="A20" s="3"/>
      <c r="B20" s="3"/>
      <c r="C20" s="107">
        <v>966</v>
      </c>
      <c r="D20" s="23" t="str">
        <f>VLOOKUP(C20,PLANILLA,2,FALSE)</f>
        <v xml:space="preserve">HERRERA  Miguel </v>
      </c>
      <c r="E20" s="24" t="str">
        <f>VLOOKUP(C20,PLANILLA,4,FALSE)</f>
        <v>CHURUCA SA.</v>
      </c>
      <c r="F20" s="3"/>
      <c r="G20" s="15"/>
      <c r="H20" s="15"/>
      <c r="I20" s="25"/>
      <c r="J20" s="33"/>
      <c r="K20" s="22"/>
      <c r="L20" s="22"/>
      <c r="M20" s="34"/>
      <c r="N20" s="32"/>
      <c r="O20" s="30"/>
      <c r="P20" s="3"/>
      <c r="Q20" s="34"/>
      <c r="R20" s="32"/>
      <c r="S20" s="30"/>
      <c r="T20" s="15"/>
      <c r="U20" s="39"/>
      <c r="V20" s="32"/>
      <c r="W20" s="30"/>
      <c r="X20" s="15">
        <f>IFERROR(VLOOKUP(C20,RESXCO,9,FALSE),0)</f>
        <v>0</v>
      </c>
      <c r="Y20" s="25">
        <f>IFERROR(VLOOKUP(X20,'Puntos XCO'!$A$1:$B$63,2,FALSE),0)</f>
        <v>0</v>
      </c>
      <c r="Z20" s="27">
        <f>G20+I20+K20+M20+O20+Q20+S20+U20+W20+Y20</f>
        <v>0</v>
      </c>
      <c r="AB20" s="3"/>
    </row>
    <row r="21" spans="1:28" ht="24.95" customHeight="1">
      <c r="A21" s="3"/>
      <c r="B21" s="3"/>
      <c r="C21" s="28"/>
      <c r="D21" s="23"/>
      <c r="E21" s="24"/>
      <c r="F21" s="3"/>
      <c r="G21" s="15"/>
      <c r="H21" s="15"/>
      <c r="I21" s="25"/>
      <c r="J21" s="26"/>
      <c r="K21" s="15"/>
      <c r="L21" s="15"/>
      <c r="M21" s="25"/>
      <c r="N21" s="16"/>
      <c r="O21" s="15"/>
      <c r="P21" s="3"/>
      <c r="Q21" s="25"/>
      <c r="R21" s="16"/>
      <c r="S21" s="15"/>
      <c r="T21" s="15"/>
      <c r="U21" s="25"/>
      <c r="V21" s="16"/>
      <c r="W21" s="15"/>
      <c r="X21" s="15"/>
      <c r="Y21" s="25"/>
      <c r="Z21" s="27"/>
      <c r="AB21" s="3"/>
    </row>
    <row r="22" spans="1:28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9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8">
      <c r="M23" s="9"/>
      <c r="N23" s="9"/>
      <c r="O23" s="9"/>
      <c r="P23" s="10"/>
      <c r="Q23" s="9"/>
      <c r="R23" s="9"/>
      <c r="S23" s="9"/>
      <c r="T23" s="9"/>
      <c r="U23" s="9"/>
    </row>
    <row r="24" spans="1:28" ht="127.5" customHeight="1"/>
    <row r="25" spans="1:28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9"/>
      <c r="Q25" s="81"/>
      <c r="R25" s="81"/>
      <c r="S25" s="81"/>
      <c r="T25" s="81"/>
      <c r="U25" s="81"/>
      <c r="V25" s="81"/>
      <c r="W25" s="81"/>
      <c r="X25" s="81"/>
      <c r="Y25" s="81"/>
      <c r="Z25" s="81"/>
    </row>
  </sheetData>
  <sortState ref="B15:Z20">
    <sortCondition descending="1" ref="Z15:Z20"/>
  </sortState>
  <mergeCells count="10">
    <mergeCell ref="A8:Z8"/>
    <mergeCell ref="A10:Z10"/>
    <mergeCell ref="A11:Z11"/>
    <mergeCell ref="A13:B13"/>
    <mergeCell ref="F13:I13"/>
    <mergeCell ref="J13:M13"/>
    <mergeCell ref="N13:Q13"/>
    <mergeCell ref="R13:U13"/>
    <mergeCell ref="V13:Y13"/>
    <mergeCell ref="Z13:Z14"/>
  </mergeCells>
  <conditionalFormatting sqref="C22:C65500 C1:C9 C12:C14">
    <cfRule type="duplicateValues" dxfId="288" priority="21" stopIfTrue="1"/>
  </conditionalFormatting>
  <conditionalFormatting sqref="F21">
    <cfRule type="duplicateValues" dxfId="287" priority="22" stopIfTrue="1"/>
  </conditionalFormatting>
  <conditionalFormatting sqref="B21">
    <cfRule type="duplicateValues" dxfId="286" priority="23" stopIfTrue="1"/>
  </conditionalFormatting>
  <conditionalFormatting sqref="F17:F20">
    <cfRule type="duplicateValues" dxfId="285" priority="24" stopIfTrue="1"/>
  </conditionalFormatting>
  <conditionalFormatting sqref="C17:C20">
    <cfRule type="duplicateValues" dxfId="284" priority="26"/>
  </conditionalFormatting>
  <conditionalFormatting sqref="AB15:AB21">
    <cfRule type="duplicateValues" dxfId="283" priority="7288"/>
  </conditionalFormatting>
  <conditionalFormatting sqref="C11">
    <cfRule type="duplicateValues" dxfId="282" priority="4" stopIfTrue="1"/>
  </conditionalFormatting>
  <conditionalFormatting sqref="C11">
    <cfRule type="duplicateValues" dxfId="281" priority="5" stopIfTrue="1"/>
  </conditionalFormatting>
  <conditionalFormatting sqref="D11">
    <cfRule type="duplicateValues" dxfId="280" priority="3" stopIfTrue="1"/>
  </conditionalFormatting>
  <conditionalFormatting sqref="C10">
    <cfRule type="duplicateValues" dxfId="279" priority="1" stopIfTrue="1"/>
  </conditionalFormatting>
  <conditionalFormatting sqref="C10">
    <cfRule type="duplicateValues" dxfId="278" priority="2" stopIfTrue="1"/>
  </conditionalFormatting>
  <pageMargins left="0.70866141732283472" right="0.70866141732283472" top="0.74803149606299213" bottom="0.74803149606299213" header="0.31496062992125984" footer="0.31496062992125984"/>
  <pageSetup paperSize="9" scale="48" fitToHeight="2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8:AE41"/>
  <sheetViews>
    <sheetView showGridLines="0" tabSelected="1" topLeftCell="A10" zoomScale="70" zoomScaleNormal="70" zoomScaleSheetLayoutView="90" workbookViewId="0">
      <selection activeCell="D26" sqref="D26"/>
    </sheetView>
  </sheetViews>
  <sheetFormatPr baseColWidth="10" defaultRowHeight="15"/>
  <cols>
    <col min="1" max="1" width="10.28515625" customWidth="1"/>
    <col min="2" max="2" width="10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15" width="7.85546875" customWidth="1"/>
    <col min="16" max="16" width="7.85546875" style="38" customWidth="1"/>
    <col min="17" max="25" width="7.85546875" customWidth="1"/>
    <col min="26" max="26" width="10.7109375" style="2" customWidth="1"/>
    <col min="27" max="27" width="10.5703125" customWidth="1"/>
    <col min="28" max="28" width="30.140625" customWidth="1"/>
    <col min="29" max="29" width="25.7109375" bestFit="1" customWidth="1"/>
    <col min="30" max="30" width="23.85546875" bestFit="1" customWidth="1"/>
    <col min="31" max="31" width="33.140625" bestFit="1" customWidth="1"/>
  </cols>
  <sheetData>
    <row r="8" spans="1:31" ht="26.25">
      <c r="A8" s="118" t="s">
        <v>547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31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1" ht="15.75">
      <c r="A10" s="119" t="s">
        <v>1147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</row>
    <row r="11" spans="1:31" ht="16.5" thickBot="1">
      <c r="A11" s="122" t="s">
        <v>1146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</row>
    <row r="12" spans="1:31" ht="6.75" customHeight="1"/>
    <row r="13" spans="1:31" ht="20.100000000000001" customHeight="1">
      <c r="A13" s="129" t="s">
        <v>0</v>
      </c>
      <c r="B13" s="129"/>
      <c r="C13" s="90"/>
      <c r="D13" s="90"/>
      <c r="E13" s="91"/>
      <c r="F13" s="129">
        <v>1</v>
      </c>
      <c r="G13" s="129"/>
      <c r="H13" s="129"/>
      <c r="I13" s="130"/>
      <c r="J13" s="131">
        <v>2</v>
      </c>
      <c r="K13" s="129"/>
      <c r="L13" s="129"/>
      <c r="M13" s="130"/>
      <c r="N13" s="131">
        <v>3</v>
      </c>
      <c r="O13" s="129"/>
      <c r="P13" s="129"/>
      <c r="Q13" s="130"/>
      <c r="R13" s="131">
        <v>4</v>
      </c>
      <c r="S13" s="129"/>
      <c r="T13" s="129"/>
      <c r="U13" s="130"/>
      <c r="V13" s="131">
        <v>5</v>
      </c>
      <c r="W13" s="129"/>
      <c r="X13" s="129"/>
      <c r="Y13" s="130"/>
      <c r="Z13" s="132" t="s">
        <v>47</v>
      </c>
    </row>
    <row r="14" spans="1:31" ht="33" customHeight="1">
      <c r="A14" s="83" t="s">
        <v>1</v>
      </c>
      <c r="B14" s="83" t="s">
        <v>2</v>
      </c>
      <c r="C14" s="83" t="s">
        <v>3</v>
      </c>
      <c r="D14" s="84" t="s">
        <v>4</v>
      </c>
      <c r="E14" s="85" t="s">
        <v>5</v>
      </c>
      <c r="F14" s="86"/>
      <c r="G14" s="86"/>
      <c r="H14" s="86" t="s">
        <v>561</v>
      </c>
      <c r="I14" s="87" t="s">
        <v>562</v>
      </c>
      <c r="J14" s="88"/>
      <c r="K14" s="86"/>
      <c r="L14" s="86" t="s">
        <v>561</v>
      </c>
      <c r="M14" s="87" t="s">
        <v>562</v>
      </c>
      <c r="N14" s="88"/>
      <c r="O14" s="86"/>
      <c r="P14" s="86" t="s">
        <v>561</v>
      </c>
      <c r="Q14" s="87" t="s">
        <v>562</v>
      </c>
      <c r="R14" s="88"/>
      <c r="S14" s="86"/>
      <c r="T14" s="86" t="s">
        <v>561</v>
      </c>
      <c r="U14" s="87" t="s">
        <v>562</v>
      </c>
      <c r="V14" s="88"/>
      <c r="W14" s="86"/>
      <c r="X14" s="86" t="s">
        <v>561</v>
      </c>
      <c r="Y14" s="87" t="s">
        <v>562</v>
      </c>
      <c r="Z14" s="132"/>
    </row>
    <row r="15" spans="1:31" ht="24.95" customHeight="1">
      <c r="A15" s="22">
        <v>1</v>
      </c>
      <c r="B15" s="22">
        <v>1</v>
      </c>
      <c r="C15" s="22">
        <v>1010</v>
      </c>
      <c r="D15" s="23" t="str">
        <f t="shared" ref="D15:D36" si="0">VLOOKUP(C15,PLANILLA,2,FALSE)</f>
        <v>ROJAS Melvin</v>
      </c>
      <c r="E15" s="24" t="str">
        <f t="shared" ref="E15:E36" si="1">VLOOKUP(C15,PLANILLA,4,FALSE)</f>
        <v>BOBBYS CYCLING TEAM</v>
      </c>
      <c r="F15" s="3"/>
      <c r="G15" s="15"/>
      <c r="H15" s="3">
        <v>1</v>
      </c>
      <c r="I15" s="25">
        <v>200</v>
      </c>
      <c r="J15" s="33"/>
      <c r="K15" s="22"/>
      <c r="L15" s="22">
        <v>1</v>
      </c>
      <c r="M15" s="34">
        <v>200</v>
      </c>
      <c r="N15" s="32"/>
      <c r="O15" s="30"/>
      <c r="P15" s="3">
        <v>0</v>
      </c>
      <c r="Q15" s="34">
        <f>IFERROR(VLOOKUP(P15,'Puntos XCO'!$A$1:$B$63,2,FALSE),0)</f>
        <v>0</v>
      </c>
      <c r="R15" s="32"/>
      <c r="S15" s="30"/>
      <c r="T15" s="3"/>
      <c r="U15" s="39">
        <f>IFERROR(VLOOKUP(T15,'Puntos XCO'!$A$1:$B$63,2,FALSE),0)</f>
        <v>0</v>
      </c>
      <c r="V15" s="32"/>
      <c r="W15" s="30"/>
      <c r="X15" s="15"/>
      <c r="Y15" s="25">
        <f>IFERROR(VLOOKUP(X15,'Puntos XCO'!$A$1:$B$63,2,FALSE),0)</f>
        <v>0</v>
      </c>
      <c r="Z15" s="27">
        <f t="shared" ref="Z15" si="2">G15+I15+K15+M15+O15+Q15+S15+U15+W15+Y15</f>
        <v>400</v>
      </c>
      <c r="AB15" s="2"/>
      <c r="AC15" s="13"/>
      <c r="AD15" s="12"/>
      <c r="AE15" s="14"/>
    </row>
    <row r="16" spans="1:31" ht="24.95" customHeight="1">
      <c r="A16" s="22">
        <v>2</v>
      </c>
      <c r="B16" s="22">
        <v>2</v>
      </c>
      <c r="C16" s="22">
        <v>1009</v>
      </c>
      <c r="D16" s="23" t="str">
        <f t="shared" si="0"/>
        <v>HERRERA Jeffrey</v>
      </c>
      <c r="E16" s="24" t="str">
        <f t="shared" si="1"/>
        <v>TEAM CORECO/MOMENTUM SPORTS</v>
      </c>
      <c r="F16" s="3"/>
      <c r="G16" s="15"/>
      <c r="H16" s="3">
        <v>2</v>
      </c>
      <c r="I16" s="25">
        <v>150</v>
      </c>
      <c r="J16" s="33"/>
      <c r="K16" s="22"/>
      <c r="L16" s="22">
        <v>4</v>
      </c>
      <c r="M16" s="34">
        <v>110</v>
      </c>
      <c r="N16" s="32"/>
      <c r="O16" s="30"/>
      <c r="P16" s="3">
        <v>0</v>
      </c>
      <c r="Q16" s="34">
        <f>IFERROR(VLOOKUP(P16,'Puntos XCO'!$A$1:$B$63,2,FALSE),0)</f>
        <v>0</v>
      </c>
      <c r="R16" s="32"/>
      <c r="S16" s="30"/>
      <c r="T16" s="3"/>
      <c r="U16" s="39">
        <f>IFERROR(VLOOKUP(T16,'Puntos XCO'!$A$1:$B$63,2,FALSE),0)</f>
        <v>0</v>
      </c>
      <c r="V16" s="32"/>
      <c r="W16" s="30"/>
      <c r="X16" s="15"/>
      <c r="Y16" s="25">
        <f>IFERROR(VLOOKUP(X16,'Puntos XCO'!$A$1:$B$63,2,FALSE),0)</f>
        <v>0</v>
      </c>
      <c r="Z16" s="27">
        <f t="shared" ref="Z16:Z36" si="3">G16+I16+K16+M16+O16+Q16+S16+U16+W16+Y16</f>
        <v>260</v>
      </c>
      <c r="AB16" s="2"/>
      <c r="AC16" s="13"/>
      <c r="AD16" s="12"/>
      <c r="AE16" s="14"/>
    </row>
    <row r="17" spans="1:31" ht="24.95" customHeight="1">
      <c r="A17" s="22">
        <v>3</v>
      </c>
      <c r="B17" s="22">
        <v>3</v>
      </c>
      <c r="C17" s="22">
        <v>1011</v>
      </c>
      <c r="D17" s="23" t="str">
        <f t="shared" si="0"/>
        <v>MONGE Andres</v>
      </c>
      <c r="E17" s="24" t="str">
        <f t="shared" si="1"/>
        <v>POWERCYCLING STORE</v>
      </c>
      <c r="F17" s="3"/>
      <c r="G17" s="15"/>
      <c r="H17" s="3">
        <v>4</v>
      </c>
      <c r="I17" s="25">
        <v>110</v>
      </c>
      <c r="J17" s="33"/>
      <c r="K17" s="22"/>
      <c r="L17" s="22">
        <v>3</v>
      </c>
      <c r="M17" s="34">
        <v>120</v>
      </c>
      <c r="N17" s="32"/>
      <c r="O17" s="30"/>
      <c r="P17" s="3">
        <v>0</v>
      </c>
      <c r="Q17" s="34">
        <f>IFERROR(VLOOKUP(P17,'Puntos XCO'!$A$1:$B$63,2,FALSE),0)</f>
        <v>0</v>
      </c>
      <c r="R17" s="32"/>
      <c r="S17" s="30"/>
      <c r="T17" s="3"/>
      <c r="U17" s="39">
        <f>IFERROR(VLOOKUP(T17,'Puntos XCO'!$A$1:$B$63,2,FALSE),0)</f>
        <v>0</v>
      </c>
      <c r="V17" s="32"/>
      <c r="W17" s="30"/>
      <c r="X17" s="15"/>
      <c r="Y17" s="25">
        <f>IFERROR(VLOOKUP(X17,'Puntos XCO'!$A$1:$B$63,2,FALSE),0)</f>
        <v>0</v>
      </c>
      <c r="Z17" s="27">
        <f t="shared" si="3"/>
        <v>230</v>
      </c>
      <c r="AB17" s="2"/>
      <c r="AC17" s="13"/>
      <c r="AD17" s="12"/>
      <c r="AE17" s="14"/>
    </row>
    <row r="18" spans="1:31" ht="24.95" customHeight="1">
      <c r="A18" s="22">
        <v>4</v>
      </c>
      <c r="B18" s="22">
        <v>4</v>
      </c>
      <c r="C18" s="22">
        <v>1018</v>
      </c>
      <c r="D18" s="23" t="str">
        <f t="shared" si="0"/>
        <v xml:space="preserve">MEZA Alexander </v>
      </c>
      <c r="E18" s="24" t="str">
        <f t="shared" si="1"/>
        <v xml:space="preserve">AGENCIADAGRO </v>
      </c>
      <c r="F18" s="3"/>
      <c r="G18" s="15"/>
      <c r="H18" s="3">
        <v>7</v>
      </c>
      <c r="I18" s="25">
        <v>90</v>
      </c>
      <c r="J18" s="33"/>
      <c r="K18" s="22"/>
      <c r="L18" s="22">
        <v>5</v>
      </c>
      <c r="M18" s="34">
        <v>100</v>
      </c>
      <c r="N18" s="32"/>
      <c r="O18" s="30"/>
      <c r="P18" s="3">
        <v>0</v>
      </c>
      <c r="Q18" s="34">
        <f>IFERROR(VLOOKUP(P18,'Puntos XCO'!$A$1:$B$63,2,FALSE),0)</f>
        <v>0</v>
      </c>
      <c r="R18" s="32"/>
      <c r="S18" s="30"/>
      <c r="T18" s="3"/>
      <c r="U18" s="39">
        <f>IFERROR(VLOOKUP(T18,'Puntos XCO'!$A$1:$B$63,2,FALSE),0)</f>
        <v>0</v>
      </c>
      <c r="V18" s="32"/>
      <c r="W18" s="30"/>
      <c r="X18" s="15"/>
      <c r="Y18" s="25">
        <f>IFERROR(VLOOKUP(X18,'Puntos XCO'!$A$1:$B$63,2,FALSE),0)</f>
        <v>0</v>
      </c>
      <c r="Z18" s="27">
        <f t="shared" si="3"/>
        <v>190</v>
      </c>
      <c r="AB18" s="2"/>
      <c r="AC18" s="13"/>
      <c r="AD18" s="12"/>
      <c r="AE18" s="14"/>
    </row>
    <row r="19" spans="1:31" ht="24.95" customHeight="1">
      <c r="A19" s="22">
        <v>5</v>
      </c>
      <c r="B19" s="22">
        <v>5</v>
      </c>
      <c r="C19" s="22">
        <v>1002</v>
      </c>
      <c r="D19" s="23" t="str">
        <f t="shared" si="0"/>
        <v xml:space="preserve">DOBLES  Chisthpher </v>
      </c>
      <c r="E19" s="24" t="str">
        <f t="shared" si="1"/>
        <v xml:space="preserve">CONGELADOS ADIS / PROTUBE /OKAPI DRINKS / TODO CR </v>
      </c>
      <c r="F19" s="3"/>
      <c r="G19" s="15"/>
      <c r="H19" s="3">
        <v>0</v>
      </c>
      <c r="I19" s="25">
        <v>0</v>
      </c>
      <c r="J19" s="33"/>
      <c r="K19" s="22"/>
      <c r="L19" s="22">
        <v>2</v>
      </c>
      <c r="M19" s="34">
        <v>150</v>
      </c>
      <c r="N19" s="32"/>
      <c r="O19" s="30"/>
      <c r="P19" s="3">
        <v>0</v>
      </c>
      <c r="Q19" s="34">
        <f>IFERROR(VLOOKUP(P19,'Puntos XCO'!$A$1:$B$63,2,FALSE),0)</f>
        <v>0</v>
      </c>
      <c r="R19" s="32"/>
      <c r="S19" s="30"/>
      <c r="T19" s="3"/>
      <c r="U19" s="39">
        <f>IFERROR(VLOOKUP(T19,'Puntos XCO'!$A$1:$B$63,2,FALSE),0)</f>
        <v>0</v>
      </c>
      <c r="V19" s="32"/>
      <c r="W19" s="30"/>
      <c r="X19" s="15"/>
      <c r="Y19" s="25">
        <f>IFERROR(VLOOKUP(X19,'Puntos XCO'!$A$1:$B$63,2,FALSE),0)</f>
        <v>0</v>
      </c>
      <c r="Z19" s="27">
        <f t="shared" si="3"/>
        <v>150</v>
      </c>
      <c r="AB19" s="2"/>
      <c r="AC19" s="13"/>
      <c r="AD19" s="12"/>
      <c r="AE19" s="14"/>
    </row>
    <row r="20" spans="1:31" ht="24.95" customHeight="1">
      <c r="A20" s="22">
        <v>6</v>
      </c>
      <c r="B20" s="22">
        <v>6</v>
      </c>
      <c r="C20" s="22">
        <v>1016</v>
      </c>
      <c r="D20" s="23" t="str">
        <f t="shared" si="0"/>
        <v xml:space="preserve">BOLAÑOS Jean Carlo </v>
      </c>
      <c r="E20" s="24" t="str">
        <f t="shared" si="1"/>
        <v xml:space="preserve">TEAM BIKE CENTER COSTA RICA </v>
      </c>
      <c r="F20" s="3"/>
      <c r="G20" s="15"/>
      <c r="H20" s="3">
        <v>3</v>
      </c>
      <c r="I20" s="25">
        <v>120</v>
      </c>
      <c r="J20" s="33"/>
      <c r="K20" s="22"/>
      <c r="L20" s="22">
        <v>0</v>
      </c>
      <c r="M20" s="34">
        <v>0</v>
      </c>
      <c r="N20" s="32"/>
      <c r="O20" s="30"/>
      <c r="P20" s="3">
        <v>0</v>
      </c>
      <c r="Q20" s="34">
        <f>IFERROR(VLOOKUP(P20,'Puntos XCO'!$A$1:$B$63,2,FALSE),0)</f>
        <v>0</v>
      </c>
      <c r="R20" s="32"/>
      <c r="S20" s="30"/>
      <c r="T20" s="3"/>
      <c r="U20" s="39">
        <f>IFERROR(VLOOKUP(T20,'Puntos XCO'!$A$1:$B$63,2,FALSE),0)</f>
        <v>0</v>
      </c>
      <c r="V20" s="32"/>
      <c r="W20" s="30"/>
      <c r="X20" s="15"/>
      <c r="Y20" s="25">
        <f>IFERROR(VLOOKUP(X20,'Puntos XCO'!$A$1:$B$63,2,FALSE),0)</f>
        <v>0</v>
      </c>
      <c r="Z20" s="27">
        <f t="shared" si="3"/>
        <v>120</v>
      </c>
      <c r="AB20" s="2"/>
      <c r="AC20" s="13"/>
      <c r="AD20" s="12"/>
      <c r="AE20" s="14"/>
    </row>
    <row r="21" spans="1:31" ht="24.95" customHeight="1">
      <c r="A21" s="22">
        <v>7</v>
      </c>
      <c r="B21" s="22">
        <v>7</v>
      </c>
      <c r="C21" s="22">
        <v>1014</v>
      </c>
      <c r="D21" s="23" t="str">
        <f t="shared" si="0"/>
        <v>MENESES  Mario Alfredo</v>
      </c>
      <c r="E21" s="24" t="str">
        <f t="shared" si="1"/>
        <v>ADNBIKESCR</v>
      </c>
      <c r="F21" s="3"/>
      <c r="G21" s="15"/>
      <c r="H21" s="3">
        <v>5</v>
      </c>
      <c r="I21" s="25">
        <v>100</v>
      </c>
      <c r="J21" s="33"/>
      <c r="K21" s="22"/>
      <c r="L21" s="22">
        <v>0</v>
      </c>
      <c r="M21" s="34">
        <v>0</v>
      </c>
      <c r="N21" s="32"/>
      <c r="O21" s="30"/>
      <c r="P21" s="3">
        <v>0</v>
      </c>
      <c r="Q21" s="34">
        <f>IFERROR(VLOOKUP(P21,'Puntos XCO'!$A$1:$B$63,2,FALSE),0)</f>
        <v>0</v>
      </c>
      <c r="R21" s="32"/>
      <c r="S21" s="30"/>
      <c r="T21" s="3"/>
      <c r="U21" s="39">
        <f>IFERROR(VLOOKUP(T21,'Puntos XCO'!$A$1:$B$63,2,FALSE),0)</f>
        <v>0</v>
      </c>
      <c r="V21" s="32"/>
      <c r="W21" s="30"/>
      <c r="X21" s="15"/>
      <c r="Y21" s="25">
        <f>IFERROR(VLOOKUP(X21,'Puntos XCO'!$A$1:$B$63,2,FALSE),0)</f>
        <v>0</v>
      </c>
      <c r="Z21" s="27">
        <f t="shared" si="3"/>
        <v>100</v>
      </c>
      <c r="AB21" s="2"/>
      <c r="AC21" s="13"/>
      <c r="AD21" s="12"/>
      <c r="AE21" s="14"/>
    </row>
    <row r="22" spans="1:31" ht="24.95" customHeight="1">
      <c r="A22" s="22">
        <v>8</v>
      </c>
      <c r="B22" s="22">
        <v>8</v>
      </c>
      <c r="C22" s="22">
        <v>1013</v>
      </c>
      <c r="D22" s="23" t="str">
        <f t="shared" si="0"/>
        <v>ZUÑIGA Douglas</v>
      </c>
      <c r="E22" s="24" t="str">
        <f t="shared" si="1"/>
        <v>GAVIA88</v>
      </c>
      <c r="F22" s="3"/>
      <c r="G22" s="15"/>
      <c r="H22" s="3">
        <v>6</v>
      </c>
      <c r="I22" s="25">
        <v>95</v>
      </c>
      <c r="J22" s="33"/>
      <c r="K22" s="22"/>
      <c r="L22" s="22">
        <v>0</v>
      </c>
      <c r="M22" s="34">
        <v>0</v>
      </c>
      <c r="N22" s="32"/>
      <c r="O22" s="30"/>
      <c r="P22" s="3">
        <v>0</v>
      </c>
      <c r="Q22" s="34">
        <f>IFERROR(VLOOKUP(P22,'Puntos XCO'!$A$1:$B$63,2,FALSE),0)</f>
        <v>0</v>
      </c>
      <c r="R22" s="32"/>
      <c r="S22" s="30"/>
      <c r="T22" s="3"/>
      <c r="U22" s="39">
        <f>IFERROR(VLOOKUP(T22,'Puntos XCO'!$A$1:$B$63,2,FALSE),0)</f>
        <v>0</v>
      </c>
      <c r="V22" s="32"/>
      <c r="W22" s="30"/>
      <c r="X22" s="15"/>
      <c r="Y22" s="25">
        <f>IFERROR(VLOOKUP(X22,'Puntos XCO'!$A$1:$B$63,2,FALSE),0)</f>
        <v>0</v>
      </c>
      <c r="Z22" s="27">
        <f t="shared" si="3"/>
        <v>95</v>
      </c>
      <c r="AB22" s="2"/>
      <c r="AC22" s="13"/>
      <c r="AD22" s="12"/>
      <c r="AE22" s="14"/>
    </row>
    <row r="23" spans="1:31" ht="24.95" customHeight="1">
      <c r="A23" s="22">
        <v>9</v>
      </c>
      <c r="B23" s="22">
        <v>9</v>
      </c>
      <c r="C23" s="22">
        <v>1020</v>
      </c>
      <c r="D23" s="23" t="str">
        <f t="shared" si="0"/>
        <v xml:space="preserve">CHAVES  Luis </v>
      </c>
      <c r="E23" s="24" t="str">
        <f t="shared" si="1"/>
        <v xml:space="preserve">ESC CIC GUIDO BLANCO </v>
      </c>
      <c r="F23" s="3"/>
      <c r="G23" s="15"/>
      <c r="H23" s="3"/>
      <c r="I23" s="25"/>
      <c r="J23" s="33"/>
      <c r="K23" s="22"/>
      <c r="L23" s="22">
        <v>6</v>
      </c>
      <c r="M23" s="34">
        <v>95</v>
      </c>
      <c r="N23" s="32"/>
      <c r="O23" s="30"/>
      <c r="P23" s="3">
        <v>0</v>
      </c>
      <c r="Q23" s="34">
        <f>IFERROR(VLOOKUP(P23,'Puntos XCO'!$A$1:$B$63,2,FALSE),0)</f>
        <v>0</v>
      </c>
      <c r="R23" s="32"/>
      <c r="S23" s="30"/>
      <c r="T23" s="3"/>
      <c r="U23" s="39">
        <f>IFERROR(VLOOKUP(T23,'Puntos XCO'!$A$1:$B$63,2,FALSE),0)</f>
        <v>0</v>
      </c>
      <c r="V23" s="32"/>
      <c r="W23" s="30"/>
      <c r="X23" s="15"/>
      <c r="Y23" s="25">
        <f>IFERROR(VLOOKUP(X23,'Puntos XCO'!$A$1:$B$63,2,FALSE),0)</f>
        <v>0</v>
      </c>
      <c r="Z23" s="27">
        <f t="shared" si="3"/>
        <v>95</v>
      </c>
      <c r="AB23" s="2"/>
      <c r="AC23" s="13"/>
      <c r="AD23" s="12"/>
      <c r="AE23" s="14"/>
    </row>
    <row r="24" spans="1:31" ht="24.95" customHeight="1">
      <c r="A24" s="22">
        <v>10</v>
      </c>
      <c r="B24" s="22">
        <v>10</v>
      </c>
      <c r="C24" s="22">
        <v>1021</v>
      </c>
      <c r="D24" s="23" t="str">
        <f t="shared" si="0"/>
        <v>JIMENEZ Jefry</v>
      </c>
      <c r="E24" s="24" t="str">
        <f t="shared" si="1"/>
        <v>TEAM A+</v>
      </c>
      <c r="F24" s="3"/>
      <c r="G24" s="15"/>
      <c r="H24" s="3"/>
      <c r="I24" s="25"/>
      <c r="J24" s="33"/>
      <c r="K24" s="22"/>
      <c r="L24" s="22">
        <v>7</v>
      </c>
      <c r="M24" s="34">
        <v>90</v>
      </c>
      <c r="N24" s="32"/>
      <c r="O24" s="30"/>
      <c r="P24" s="3">
        <v>0</v>
      </c>
      <c r="Q24" s="34">
        <f>IFERROR(VLOOKUP(P24,'Puntos XCO'!$A$1:$B$63,2,FALSE),0)</f>
        <v>0</v>
      </c>
      <c r="R24" s="32"/>
      <c r="S24" s="30"/>
      <c r="T24" s="3"/>
      <c r="U24" s="39">
        <f>IFERROR(VLOOKUP(T24,'Puntos XCO'!$A$1:$B$63,2,FALSE),0)</f>
        <v>0</v>
      </c>
      <c r="V24" s="32"/>
      <c r="W24" s="30"/>
      <c r="X24" s="15"/>
      <c r="Y24" s="25">
        <f>IFERROR(VLOOKUP(X24,'Puntos XCO'!$A$1:$B$63,2,FALSE),0)</f>
        <v>0</v>
      </c>
      <c r="Z24" s="27">
        <f t="shared" si="3"/>
        <v>90</v>
      </c>
      <c r="AB24" s="2"/>
      <c r="AC24" s="13"/>
      <c r="AD24" s="12"/>
      <c r="AE24" s="14"/>
    </row>
    <row r="25" spans="1:31" ht="24.95" customHeight="1">
      <c r="A25" s="22">
        <v>11</v>
      </c>
      <c r="B25" s="22">
        <v>11</v>
      </c>
      <c r="C25" s="22">
        <v>1015</v>
      </c>
      <c r="D25" s="23" t="str">
        <f t="shared" si="0"/>
        <v>JIMENEZ Carlos Eduardo</v>
      </c>
      <c r="E25" s="24" t="str">
        <f t="shared" si="1"/>
        <v>BIKEWAY/ADAMAGRO</v>
      </c>
      <c r="F25" s="3"/>
      <c r="G25" s="15"/>
      <c r="H25" s="3">
        <v>8</v>
      </c>
      <c r="I25" s="25">
        <v>85</v>
      </c>
      <c r="J25" s="33"/>
      <c r="K25" s="22"/>
      <c r="L25" s="22">
        <v>0</v>
      </c>
      <c r="M25" s="34">
        <v>0</v>
      </c>
      <c r="N25" s="32"/>
      <c r="O25" s="30"/>
      <c r="P25" s="3">
        <v>0</v>
      </c>
      <c r="Q25" s="34">
        <f>IFERROR(VLOOKUP(P25,'Puntos XCO'!$A$1:$B$63,2,FALSE),0)</f>
        <v>0</v>
      </c>
      <c r="R25" s="32"/>
      <c r="S25" s="30"/>
      <c r="T25" s="3"/>
      <c r="U25" s="39">
        <f>IFERROR(VLOOKUP(T25,'Puntos XCO'!$A$1:$B$63,2,FALSE),0)</f>
        <v>0</v>
      </c>
      <c r="V25" s="32"/>
      <c r="W25" s="30"/>
      <c r="X25" s="15"/>
      <c r="Y25" s="25">
        <f>IFERROR(VLOOKUP(X25,'Puntos XCO'!$A$1:$B$63,2,FALSE),0)</f>
        <v>0</v>
      </c>
      <c r="Z25" s="27">
        <f t="shared" si="3"/>
        <v>85</v>
      </c>
      <c r="AB25" s="2"/>
      <c r="AC25" s="13"/>
      <c r="AD25" s="12"/>
      <c r="AE25" s="14"/>
    </row>
    <row r="26" spans="1:31" ht="24.95" customHeight="1">
      <c r="A26" s="22">
        <v>12</v>
      </c>
      <c r="B26" s="22">
        <v>12</v>
      </c>
      <c r="C26" s="22">
        <v>1006</v>
      </c>
      <c r="D26" s="23" t="str">
        <f t="shared" si="0"/>
        <v>PESSOA Pablo</v>
      </c>
      <c r="E26" s="24" t="str">
        <f t="shared" si="1"/>
        <v>SCOTT SHIMANO CYCLING TEAM</v>
      </c>
      <c r="F26" s="3"/>
      <c r="G26" s="15"/>
      <c r="H26" s="3">
        <v>9</v>
      </c>
      <c r="I26" s="25">
        <v>80</v>
      </c>
      <c r="J26" s="33"/>
      <c r="K26" s="22"/>
      <c r="L26" s="22">
        <v>0</v>
      </c>
      <c r="M26" s="34">
        <v>0</v>
      </c>
      <c r="N26" s="32"/>
      <c r="O26" s="30"/>
      <c r="P26" s="3">
        <v>0</v>
      </c>
      <c r="Q26" s="34">
        <f>IFERROR(VLOOKUP(P26,'Puntos XCO'!$A$1:$B$63,2,FALSE),0)</f>
        <v>0</v>
      </c>
      <c r="R26" s="32"/>
      <c r="S26" s="30"/>
      <c r="T26" s="3"/>
      <c r="U26" s="39">
        <f>IFERROR(VLOOKUP(T26,'Puntos XCO'!$A$1:$B$63,2,FALSE),0)</f>
        <v>0</v>
      </c>
      <c r="V26" s="32"/>
      <c r="W26" s="30"/>
      <c r="X26" s="15"/>
      <c r="Y26" s="25">
        <f>IFERROR(VLOOKUP(X26,'Puntos XCO'!$A$1:$B$63,2,FALSE),0)</f>
        <v>0</v>
      </c>
      <c r="Z26" s="27">
        <f t="shared" si="3"/>
        <v>80</v>
      </c>
      <c r="AB26" s="2"/>
      <c r="AC26" s="13"/>
      <c r="AD26" s="12"/>
      <c r="AE26" s="14"/>
    </row>
    <row r="27" spans="1:31" ht="24.95" customHeight="1">
      <c r="A27" s="22">
        <v>13</v>
      </c>
      <c r="B27" s="22">
        <v>13</v>
      </c>
      <c r="C27" s="22">
        <v>1001</v>
      </c>
      <c r="D27" s="23" t="str">
        <f t="shared" si="0"/>
        <v xml:space="preserve">TENORIO  Carlos </v>
      </c>
      <c r="E27" s="24" t="str">
        <f t="shared" si="1"/>
        <v>ACISA SARAPIQUI</v>
      </c>
      <c r="F27" s="3"/>
      <c r="G27" s="15"/>
      <c r="H27" s="3">
        <v>10</v>
      </c>
      <c r="I27" s="25">
        <v>78</v>
      </c>
      <c r="J27" s="33"/>
      <c r="K27" s="22"/>
      <c r="L27" s="22">
        <v>0</v>
      </c>
      <c r="M27" s="34">
        <v>0</v>
      </c>
      <c r="N27" s="32"/>
      <c r="O27" s="30"/>
      <c r="P27" s="3">
        <v>0</v>
      </c>
      <c r="Q27" s="34">
        <f>IFERROR(VLOOKUP(P27,'Puntos XCO'!$A$1:$B$63,2,FALSE),0)</f>
        <v>0</v>
      </c>
      <c r="R27" s="32"/>
      <c r="S27" s="30"/>
      <c r="T27" s="3"/>
      <c r="U27" s="39">
        <f>IFERROR(VLOOKUP(T27,'Puntos XCO'!$A$1:$B$63,2,FALSE),0)</f>
        <v>0</v>
      </c>
      <c r="V27" s="32"/>
      <c r="W27" s="30"/>
      <c r="X27" s="15"/>
      <c r="Y27" s="25">
        <f>IFERROR(VLOOKUP(X27,'Puntos XCO'!$A$1:$B$63,2,FALSE),0)</f>
        <v>0</v>
      </c>
      <c r="Z27" s="27">
        <f t="shared" si="3"/>
        <v>78</v>
      </c>
      <c r="AB27" s="2"/>
      <c r="AC27" s="13"/>
      <c r="AD27" s="12"/>
      <c r="AE27" s="14"/>
    </row>
    <row r="28" spans="1:31" ht="24.95" customHeight="1">
      <c r="A28" s="22">
        <v>14</v>
      </c>
      <c r="B28" s="22">
        <v>14</v>
      </c>
      <c r="C28" s="22">
        <v>1004</v>
      </c>
      <c r="D28" s="23" t="str">
        <f t="shared" si="0"/>
        <v xml:space="preserve">RAMIREZ  Cristian </v>
      </c>
      <c r="E28" s="24" t="str">
        <f t="shared" si="1"/>
        <v xml:space="preserve">TEAM RAMIREZ REPAUT </v>
      </c>
      <c r="F28" s="3"/>
      <c r="G28" s="15"/>
      <c r="H28" s="3">
        <v>11</v>
      </c>
      <c r="I28" s="25">
        <v>76</v>
      </c>
      <c r="J28" s="33"/>
      <c r="K28" s="22"/>
      <c r="L28" s="22">
        <v>0</v>
      </c>
      <c r="M28" s="34">
        <v>0</v>
      </c>
      <c r="N28" s="32"/>
      <c r="O28" s="30"/>
      <c r="P28" s="3">
        <v>0</v>
      </c>
      <c r="Q28" s="34">
        <f>IFERROR(VLOOKUP(P28,'Puntos XCO'!$A$1:$B$63,2,FALSE),0)</f>
        <v>0</v>
      </c>
      <c r="R28" s="32"/>
      <c r="S28" s="30"/>
      <c r="T28" s="3"/>
      <c r="U28" s="39">
        <f>IFERROR(VLOOKUP(T28,'Puntos XCO'!$A$1:$B$63,2,FALSE),0)</f>
        <v>0</v>
      </c>
      <c r="V28" s="32"/>
      <c r="W28" s="30"/>
      <c r="X28" s="15"/>
      <c r="Y28" s="25">
        <f>IFERROR(VLOOKUP(X28,'Puntos XCO'!$A$1:$B$63,2,FALSE),0)</f>
        <v>0</v>
      </c>
      <c r="Z28" s="27">
        <f t="shared" si="3"/>
        <v>76</v>
      </c>
      <c r="AB28" s="2"/>
      <c r="AC28" s="13"/>
      <c r="AD28" s="12"/>
      <c r="AE28" s="14"/>
    </row>
    <row r="29" spans="1:31" ht="24.95" customHeight="1">
      <c r="A29" s="22"/>
      <c r="B29" s="3"/>
      <c r="C29" s="22">
        <v>1003</v>
      </c>
      <c r="D29" s="23" t="str">
        <f t="shared" si="0"/>
        <v>REDONDO Mevin</v>
      </c>
      <c r="E29" s="24" t="str">
        <f t="shared" si="1"/>
        <v>BEST PC</v>
      </c>
      <c r="F29" s="3"/>
      <c r="G29" s="15"/>
      <c r="H29" s="3">
        <v>0</v>
      </c>
      <c r="I29" s="25">
        <v>0</v>
      </c>
      <c r="J29" s="33"/>
      <c r="K29" s="22"/>
      <c r="L29" s="22">
        <v>0</v>
      </c>
      <c r="M29" s="34">
        <v>0</v>
      </c>
      <c r="N29" s="32"/>
      <c r="O29" s="30"/>
      <c r="P29" s="3">
        <v>0</v>
      </c>
      <c r="Q29" s="34">
        <f>IFERROR(VLOOKUP(P29,'Puntos XCO'!$A$1:$B$63,2,FALSE),0)</f>
        <v>0</v>
      </c>
      <c r="R29" s="32"/>
      <c r="S29" s="30"/>
      <c r="T29" s="3"/>
      <c r="U29" s="39">
        <f>IFERROR(VLOOKUP(T29,'Puntos XCO'!$A$1:$B$63,2,FALSE),0)</f>
        <v>0</v>
      </c>
      <c r="V29" s="32"/>
      <c r="W29" s="30"/>
      <c r="X29" s="15"/>
      <c r="Y29" s="25">
        <f>IFERROR(VLOOKUP(X29,'Puntos XCO'!$A$1:$B$63,2,FALSE),0)</f>
        <v>0</v>
      </c>
      <c r="Z29" s="27">
        <f t="shared" si="3"/>
        <v>0</v>
      </c>
      <c r="AB29" s="2"/>
      <c r="AC29" s="13"/>
      <c r="AD29" s="12"/>
      <c r="AE29" s="14"/>
    </row>
    <row r="30" spans="1:31" ht="24.95" customHeight="1">
      <c r="A30" s="22"/>
      <c r="B30" s="3"/>
      <c r="C30" s="22">
        <v>1005</v>
      </c>
      <c r="D30" s="23" t="str">
        <f t="shared" si="0"/>
        <v>GUZMÁN Alex</v>
      </c>
      <c r="E30" s="24" t="str">
        <f t="shared" si="1"/>
        <v>ACISA</v>
      </c>
      <c r="F30" s="3"/>
      <c r="G30" s="15"/>
      <c r="H30" s="3">
        <v>0</v>
      </c>
      <c r="I30" s="25">
        <v>0</v>
      </c>
      <c r="J30" s="33"/>
      <c r="K30" s="22"/>
      <c r="L30" s="22">
        <v>0</v>
      </c>
      <c r="M30" s="34">
        <v>0</v>
      </c>
      <c r="N30" s="32"/>
      <c r="O30" s="30"/>
      <c r="P30" s="3">
        <v>0</v>
      </c>
      <c r="Q30" s="34">
        <f>IFERROR(VLOOKUP(P30,'Puntos XCO'!$A$1:$B$63,2,FALSE),0)</f>
        <v>0</v>
      </c>
      <c r="R30" s="32"/>
      <c r="S30" s="30"/>
      <c r="T30" s="3"/>
      <c r="U30" s="39">
        <f>IFERROR(VLOOKUP(T30,'Puntos XCO'!$A$1:$B$63,2,FALSE),0)</f>
        <v>0</v>
      </c>
      <c r="V30" s="32"/>
      <c r="W30" s="30"/>
      <c r="X30" s="15"/>
      <c r="Y30" s="25">
        <f>IFERROR(VLOOKUP(X30,'Puntos XCO'!$A$1:$B$63,2,FALSE),0)</f>
        <v>0</v>
      </c>
      <c r="Z30" s="27">
        <f t="shared" si="3"/>
        <v>0</v>
      </c>
      <c r="AB30" s="2"/>
      <c r="AC30" s="13"/>
      <c r="AD30" s="12"/>
      <c r="AE30" s="14"/>
    </row>
    <row r="31" spans="1:31" ht="24.95" customHeight="1">
      <c r="A31" s="22"/>
      <c r="B31" s="3"/>
      <c r="C31" s="22">
        <v>1007</v>
      </c>
      <c r="D31" s="23" t="str">
        <f t="shared" si="0"/>
        <v>MENA Juan Carlos</v>
      </c>
      <c r="E31" s="24" t="str">
        <f t="shared" si="1"/>
        <v>GOCHA CYCLING TEAM</v>
      </c>
      <c r="F31" s="3"/>
      <c r="G31" s="15"/>
      <c r="H31" s="3">
        <v>0</v>
      </c>
      <c r="I31" s="25">
        <v>0</v>
      </c>
      <c r="J31" s="33"/>
      <c r="K31" s="22"/>
      <c r="L31" s="22">
        <v>0</v>
      </c>
      <c r="M31" s="34">
        <v>0</v>
      </c>
      <c r="N31" s="32"/>
      <c r="O31" s="30"/>
      <c r="P31" s="3">
        <v>0</v>
      </c>
      <c r="Q31" s="34">
        <f>IFERROR(VLOOKUP(P31,'Puntos XCO'!$A$1:$B$63,2,FALSE),0)</f>
        <v>0</v>
      </c>
      <c r="R31" s="32"/>
      <c r="S31" s="30"/>
      <c r="T31" s="3"/>
      <c r="U31" s="39">
        <f>IFERROR(VLOOKUP(T31,'Puntos XCO'!$A$1:$B$63,2,FALSE),0)</f>
        <v>0</v>
      </c>
      <c r="V31" s="32"/>
      <c r="W31" s="30"/>
      <c r="X31" s="15"/>
      <c r="Y31" s="25">
        <f>IFERROR(VLOOKUP(X31,'Puntos XCO'!$A$1:$B$63,2,FALSE),0)</f>
        <v>0</v>
      </c>
      <c r="Z31" s="27">
        <f t="shared" si="3"/>
        <v>0</v>
      </c>
      <c r="AB31" s="2"/>
      <c r="AC31" s="13"/>
      <c r="AD31" s="12"/>
      <c r="AE31" s="14"/>
    </row>
    <row r="32" spans="1:31" ht="24.95" customHeight="1">
      <c r="A32" s="22"/>
      <c r="B32" s="3"/>
      <c r="C32" s="22">
        <v>1008</v>
      </c>
      <c r="D32" s="23" t="str">
        <f t="shared" si="0"/>
        <v>CAMPOS Matias Alejandro</v>
      </c>
      <c r="E32" s="24" t="str">
        <f t="shared" si="1"/>
        <v>PZ CICLYNG TEAM</v>
      </c>
      <c r="F32" s="3"/>
      <c r="G32" s="15"/>
      <c r="H32" s="3">
        <v>0</v>
      </c>
      <c r="I32" s="25">
        <v>0</v>
      </c>
      <c r="J32" s="33"/>
      <c r="K32" s="22"/>
      <c r="L32" s="22">
        <v>0</v>
      </c>
      <c r="M32" s="34">
        <v>0</v>
      </c>
      <c r="N32" s="32"/>
      <c r="O32" s="30"/>
      <c r="P32" s="3">
        <v>0</v>
      </c>
      <c r="Q32" s="34">
        <f>IFERROR(VLOOKUP(P32,'Puntos XCO'!$A$1:$B$63,2,FALSE),0)</f>
        <v>0</v>
      </c>
      <c r="R32" s="32"/>
      <c r="S32" s="30"/>
      <c r="T32" s="3"/>
      <c r="U32" s="39">
        <f>IFERROR(VLOOKUP(T32,'Puntos XCO'!$A$1:$B$63,2,FALSE),0)</f>
        <v>0</v>
      </c>
      <c r="V32" s="32"/>
      <c r="W32" s="30"/>
      <c r="X32" s="15"/>
      <c r="Y32" s="25">
        <f>IFERROR(VLOOKUP(X32,'Puntos XCO'!$A$1:$B$63,2,FALSE),0)</f>
        <v>0</v>
      </c>
      <c r="Z32" s="27">
        <f t="shared" si="3"/>
        <v>0</v>
      </c>
      <c r="AB32" s="2"/>
      <c r="AC32" s="13"/>
      <c r="AD32" s="12"/>
      <c r="AE32" s="14"/>
    </row>
    <row r="33" spans="1:31" ht="24.95" customHeight="1">
      <c r="A33" s="22"/>
      <c r="B33" s="3"/>
      <c r="C33" s="22">
        <v>1012</v>
      </c>
      <c r="D33" s="23" t="str">
        <f t="shared" si="0"/>
        <v>SANDI Hector</v>
      </c>
      <c r="E33" s="24" t="str">
        <f t="shared" si="1"/>
        <v xml:space="preserve">COLYPRO/ANDARIEG@S </v>
      </c>
      <c r="F33" s="3"/>
      <c r="G33" s="15"/>
      <c r="H33" s="3">
        <v>0</v>
      </c>
      <c r="I33" s="25">
        <v>0</v>
      </c>
      <c r="J33" s="33"/>
      <c r="K33" s="22"/>
      <c r="L33" s="22">
        <v>0</v>
      </c>
      <c r="M33" s="34">
        <v>0</v>
      </c>
      <c r="N33" s="32"/>
      <c r="O33" s="30"/>
      <c r="P33" s="3">
        <v>0</v>
      </c>
      <c r="Q33" s="34">
        <f>IFERROR(VLOOKUP(P33,'Puntos XCO'!$A$1:$B$63,2,FALSE),0)</f>
        <v>0</v>
      </c>
      <c r="R33" s="32"/>
      <c r="S33" s="30"/>
      <c r="T33" s="3"/>
      <c r="U33" s="39">
        <f>IFERROR(VLOOKUP(T33,'Puntos XCO'!$A$1:$B$63,2,FALSE),0)</f>
        <v>0</v>
      </c>
      <c r="V33" s="32"/>
      <c r="W33" s="30"/>
      <c r="X33" s="15"/>
      <c r="Y33" s="25">
        <f>IFERROR(VLOOKUP(X33,'Puntos XCO'!$A$1:$B$63,2,FALSE),0)</f>
        <v>0</v>
      </c>
      <c r="Z33" s="27">
        <f t="shared" si="3"/>
        <v>0</v>
      </c>
      <c r="AB33" s="2"/>
      <c r="AC33" s="13"/>
      <c r="AD33" s="12"/>
      <c r="AE33" s="14"/>
    </row>
    <row r="34" spans="1:31" ht="24.95" customHeight="1">
      <c r="A34" s="22"/>
      <c r="B34" s="3"/>
      <c r="C34" s="22">
        <v>1017</v>
      </c>
      <c r="D34" s="23" t="str">
        <f t="shared" si="0"/>
        <v xml:space="preserve">MÉNDEZ  Miguel Alonso </v>
      </c>
      <c r="E34" s="24" t="str">
        <f t="shared" si="1"/>
        <v xml:space="preserve">KOKOS MECHANIC </v>
      </c>
      <c r="F34" s="3"/>
      <c r="G34" s="15"/>
      <c r="H34" s="3">
        <v>0</v>
      </c>
      <c r="I34" s="25">
        <v>0</v>
      </c>
      <c r="J34" s="33"/>
      <c r="K34" s="22"/>
      <c r="L34" s="22">
        <v>0</v>
      </c>
      <c r="M34" s="34">
        <v>0</v>
      </c>
      <c r="N34" s="32"/>
      <c r="O34" s="30"/>
      <c r="P34" s="3">
        <v>0</v>
      </c>
      <c r="Q34" s="34">
        <f>IFERROR(VLOOKUP(P34,'Puntos XCO'!$A$1:$B$63,2,FALSE),0)</f>
        <v>0</v>
      </c>
      <c r="R34" s="32"/>
      <c r="S34" s="30"/>
      <c r="T34" s="3"/>
      <c r="U34" s="39">
        <f>IFERROR(VLOOKUP(T34,'Puntos XCO'!$A$1:$B$63,2,FALSE),0)</f>
        <v>0</v>
      </c>
      <c r="V34" s="32"/>
      <c r="W34" s="30"/>
      <c r="X34" s="15"/>
      <c r="Y34" s="25">
        <f>IFERROR(VLOOKUP(X34,'Puntos XCO'!$A$1:$B$63,2,FALSE),0)</f>
        <v>0</v>
      </c>
      <c r="Z34" s="27">
        <f t="shared" si="3"/>
        <v>0</v>
      </c>
      <c r="AB34" s="2"/>
      <c r="AC34" s="13"/>
      <c r="AD34" s="12"/>
      <c r="AE34" s="14"/>
    </row>
    <row r="35" spans="1:31" ht="24.95" customHeight="1">
      <c r="A35" s="22"/>
      <c r="B35" s="3"/>
      <c r="C35" s="22">
        <v>1019</v>
      </c>
      <c r="D35" s="23" t="str">
        <f t="shared" si="0"/>
        <v>VARGAS Efren</v>
      </c>
      <c r="E35" s="24" t="str">
        <f t="shared" si="1"/>
        <v>TEAM CORECO/MOMENTUM SPORTS</v>
      </c>
      <c r="F35" s="3"/>
      <c r="G35" s="15"/>
      <c r="H35" s="3"/>
      <c r="I35" s="25"/>
      <c r="J35" s="33"/>
      <c r="K35" s="22"/>
      <c r="L35" s="22">
        <v>0</v>
      </c>
      <c r="M35" s="34">
        <v>0</v>
      </c>
      <c r="N35" s="32"/>
      <c r="O35" s="30"/>
      <c r="P35" s="3">
        <v>0</v>
      </c>
      <c r="Q35" s="34">
        <f>IFERROR(VLOOKUP(P35,'Puntos XCO'!$A$1:$B$63,2,FALSE),0)</f>
        <v>0</v>
      </c>
      <c r="R35" s="32"/>
      <c r="S35" s="30"/>
      <c r="T35" s="3"/>
      <c r="U35" s="39">
        <f>IFERROR(VLOOKUP(T35,'Puntos XCO'!$A$1:$B$63,2,FALSE),0)</f>
        <v>0</v>
      </c>
      <c r="V35" s="32"/>
      <c r="W35" s="30"/>
      <c r="X35" s="15"/>
      <c r="Y35" s="25">
        <f>IFERROR(VLOOKUP(X35,'Puntos XCO'!$A$1:$B$63,2,FALSE),0)</f>
        <v>0</v>
      </c>
      <c r="Z35" s="27">
        <f t="shared" si="3"/>
        <v>0</v>
      </c>
      <c r="AB35" s="2"/>
      <c r="AC35" s="13"/>
      <c r="AD35" s="12"/>
      <c r="AE35" s="14"/>
    </row>
    <row r="36" spans="1:31" ht="24.95" customHeight="1">
      <c r="A36" s="22"/>
      <c r="B36" s="3"/>
      <c r="C36" s="22">
        <v>1022</v>
      </c>
      <c r="D36" s="23" t="str">
        <f t="shared" si="0"/>
        <v>VARGAS Gustavo</v>
      </c>
      <c r="E36" s="24" t="str">
        <f t="shared" si="1"/>
        <v>DUROS COMO ROCA</v>
      </c>
      <c r="F36" s="3"/>
      <c r="G36" s="15"/>
      <c r="H36" s="3"/>
      <c r="I36" s="25"/>
      <c r="J36" s="33"/>
      <c r="K36" s="22"/>
      <c r="L36" s="22">
        <v>0</v>
      </c>
      <c r="M36" s="34">
        <v>0</v>
      </c>
      <c r="N36" s="32"/>
      <c r="O36" s="30"/>
      <c r="P36" s="3">
        <v>0</v>
      </c>
      <c r="Q36" s="34">
        <f>IFERROR(VLOOKUP(P36,'Puntos XCO'!$A$1:$B$63,2,FALSE),0)</f>
        <v>0</v>
      </c>
      <c r="R36" s="32"/>
      <c r="S36" s="30"/>
      <c r="T36" s="3"/>
      <c r="U36" s="39">
        <f>IFERROR(VLOOKUP(T36,'Puntos XCO'!$A$1:$B$63,2,FALSE),0)</f>
        <v>0</v>
      </c>
      <c r="V36" s="32"/>
      <c r="W36" s="30"/>
      <c r="X36" s="15"/>
      <c r="Y36" s="25">
        <f>IFERROR(VLOOKUP(X36,'Puntos XCO'!$A$1:$B$63,2,FALSE),0)</f>
        <v>0</v>
      </c>
      <c r="Z36" s="27">
        <f t="shared" si="3"/>
        <v>0</v>
      </c>
      <c r="AB36" s="2"/>
      <c r="AC36" s="13"/>
      <c r="AD36" s="12"/>
      <c r="AE36" s="14"/>
    </row>
    <row r="37" spans="1:31" ht="24.95" customHeight="1">
      <c r="A37" s="3"/>
      <c r="B37" s="3"/>
      <c r="C37" s="22"/>
      <c r="D37" s="23"/>
      <c r="E37" s="24"/>
      <c r="F37" s="3"/>
      <c r="G37" s="15"/>
      <c r="H37" s="15"/>
      <c r="I37" s="25"/>
      <c r="J37" s="33"/>
      <c r="K37" s="22"/>
      <c r="L37" s="22"/>
      <c r="M37" s="34"/>
      <c r="N37" s="16"/>
      <c r="O37" s="15"/>
      <c r="P37" s="3"/>
      <c r="Q37" s="25"/>
      <c r="R37" s="16"/>
      <c r="S37" s="15"/>
      <c r="T37" s="15"/>
      <c r="U37" s="25"/>
      <c r="V37" s="16"/>
      <c r="W37" s="15"/>
      <c r="X37" s="15"/>
      <c r="Y37" s="25"/>
      <c r="Z37" s="27"/>
      <c r="AB37" s="3"/>
    </row>
    <row r="38" spans="1:31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89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spans="1:31">
      <c r="M39" s="9"/>
      <c r="N39" s="9"/>
      <c r="O39" s="9"/>
      <c r="P39" s="10"/>
      <c r="Q39" s="9"/>
      <c r="R39" s="9"/>
      <c r="S39" s="9"/>
      <c r="T39" s="9"/>
      <c r="U39" s="9"/>
    </row>
    <row r="40" spans="1:31" ht="127.5" customHeight="1"/>
    <row r="41" spans="1:31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89"/>
      <c r="Q41" s="90"/>
      <c r="R41" s="90"/>
      <c r="S41" s="90"/>
      <c r="T41" s="90"/>
      <c r="U41" s="90"/>
      <c r="V41" s="90"/>
      <c r="W41" s="90"/>
      <c r="X41" s="90"/>
      <c r="Y41" s="90"/>
      <c r="Z41" s="90"/>
    </row>
  </sheetData>
  <sortState ref="B15:Z36">
    <sortCondition descending="1" ref="Z15:Z36"/>
    <sortCondition ref="L15:L36"/>
  </sortState>
  <mergeCells count="10">
    <mergeCell ref="A8:Z8"/>
    <mergeCell ref="A10:Z10"/>
    <mergeCell ref="A11:Z11"/>
    <mergeCell ref="A13:B13"/>
    <mergeCell ref="F13:I13"/>
    <mergeCell ref="J13:M13"/>
    <mergeCell ref="N13:Q13"/>
    <mergeCell ref="R13:U13"/>
    <mergeCell ref="V13:Y13"/>
    <mergeCell ref="Z13:Z14"/>
  </mergeCells>
  <conditionalFormatting sqref="C38:C65516 C1:C9 C12:C14">
    <cfRule type="duplicateValues" dxfId="277" priority="16" stopIfTrue="1"/>
  </conditionalFormatting>
  <conditionalFormatting sqref="F37">
    <cfRule type="duplicateValues" dxfId="276" priority="19" stopIfTrue="1"/>
  </conditionalFormatting>
  <conditionalFormatting sqref="B37">
    <cfRule type="duplicateValues" dxfId="275" priority="20" stopIfTrue="1"/>
  </conditionalFormatting>
  <conditionalFormatting sqref="C37">
    <cfRule type="duplicateValues" dxfId="274" priority="21"/>
  </conditionalFormatting>
  <conditionalFormatting sqref="C11">
    <cfRule type="duplicateValues" dxfId="273" priority="4" stopIfTrue="1"/>
  </conditionalFormatting>
  <conditionalFormatting sqref="C11">
    <cfRule type="duplicateValues" dxfId="272" priority="5" stopIfTrue="1"/>
  </conditionalFormatting>
  <conditionalFormatting sqref="D11">
    <cfRule type="duplicateValues" dxfId="271" priority="3" stopIfTrue="1"/>
  </conditionalFormatting>
  <conditionalFormatting sqref="C10">
    <cfRule type="duplicateValues" dxfId="270" priority="1" stopIfTrue="1"/>
  </conditionalFormatting>
  <conditionalFormatting sqref="C10">
    <cfRule type="duplicateValues" dxfId="269" priority="2" stopIfTrue="1"/>
  </conditionalFormatting>
  <conditionalFormatting sqref="AB15:AB37">
    <cfRule type="duplicateValues" dxfId="268" priority="7860"/>
  </conditionalFormatting>
  <pageMargins left="0.70866141732283472" right="0.70866141732283472" top="0.74803149606299213" bottom="0.74803149606299213" header="0.31496062992125984" footer="0.31496062992125984"/>
  <pageSetup paperSize="9" scale="48" fitToHeight="2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B63"/>
  <sheetViews>
    <sheetView topLeftCell="A12" workbookViewId="0">
      <selection activeCell="D28" sqref="D28"/>
    </sheetView>
  </sheetViews>
  <sheetFormatPr baseColWidth="10" defaultRowHeight="15"/>
  <sheetData>
    <row r="1" spans="1:2">
      <c r="A1">
        <v>1</v>
      </c>
      <c r="B1">
        <v>200</v>
      </c>
    </row>
    <row r="2" spans="1:2">
      <c r="A2">
        <v>2</v>
      </c>
      <c r="B2">
        <v>150</v>
      </c>
    </row>
    <row r="3" spans="1:2">
      <c r="A3">
        <v>3</v>
      </c>
      <c r="B3">
        <v>120</v>
      </c>
    </row>
    <row r="4" spans="1:2">
      <c r="A4">
        <v>4</v>
      </c>
      <c r="B4">
        <v>110</v>
      </c>
    </row>
    <row r="5" spans="1:2">
      <c r="A5">
        <v>5</v>
      </c>
      <c r="B5">
        <v>100</v>
      </c>
    </row>
    <row r="6" spans="1:2">
      <c r="A6">
        <v>6</v>
      </c>
      <c r="B6">
        <v>95</v>
      </c>
    </row>
    <row r="7" spans="1:2">
      <c r="A7">
        <v>7</v>
      </c>
      <c r="B7">
        <v>90</v>
      </c>
    </row>
    <row r="8" spans="1:2">
      <c r="A8">
        <v>8</v>
      </c>
      <c r="B8">
        <v>85</v>
      </c>
    </row>
    <row r="9" spans="1:2">
      <c r="A9">
        <v>9</v>
      </c>
      <c r="B9">
        <v>80</v>
      </c>
    </row>
    <row r="10" spans="1:2">
      <c r="A10">
        <v>10</v>
      </c>
      <c r="B10">
        <v>78</v>
      </c>
    </row>
    <row r="11" spans="1:2">
      <c r="A11">
        <v>11</v>
      </c>
      <c r="B11">
        <v>76</v>
      </c>
    </row>
    <row r="12" spans="1:2">
      <c r="A12">
        <v>12</v>
      </c>
      <c r="B12">
        <v>74</v>
      </c>
    </row>
    <row r="13" spans="1:2">
      <c r="A13">
        <v>13</v>
      </c>
      <c r="B13">
        <v>72</v>
      </c>
    </row>
    <row r="14" spans="1:2">
      <c r="A14">
        <v>14</v>
      </c>
      <c r="B14">
        <v>70</v>
      </c>
    </row>
    <row r="15" spans="1:2">
      <c r="A15">
        <v>15</v>
      </c>
      <c r="B15">
        <v>68</v>
      </c>
    </row>
    <row r="16" spans="1:2">
      <c r="A16">
        <v>16</v>
      </c>
      <c r="B16">
        <v>66</v>
      </c>
    </row>
    <row r="17" spans="1:2">
      <c r="A17">
        <v>17</v>
      </c>
      <c r="B17">
        <v>64</v>
      </c>
    </row>
    <row r="18" spans="1:2">
      <c r="A18">
        <v>18</v>
      </c>
      <c r="B18">
        <v>62</v>
      </c>
    </row>
    <row r="19" spans="1:2">
      <c r="A19">
        <v>19</v>
      </c>
      <c r="B19">
        <v>60</v>
      </c>
    </row>
    <row r="20" spans="1:2">
      <c r="A20">
        <v>20</v>
      </c>
      <c r="B20">
        <v>58</v>
      </c>
    </row>
    <row r="21" spans="1:2">
      <c r="A21">
        <v>21</v>
      </c>
      <c r="B21">
        <v>56</v>
      </c>
    </row>
    <row r="22" spans="1:2">
      <c r="A22">
        <v>22</v>
      </c>
      <c r="B22">
        <v>54</v>
      </c>
    </row>
    <row r="23" spans="1:2">
      <c r="A23">
        <v>23</v>
      </c>
      <c r="B23">
        <v>52</v>
      </c>
    </row>
    <row r="24" spans="1:2">
      <c r="A24">
        <v>24</v>
      </c>
      <c r="B24">
        <v>50</v>
      </c>
    </row>
    <row r="25" spans="1:2">
      <c r="A25">
        <v>25</v>
      </c>
      <c r="B25">
        <v>48</v>
      </c>
    </row>
    <row r="26" spans="1:2">
      <c r="A26">
        <v>26</v>
      </c>
      <c r="B26">
        <v>46</v>
      </c>
    </row>
    <row r="27" spans="1:2">
      <c r="A27">
        <v>27</v>
      </c>
      <c r="B27">
        <v>44</v>
      </c>
    </row>
    <row r="28" spans="1:2">
      <c r="A28">
        <v>28</v>
      </c>
      <c r="B28">
        <v>42</v>
      </c>
    </row>
    <row r="29" spans="1:2">
      <c r="A29">
        <v>29</v>
      </c>
      <c r="B29">
        <v>40</v>
      </c>
    </row>
    <row r="30" spans="1:2">
      <c r="A30">
        <v>30</v>
      </c>
      <c r="B30">
        <v>38</v>
      </c>
    </row>
    <row r="31" spans="1:2">
      <c r="A31">
        <v>31</v>
      </c>
      <c r="B31">
        <v>36</v>
      </c>
    </row>
    <row r="32" spans="1:2">
      <c r="A32">
        <v>32</v>
      </c>
      <c r="B32">
        <v>34</v>
      </c>
    </row>
    <row r="33" spans="1:2">
      <c r="A33">
        <v>33</v>
      </c>
      <c r="B33">
        <v>32</v>
      </c>
    </row>
    <row r="34" spans="1:2">
      <c r="A34">
        <v>34</v>
      </c>
      <c r="B34">
        <v>30</v>
      </c>
    </row>
    <row r="35" spans="1:2">
      <c r="A35">
        <v>35</v>
      </c>
      <c r="B35">
        <v>29</v>
      </c>
    </row>
    <row r="36" spans="1:2">
      <c r="A36">
        <v>36</v>
      </c>
      <c r="B36">
        <v>28</v>
      </c>
    </row>
    <row r="37" spans="1:2">
      <c r="A37">
        <v>37</v>
      </c>
      <c r="B37">
        <v>27</v>
      </c>
    </row>
    <row r="38" spans="1:2">
      <c r="A38">
        <v>38</v>
      </c>
      <c r="B38">
        <v>26</v>
      </c>
    </row>
    <row r="39" spans="1:2">
      <c r="A39">
        <v>39</v>
      </c>
      <c r="B39">
        <v>25</v>
      </c>
    </row>
    <row r="40" spans="1:2">
      <c r="A40">
        <v>40</v>
      </c>
      <c r="B40">
        <v>24</v>
      </c>
    </row>
    <row r="41" spans="1:2">
      <c r="A41">
        <v>41</v>
      </c>
      <c r="B41">
        <v>23</v>
      </c>
    </row>
    <row r="42" spans="1:2">
      <c r="A42">
        <v>42</v>
      </c>
      <c r="B42">
        <v>22</v>
      </c>
    </row>
    <row r="43" spans="1:2">
      <c r="A43">
        <v>43</v>
      </c>
      <c r="B43">
        <v>21</v>
      </c>
    </row>
    <row r="44" spans="1:2">
      <c r="A44">
        <v>44</v>
      </c>
      <c r="B44">
        <v>20</v>
      </c>
    </row>
    <row r="45" spans="1:2">
      <c r="A45">
        <v>45</v>
      </c>
      <c r="B45">
        <v>19</v>
      </c>
    </row>
    <row r="46" spans="1:2">
      <c r="A46">
        <v>46</v>
      </c>
      <c r="B46">
        <v>18</v>
      </c>
    </row>
    <row r="47" spans="1:2">
      <c r="A47">
        <v>47</v>
      </c>
      <c r="B47">
        <v>17</v>
      </c>
    </row>
    <row r="48" spans="1:2">
      <c r="A48">
        <v>48</v>
      </c>
      <c r="B48">
        <v>16</v>
      </c>
    </row>
    <row r="49" spans="1:2">
      <c r="A49">
        <v>49</v>
      </c>
      <c r="B49">
        <v>15</v>
      </c>
    </row>
    <row r="50" spans="1:2">
      <c r="A50">
        <v>50</v>
      </c>
      <c r="B50">
        <v>14</v>
      </c>
    </row>
    <row r="51" spans="1:2">
      <c r="A51">
        <v>51</v>
      </c>
      <c r="B51">
        <v>13</v>
      </c>
    </row>
    <row r="52" spans="1:2">
      <c r="A52">
        <v>52</v>
      </c>
      <c r="B52">
        <v>12</v>
      </c>
    </row>
    <row r="53" spans="1:2">
      <c r="A53">
        <v>53</v>
      </c>
      <c r="B53">
        <v>11</v>
      </c>
    </row>
    <row r="54" spans="1:2">
      <c r="A54">
        <v>54</v>
      </c>
      <c r="B54">
        <v>10</v>
      </c>
    </row>
    <row r="55" spans="1:2">
      <c r="A55">
        <v>55</v>
      </c>
      <c r="B55">
        <v>9</v>
      </c>
    </row>
    <row r="56" spans="1:2">
      <c r="A56">
        <v>56</v>
      </c>
      <c r="B56">
        <v>8</v>
      </c>
    </row>
    <row r="57" spans="1:2">
      <c r="A57">
        <v>57</v>
      </c>
      <c r="B57">
        <v>7</v>
      </c>
    </row>
    <row r="58" spans="1:2">
      <c r="A58">
        <v>58</v>
      </c>
      <c r="B58">
        <v>6</v>
      </c>
    </row>
    <row r="59" spans="1:2">
      <c r="A59">
        <v>59</v>
      </c>
      <c r="B59">
        <v>5</v>
      </c>
    </row>
    <row r="60" spans="1:2">
      <c r="A60">
        <v>60</v>
      </c>
      <c r="B60">
        <v>4</v>
      </c>
    </row>
    <row r="61" spans="1:2">
      <c r="A61">
        <v>61</v>
      </c>
      <c r="B61">
        <v>3</v>
      </c>
    </row>
    <row r="62" spans="1:2">
      <c r="A62">
        <v>62</v>
      </c>
      <c r="B62">
        <v>2</v>
      </c>
    </row>
    <row r="63" spans="1:2">
      <c r="A63">
        <v>63</v>
      </c>
      <c r="B63">
        <v>1</v>
      </c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B15"/>
  <sheetViews>
    <sheetView workbookViewId="0">
      <selection activeCell="D12" sqref="D12"/>
    </sheetView>
  </sheetViews>
  <sheetFormatPr baseColWidth="10" defaultRowHeight="15"/>
  <sheetData>
    <row r="1" spans="1:2">
      <c r="A1">
        <v>1</v>
      </c>
      <c r="B1">
        <v>25</v>
      </c>
    </row>
    <row r="2" spans="1:2">
      <c r="A2">
        <v>2</v>
      </c>
      <c r="B2">
        <v>20</v>
      </c>
    </row>
    <row r="3" spans="1:2">
      <c r="A3">
        <v>3</v>
      </c>
      <c r="B3">
        <v>16</v>
      </c>
    </row>
    <row r="4" spans="1:2">
      <c r="A4">
        <v>4</v>
      </c>
      <c r="B4">
        <v>14</v>
      </c>
    </row>
    <row r="5" spans="1:2">
      <c r="A5">
        <v>5</v>
      </c>
      <c r="B5">
        <v>12</v>
      </c>
    </row>
    <row r="6" spans="1:2">
      <c r="A6">
        <v>6</v>
      </c>
      <c r="B6">
        <v>10</v>
      </c>
    </row>
    <row r="7" spans="1:2">
      <c r="A7">
        <v>7</v>
      </c>
      <c r="B7">
        <v>9</v>
      </c>
    </row>
    <row r="8" spans="1:2">
      <c r="A8">
        <v>8</v>
      </c>
      <c r="B8">
        <v>8</v>
      </c>
    </row>
    <row r="9" spans="1:2">
      <c r="A9">
        <v>9</v>
      </c>
      <c r="B9">
        <v>7</v>
      </c>
    </row>
    <row r="10" spans="1:2">
      <c r="A10">
        <v>10</v>
      </c>
      <c r="B10">
        <v>6</v>
      </c>
    </row>
    <row r="11" spans="1:2">
      <c r="A11">
        <v>11</v>
      </c>
      <c r="B11">
        <v>5</v>
      </c>
    </row>
    <row r="12" spans="1:2">
      <c r="A12">
        <v>12</v>
      </c>
      <c r="B12">
        <v>4</v>
      </c>
    </row>
    <row r="13" spans="1:2">
      <c r="A13">
        <v>13</v>
      </c>
      <c r="B13">
        <v>3</v>
      </c>
    </row>
    <row r="14" spans="1:2">
      <c r="A14">
        <v>14</v>
      </c>
      <c r="B14">
        <v>2</v>
      </c>
    </row>
    <row r="15" spans="1:2">
      <c r="A15">
        <v>15</v>
      </c>
      <c r="B15">
        <v>1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B10"/>
  <sheetViews>
    <sheetView workbookViewId="0">
      <selection activeCell="C8" sqref="C8"/>
    </sheetView>
  </sheetViews>
  <sheetFormatPr baseColWidth="10" defaultRowHeight="15"/>
  <sheetData>
    <row r="1" spans="1:2">
      <c r="A1">
        <v>1</v>
      </c>
      <c r="B1">
        <v>10</v>
      </c>
    </row>
    <row r="2" spans="1:2">
      <c r="A2">
        <v>2</v>
      </c>
      <c r="B2">
        <v>9</v>
      </c>
    </row>
    <row r="3" spans="1:2">
      <c r="A3">
        <v>3</v>
      </c>
      <c r="B3">
        <v>8</v>
      </c>
    </row>
    <row r="4" spans="1:2">
      <c r="A4">
        <v>4</v>
      </c>
      <c r="B4">
        <v>7</v>
      </c>
    </row>
    <row r="5" spans="1:2">
      <c r="A5">
        <v>5</v>
      </c>
      <c r="B5">
        <v>6</v>
      </c>
    </row>
    <row r="6" spans="1:2">
      <c r="A6">
        <v>6</v>
      </c>
      <c r="B6">
        <v>5</v>
      </c>
    </row>
    <row r="7" spans="1:2">
      <c r="A7">
        <v>7</v>
      </c>
      <c r="B7">
        <v>4</v>
      </c>
    </row>
    <row r="8" spans="1:2">
      <c r="A8">
        <v>8</v>
      </c>
      <c r="B8">
        <v>3</v>
      </c>
    </row>
    <row r="9" spans="1:2">
      <c r="A9">
        <v>9</v>
      </c>
      <c r="B9">
        <v>2</v>
      </c>
    </row>
    <row r="10" spans="1:2">
      <c r="A10">
        <v>10</v>
      </c>
      <c r="B10">
        <v>1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G3253"/>
  <sheetViews>
    <sheetView topLeftCell="A2" workbookViewId="0">
      <selection activeCell="C6" sqref="C6"/>
    </sheetView>
  </sheetViews>
  <sheetFormatPr baseColWidth="10" defaultRowHeight="15"/>
  <cols>
    <col min="2" max="2" width="15.5703125" style="58" customWidth="1"/>
    <col min="3" max="3" width="25.85546875" bestFit="1" customWidth="1"/>
    <col min="4" max="4" width="16.42578125" customWidth="1"/>
    <col min="5" max="5" width="40.7109375" customWidth="1"/>
    <col min="6" max="6" width="36.140625" customWidth="1"/>
    <col min="7" max="7" width="6" style="36" customWidth="1"/>
  </cols>
  <sheetData>
    <row r="1" spans="2:7">
      <c r="B1" s="18" t="s">
        <v>3</v>
      </c>
      <c r="C1" s="19" t="s">
        <v>4</v>
      </c>
      <c r="D1" s="19" t="s">
        <v>48</v>
      </c>
      <c r="E1" s="19" t="s">
        <v>5</v>
      </c>
      <c r="F1" s="19" t="s">
        <v>49</v>
      </c>
      <c r="G1" s="35"/>
    </row>
    <row r="2" spans="2:7">
      <c r="B2" s="18"/>
      <c r="C2" s="19"/>
      <c r="D2" s="19"/>
      <c r="E2" s="19"/>
      <c r="F2" s="19"/>
      <c r="G2" s="35"/>
    </row>
    <row r="3" spans="2:7">
      <c r="B3" s="18"/>
      <c r="C3" s="19"/>
      <c r="D3" s="19"/>
      <c r="E3" s="19"/>
      <c r="F3" s="19"/>
      <c r="G3" s="35"/>
    </row>
    <row r="4" spans="2:7">
      <c r="B4" s="18"/>
      <c r="C4" s="18" t="s">
        <v>1456</v>
      </c>
      <c r="D4" s="19"/>
      <c r="E4" s="19"/>
      <c r="F4" s="19"/>
      <c r="G4" s="35"/>
    </row>
    <row r="5" spans="2:7">
      <c r="B5" s="18"/>
      <c r="C5" s="19"/>
      <c r="D5" s="19"/>
      <c r="E5" s="19"/>
      <c r="F5" s="19"/>
      <c r="G5" s="35"/>
    </row>
    <row r="6" spans="2:7">
      <c r="B6" s="3">
        <v>3</v>
      </c>
      <c r="C6" s="92" t="s">
        <v>1409</v>
      </c>
      <c r="D6" s="93">
        <v>10009200331</v>
      </c>
      <c r="E6" s="93" t="s">
        <v>566</v>
      </c>
      <c r="F6" s="8" t="s">
        <v>50</v>
      </c>
      <c r="G6" s="35"/>
    </row>
    <row r="7" spans="2:7">
      <c r="B7" s="3">
        <v>7</v>
      </c>
      <c r="C7" s="92" t="s">
        <v>993</v>
      </c>
      <c r="D7" s="93">
        <v>10050357734</v>
      </c>
      <c r="E7" s="93" t="s">
        <v>114</v>
      </c>
      <c r="F7" s="8" t="s">
        <v>50</v>
      </c>
      <c r="G7" s="35"/>
    </row>
    <row r="8" spans="2:7">
      <c r="B8" s="3">
        <v>23</v>
      </c>
      <c r="C8" s="92" t="s">
        <v>171</v>
      </c>
      <c r="D8" s="93">
        <v>10092456037</v>
      </c>
      <c r="E8" s="93" t="s">
        <v>100</v>
      </c>
      <c r="F8" s="8" t="s">
        <v>50</v>
      </c>
      <c r="G8" s="35"/>
    </row>
    <row r="9" spans="2:7">
      <c r="B9" s="3">
        <v>25</v>
      </c>
      <c r="C9" s="92" t="s">
        <v>173</v>
      </c>
      <c r="D9" s="93">
        <v>10076890971</v>
      </c>
      <c r="E9" s="93" t="s">
        <v>114</v>
      </c>
      <c r="F9" s="8" t="s">
        <v>50</v>
      </c>
      <c r="G9" s="35"/>
    </row>
    <row r="10" spans="2:7">
      <c r="B10" s="3">
        <v>10</v>
      </c>
      <c r="C10" s="92" t="s">
        <v>174</v>
      </c>
      <c r="D10" s="93">
        <v>10075992208</v>
      </c>
      <c r="E10" s="93" t="s">
        <v>115</v>
      </c>
      <c r="F10" s="8" t="s">
        <v>50</v>
      </c>
      <c r="G10" s="35"/>
    </row>
    <row r="11" spans="2:7">
      <c r="B11" s="3">
        <v>12</v>
      </c>
      <c r="C11" s="92" t="s">
        <v>143</v>
      </c>
      <c r="D11" s="93">
        <v>10051220327</v>
      </c>
      <c r="E11" s="93" t="s">
        <v>175</v>
      </c>
      <c r="F11" s="8" t="s">
        <v>50</v>
      </c>
      <c r="G11" s="35"/>
    </row>
    <row r="12" spans="2:7">
      <c r="B12" s="3">
        <v>27</v>
      </c>
      <c r="C12" s="92" t="s">
        <v>180</v>
      </c>
      <c r="D12" s="93">
        <v>10103820090</v>
      </c>
      <c r="E12" s="93" t="s">
        <v>114</v>
      </c>
      <c r="F12" s="8" t="s">
        <v>50</v>
      </c>
      <c r="G12" s="35"/>
    </row>
    <row r="13" spans="2:7">
      <c r="B13" s="3">
        <v>13</v>
      </c>
      <c r="C13" s="92" t="s">
        <v>997</v>
      </c>
      <c r="D13" s="93">
        <v>10088970101</v>
      </c>
      <c r="E13" s="93" t="s">
        <v>1408</v>
      </c>
      <c r="F13" s="8" t="s">
        <v>50</v>
      </c>
      <c r="G13" s="35"/>
    </row>
    <row r="14" spans="2:7">
      <c r="B14" s="3">
        <v>30</v>
      </c>
      <c r="C14" s="92" t="s">
        <v>176</v>
      </c>
      <c r="D14" s="93">
        <v>10140483767</v>
      </c>
      <c r="E14" s="93" t="s">
        <v>85</v>
      </c>
      <c r="F14" s="8" t="s">
        <v>50</v>
      </c>
      <c r="G14" s="35"/>
    </row>
    <row r="15" spans="2:7">
      <c r="B15" s="3">
        <v>26</v>
      </c>
      <c r="C15" s="92" t="s">
        <v>1005</v>
      </c>
      <c r="D15" s="93">
        <v>10089547148</v>
      </c>
      <c r="E15" s="93" t="s">
        <v>114</v>
      </c>
      <c r="F15" s="8" t="s">
        <v>50</v>
      </c>
      <c r="G15" s="35"/>
    </row>
    <row r="16" spans="2:7">
      <c r="B16" s="3">
        <v>28</v>
      </c>
      <c r="C16" s="93" t="s">
        <v>186</v>
      </c>
      <c r="D16" s="93">
        <v>10120369001</v>
      </c>
      <c r="E16" s="92" t="s">
        <v>100</v>
      </c>
      <c r="F16" s="8" t="s">
        <v>50</v>
      </c>
      <c r="G16" s="35"/>
    </row>
    <row r="17" spans="2:7">
      <c r="B17" s="3">
        <v>29</v>
      </c>
      <c r="C17" s="92" t="s">
        <v>1006</v>
      </c>
      <c r="D17" s="93" t="s">
        <v>1264</v>
      </c>
      <c r="E17" s="93" t="s">
        <v>100</v>
      </c>
      <c r="F17" s="8" t="s">
        <v>50</v>
      </c>
      <c r="G17" s="35"/>
    </row>
    <row r="18" spans="2:7">
      <c r="B18" s="3">
        <v>37</v>
      </c>
      <c r="C18" s="92" t="s">
        <v>192</v>
      </c>
      <c r="D18" s="93">
        <v>10120252500</v>
      </c>
      <c r="E18" s="93" t="s">
        <v>1410</v>
      </c>
      <c r="F18" s="8" t="s">
        <v>50</v>
      </c>
      <c r="G18" s="35"/>
    </row>
    <row r="19" spans="2:7">
      <c r="B19" s="3">
        <v>35</v>
      </c>
      <c r="C19" s="92" t="s">
        <v>1011</v>
      </c>
      <c r="D19" s="93">
        <v>10113953358</v>
      </c>
      <c r="E19" s="93" t="s">
        <v>114</v>
      </c>
      <c r="F19" s="8" t="s">
        <v>50</v>
      </c>
      <c r="G19" s="35"/>
    </row>
    <row r="20" spans="2:7">
      <c r="B20" s="105">
        <v>39</v>
      </c>
      <c r="C20" s="93" t="s">
        <v>1411</v>
      </c>
      <c r="D20" s="93">
        <v>10109151656</v>
      </c>
      <c r="E20" s="92" t="s">
        <v>175</v>
      </c>
      <c r="F20" s="8" t="s">
        <v>50</v>
      </c>
      <c r="G20" s="35"/>
    </row>
    <row r="21" spans="2:7">
      <c r="B21" s="107">
        <v>40</v>
      </c>
      <c r="C21" s="92" t="s">
        <v>1412</v>
      </c>
      <c r="D21" s="93">
        <v>10154842595</v>
      </c>
      <c r="E21" s="92" t="s">
        <v>109</v>
      </c>
      <c r="F21" s="8" t="s">
        <v>50</v>
      </c>
      <c r="G21" s="35"/>
    </row>
    <row r="22" spans="2:7">
      <c r="B22" s="105">
        <v>41</v>
      </c>
      <c r="C22" s="92" t="s">
        <v>1450</v>
      </c>
      <c r="D22" s="93">
        <v>10113754005</v>
      </c>
      <c r="E22" s="93" t="s">
        <v>6</v>
      </c>
      <c r="F22" s="8" t="s">
        <v>50</v>
      </c>
      <c r="G22" s="35"/>
    </row>
    <row r="23" spans="2:7">
      <c r="B23" s="3"/>
      <c r="C23" s="92"/>
      <c r="D23" s="93"/>
      <c r="E23" s="93"/>
      <c r="F23" s="8" t="s">
        <v>50</v>
      </c>
      <c r="G23" s="35"/>
    </row>
    <row r="24" spans="2:7">
      <c r="B24" s="3"/>
      <c r="C24" s="92"/>
      <c r="D24" s="93"/>
      <c r="E24" s="93"/>
      <c r="F24" s="8" t="s">
        <v>50</v>
      </c>
      <c r="G24" s="35"/>
    </row>
    <row r="25" spans="2:7">
      <c r="B25" s="3"/>
      <c r="C25" s="93"/>
      <c r="D25" s="93"/>
      <c r="E25" s="92"/>
      <c r="F25" s="8" t="s">
        <v>50</v>
      </c>
      <c r="G25" s="35"/>
    </row>
    <row r="26" spans="2:7">
      <c r="B26" s="3"/>
      <c r="C26" s="97"/>
      <c r="D26" s="97"/>
      <c r="E26" s="94"/>
      <c r="F26" s="8" t="s">
        <v>50</v>
      </c>
      <c r="G26" s="35"/>
    </row>
    <row r="27" spans="2:7">
      <c r="B27" s="22"/>
      <c r="C27" s="97"/>
      <c r="D27" s="97"/>
      <c r="E27" s="94"/>
      <c r="F27" s="8" t="s">
        <v>50</v>
      </c>
      <c r="G27" s="35"/>
    </row>
    <row r="28" spans="2:7">
      <c r="B28" s="3"/>
      <c r="C28" s="92"/>
      <c r="D28" s="93"/>
      <c r="E28" s="93"/>
      <c r="F28" s="8" t="s">
        <v>50</v>
      </c>
      <c r="G28" s="35"/>
    </row>
    <row r="29" spans="2:7">
      <c r="B29" s="3"/>
      <c r="C29" s="92"/>
      <c r="D29" s="93"/>
      <c r="E29" s="93"/>
      <c r="F29" s="8" t="s">
        <v>50</v>
      </c>
      <c r="G29" s="35"/>
    </row>
    <row r="30" spans="2:7">
      <c r="B30" s="10"/>
      <c r="C30" s="8"/>
      <c r="D30" s="54"/>
      <c r="E30" s="54"/>
      <c r="F30" s="8" t="s">
        <v>50</v>
      </c>
      <c r="G30" s="35"/>
    </row>
    <row r="31" spans="2:7">
      <c r="B31" s="10"/>
      <c r="C31" s="8"/>
      <c r="D31" s="54"/>
      <c r="E31" s="54"/>
      <c r="F31" s="8" t="s">
        <v>50</v>
      </c>
      <c r="G31" s="35"/>
    </row>
    <row r="32" spans="2:7" ht="15.75">
      <c r="B32" s="40"/>
      <c r="C32" s="8"/>
      <c r="D32" s="54"/>
      <c r="E32" s="54"/>
      <c r="F32" s="8"/>
      <c r="G32" s="35"/>
    </row>
    <row r="33" spans="2:7">
      <c r="B33" s="3">
        <v>84</v>
      </c>
      <c r="C33" s="94" t="s">
        <v>1400</v>
      </c>
      <c r="D33" s="93">
        <v>10052898528</v>
      </c>
      <c r="E33" s="93" t="s">
        <v>1401</v>
      </c>
      <c r="F33" s="8" t="s">
        <v>51</v>
      </c>
      <c r="G33" s="35"/>
    </row>
    <row r="34" spans="2:7">
      <c r="B34" s="22">
        <v>85</v>
      </c>
      <c r="C34" s="94" t="s">
        <v>153</v>
      </c>
      <c r="D34" s="93">
        <v>10059847263</v>
      </c>
      <c r="E34" s="93" t="s">
        <v>1399</v>
      </c>
      <c r="F34" s="8" t="s">
        <v>51</v>
      </c>
      <c r="G34" s="35"/>
    </row>
    <row r="35" spans="2:7">
      <c r="B35" s="22">
        <v>91</v>
      </c>
      <c r="C35" s="94" t="s">
        <v>1026</v>
      </c>
      <c r="D35" s="93">
        <v>10077498132</v>
      </c>
      <c r="E35" s="93" t="s">
        <v>114</v>
      </c>
      <c r="F35" s="8" t="s">
        <v>51</v>
      </c>
      <c r="G35" s="35"/>
    </row>
    <row r="36" spans="2:7">
      <c r="B36" s="3">
        <v>92</v>
      </c>
      <c r="C36" s="94" t="s">
        <v>1027</v>
      </c>
      <c r="D36" s="93">
        <v>10077498435</v>
      </c>
      <c r="E36" s="93" t="s">
        <v>114</v>
      </c>
      <c r="F36" s="8" t="s">
        <v>51</v>
      </c>
      <c r="G36" s="35"/>
    </row>
    <row r="37" spans="2:7">
      <c r="B37" s="22">
        <v>87</v>
      </c>
      <c r="C37" s="94" t="s">
        <v>592</v>
      </c>
      <c r="D37" s="93">
        <v>10112699836</v>
      </c>
      <c r="E37" s="93" t="s">
        <v>138</v>
      </c>
      <c r="F37" s="8" t="s">
        <v>51</v>
      </c>
      <c r="G37" s="35"/>
    </row>
    <row r="38" spans="2:7">
      <c r="B38" s="3">
        <v>94</v>
      </c>
      <c r="C38" s="94" t="s">
        <v>1030</v>
      </c>
      <c r="D38" s="93">
        <v>10076571982</v>
      </c>
      <c r="E38" s="93" t="s">
        <v>139</v>
      </c>
      <c r="F38" s="8" t="s">
        <v>51</v>
      </c>
      <c r="G38" s="35"/>
    </row>
    <row r="39" spans="2:7">
      <c r="B39" s="22">
        <v>95</v>
      </c>
      <c r="C39" s="92" t="s">
        <v>203</v>
      </c>
      <c r="D39" s="93">
        <v>10120014242</v>
      </c>
      <c r="E39" s="93" t="s">
        <v>204</v>
      </c>
      <c r="F39" s="8" t="s">
        <v>51</v>
      </c>
      <c r="G39" s="35"/>
    </row>
    <row r="40" spans="2:7">
      <c r="B40" s="7"/>
      <c r="C40" s="8"/>
      <c r="D40" s="54"/>
      <c r="E40" s="54"/>
      <c r="F40" s="8" t="s">
        <v>51</v>
      </c>
      <c r="G40" s="35"/>
    </row>
    <row r="41" spans="2:7">
      <c r="B41" s="22"/>
      <c r="C41" s="94"/>
      <c r="D41" s="93"/>
      <c r="E41" s="93"/>
      <c r="F41" s="8" t="s">
        <v>51</v>
      </c>
      <c r="G41" s="35"/>
    </row>
    <row r="42" spans="2:7">
      <c r="B42" s="3"/>
      <c r="C42" s="94"/>
      <c r="D42" s="93"/>
      <c r="E42" s="93"/>
      <c r="F42" s="8" t="s">
        <v>51</v>
      </c>
      <c r="G42" s="35"/>
    </row>
    <row r="43" spans="2:7">
      <c r="B43" s="22"/>
      <c r="C43" s="94"/>
      <c r="D43" s="93"/>
      <c r="E43" s="93"/>
      <c r="F43" s="8" t="s">
        <v>51</v>
      </c>
      <c r="G43" s="35"/>
    </row>
    <row r="44" spans="2:7">
      <c r="B44" s="10"/>
      <c r="C44" s="8"/>
      <c r="D44" s="54"/>
      <c r="E44" s="54"/>
      <c r="F44" s="8"/>
      <c r="G44" s="35"/>
    </row>
    <row r="45" spans="2:7">
      <c r="B45" s="3">
        <v>103</v>
      </c>
      <c r="C45" s="92" t="s">
        <v>211</v>
      </c>
      <c r="D45" s="93">
        <v>10128933895</v>
      </c>
      <c r="E45" s="93" t="s">
        <v>868</v>
      </c>
      <c r="F45" s="8" t="s">
        <v>52</v>
      </c>
      <c r="G45" s="35"/>
    </row>
    <row r="46" spans="2:7">
      <c r="B46" s="3">
        <v>158</v>
      </c>
      <c r="C46" s="92" t="s">
        <v>1213</v>
      </c>
      <c r="D46" s="93">
        <v>10089728923</v>
      </c>
      <c r="E46" s="93" t="s">
        <v>868</v>
      </c>
      <c r="F46" s="8" t="s">
        <v>52</v>
      </c>
      <c r="G46" s="35"/>
    </row>
    <row r="47" spans="2:7">
      <c r="B47" s="3">
        <v>104</v>
      </c>
      <c r="C47" s="92" t="s">
        <v>1376</v>
      </c>
      <c r="D47" s="93">
        <v>10116215680</v>
      </c>
      <c r="E47" s="93" t="s">
        <v>114</v>
      </c>
      <c r="F47" s="8" t="s">
        <v>52</v>
      </c>
      <c r="G47" s="35"/>
    </row>
    <row r="48" spans="2:7">
      <c r="B48" s="3">
        <v>105</v>
      </c>
      <c r="C48" s="92" t="s">
        <v>213</v>
      </c>
      <c r="D48" s="93">
        <v>10141533185</v>
      </c>
      <c r="E48" s="93" t="s">
        <v>1398</v>
      </c>
      <c r="F48" s="8" t="s">
        <v>52</v>
      </c>
      <c r="G48" s="35"/>
    </row>
    <row r="49" spans="2:7">
      <c r="B49" s="3">
        <v>106</v>
      </c>
      <c r="C49" s="92" t="s">
        <v>240</v>
      </c>
      <c r="D49" s="93">
        <v>10119593506</v>
      </c>
      <c r="E49" s="93" t="s">
        <v>71</v>
      </c>
      <c r="F49" s="8" t="s">
        <v>52</v>
      </c>
      <c r="G49" s="35"/>
    </row>
    <row r="50" spans="2:7">
      <c r="B50" s="3">
        <v>109</v>
      </c>
      <c r="C50" s="92" t="s">
        <v>607</v>
      </c>
      <c r="D50" s="93">
        <v>10161160935</v>
      </c>
      <c r="E50" s="93" t="s">
        <v>1378</v>
      </c>
      <c r="F50" s="8" t="s">
        <v>52</v>
      </c>
      <c r="G50" s="35"/>
    </row>
    <row r="51" spans="2:7">
      <c r="B51" s="3">
        <v>107</v>
      </c>
      <c r="C51" s="92" t="s">
        <v>1380</v>
      </c>
      <c r="D51" s="93">
        <v>10171946426</v>
      </c>
      <c r="E51" s="93" t="s">
        <v>6</v>
      </c>
      <c r="F51" s="8" t="s">
        <v>52</v>
      </c>
      <c r="G51" s="35"/>
    </row>
    <row r="52" spans="2:7">
      <c r="B52" s="3">
        <v>112</v>
      </c>
      <c r="C52" s="92" t="s">
        <v>1041</v>
      </c>
      <c r="D52" s="93">
        <v>10164774385</v>
      </c>
      <c r="E52" s="93" t="s">
        <v>6</v>
      </c>
      <c r="F52" s="8" t="s">
        <v>52</v>
      </c>
      <c r="G52" s="35"/>
    </row>
    <row r="53" spans="2:7">
      <c r="B53" s="3">
        <v>108</v>
      </c>
      <c r="C53" s="92" t="s">
        <v>1391</v>
      </c>
      <c r="D53" s="93">
        <v>10152456092</v>
      </c>
      <c r="E53" s="93" t="s">
        <v>983</v>
      </c>
      <c r="F53" s="8" t="s">
        <v>52</v>
      </c>
      <c r="G53" s="35"/>
    </row>
    <row r="54" spans="2:7">
      <c r="B54" s="3">
        <v>110</v>
      </c>
      <c r="C54" s="92" t="s">
        <v>1381</v>
      </c>
      <c r="D54" s="93">
        <v>10131930286</v>
      </c>
      <c r="E54" s="93" t="s">
        <v>345</v>
      </c>
      <c r="F54" s="8" t="s">
        <v>52</v>
      </c>
      <c r="G54" s="35"/>
    </row>
    <row r="55" spans="2:7">
      <c r="B55" s="3">
        <v>114</v>
      </c>
      <c r="C55" s="92" t="s">
        <v>1043</v>
      </c>
      <c r="D55" s="93">
        <v>10165016683</v>
      </c>
      <c r="E55" s="93" t="s">
        <v>113</v>
      </c>
      <c r="F55" s="8" t="s">
        <v>52</v>
      </c>
      <c r="G55" s="35"/>
    </row>
    <row r="56" spans="2:7">
      <c r="B56" s="3">
        <v>120</v>
      </c>
      <c r="C56" s="92" t="s">
        <v>1383</v>
      </c>
      <c r="D56" s="93" t="s">
        <v>1384</v>
      </c>
      <c r="E56" s="93" t="s">
        <v>71</v>
      </c>
      <c r="F56" s="8" t="s">
        <v>52</v>
      </c>
      <c r="G56" s="35"/>
    </row>
    <row r="57" spans="2:7">
      <c r="B57" s="3">
        <v>121</v>
      </c>
      <c r="C57" s="92" t="s">
        <v>1048</v>
      </c>
      <c r="D57" s="93">
        <v>10142925440</v>
      </c>
      <c r="E57" s="93" t="s">
        <v>492</v>
      </c>
      <c r="F57" s="8" t="s">
        <v>52</v>
      </c>
      <c r="G57" s="35"/>
    </row>
    <row r="58" spans="2:7">
      <c r="B58" s="3">
        <v>160</v>
      </c>
      <c r="C58" s="92" t="s">
        <v>241</v>
      </c>
      <c r="D58" s="93">
        <v>10171940059</v>
      </c>
      <c r="E58" s="93" t="s">
        <v>204</v>
      </c>
      <c r="F58" s="8" t="s">
        <v>52</v>
      </c>
      <c r="G58" s="35"/>
    </row>
    <row r="59" spans="2:7">
      <c r="B59" s="3">
        <v>142</v>
      </c>
      <c r="C59" s="92" t="s">
        <v>1379</v>
      </c>
      <c r="D59" s="93">
        <v>10126142117</v>
      </c>
      <c r="E59" s="93" t="s">
        <v>625</v>
      </c>
      <c r="F59" s="8" t="s">
        <v>52</v>
      </c>
      <c r="G59" s="35"/>
    </row>
    <row r="60" spans="2:7">
      <c r="B60" s="3">
        <v>125</v>
      </c>
      <c r="C60" s="92" t="s">
        <v>1451</v>
      </c>
      <c r="D60" s="93">
        <v>10171432932</v>
      </c>
      <c r="E60" s="93" t="s">
        <v>1452</v>
      </c>
      <c r="F60" s="8" t="s">
        <v>52</v>
      </c>
      <c r="G60" s="35"/>
    </row>
    <row r="61" spans="2:7">
      <c r="B61" s="3">
        <v>126</v>
      </c>
      <c r="C61" s="92" t="s">
        <v>1055</v>
      </c>
      <c r="D61" s="93">
        <v>10151269157</v>
      </c>
      <c r="E61" s="93" t="s">
        <v>1218</v>
      </c>
      <c r="F61" s="8" t="s">
        <v>52</v>
      </c>
      <c r="G61" s="35"/>
    </row>
    <row r="62" spans="2:7">
      <c r="B62" s="3">
        <v>122</v>
      </c>
      <c r="C62" s="92" t="s">
        <v>261</v>
      </c>
      <c r="D62" s="93">
        <v>10133141372</v>
      </c>
      <c r="E62" s="93" t="s">
        <v>1382</v>
      </c>
      <c r="F62" s="8" t="s">
        <v>52</v>
      </c>
      <c r="G62" s="35"/>
    </row>
    <row r="63" spans="2:7">
      <c r="B63" s="3">
        <v>119</v>
      </c>
      <c r="C63" s="92" t="s">
        <v>243</v>
      </c>
      <c r="D63" s="93" t="s">
        <v>66</v>
      </c>
      <c r="E63" s="93" t="s">
        <v>84</v>
      </c>
      <c r="F63" s="8" t="s">
        <v>52</v>
      </c>
      <c r="G63" s="35"/>
    </row>
    <row r="64" spans="2:7">
      <c r="B64" s="3">
        <v>162</v>
      </c>
      <c r="C64" s="92" t="s">
        <v>611</v>
      </c>
      <c r="D64" s="93">
        <v>10161111728</v>
      </c>
      <c r="E64" s="93" t="s">
        <v>135</v>
      </c>
      <c r="F64" s="8" t="s">
        <v>52</v>
      </c>
      <c r="G64" s="35"/>
    </row>
    <row r="65" spans="2:7">
      <c r="B65" s="3">
        <v>163</v>
      </c>
      <c r="C65" s="92" t="s">
        <v>225</v>
      </c>
      <c r="D65" s="93">
        <v>11543</v>
      </c>
      <c r="E65" s="93" t="s">
        <v>226</v>
      </c>
      <c r="F65" s="8" t="s">
        <v>52</v>
      </c>
      <c r="G65" s="35"/>
    </row>
    <row r="66" spans="2:7">
      <c r="B66" s="105">
        <v>166</v>
      </c>
      <c r="C66" s="92" t="s">
        <v>233</v>
      </c>
      <c r="D66" s="93">
        <v>10131783069</v>
      </c>
      <c r="E66" s="93" t="s">
        <v>84</v>
      </c>
      <c r="F66" s="8" t="s">
        <v>52</v>
      </c>
      <c r="G66" s="35"/>
    </row>
    <row r="67" spans="2:7">
      <c r="B67" s="3">
        <v>161</v>
      </c>
      <c r="C67" s="92" t="s">
        <v>1389</v>
      </c>
      <c r="D67" s="93">
        <v>10152284728</v>
      </c>
      <c r="E67" s="93" t="s">
        <v>1390</v>
      </c>
      <c r="F67" s="8" t="s">
        <v>52</v>
      </c>
      <c r="G67" s="35"/>
    </row>
    <row r="68" spans="2:7">
      <c r="B68" s="3">
        <v>147</v>
      </c>
      <c r="C68" s="92" t="s">
        <v>266</v>
      </c>
      <c r="D68" s="93">
        <v>10173505601</v>
      </c>
      <c r="E68" s="93" t="s">
        <v>115</v>
      </c>
      <c r="F68" s="8" t="s">
        <v>52</v>
      </c>
      <c r="G68" s="35"/>
    </row>
    <row r="69" spans="2:7">
      <c r="B69" s="3">
        <v>118</v>
      </c>
      <c r="C69" s="92" t="s">
        <v>1385</v>
      </c>
      <c r="D69" s="93">
        <v>10170820014</v>
      </c>
      <c r="E69" s="93" t="s">
        <v>285</v>
      </c>
      <c r="F69" s="8" t="s">
        <v>52</v>
      </c>
      <c r="G69" s="35"/>
    </row>
    <row r="70" spans="2:7">
      <c r="B70" s="105">
        <v>167</v>
      </c>
      <c r="C70" s="92" t="s">
        <v>1396</v>
      </c>
      <c r="D70" s="93">
        <v>10152458823</v>
      </c>
      <c r="E70" s="93" t="s">
        <v>177</v>
      </c>
      <c r="F70" s="8" t="s">
        <v>52</v>
      </c>
      <c r="G70" s="35"/>
    </row>
    <row r="71" spans="2:7">
      <c r="B71" s="105">
        <v>168</v>
      </c>
      <c r="C71" s="92" t="s">
        <v>1392</v>
      </c>
      <c r="D71" s="93">
        <v>10168944678</v>
      </c>
      <c r="E71" s="93" t="s">
        <v>109</v>
      </c>
      <c r="F71" s="8" t="s">
        <v>52</v>
      </c>
      <c r="G71" s="35"/>
    </row>
    <row r="72" spans="2:7">
      <c r="B72" s="3">
        <v>124</v>
      </c>
      <c r="C72" s="92" t="s">
        <v>218</v>
      </c>
      <c r="D72" s="93">
        <v>10171656234</v>
      </c>
      <c r="E72" s="93" t="s">
        <v>113</v>
      </c>
      <c r="F72" s="8" t="s">
        <v>52</v>
      </c>
      <c r="G72" s="35"/>
    </row>
    <row r="73" spans="2:7">
      <c r="B73" s="3">
        <v>143</v>
      </c>
      <c r="C73" s="92" t="s">
        <v>1393</v>
      </c>
      <c r="D73" s="93">
        <v>10166647596</v>
      </c>
      <c r="E73" s="93" t="s">
        <v>390</v>
      </c>
      <c r="F73" s="8" t="s">
        <v>52</v>
      </c>
      <c r="G73" s="35"/>
    </row>
    <row r="74" spans="2:7">
      <c r="B74" s="3">
        <v>164</v>
      </c>
      <c r="C74" s="92" t="s">
        <v>1395</v>
      </c>
      <c r="D74" s="93">
        <v>10164035670</v>
      </c>
      <c r="E74" s="93" t="s">
        <v>155</v>
      </c>
      <c r="F74" s="8" t="s">
        <v>52</v>
      </c>
      <c r="G74" s="35"/>
    </row>
    <row r="75" spans="2:7">
      <c r="B75" s="3">
        <v>165</v>
      </c>
      <c r="C75" s="92" t="s">
        <v>1397</v>
      </c>
      <c r="D75" s="93">
        <v>10129953611</v>
      </c>
      <c r="E75" s="93" t="s">
        <v>726</v>
      </c>
      <c r="F75" s="8" t="s">
        <v>52</v>
      </c>
      <c r="G75" s="35"/>
    </row>
    <row r="76" spans="2:7">
      <c r="B76" s="105">
        <v>169</v>
      </c>
      <c r="C76" s="92" t="s">
        <v>1394</v>
      </c>
      <c r="D76" s="93">
        <v>765065370</v>
      </c>
      <c r="E76" s="93" t="s">
        <v>1313</v>
      </c>
      <c r="F76" s="8" t="s">
        <v>52</v>
      </c>
      <c r="G76" s="35"/>
    </row>
    <row r="77" spans="2:7">
      <c r="B77" s="105">
        <v>170</v>
      </c>
      <c r="C77" s="92" t="s">
        <v>1386</v>
      </c>
      <c r="D77" s="93" t="s">
        <v>1387</v>
      </c>
      <c r="E77" s="93" t="s">
        <v>1388</v>
      </c>
      <c r="F77" s="8" t="s">
        <v>52</v>
      </c>
      <c r="G77" s="35"/>
    </row>
    <row r="78" spans="2:7">
      <c r="B78" s="105">
        <v>171</v>
      </c>
      <c r="C78" s="92" t="s">
        <v>1377</v>
      </c>
      <c r="D78" s="93">
        <v>12311</v>
      </c>
      <c r="E78" s="93" t="s">
        <v>983</v>
      </c>
      <c r="F78" s="8" t="s">
        <v>52</v>
      </c>
      <c r="G78" s="35"/>
    </row>
    <row r="79" spans="2:7">
      <c r="B79" s="3"/>
      <c r="C79" s="92"/>
      <c r="D79" s="93"/>
      <c r="E79" s="93"/>
      <c r="F79" s="8" t="s">
        <v>52</v>
      </c>
      <c r="G79" s="35"/>
    </row>
    <row r="80" spans="2:7">
      <c r="B80" s="3"/>
      <c r="C80" s="92"/>
      <c r="D80" s="93"/>
      <c r="E80" s="93"/>
      <c r="F80" s="8" t="s">
        <v>52</v>
      </c>
      <c r="G80" s="35"/>
    </row>
    <row r="81" spans="2:7">
      <c r="B81" s="3"/>
      <c r="C81" s="92"/>
      <c r="D81" s="93"/>
      <c r="E81" s="93"/>
      <c r="F81" s="8" t="s">
        <v>52</v>
      </c>
      <c r="G81" s="35"/>
    </row>
    <row r="82" spans="2:7">
      <c r="B82" s="3"/>
      <c r="C82" s="92"/>
      <c r="D82" s="93"/>
      <c r="E82" s="93"/>
      <c r="F82" s="8" t="s">
        <v>52</v>
      </c>
      <c r="G82" s="35"/>
    </row>
    <row r="83" spans="2:7">
      <c r="B83" s="3"/>
      <c r="C83" s="92"/>
      <c r="D83" s="93"/>
      <c r="E83" s="93"/>
      <c r="F83" s="8" t="s">
        <v>52</v>
      </c>
      <c r="G83" s="35"/>
    </row>
    <row r="84" spans="2:7">
      <c r="B84" s="3"/>
      <c r="C84" s="92"/>
      <c r="D84" s="93"/>
      <c r="E84" s="93"/>
      <c r="F84" s="8" t="s">
        <v>52</v>
      </c>
      <c r="G84" s="35"/>
    </row>
    <row r="85" spans="2:7">
      <c r="B85" s="3"/>
      <c r="C85" s="92"/>
      <c r="D85" s="93"/>
      <c r="E85" s="93"/>
      <c r="F85" s="8" t="s">
        <v>52</v>
      </c>
      <c r="G85" s="35"/>
    </row>
    <row r="86" spans="2:7">
      <c r="B86" s="3"/>
      <c r="C86" s="92"/>
      <c r="D86" s="93"/>
      <c r="E86" s="93"/>
      <c r="F86" s="8" t="s">
        <v>52</v>
      </c>
      <c r="G86" s="35"/>
    </row>
    <row r="87" spans="2:7">
      <c r="B87" s="3"/>
      <c r="C87" s="92"/>
      <c r="D87" s="93"/>
      <c r="E87" s="93"/>
      <c r="F87" s="8" t="s">
        <v>52</v>
      </c>
      <c r="G87" s="35"/>
    </row>
    <row r="88" spans="2:7">
      <c r="B88" s="3"/>
      <c r="C88" s="92"/>
      <c r="D88" s="93"/>
      <c r="E88" s="93"/>
      <c r="F88" s="8" t="s">
        <v>52</v>
      </c>
      <c r="G88" s="35"/>
    </row>
    <row r="89" spans="2:7">
      <c r="B89" s="3"/>
      <c r="C89" s="92"/>
      <c r="D89" s="93"/>
      <c r="E89" s="93"/>
      <c r="F89" s="8" t="s">
        <v>52</v>
      </c>
      <c r="G89" s="35"/>
    </row>
    <row r="90" spans="2:7">
      <c r="B90" s="3"/>
      <c r="C90" s="92"/>
      <c r="D90" s="93"/>
      <c r="E90" s="93"/>
      <c r="F90" s="8" t="s">
        <v>52</v>
      </c>
      <c r="G90" s="35"/>
    </row>
    <row r="91" spans="2:7">
      <c r="B91" s="3"/>
      <c r="C91" s="92"/>
      <c r="D91" s="93"/>
      <c r="E91" s="93"/>
      <c r="F91" s="8" t="s">
        <v>52</v>
      </c>
      <c r="G91" s="35"/>
    </row>
    <row r="92" spans="2:7">
      <c r="B92" s="3"/>
      <c r="C92" s="92"/>
      <c r="D92" s="93"/>
      <c r="E92" s="93"/>
      <c r="F92" s="8" t="s">
        <v>52</v>
      </c>
      <c r="G92" s="35"/>
    </row>
    <row r="93" spans="2:7">
      <c r="B93" s="3"/>
      <c r="C93" s="92"/>
      <c r="D93" s="93"/>
      <c r="E93" s="93"/>
      <c r="F93" s="8" t="s">
        <v>52</v>
      </c>
      <c r="G93" s="35"/>
    </row>
    <row r="94" spans="2:7">
      <c r="B94" s="3"/>
      <c r="C94" s="92"/>
      <c r="D94" s="93"/>
      <c r="E94" s="93"/>
      <c r="F94" s="8"/>
      <c r="G94" s="35"/>
    </row>
    <row r="95" spans="2:7">
      <c r="B95" s="3">
        <v>263</v>
      </c>
      <c r="C95" s="92" t="s">
        <v>1402</v>
      </c>
      <c r="D95" s="93">
        <v>10122460056</v>
      </c>
      <c r="E95" s="93" t="s">
        <v>868</v>
      </c>
      <c r="F95" s="8" t="s">
        <v>53</v>
      </c>
      <c r="G95" s="35"/>
    </row>
    <row r="96" spans="2:7">
      <c r="B96" s="3">
        <v>264</v>
      </c>
      <c r="C96" s="92" t="s">
        <v>269</v>
      </c>
      <c r="D96" s="93">
        <v>10141535916</v>
      </c>
      <c r="E96" s="93" t="s">
        <v>647</v>
      </c>
      <c r="F96" s="8" t="s">
        <v>53</v>
      </c>
      <c r="G96" s="35"/>
    </row>
    <row r="97" spans="2:7">
      <c r="B97" s="3">
        <v>265</v>
      </c>
      <c r="C97" s="92" t="s">
        <v>1403</v>
      </c>
      <c r="D97" s="93">
        <v>10164933831</v>
      </c>
      <c r="E97" s="93" t="s">
        <v>133</v>
      </c>
      <c r="F97" s="8" t="s">
        <v>53</v>
      </c>
      <c r="G97" s="35"/>
    </row>
    <row r="98" spans="2:7">
      <c r="B98" s="105">
        <v>266</v>
      </c>
      <c r="C98" s="92" t="s">
        <v>271</v>
      </c>
      <c r="D98" s="93">
        <v>10103913858</v>
      </c>
      <c r="E98" s="93" t="s">
        <v>137</v>
      </c>
      <c r="F98" s="8" t="s">
        <v>53</v>
      </c>
      <c r="G98" s="35"/>
    </row>
    <row r="99" spans="2:7">
      <c r="B99" s="105">
        <v>267</v>
      </c>
      <c r="C99" s="92" t="s">
        <v>1453</v>
      </c>
      <c r="D99" s="93" t="s">
        <v>66</v>
      </c>
      <c r="E99" s="93" t="s">
        <v>1454</v>
      </c>
      <c r="F99" s="8" t="s">
        <v>53</v>
      </c>
      <c r="G99" s="35"/>
    </row>
    <row r="100" spans="2:7">
      <c r="B100" s="22"/>
      <c r="C100" s="92"/>
      <c r="D100" s="93"/>
      <c r="E100" s="93"/>
      <c r="F100" s="8"/>
      <c r="G100" s="35"/>
    </row>
    <row r="101" spans="2:7">
      <c r="B101" s="22">
        <v>301</v>
      </c>
      <c r="C101" s="92" t="s">
        <v>272</v>
      </c>
      <c r="D101" s="93">
        <v>120760930</v>
      </c>
      <c r="E101" s="93" t="s">
        <v>114</v>
      </c>
      <c r="F101" s="8" t="s">
        <v>54</v>
      </c>
      <c r="G101" s="35"/>
    </row>
    <row r="102" spans="2:7">
      <c r="B102" s="22">
        <v>307</v>
      </c>
      <c r="C102" s="23" t="s">
        <v>280</v>
      </c>
      <c r="D102" s="60">
        <v>10153824200</v>
      </c>
      <c r="E102" s="93" t="s">
        <v>113</v>
      </c>
      <c r="F102" s="8" t="s">
        <v>54</v>
      </c>
      <c r="G102" s="35"/>
    </row>
    <row r="103" spans="2:7">
      <c r="B103" s="22">
        <v>311</v>
      </c>
      <c r="C103" s="92" t="s">
        <v>1352</v>
      </c>
      <c r="D103" s="93">
        <v>10128424344</v>
      </c>
      <c r="E103" s="92" t="s">
        <v>113</v>
      </c>
      <c r="F103" s="8" t="s">
        <v>54</v>
      </c>
      <c r="G103" s="35"/>
    </row>
    <row r="104" spans="2:7">
      <c r="B104" s="22">
        <v>302</v>
      </c>
      <c r="C104" s="92" t="s">
        <v>976</v>
      </c>
      <c r="D104" s="93">
        <v>10128933895</v>
      </c>
      <c r="E104" s="93" t="s">
        <v>114</v>
      </c>
      <c r="F104" s="8" t="s">
        <v>54</v>
      </c>
      <c r="G104" s="35"/>
    </row>
    <row r="105" spans="2:7">
      <c r="B105" s="22">
        <v>303</v>
      </c>
      <c r="C105" s="92" t="s">
        <v>1356</v>
      </c>
      <c r="D105" s="93">
        <v>10152378694</v>
      </c>
      <c r="E105" s="93" t="s">
        <v>759</v>
      </c>
      <c r="F105" s="8" t="s">
        <v>54</v>
      </c>
      <c r="G105" s="35"/>
    </row>
    <row r="106" spans="2:7">
      <c r="B106" s="22">
        <v>304</v>
      </c>
      <c r="C106" s="92" t="s">
        <v>1365</v>
      </c>
      <c r="D106" s="93">
        <v>10156150681</v>
      </c>
      <c r="E106" s="93" t="s">
        <v>175</v>
      </c>
      <c r="F106" s="8" t="s">
        <v>54</v>
      </c>
      <c r="G106" s="35"/>
    </row>
    <row r="107" spans="2:7">
      <c r="B107" s="22">
        <v>321</v>
      </c>
      <c r="C107" s="92" t="s">
        <v>1357</v>
      </c>
      <c r="D107" s="93" t="s">
        <v>66</v>
      </c>
      <c r="E107" s="92" t="s">
        <v>71</v>
      </c>
      <c r="F107" s="8" t="s">
        <v>54</v>
      </c>
      <c r="G107" s="35"/>
    </row>
    <row r="108" spans="2:7">
      <c r="B108" s="22">
        <v>333</v>
      </c>
      <c r="C108" s="92" t="s">
        <v>1360</v>
      </c>
      <c r="D108" s="93" t="s">
        <v>1361</v>
      </c>
      <c r="E108" s="93" t="s">
        <v>71</v>
      </c>
      <c r="F108" s="8" t="s">
        <v>54</v>
      </c>
      <c r="G108" s="35"/>
    </row>
    <row r="109" spans="2:7">
      <c r="B109" s="22">
        <v>337</v>
      </c>
      <c r="C109" s="92" t="s">
        <v>322</v>
      </c>
      <c r="D109" s="93">
        <v>10173459020</v>
      </c>
      <c r="E109" s="93" t="s">
        <v>138</v>
      </c>
      <c r="F109" s="8" t="s">
        <v>54</v>
      </c>
      <c r="G109" s="35"/>
    </row>
    <row r="110" spans="2:7">
      <c r="B110" s="22">
        <v>327</v>
      </c>
      <c r="C110" s="92" t="s">
        <v>1353</v>
      </c>
      <c r="D110" s="93">
        <v>10171445864</v>
      </c>
      <c r="E110" s="93" t="s">
        <v>1184</v>
      </c>
      <c r="F110" s="8" t="s">
        <v>54</v>
      </c>
      <c r="G110" s="35"/>
    </row>
    <row r="111" spans="2:7">
      <c r="B111" s="22">
        <v>314</v>
      </c>
      <c r="C111" s="92" t="s">
        <v>288</v>
      </c>
      <c r="D111" s="93">
        <v>10164592614</v>
      </c>
      <c r="E111" s="93" t="s">
        <v>113</v>
      </c>
      <c r="F111" s="8" t="s">
        <v>54</v>
      </c>
      <c r="G111" s="35"/>
    </row>
    <row r="112" spans="2:7">
      <c r="B112" s="22">
        <v>305</v>
      </c>
      <c r="C112" s="92" t="s">
        <v>277</v>
      </c>
      <c r="D112" s="93">
        <v>10152909669</v>
      </c>
      <c r="E112" s="93" t="s">
        <v>278</v>
      </c>
      <c r="F112" s="8" t="s">
        <v>54</v>
      </c>
      <c r="G112" s="35"/>
    </row>
    <row r="113" spans="2:7">
      <c r="B113" s="22">
        <v>309</v>
      </c>
      <c r="C113" s="92" t="s">
        <v>1367</v>
      </c>
      <c r="D113" s="93" t="s">
        <v>1264</v>
      </c>
      <c r="E113" s="93" t="s">
        <v>1368</v>
      </c>
      <c r="F113" s="8" t="s">
        <v>54</v>
      </c>
      <c r="G113" s="35"/>
    </row>
    <row r="114" spans="2:7">
      <c r="B114" s="22">
        <v>319</v>
      </c>
      <c r="C114" s="92" t="s">
        <v>293</v>
      </c>
      <c r="D114" s="93" t="s">
        <v>1359</v>
      </c>
      <c r="E114" s="92" t="s">
        <v>130</v>
      </c>
      <c r="F114" s="8" t="s">
        <v>54</v>
      </c>
      <c r="G114" s="35"/>
    </row>
    <row r="115" spans="2:7">
      <c r="B115" s="22">
        <v>326</v>
      </c>
      <c r="C115" s="92" t="s">
        <v>672</v>
      </c>
      <c r="D115" s="93" t="s">
        <v>1354</v>
      </c>
      <c r="E115" s="93" t="s">
        <v>1355</v>
      </c>
      <c r="F115" s="8" t="s">
        <v>54</v>
      </c>
      <c r="G115" s="35"/>
    </row>
    <row r="116" spans="2:7">
      <c r="B116" s="22">
        <v>310</v>
      </c>
      <c r="C116" s="92" t="s">
        <v>1363</v>
      </c>
      <c r="D116" s="93">
        <v>10140942495</v>
      </c>
      <c r="E116" s="93" t="s">
        <v>113</v>
      </c>
      <c r="F116" s="8" t="s">
        <v>54</v>
      </c>
      <c r="G116" s="35"/>
    </row>
    <row r="117" spans="2:7">
      <c r="B117" s="22">
        <v>336</v>
      </c>
      <c r="C117" s="92" t="s">
        <v>320</v>
      </c>
      <c r="D117" s="93">
        <v>10173205507</v>
      </c>
      <c r="E117" s="92" t="s">
        <v>321</v>
      </c>
      <c r="F117" s="8" t="s">
        <v>54</v>
      </c>
      <c r="G117" s="35"/>
    </row>
    <row r="118" spans="2:7">
      <c r="B118" s="22">
        <v>306</v>
      </c>
      <c r="C118" s="92" t="s">
        <v>279</v>
      </c>
      <c r="D118" s="93">
        <v>43223</v>
      </c>
      <c r="E118" s="93" t="s">
        <v>285</v>
      </c>
      <c r="F118" s="8" t="s">
        <v>54</v>
      </c>
      <c r="G118" s="35"/>
    </row>
    <row r="119" spans="2:7">
      <c r="B119" s="22">
        <v>332</v>
      </c>
      <c r="C119" s="92" t="s">
        <v>313</v>
      </c>
      <c r="D119" s="93">
        <v>10166671242</v>
      </c>
      <c r="E119" s="93" t="s">
        <v>6</v>
      </c>
      <c r="F119" s="8" t="s">
        <v>54</v>
      </c>
      <c r="G119" s="35"/>
    </row>
    <row r="120" spans="2:7">
      <c r="B120" s="22">
        <v>342</v>
      </c>
      <c r="C120" s="92" t="s">
        <v>1362</v>
      </c>
      <c r="D120" s="93">
        <v>10166012652</v>
      </c>
      <c r="E120" s="93" t="s">
        <v>315</v>
      </c>
      <c r="F120" s="8" t="s">
        <v>54</v>
      </c>
      <c r="G120" s="35"/>
    </row>
    <row r="121" spans="2:7">
      <c r="B121" s="22">
        <v>316</v>
      </c>
      <c r="C121" s="92" t="s">
        <v>290</v>
      </c>
      <c r="D121" s="93" t="s">
        <v>66</v>
      </c>
      <c r="E121" s="93" t="s">
        <v>84</v>
      </c>
      <c r="F121" s="8" t="s">
        <v>54</v>
      </c>
      <c r="G121" s="35"/>
    </row>
    <row r="122" spans="2:7">
      <c r="B122" s="22">
        <v>343</v>
      </c>
      <c r="C122" s="92" t="s">
        <v>678</v>
      </c>
      <c r="D122" s="93" t="s">
        <v>1264</v>
      </c>
      <c r="E122" s="93" t="s">
        <v>112</v>
      </c>
      <c r="F122" s="8" t="s">
        <v>54</v>
      </c>
      <c r="G122" s="35"/>
    </row>
    <row r="123" spans="2:7">
      <c r="B123" s="22">
        <v>348</v>
      </c>
      <c r="C123" s="92" t="s">
        <v>970</v>
      </c>
      <c r="D123" s="93">
        <v>10165439746</v>
      </c>
      <c r="E123" s="93" t="s">
        <v>1358</v>
      </c>
      <c r="F123" s="8" t="s">
        <v>54</v>
      </c>
      <c r="G123" s="35"/>
    </row>
    <row r="124" spans="2:7">
      <c r="B124" s="22">
        <v>320</v>
      </c>
      <c r="C124" s="92" t="s">
        <v>295</v>
      </c>
      <c r="D124" s="93">
        <v>10136994902</v>
      </c>
      <c r="E124" s="93" t="s">
        <v>381</v>
      </c>
      <c r="F124" s="8" t="s">
        <v>54</v>
      </c>
      <c r="G124" s="35"/>
    </row>
    <row r="125" spans="2:7">
      <c r="B125" s="22">
        <v>341</v>
      </c>
      <c r="C125" s="23" t="s">
        <v>973</v>
      </c>
      <c r="D125" s="60">
        <v>209350007</v>
      </c>
      <c r="E125" s="93" t="s">
        <v>65</v>
      </c>
      <c r="F125" s="8" t="s">
        <v>54</v>
      </c>
      <c r="G125" s="35"/>
    </row>
    <row r="126" spans="2:7">
      <c r="B126" s="22">
        <v>346</v>
      </c>
      <c r="C126" s="92" t="s">
        <v>682</v>
      </c>
      <c r="D126" s="93">
        <v>10127119086</v>
      </c>
      <c r="E126" s="93" t="s">
        <v>1351</v>
      </c>
      <c r="F126" s="8" t="s">
        <v>54</v>
      </c>
      <c r="G126" s="35"/>
    </row>
    <row r="127" spans="2:7">
      <c r="B127" s="22">
        <v>329</v>
      </c>
      <c r="C127" s="92" t="s">
        <v>1364</v>
      </c>
      <c r="D127" s="93">
        <v>10144442579</v>
      </c>
      <c r="E127" s="93" t="s">
        <v>130</v>
      </c>
      <c r="F127" s="8" t="s">
        <v>54</v>
      </c>
      <c r="G127" s="35"/>
    </row>
    <row r="128" spans="2:7">
      <c r="B128" s="22">
        <v>317</v>
      </c>
      <c r="C128" s="23" t="s">
        <v>291</v>
      </c>
      <c r="D128" s="93" t="s">
        <v>66</v>
      </c>
      <c r="E128" s="93" t="s">
        <v>84</v>
      </c>
      <c r="F128" s="8" t="s">
        <v>54</v>
      </c>
      <c r="G128" s="35"/>
    </row>
    <row r="129" spans="2:7">
      <c r="B129" s="22">
        <v>324</v>
      </c>
      <c r="C129" s="92" t="s">
        <v>670</v>
      </c>
      <c r="D129" s="93">
        <v>10161110819</v>
      </c>
      <c r="E129" s="93" t="s">
        <v>962</v>
      </c>
      <c r="F129" s="8" t="s">
        <v>54</v>
      </c>
      <c r="G129" s="35"/>
    </row>
    <row r="130" spans="2:7">
      <c r="B130" s="22">
        <v>340</v>
      </c>
      <c r="C130" s="92" t="s">
        <v>1370</v>
      </c>
      <c r="D130" s="93">
        <v>10166711557</v>
      </c>
      <c r="E130" s="93" t="s">
        <v>390</v>
      </c>
      <c r="F130" s="8" t="s">
        <v>54</v>
      </c>
      <c r="G130" s="35"/>
    </row>
    <row r="131" spans="2:7">
      <c r="B131" s="22">
        <v>351</v>
      </c>
      <c r="C131" s="92" t="s">
        <v>1373</v>
      </c>
      <c r="D131" s="93">
        <v>10152378795</v>
      </c>
      <c r="E131" s="92" t="s">
        <v>65</v>
      </c>
      <c r="F131" s="8" t="s">
        <v>54</v>
      </c>
      <c r="G131" s="35"/>
    </row>
    <row r="132" spans="2:7">
      <c r="B132" s="22">
        <v>352</v>
      </c>
      <c r="C132" s="92" t="s">
        <v>1259</v>
      </c>
      <c r="D132" s="93" t="s">
        <v>66</v>
      </c>
      <c r="E132" s="93" t="s">
        <v>84</v>
      </c>
      <c r="F132" s="8" t="s">
        <v>54</v>
      </c>
      <c r="G132" s="35"/>
    </row>
    <row r="133" spans="2:7">
      <c r="B133" s="22">
        <v>312</v>
      </c>
      <c r="C133" s="92" t="s">
        <v>1369</v>
      </c>
      <c r="D133" s="93">
        <v>10162918251</v>
      </c>
      <c r="E133" s="93" t="s">
        <v>903</v>
      </c>
      <c r="F133" s="8" t="s">
        <v>54</v>
      </c>
      <c r="G133" s="35"/>
    </row>
    <row r="134" spans="2:7">
      <c r="B134" s="107">
        <v>353</v>
      </c>
      <c r="C134" s="92" t="s">
        <v>1371</v>
      </c>
      <c r="D134" s="93">
        <v>10162144574</v>
      </c>
      <c r="E134" s="93" t="s">
        <v>63</v>
      </c>
      <c r="F134" s="8" t="s">
        <v>54</v>
      </c>
      <c r="G134" s="35"/>
    </row>
    <row r="135" spans="2:7">
      <c r="B135" s="107">
        <v>354</v>
      </c>
      <c r="C135" s="92" t="s">
        <v>1372</v>
      </c>
      <c r="D135" s="93">
        <v>10176535536</v>
      </c>
      <c r="E135" s="93" t="s">
        <v>131</v>
      </c>
      <c r="F135" s="8" t="s">
        <v>54</v>
      </c>
      <c r="G135" s="35"/>
    </row>
    <row r="136" spans="2:7">
      <c r="B136" s="107">
        <v>355</v>
      </c>
      <c r="C136" s="23" t="s">
        <v>1366</v>
      </c>
      <c r="D136" s="93">
        <v>10170089480</v>
      </c>
      <c r="E136" s="93" t="s">
        <v>943</v>
      </c>
      <c r="F136" s="8" t="s">
        <v>54</v>
      </c>
      <c r="G136" s="35"/>
    </row>
    <row r="137" spans="2:7" ht="29.25">
      <c r="B137" s="107">
        <v>356</v>
      </c>
      <c r="C137" s="23" t="s">
        <v>1374</v>
      </c>
      <c r="D137" s="60" t="s">
        <v>1375</v>
      </c>
      <c r="E137" s="93" t="s">
        <v>131</v>
      </c>
      <c r="F137" s="8" t="s">
        <v>54</v>
      </c>
      <c r="G137" s="35"/>
    </row>
    <row r="138" spans="2:7">
      <c r="B138" s="107">
        <v>357</v>
      </c>
      <c r="C138" s="92" t="s">
        <v>1455</v>
      </c>
      <c r="D138" s="93" t="s">
        <v>1292</v>
      </c>
      <c r="E138" s="92" t="s">
        <v>1445</v>
      </c>
      <c r="F138" s="8" t="s">
        <v>54</v>
      </c>
      <c r="G138" s="35"/>
    </row>
    <row r="139" spans="2:7">
      <c r="B139" s="22"/>
      <c r="C139" s="92"/>
      <c r="D139" s="93"/>
      <c r="E139" s="92"/>
      <c r="F139" s="8" t="s">
        <v>54</v>
      </c>
      <c r="G139" s="35"/>
    </row>
    <row r="140" spans="2:7">
      <c r="B140" s="22"/>
      <c r="C140" s="92"/>
      <c r="D140" s="93"/>
      <c r="E140" s="93"/>
      <c r="F140" s="8" t="s">
        <v>54</v>
      </c>
      <c r="G140" s="35"/>
    </row>
    <row r="141" spans="2:7">
      <c r="B141" s="22"/>
      <c r="C141" s="23"/>
      <c r="D141" s="93"/>
      <c r="E141" s="93"/>
      <c r="F141" s="8" t="s">
        <v>54</v>
      </c>
      <c r="G141" s="35"/>
    </row>
    <row r="142" spans="2:7">
      <c r="B142" s="22"/>
      <c r="C142" s="23"/>
      <c r="D142" s="93"/>
      <c r="E142" s="93"/>
      <c r="F142" s="8"/>
      <c r="G142" s="35"/>
    </row>
    <row r="143" spans="2:7">
      <c r="B143" s="22">
        <v>381</v>
      </c>
      <c r="C143" s="93" t="s">
        <v>327</v>
      </c>
      <c r="D143" s="93">
        <v>10125653679</v>
      </c>
      <c r="E143" s="92" t="s">
        <v>100</v>
      </c>
      <c r="F143" s="8" t="s">
        <v>55</v>
      </c>
      <c r="G143" s="35"/>
    </row>
    <row r="144" spans="2:7">
      <c r="B144" s="22">
        <v>387</v>
      </c>
      <c r="C144" s="92" t="s">
        <v>1339</v>
      </c>
      <c r="D144" s="93" t="s">
        <v>66</v>
      </c>
      <c r="E144" s="93" t="s">
        <v>100</v>
      </c>
      <c r="F144" s="8" t="s">
        <v>55</v>
      </c>
      <c r="G144" s="35"/>
    </row>
    <row r="145" spans="2:7">
      <c r="B145" s="22">
        <v>384</v>
      </c>
      <c r="C145" s="92" t="s">
        <v>1341</v>
      </c>
      <c r="D145" s="93">
        <v>10141538340</v>
      </c>
      <c r="E145" s="93" t="s">
        <v>1342</v>
      </c>
      <c r="F145" s="8" t="s">
        <v>55</v>
      </c>
      <c r="G145" s="35"/>
    </row>
    <row r="146" spans="2:7">
      <c r="B146" s="22">
        <v>388</v>
      </c>
      <c r="C146" s="92" t="s">
        <v>335</v>
      </c>
      <c r="D146" s="93">
        <v>10128284605</v>
      </c>
      <c r="E146" s="93" t="s">
        <v>1309</v>
      </c>
      <c r="F146" s="8" t="s">
        <v>55</v>
      </c>
      <c r="G146" s="35"/>
    </row>
    <row r="147" spans="2:7">
      <c r="B147" s="22">
        <v>386</v>
      </c>
      <c r="C147" s="92" t="s">
        <v>1340</v>
      </c>
      <c r="D147" s="93">
        <v>10152378391</v>
      </c>
      <c r="E147" s="92" t="s">
        <v>175</v>
      </c>
      <c r="F147" s="8" t="s">
        <v>55</v>
      </c>
      <c r="G147" s="35"/>
    </row>
    <row r="148" spans="2:7">
      <c r="B148" s="22">
        <v>385</v>
      </c>
      <c r="C148" s="92" t="s">
        <v>1173</v>
      </c>
      <c r="D148" s="93" t="s">
        <v>1343</v>
      </c>
      <c r="E148" s="93" t="s">
        <v>1174</v>
      </c>
      <c r="F148" s="8" t="s">
        <v>55</v>
      </c>
      <c r="G148" s="35"/>
    </row>
    <row r="149" spans="2:7">
      <c r="B149" s="22">
        <v>382</v>
      </c>
      <c r="C149" s="93" t="s">
        <v>1170</v>
      </c>
      <c r="D149" s="93">
        <v>10128546909</v>
      </c>
      <c r="E149" s="92" t="s">
        <v>687</v>
      </c>
      <c r="F149" s="8" t="s">
        <v>55</v>
      </c>
      <c r="G149" s="35"/>
    </row>
    <row r="150" spans="2:7">
      <c r="B150" s="22">
        <v>383</v>
      </c>
      <c r="C150" s="92" t="s">
        <v>329</v>
      </c>
      <c r="D150" s="93">
        <v>10128827401</v>
      </c>
      <c r="E150" s="92" t="s">
        <v>64</v>
      </c>
      <c r="F150" s="8" t="s">
        <v>55</v>
      </c>
      <c r="G150" s="35"/>
    </row>
    <row r="151" spans="2:7">
      <c r="B151" s="22">
        <v>390</v>
      </c>
      <c r="C151" s="92" t="s">
        <v>1344</v>
      </c>
      <c r="D151" s="93">
        <v>10152964031</v>
      </c>
      <c r="E151" s="92" t="s">
        <v>1345</v>
      </c>
      <c r="F151" s="8" t="s">
        <v>55</v>
      </c>
      <c r="G151" s="35"/>
    </row>
    <row r="152" spans="2:7">
      <c r="B152" s="22"/>
      <c r="C152" s="92"/>
      <c r="D152" s="93"/>
      <c r="E152" s="93"/>
      <c r="F152" s="8"/>
      <c r="G152" s="35"/>
    </row>
    <row r="153" spans="2:7">
      <c r="B153" s="22">
        <v>510</v>
      </c>
      <c r="C153" s="92" t="s">
        <v>352</v>
      </c>
      <c r="D153" s="93">
        <v>10126142218</v>
      </c>
      <c r="E153" s="93" t="s">
        <v>726</v>
      </c>
      <c r="F153" s="8" t="s">
        <v>56</v>
      </c>
      <c r="G153" s="35"/>
    </row>
    <row r="154" spans="2:7">
      <c r="B154" s="22">
        <v>518</v>
      </c>
      <c r="C154" s="92" t="s">
        <v>361</v>
      </c>
      <c r="D154" s="93">
        <v>10141584517</v>
      </c>
      <c r="E154" s="92" t="s">
        <v>1326</v>
      </c>
      <c r="F154" s="8" t="s">
        <v>56</v>
      </c>
      <c r="G154" s="35"/>
    </row>
    <row r="155" spans="2:7">
      <c r="B155" s="22">
        <v>505</v>
      </c>
      <c r="C155" s="92" t="s">
        <v>1328</v>
      </c>
      <c r="D155" s="93">
        <v>10156807554</v>
      </c>
      <c r="E155" s="92" t="s">
        <v>345</v>
      </c>
      <c r="F155" s="8" t="s">
        <v>56</v>
      </c>
      <c r="G155" s="35"/>
    </row>
    <row r="156" spans="2:7">
      <c r="B156" s="22">
        <v>502</v>
      </c>
      <c r="C156" s="92" t="s">
        <v>1256</v>
      </c>
      <c r="D156" s="93" t="s">
        <v>1327</v>
      </c>
      <c r="E156" s="93" t="s">
        <v>84</v>
      </c>
      <c r="F156" s="8" t="s">
        <v>56</v>
      </c>
      <c r="G156" s="35"/>
    </row>
    <row r="157" spans="2:7">
      <c r="B157" s="22">
        <v>501</v>
      </c>
      <c r="C157" s="92" t="s">
        <v>1335</v>
      </c>
      <c r="D157" s="93">
        <v>10171463345</v>
      </c>
      <c r="E157" s="92" t="s">
        <v>1336</v>
      </c>
      <c r="F157" s="8" t="s">
        <v>56</v>
      </c>
      <c r="G157" s="35"/>
    </row>
    <row r="158" spans="2:7">
      <c r="B158" s="22">
        <v>512</v>
      </c>
      <c r="C158" s="92" t="s">
        <v>354</v>
      </c>
      <c r="D158" s="93">
        <v>10131905735</v>
      </c>
      <c r="E158" s="93" t="s">
        <v>133</v>
      </c>
      <c r="F158" s="8" t="s">
        <v>56</v>
      </c>
      <c r="G158" s="35"/>
    </row>
    <row r="159" spans="2:7">
      <c r="B159" s="22">
        <v>507</v>
      </c>
      <c r="C159" s="92" t="s">
        <v>701</v>
      </c>
      <c r="D159" s="93">
        <v>10129054440</v>
      </c>
      <c r="E159" s="93" t="s">
        <v>155</v>
      </c>
      <c r="F159" s="8" t="s">
        <v>56</v>
      </c>
      <c r="G159" s="35"/>
    </row>
    <row r="160" spans="2:7">
      <c r="B160" s="22">
        <v>503</v>
      </c>
      <c r="C160" s="92" t="s">
        <v>944</v>
      </c>
      <c r="D160" s="93">
        <v>10142567550</v>
      </c>
      <c r="E160" s="93" t="s">
        <v>159</v>
      </c>
      <c r="F160" s="8" t="s">
        <v>56</v>
      </c>
      <c r="G160" s="35"/>
    </row>
    <row r="161" spans="2:7">
      <c r="B161" s="22">
        <v>521</v>
      </c>
      <c r="C161" s="92" t="s">
        <v>947</v>
      </c>
      <c r="D161" s="93">
        <v>10153425183</v>
      </c>
      <c r="E161" s="92" t="s">
        <v>130</v>
      </c>
      <c r="F161" s="8" t="s">
        <v>56</v>
      </c>
      <c r="G161" s="35"/>
    </row>
    <row r="162" spans="2:7">
      <c r="B162" s="22">
        <v>504</v>
      </c>
      <c r="C162" s="92" t="s">
        <v>343</v>
      </c>
      <c r="D162" s="93">
        <v>10154828350</v>
      </c>
      <c r="E162" s="93" t="s">
        <v>129</v>
      </c>
      <c r="F162" s="8" t="s">
        <v>56</v>
      </c>
      <c r="G162" s="35"/>
    </row>
    <row r="163" spans="2:7">
      <c r="B163" s="22">
        <v>524</v>
      </c>
      <c r="C163" s="92" t="s">
        <v>940</v>
      </c>
      <c r="D163" s="93">
        <v>5117</v>
      </c>
      <c r="E163" s="93" t="s">
        <v>700</v>
      </c>
      <c r="F163" s="8" t="s">
        <v>56</v>
      </c>
      <c r="G163" s="35"/>
    </row>
    <row r="164" spans="2:7">
      <c r="B164" s="22">
        <v>516</v>
      </c>
      <c r="C164" s="92" t="s">
        <v>359</v>
      </c>
      <c r="D164" s="93" t="s">
        <v>66</v>
      </c>
      <c r="E164" s="93" t="s">
        <v>84</v>
      </c>
      <c r="F164" s="8" t="s">
        <v>56</v>
      </c>
      <c r="G164" s="35"/>
    </row>
    <row r="165" spans="2:7">
      <c r="B165" s="22">
        <v>506</v>
      </c>
      <c r="C165" s="92" t="s">
        <v>346</v>
      </c>
      <c r="D165" s="95">
        <v>10171702512</v>
      </c>
      <c r="E165" s="93" t="s">
        <v>285</v>
      </c>
      <c r="F165" s="8" t="s">
        <v>56</v>
      </c>
      <c r="G165" s="35"/>
    </row>
    <row r="166" spans="2:7">
      <c r="B166" s="22">
        <v>515</v>
      </c>
      <c r="C166" s="92" t="s">
        <v>710</v>
      </c>
      <c r="D166" s="93">
        <v>10171999875</v>
      </c>
      <c r="E166" s="93" t="s">
        <v>135</v>
      </c>
      <c r="F166" s="8" t="s">
        <v>56</v>
      </c>
      <c r="G166" s="35"/>
    </row>
    <row r="167" spans="2:7">
      <c r="B167" s="22">
        <v>509</v>
      </c>
      <c r="C167" s="92" t="s">
        <v>1330</v>
      </c>
      <c r="D167" s="93">
        <v>10164774688</v>
      </c>
      <c r="E167" s="93" t="s">
        <v>65</v>
      </c>
      <c r="F167" s="8" t="s">
        <v>56</v>
      </c>
      <c r="G167" s="35"/>
    </row>
    <row r="168" spans="2:7">
      <c r="B168" s="22">
        <v>523</v>
      </c>
      <c r="C168" s="92" t="s">
        <v>369</v>
      </c>
      <c r="D168" s="93">
        <v>10155993259</v>
      </c>
      <c r="E168" s="93" t="s">
        <v>130</v>
      </c>
      <c r="F168" s="8" t="s">
        <v>56</v>
      </c>
      <c r="G168" s="35"/>
    </row>
    <row r="169" spans="2:7">
      <c r="B169" s="22">
        <v>513</v>
      </c>
      <c r="C169" s="92" t="s">
        <v>1332</v>
      </c>
      <c r="D169" s="93">
        <v>10131905331</v>
      </c>
      <c r="E169" s="93" t="s">
        <v>135</v>
      </c>
      <c r="F169" s="8" t="s">
        <v>56</v>
      </c>
      <c r="G169" s="35"/>
    </row>
    <row r="170" spans="2:7">
      <c r="B170" s="22">
        <v>508</v>
      </c>
      <c r="C170" s="92" t="s">
        <v>1334</v>
      </c>
      <c r="D170" s="95">
        <v>10171656133</v>
      </c>
      <c r="E170" s="92" t="s">
        <v>285</v>
      </c>
      <c r="F170" s="8" t="s">
        <v>56</v>
      </c>
      <c r="G170" s="35"/>
    </row>
    <row r="171" spans="2:7">
      <c r="B171" s="22">
        <v>538</v>
      </c>
      <c r="C171" s="92" t="s">
        <v>1337</v>
      </c>
      <c r="D171" s="93" t="s">
        <v>1292</v>
      </c>
      <c r="E171" s="92" t="s">
        <v>134</v>
      </c>
      <c r="F171" s="8" t="s">
        <v>56</v>
      </c>
      <c r="G171" s="35"/>
    </row>
    <row r="172" spans="2:7">
      <c r="B172" s="22">
        <v>529</v>
      </c>
      <c r="C172" s="92" t="s">
        <v>722</v>
      </c>
      <c r="D172" s="93">
        <v>10162504282</v>
      </c>
      <c r="E172" s="93" t="s">
        <v>723</v>
      </c>
      <c r="F172" s="8" t="s">
        <v>56</v>
      </c>
      <c r="G172" s="35"/>
    </row>
    <row r="173" spans="2:7">
      <c r="B173" s="22">
        <v>531</v>
      </c>
      <c r="C173" s="92" t="s">
        <v>1331</v>
      </c>
      <c r="D173" s="93">
        <v>10102760669</v>
      </c>
      <c r="E173" s="93" t="s">
        <v>726</v>
      </c>
      <c r="F173" s="8" t="s">
        <v>56</v>
      </c>
      <c r="G173" s="35"/>
    </row>
    <row r="174" spans="2:7">
      <c r="B174" s="22">
        <v>536</v>
      </c>
      <c r="C174" s="92" t="s">
        <v>1338</v>
      </c>
      <c r="D174" s="93">
        <v>10175690727</v>
      </c>
      <c r="E174" s="93" t="s">
        <v>315</v>
      </c>
      <c r="F174" s="8" t="s">
        <v>56</v>
      </c>
      <c r="G174" s="35"/>
    </row>
    <row r="175" spans="2:7">
      <c r="B175" s="107">
        <v>539</v>
      </c>
      <c r="C175" s="92" t="s">
        <v>1329</v>
      </c>
      <c r="D175" s="93" t="s">
        <v>1292</v>
      </c>
      <c r="E175" s="93" t="s">
        <v>70</v>
      </c>
      <c r="F175" s="8" t="s">
        <v>56</v>
      </c>
      <c r="G175" s="35"/>
    </row>
    <row r="176" spans="2:7">
      <c r="B176" s="107">
        <v>540</v>
      </c>
      <c r="C176" s="92" t="s">
        <v>1333</v>
      </c>
      <c r="D176" s="93">
        <v>10175690525</v>
      </c>
      <c r="E176" s="92" t="s">
        <v>65</v>
      </c>
      <c r="F176" s="8" t="s">
        <v>56</v>
      </c>
      <c r="G176" s="35"/>
    </row>
    <row r="177" spans="2:7">
      <c r="B177" s="107">
        <v>541</v>
      </c>
      <c r="C177" s="92" t="s">
        <v>1446</v>
      </c>
      <c r="D177" s="93" t="s">
        <v>1292</v>
      </c>
      <c r="E177" s="93" t="s">
        <v>1447</v>
      </c>
      <c r="F177" s="8" t="s">
        <v>56</v>
      </c>
      <c r="G177" s="35"/>
    </row>
    <row r="178" spans="2:7">
      <c r="B178" s="107">
        <v>542</v>
      </c>
      <c r="C178" s="92" t="s">
        <v>1444</v>
      </c>
      <c r="D178" s="93" t="s">
        <v>66</v>
      </c>
      <c r="E178" s="92" t="s">
        <v>1445</v>
      </c>
      <c r="F178" s="8" t="s">
        <v>56</v>
      </c>
      <c r="G178" s="35"/>
    </row>
    <row r="179" spans="2:7">
      <c r="B179" s="22"/>
      <c r="C179" s="92"/>
      <c r="D179" s="93"/>
      <c r="E179" s="92"/>
      <c r="F179" s="8" t="s">
        <v>56</v>
      </c>
      <c r="G179" s="35"/>
    </row>
    <row r="180" spans="2:7">
      <c r="B180" s="22"/>
      <c r="C180" s="92"/>
      <c r="D180" s="93"/>
      <c r="E180" s="92"/>
      <c r="F180" s="8" t="s">
        <v>56</v>
      </c>
      <c r="G180" s="35"/>
    </row>
    <row r="181" spans="2:7">
      <c r="B181" s="22"/>
      <c r="C181" s="92"/>
      <c r="D181" s="93"/>
      <c r="E181" s="92"/>
      <c r="F181" s="8" t="s">
        <v>56</v>
      </c>
      <c r="G181" s="35"/>
    </row>
    <row r="182" spans="2:7">
      <c r="B182" s="22"/>
      <c r="C182" s="92"/>
      <c r="D182" s="93"/>
      <c r="E182" s="92"/>
      <c r="F182" s="8" t="s">
        <v>56</v>
      </c>
      <c r="G182" s="35"/>
    </row>
    <row r="183" spans="2:7">
      <c r="B183" s="22"/>
      <c r="C183" s="92"/>
      <c r="D183" s="93"/>
      <c r="E183" s="92"/>
      <c r="F183" s="8" t="s">
        <v>56</v>
      </c>
      <c r="G183" s="35"/>
    </row>
    <row r="184" spans="2:7">
      <c r="B184" s="22"/>
      <c r="C184" s="92"/>
      <c r="D184" s="93"/>
      <c r="E184" s="92"/>
      <c r="F184" s="8" t="s">
        <v>56</v>
      </c>
      <c r="G184" s="35"/>
    </row>
    <row r="185" spans="2:7">
      <c r="B185" s="22"/>
      <c r="C185" s="92"/>
      <c r="D185" s="93"/>
      <c r="E185" s="92"/>
      <c r="F185" s="8"/>
      <c r="G185" s="35"/>
    </row>
    <row r="186" spans="2:7">
      <c r="B186" s="22">
        <v>581</v>
      </c>
      <c r="C186" s="93" t="s">
        <v>371</v>
      </c>
      <c r="D186" s="93">
        <v>121480116</v>
      </c>
      <c r="E186" s="92" t="s">
        <v>114</v>
      </c>
      <c r="F186" s="8" t="s">
        <v>57</v>
      </c>
      <c r="G186" s="35"/>
    </row>
    <row r="187" spans="2:7">
      <c r="B187" s="22">
        <v>583</v>
      </c>
      <c r="C187" s="92" t="s">
        <v>956</v>
      </c>
      <c r="D187" s="93">
        <v>10154228768</v>
      </c>
      <c r="E187" s="93" t="s">
        <v>129</v>
      </c>
      <c r="F187" s="8" t="s">
        <v>57</v>
      </c>
      <c r="G187" s="35"/>
    </row>
    <row r="188" spans="2:7">
      <c r="B188" s="22">
        <v>584</v>
      </c>
      <c r="C188" s="92" t="s">
        <v>374</v>
      </c>
      <c r="D188" s="93">
        <v>10154309503</v>
      </c>
      <c r="E188" s="93" t="s">
        <v>115</v>
      </c>
      <c r="F188" s="8" t="s">
        <v>57</v>
      </c>
      <c r="G188" s="35"/>
    </row>
    <row r="189" spans="2:7">
      <c r="B189" s="22">
        <v>582</v>
      </c>
      <c r="C189" s="92" t="s">
        <v>1175</v>
      </c>
      <c r="D189" s="93">
        <v>10131906139</v>
      </c>
      <c r="E189" s="92" t="s">
        <v>135</v>
      </c>
      <c r="F189" s="8" t="s">
        <v>57</v>
      </c>
      <c r="G189" s="35"/>
    </row>
    <row r="190" spans="2:7">
      <c r="B190" s="22">
        <v>586</v>
      </c>
      <c r="C190" s="92" t="s">
        <v>376</v>
      </c>
      <c r="D190" s="17" t="s">
        <v>1292</v>
      </c>
      <c r="E190" t="s">
        <v>155</v>
      </c>
      <c r="F190" s="8" t="s">
        <v>57</v>
      </c>
      <c r="G190" s="35"/>
    </row>
    <row r="191" spans="2:7">
      <c r="B191" s="22">
        <v>589</v>
      </c>
      <c r="C191" s="92" t="s">
        <v>1347</v>
      </c>
      <c r="D191" s="93">
        <v>12990</v>
      </c>
      <c r="E191" s="93" t="s">
        <v>155</v>
      </c>
      <c r="F191" s="8" t="s">
        <v>57</v>
      </c>
      <c r="G191" s="35"/>
    </row>
    <row r="192" spans="2:7">
      <c r="B192" s="22">
        <v>588</v>
      </c>
      <c r="C192" s="92" t="s">
        <v>734</v>
      </c>
      <c r="D192" s="93" t="s">
        <v>66</v>
      </c>
      <c r="E192" s="93" t="s">
        <v>155</v>
      </c>
      <c r="F192" s="8" t="s">
        <v>57</v>
      </c>
      <c r="G192" s="35"/>
    </row>
    <row r="193" spans="2:7">
      <c r="B193" s="22">
        <v>587</v>
      </c>
      <c r="C193" s="92" t="s">
        <v>377</v>
      </c>
      <c r="D193" s="17" t="s">
        <v>66</v>
      </c>
      <c r="E193" t="s">
        <v>155</v>
      </c>
      <c r="F193" s="8" t="s">
        <v>57</v>
      </c>
      <c r="G193" s="35"/>
    </row>
    <row r="194" spans="2:7">
      <c r="B194" s="22">
        <v>596</v>
      </c>
      <c r="C194" s="92" t="s">
        <v>744</v>
      </c>
      <c r="D194" s="93">
        <v>10153426601</v>
      </c>
      <c r="E194" s="93" t="s">
        <v>130</v>
      </c>
      <c r="F194" s="8" t="s">
        <v>57</v>
      </c>
      <c r="G194" s="35"/>
    </row>
    <row r="195" spans="2:7">
      <c r="B195" s="22">
        <v>590</v>
      </c>
      <c r="C195" s="92" t="s">
        <v>380</v>
      </c>
      <c r="D195" s="93">
        <v>10172211558</v>
      </c>
      <c r="E195" s="92" t="s">
        <v>155</v>
      </c>
      <c r="F195" s="8" t="s">
        <v>57</v>
      </c>
      <c r="G195" s="35"/>
    </row>
    <row r="196" spans="2:7">
      <c r="B196" s="22">
        <v>597</v>
      </c>
      <c r="C196" s="92" t="s">
        <v>1350</v>
      </c>
      <c r="D196" s="93" t="s">
        <v>1292</v>
      </c>
      <c r="E196" s="93" t="s">
        <v>134</v>
      </c>
      <c r="F196" s="8" t="s">
        <v>57</v>
      </c>
      <c r="G196" s="35"/>
    </row>
    <row r="197" spans="2:7">
      <c r="B197" s="107">
        <v>598</v>
      </c>
      <c r="C197" s="92" t="s">
        <v>1348</v>
      </c>
      <c r="D197" s="93">
        <v>10161956941</v>
      </c>
      <c r="E197" s="93" t="s">
        <v>1349</v>
      </c>
      <c r="F197" s="8" t="s">
        <v>57</v>
      </c>
      <c r="G197" s="35"/>
    </row>
    <row r="198" spans="2:7">
      <c r="B198" s="107">
        <v>599</v>
      </c>
      <c r="C198" s="92" t="s">
        <v>1346</v>
      </c>
      <c r="D198" s="17">
        <v>10156833725</v>
      </c>
      <c r="E198" t="s">
        <v>345</v>
      </c>
      <c r="F198" s="8" t="s">
        <v>57</v>
      </c>
      <c r="G198" s="35"/>
    </row>
    <row r="199" spans="2:7">
      <c r="B199" s="41"/>
      <c r="C199" s="8"/>
      <c r="D199" s="54"/>
      <c r="E199" s="54"/>
      <c r="F199" s="8" t="s">
        <v>57</v>
      </c>
      <c r="G199" s="35"/>
    </row>
    <row r="200" spans="2:7">
      <c r="B200" s="41"/>
      <c r="C200" s="8"/>
      <c r="D200" s="54"/>
      <c r="E200" s="54"/>
      <c r="F200" s="8" t="s">
        <v>57</v>
      </c>
      <c r="G200" s="35"/>
    </row>
    <row r="201" spans="2:7" ht="15.75">
      <c r="B201" s="52"/>
      <c r="C201" s="8"/>
      <c r="D201" s="54"/>
      <c r="E201" s="54"/>
      <c r="F201" s="8"/>
      <c r="G201" s="35"/>
    </row>
    <row r="202" spans="2:7">
      <c r="B202" s="7"/>
      <c r="C202" s="8"/>
      <c r="D202" s="54"/>
      <c r="E202" s="54"/>
      <c r="F202" s="8"/>
      <c r="G202" s="35"/>
    </row>
    <row r="203" spans="2:7">
      <c r="B203" s="22">
        <v>401</v>
      </c>
      <c r="C203" s="92" t="s">
        <v>382</v>
      </c>
      <c r="D203" s="93">
        <v>10162383236</v>
      </c>
      <c r="E203" s="93" t="s">
        <v>1307</v>
      </c>
      <c r="F203" s="8" t="s">
        <v>163</v>
      </c>
      <c r="G203" s="35"/>
    </row>
    <row r="204" spans="2:7">
      <c r="B204" s="22">
        <v>406</v>
      </c>
      <c r="C204" s="92" t="s">
        <v>388</v>
      </c>
      <c r="D204" s="93">
        <v>10172211659</v>
      </c>
      <c r="E204" s="93" t="s">
        <v>1309</v>
      </c>
      <c r="F204" s="8" t="s">
        <v>163</v>
      </c>
      <c r="G204" s="35"/>
    </row>
    <row r="205" spans="2:7">
      <c r="B205" s="22">
        <v>402</v>
      </c>
      <c r="C205" s="92" t="s">
        <v>750</v>
      </c>
      <c r="D205" s="93" t="s">
        <v>1311</v>
      </c>
      <c r="E205" s="92" t="s">
        <v>315</v>
      </c>
      <c r="F205" s="8" t="s">
        <v>163</v>
      </c>
      <c r="G205" s="35"/>
    </row>
    <row r="206" spans="2:7">
      <c r="B206" s="22">
        <v>405</v>
      </c>
      <c r="C206" s="92" t="s">
        <v>386</v>
      </c>
      <c r="D206" s="93">
        <v>13280</v>
      </c>
      <c r="E206" s="93" t="s">
        <v>1306</v>
      </c>
      <c r="F206" s="8" t="s">
        <v>163</v>
      </c>
      <c r="G206" s="35"/>
    </row>
    <row r="207" spans="2:7">
      <c r="B207" s="22">
        <v>407</v>
      </c>
      <c r="C207" s="92" t="s">
        <v>1310</v>
      </c>
      <c r="D207" s="93" t="s">
        <v>1311</v>
      </c>
      <c r="E207" s="93" t="s">
        <v>84</v>
      </c>
      <c r="F207" s="8" t="s">
        <v>163</v>
      </c>
      <c r="G207" s="35"/>
    </row>
    <row r="208" spans="2:7">
      <c r="B208" s="22">
        <v>404</v>
      </c>
      <c r="C208" s="92" t="s">
        <v>385</v>
      </c>
      <c r="D208" s="93">
        <v>10130330796</v>
      </c>
      <c r="E208" s="93" t="s">
        <v>315</v>
      </c>
      <c r="F208" s="8" t="s">
        <v>163</v>
      </c>
      <c r="G208" s="35"/>
    </row>
    <row r="209" spans="2:7">
      <c r="B209" s="22">
        <v>403</v>
      </c>
      <c r="C209" s="92" t="s">
        <v>1314</v>
      </c>
      <c r="D209" s="93">
        <v>10175623433</v>
      </c>
      <c r="E209" s="93" t="s">
        <v>1315</v>
      </c>
      <c r="F209" s="8" t="s">
        <v>163</v>
      </c>
      <c r="G209" s="35"/>
    </row>
    <row r="210" spans="2:7">
      <c r="B210" s="22">
        <v>409</v>
      </c>
      <c r="C210" s="92" t="s">
        <v>1151</v>
      </c>
      <c r="D210" s="93">
        <v>10173513378</v>
      </c>
      <c r="E210" s="93" t="s">
        <v>1319</v>
      </c>
      <c r="F210" s="8" t="s">
        <v>163</v>
      </c>
      <c r="G210" s="35"/>
    </row>
    <row r="211" spans="2:7">
      <c r="B211" s="22">
        <v>411</v>
      </c>
      <c r="C211" s="92" t="s">
        <v>1150</v>
      </c>
      <c r="D211" s="93" t="s">
        <v>1318</v>
      </c>
      <c r="E211" s="93" t="s">
        <v>130</v>
      </c>
      <c r="F211" s="8" t="s">
        <v>163</v>
      </c>
      <c r="G211" s="35"/>
    </row>
    <row r="212" spans="2:7">
      <c r="B212" s="22">
        <v>413</v>
      </c>
      <c r="C212" s="92" t="s">
        <v>1066</v>
      </c>
      <c r="D212" s="93">
        <v>10113255059</v>
      </c>
      <c r="E212" s="93" t="s">
        <v>1184</v>
      </c>
      <c r="F212" s="8" t="s">
        <v>163</v>
      </c>
      <c r="G212" s="35"/>
    </row>
    <row r="213" spans="2:7">
      <c r="B213" s="22">
        <v>410</v>
      </c>
      <c r="C213" s="92" t="s">
        <v>1321</v>
      </c>
      <c r="D213" s="93">
        <v>10173514489</v>
      </c>
      <c r="E213" s="93" t="s">
        <v>1322</v>
      </c>
      <c r="F213" s="8" t="s">
        <v>163</v>
      </c>
      <c r="G213" s="35"/>
    </row>
    <row r="214" spans="2:7">
      <c r="B214" s="107">
        <v>415</v>
      </c>
      <c r="C214" s="92" t="s">
        <v>1312</v>
      </c>
      <c r="D214" s="93" t="s">
        <v>66</v>
      </c>
      <c r="E214" s="93" t="s">
        <v>1313</v>
      </c>
      <c r="F214" s="8" t="s">
        <v>163</v>
      </c>
      <c r="G214" s="35"/>
    </row>
    <row r="215" spans="2:7">
      <c r="B215" s="107">
        <v>416</v>
      </c>
      <c r="C215" s="92" t="s">
        <v>1316</v>
      </c>
      <c r="D215" s="93">
        <v>10162629234</v>
      </c>
      <c r="E215" s="93" t="s">
        <v>1317</v>
      </c>
      <c r="F215" s="8" t="s">
        <v>163</v>
      </c>
      <c r="G215" s="35"/>
    </row>
    <row r="216" spans="2:7">
      <c r="B216" s="107">
        <v>417</v>
      </c>
      <c r="C216" s="92" t="s">
        <v>1320</v>
      </c>
      <c r="D216" s="93" t="s">
        <v>66</v>
      </c>
      <c r="E216" s="93" t="s">
        <v>683</v>
      </c>
      <c r="F216" s="8" t="s">
        <v>163</v>
      </c>
      <c r="G216" s="35"/>
    </row>
    <row r="217" spans="2:7">
      <c r="B217" s="107">
        <v>418</v>
      </c>
      <c r="C217" s="92" t="s">
        <v>1448</v>
      </c>
      <c r="D217" s="93" t="s">
        <v>1264</v>
      </c>
      <c r="E217" s="93" t="s">
        <v>1449</v>
      </c>
      <c r="F217" s="8" t="s">
        <v>163</v>
      </c>
      <c r="G217" s="35"/>
    </row>
    <row r="218" spans="2:7">
      <c r="B218" s="107">
        <v>419</v>
      </c>
      <c r="C218" s="92" t="s">
        <v>1308</v>
      </c>
      <c r="D218" s="93">
        <v>10174440942</v>
      </c>
      <c r="E218" s="93" t="s">
        <v>345</v>
      </c>
      <c r="F218" s="8" t="s">
        <v>163</v>
      </c>
      <c r="G218" s="35"/>
    </row>
    <row r="219" spans="2:7">
      <c r="B219" s="22"/>
      <c r="C219" s="92"/>
      <c r="D219" s="93"/>
      <c r="E219" s="92"/>
      <c r="F219" s="8"/>
      <c r="G219" s="35"/>
    </row>
    <row r="220" spans="2:7">
      <c r="B220" s="22">
        <v>482</v>
      </c>
      <c r="C220" s="92" t="s">
        <v>391</v>
      </c>
      <c r="D220" s="93">
        <v>10171940261</v>
      </c>
      <c r="E220" s="93" t="s">
        <v>958</v>
      </c>
      <c r="F220" s="8" t="s">
        <v>164</v>
      </c>
      <c r="G220" s="35"/>
    </row>
    <row r="221" spans="2:7">
      <c r="B221" s="22">
        <v>484</v>
      </c>
      <c r="C221" s="92" t="s">
        <v>394</v>
      </c>
      <c r="D221" s="93">
        <v>10162507114</v>
      </c>
      <c r="E221" s="93" t="s">
        <v>130</v>
      </c>
      <c r="F221" s="8" t="s">
        <v>164</v>
      </c>
      <c r="G221" s="35"/>
    </row>
    <row r="222" spans="2:7">
      <c r="B222" s="22">
        <v>481</v>
      </c>
      <c r="C222" s="92" t="s">
        <v>756</v>
      </c>
      <c r="D222" s="93">
        <v>10162377172</v>
      </c>
      <c r="E222" s="92" t="s">
        <v>390</v>
      </c>
      <c r="F222" s="8" t="s">
        <v>164</v>
      </c>
      <c r="G222" s="35"/>
    </row>
    <row r="223" spans="2:7">
      <c r="B223" s="22">
        <v>483</v>
      </c>
      <c r="C223" s="92" t="s">
        <v>393</v>
      </c>
      <c r="D223" s="93">
        <v>10156361455</v>
      </c>
      <c r="E223" s="93" t="s">
        <v>1325</v>
      </c>
      <c r="F223" s="8" t="s">
        <v>164</v>
      </c>
      <c r="G223" s="35"/>
    </row>
    <row r="224" spans="2:7">
      <c r="B224" s="22">
        <v>486</v>
      </c>
      <c r="C224" s="92" t="s">
        <v>1257</v>
      </c>
      <c r="D224" s="93" t="s">
        <v>66</v>
      </c>
      <c r="E224" s="92" t="s">
        <v>155</v>
      </c>
      <c r="F224" s="8" t="s">
        <v>164</v>
      </c>
      <c r="G224" s="35"/>
    </row>
    <row r="225" spans="2:7">
      <c r="B225" s="22">
        <v>488</v>
      </c>
      <c r="C225" s="92" t="s">
        <v>764</v>
      </c>
      <c r="D225" s="93">
        <v>10162509639</v>
      </c>
      <c r="E225" s="92" t="s">
        <v>130</v>
      </c>
      <c r="F225" s="8" t="s">
        <v>164</v>
      </c>
      <c r="G225" s="35"/>
    </row>
    <row r="226" spans="2:7">
      <c r="B226" s="107">
        <v>489</v>
      </c>
      <c r="C226" s="92" t="s">
        <v>1323</v>
      </c>
      <c r="D226" s="93">
        <v>10105006019</v>
      </c>
      <c r="E226" s="93" t="s">
        <v>1324</v>
      </c>
      <c r="F226" s="8" t="s">
        <v>164</v>
      </c>
      <c r="G226" s="35"/>
    </row>
    <row r="227" spans="2:7">
      <c r="B227" s="22"/>
      <c r="C227" s="93"/>
      <c r="D227" s="93"/>
      <c r="E227" s="93"/>
      <c r="F227" s="8"/>
      <c r="G227" s="35"/>
    </row>
    <row r="228" spans="2:7">
      <c r="B228" s="22">
        <v>701</v>
      </c>
      <c r="C228" s="92" t="s">
        <v>1263</v>
      </c>
      <c r="D228" s="93">
        <v>10079383568</v>
      </c>
      <c r="E228" s="93" t="s">
        <v>156</v>
      </c>
      <c r="F228" s="8" t="s">
        <v>58</v>
      </c>
      <c r="G228" s="35"/>
    </row>
    <row r="229" spans="2:7">
      <c r="B229" s="22">
        <v>708</v>
      </c>
      <c r="C229" s="92" t="s">
        <v>766</v>
      </c>
      <c r="D229" s="93">
        <v>10056033143</v>
      </c>
      <c r="E229" s="93" t="s">
        <v>868</v>
      </c>
      <c r="F229" s="8" t="s">
        <v>58</v>
      </c>
      <c r="G229" s="35"/>
    </row>
    <row r="230" spans="2:7">
      <c r="B230" s="22">
        <v>713</v>
      </c>
      <c r="C230" s="93" t="s">
        <v>771</v>
      </c>
      <c r="D230" s="93">
        <v>10006255268</v>
      </c>
      <c r="E230" s="93" t="s">
        <v>100</v>
      </c>
      <c r="F230" s="8" t="s">
        <v>58</v>
      </c>
      <c r="G230" s="35"/>
    </row>
    <row r="231" spans="2:7">
      <c r="B231" s="22">
        <v>702</v>
      </c>
      <c r="C231" s="92" t="s">
        <v>396</v>
      </c>
      <c r="D231" s="93" t="s">
        <v>66</v>
      </c>
      <c r="E231" s="93" t="s">
        <v>767</v>
      </c>
      <c r="F231" s="8" t="s">
        <v>58</v>
      </c>
      <c r="G231" s="35"/>
    </row>
    <row r="232" spans="2:7">
      <c r="B232" s="22">
        <v>709</v>
      </c>
      <c r="C232" s="92" t="s">
        <v>1428</v>
      </c>
      <c r="D232" s="93">
        <v>10124844640</v>
      </c>
      <c r="E232" s="93" t="s">
        <v>406</v>
      </c>
      <c r="F232" s="8" t="s">
        <v>58</v>
      </c>
      <c r="G232" s="35"/>
    </row>
    <row r="233" spans="2:7">
      <c r="B233" s="22">
        <v>705</v>
      </c>
      <c r="C233" s="92" t="s">
        <v>400</v>
      </c>
      <c r="D233" s="93">
        <v>10016062372</v>
      </c>
      <c r="E233" s="93" t="s">
        <v>1430</v>
      </c>
      <c r="F233" s="8" t="s">
        <v>58</v>
      </c>
      <c r="G233" s="35"/>
    </row>
    <row r="234" spans="2:7">
      <c r="B234" s="22">
        <v>714</v>
      </c>
      <c r="C234" s="92" t="s">
        <v>1429</v>
      </c>
      <c r="D234" s="93" t="s">
        <v>1292</v>
      </c>
      <c r="E234" s="93" t="s">
        <v>1250</v>
      </c>
      <c r="F234" s="8" t="s">
        <v>58</v>
      </c>
      <c r="G234" s="35"/>
    </row>
    <row r="235" spans="2:7">
      <c r="B235" s="107">
        <v>720</v>
      </c>
      <c r="C235" s="92" t="s">
        <v>516</v>
      </c>
      <c r="D235" s="93" t="s">
        <v>66</v>
      </c>
      <c r="E235" s="93" t="s">
        <v>517</v>
      </c>
      <c r="F235" s="8" t="s">
        <v>58</v>
      </c>
      <c r="G235" s="35"/>
    </row>
    <row r="236" spans="2:7" ht="15.75">
      <c r="B236" s="21"/>
      <c r="C236" s="8"/>
      <c r="D236" s="54"/>
      <c r="E236" s="54"/>
      <c r="F236" s="8"/>
      <c r="G236" s="35"/>
    </row>
    <row r="237" spans="2:7">
      <c r="B237" s="22">
        <v>751</v>
      </c>
      <c r="C237" s="92" t="s">
        <v>119</v>
      </c>
      <c r="D237" s="93">
        <v>10127988349</v>
      </c>
      <c r="E237" s="93" t="s">
        <v>100</v>
      </c>
      <c r="F237" s="8" t="s">
        <v>59</v>
      </c>
      <c r="G237" s="35"/>
    </row>
    <row r="238" spans="2:7">
      <c r="B238" s="22">
        <v>752</v>
      </c>
      <c r="C238" s="92" t="s">
        <v>882</v>
      </c>
      <c r="D238" s="93">
        <v>10001352223</v>
      </c>
      <c r="E238" s="93" t="s">
        <v>883</v>
      </c>
      <c r="F238" s="8" t="s">
        <v>59</v>
      </c>
      <c r="G238" s="35"/>
    </row>
    <row r="239" spans="2:7">
      <c r="B239" s="22">
        <v>758</v>
      </c>
      <c r="C239" s="92" t="s">
        <v>1199</v>
      </c>
      <c r="D239" s="93">
        <v>10140636745</v>
      </c>
      <c r="E239" s="93" t="s">
        <v>129</v>
      </c>
      <c r="F239" s="8" t="s">
        <v>59</v>
      </c>
      <c r="G239" s="35"/>
    </row>
    <row r="240" spans="2:7">
      <c r="B240" s="22">
        <v>756</v>
      </c>
      <c r="C240" s="92" t="s">
        <v>417</v>
      </c>
      <c r="D240" s="93">
        <v>10137070781</v>
      </c>
      <c r="E240" s="93" t="s">
        <v>399</v>
      </c>
      <c r="F240" s="8" t="s">
        <v>59</v>
      </c>
      <c r="G240" s="35"/>
    </row>
    <row r="241" spans="2:7">
      <c r="B241" s="22">
        <v>763</v>
      </c>
      <c r="C241" s="92" t="s">
        <v>426</v>
      </c>
      <c r="D241" s="93">
        <v>10103825447</v>
      </c>
      <c r="E241" s="93" t="s">
        <v>427</v>
      </c>
      <c r="F241" s="8" t="s">
        <v>59</v>
      </c>
      <c r="G241" s="35"/>
    </row>
    <row r="242" spans="2:7">
      <c r="B242" s="22">
        <v>761</v>
      </c>
      <c r="C242" s="92" t="s">
        <v>87</v>
      </c>
      <c r="D242" s="93">
        <v>10126504047</v>
      </c>
      <c r="E242" s="93" t="s">
        <v>1270</v>
      </c>
      <c r="F242" s="8" t="s">
        <v>59</v>
      </c>
      <c r="G242" s="35"/>
    </row>
    <row r="243" spans="2:7">
      <c r="B243" s="22">
        <v>766</v>
      </c>
      <c r="C243" s="92" t="s">
        <v>1457</v>
      </c>
      <c r="D243" s="93">
        <v>10082235671</v>
      </c>
      <c r="E243" s="93" t="s">
        <v>1166</v>
      </c>
      <c r="F243" s="8" t="s">
        <v>59</v>
      </c>
      <c r="G243" s="35"/>
    </row>
    <row r="244" spans="2:7">
      <c r="B244" s="22">
        <v>769</v>
      </c>
      <c r="C244" s="92" t="s">
        <v>782</v>
      </c>
      <c r="D244" s="93">
        <v>10053119810</v>
      </c>
      <c r="E244" s="93" t="s">
        <v>783</v>
      </c>
      <c r="F244" s="8" t="s">
        <v>59</v>
      </c>
      <c r="G244" s="35"/>
    </row>
    <row r="245" spans="2:7">
      <c r="B245" s="22">
        <v>774</v>
      </c>
      <c r="C245" s="92" t="s">
        <v>1251</v>
      </c>
      <c r="D245" s="93" t="s">
        <v>1264</v>
      </c>
      <c r="E245" s="93" t="s">
        <v>100</v>
      </c>
      <c r="F245" s="8" t="s">
        <v>59</v>
      </c>
      <c r="G245" s="35"/>
    </row>
    <row r="246" spans="2:7">
      <c r="B246" s="22">
        <v>760</v>
      </c>
      <c r="C246" s="92" t="s">
        <v>775</v>
      </c>
      <c r="D246" s="93">
        <v>10112138246</v>
      </c>
      <c r="E246" s="93" t="s">
        <v>1269</v>
      </c>
      <c r="F246" s="8" t="s">
        <v>59</v>
      </c>
      <c r="G246" s="35"/>
    </row>
    <row r="247" spans="2:7">
      <c r="B247" s="22">
        <v>759</v>
      </c>
      <c r="C247" s="92" t="s">
        <v>1432</v>
      </c>
      <c r="D247" s="93" t="s">
        <v>1311</v>
      </c>
      <c r="E247" s="93" t="s">
        <v>1433</v>
      </c>
      <c r="F247" s="8" t="s">
        <v>59</v>
      </c>
      <c r="G247" s="35"/>
    </row>
    <row r="248" spans="2:7">
      <c r="B248" s="22">
        <v>754</v>
      </c>
      <c r="C248" s="92" t="s">
        <v>1265</v>
      </c>
      <c r="D248" s="93">
        <v>10055096788</v>
      </c>
      <c r="E248" s="93" t="s">
        <v>1266</v>
      </c>
      <c r="F248" s="8" t="s">
        <v>59</v>
      </c>
      <c r="G248" s="35"/>
    </row>
    <row r="249" spans="2:7">
      <c r="B249" s="107">
        <v>775</v>
      </c>
      <c r="C249" s="92" t="s">
        <v>1267</v>
      </c>
      <c r="D249" s="93" t="s">
        <v>1268</v>
      </c>
      <c r="E249" s="93" t="s">
        <v>406</v>
      </c>
      <c r="F249" s="8" t="s">
        <v>59</v>
      </c>
      <c r="G249" s="35"/>
    </row>
    <row r="250" spans="2:7">
      <c r="B250" s="107">
        <v>776</v>
      </c>
      <c r="C250" s="92" t="s">
        <v>1431</v>
      </c>
      <c r="D250" s="93" t="s">
        <v>1311</v>
      </c>
      <c r="E250" s="93" t="s">
        <v>1287</v>
      </c>
      <c r="F250" s="8" t="s">
        <v>59</v>
      </c>
      <c r="G250" s="35"/>
    </row>
    <row r="251" spans="2:7">
      <c r="B251" s="22"/>
      <c r="C251" s="92"/>
      <c r="D251" s="93"/>
      <c r="E251" s="93"/>
      <c r="F251" s="8" t="s">
        <v>59</v>
      </c>
      <c r="G251" s="35"/>
    </row>
    <row r="252" spans="2:7">
      <c r="B252" s="104"/>
      <c r="C252" s="8"/>
      <c r="D252" s="54"/>
      <c r="E252" s="54"/>
      <c r="F252" s="8"/>
      <c r="G252" s="35"/>
    </row>
    <row r="253" spans="2:7">
      <c r="B253" s="96">
        <v>802</v>
      </c>
      <c r="C253" s="92" t="s">
        <v>433</v>
      </c>
      <c r="D253" s="93">
        <v>10075677966</v>
      </c>
      <c r="E253" s="93" t="s">
        <v>434</v>
      </c>
      <c r="F253" s="8" t="s">
        <v>72</v>
      </c>
      <c r="G253" s="35"/>
    </row>
    <row r="254" spans="2:7">
      <c r="B254" s="96">
        <v>801</v>
      </c>
      <c r="C254" s="92" t="s">
        <v>120</v>
      </c>
      <c r="D254" s="93">
        <v>10102979628</v>
      </c>
      <c r="E254" s="93" t="s">
        <v>1279</v>
      </c>
      <c r="F254" s="8" t="s">
        <v>72</v>
      </c>
      <c r="G254" s="35"/>
    </row>
    <row r="255" spans="2:7">
      <c r="B255" s="96">
        <v>813</v>
      </c>
      <c r="C255" s="92" t="s">
        <v>1275</v>
      </c>
      <c r="D255" s="93">
        <v>10051209819</v>
      </c>
      <c r="E255" s="93" t="s">
        <v>1276</v>
      </c>
      <c r="F255" s="8" t="s">
        <v>72</v>
      </c>
      <c r="G255" s="35"/>
    </row>
    <row r="256" spans="2:7">
      <c r="B256" s="96">
        <v>811</v>
      </c>
      <c r="C256" s="97" t="s">
        <v>443</v>
      </c>
      <c r="D256" s="98" t="s">
        <v>1280</v>
      </c>
      <c r="E256" s="98" t="s">
        <v>399</v>
      </c>
      <c r="F256" s="8" t="s">
        <v>72</v>
      </c>
      <c r="G256" s="35"/>
    </row>
    <row r="257" spans="2:7">
      <c r="B257" s="96">
        <v>820</v>
      </c>
      <c r="C257" s="92" t="s">
        <v>1271</v>
      </c>
      <c r="D257" s="93">
        <v>10094103118</v>
      </c>
      <c r="E257" s="93" t="s">
        <v>1272</v>
      </c>
      <c r="F257" s="8" t="s">
        <v>72</v>
      </c>
      <c r="G257" s="35"/>
    </row>
    <row r="258" spans="2:7">
      <c r="B258" s="96">
        <v>814</v>
      </c>
      <c r="C258" s="97" t="s">
        <v>88</v>
      </c>
      <c r="D258" s="98">
        <v>10114540513</v>
      </c>
      <c r="E258" s="98" t="s">
        <v>89</v>
      </c>
      <c r="F258" s="8" t="s">
        <v>72</v>
      </c>
      <c r="G258" s="35"/>
    </row>
    <row r="259" spans="2:7">
      <c r="B259" s="96">
        <v>805</v>
      </c>
      <c r="C259" s="92" t="s">
        <v>1281</v>
      </c>
      <c r="D259" s="93">
        <v>10122661938</v>
      </c>
      <c r="E259" s="93" t="s">
        <v>6</v>
      </c>
      <c r="F259" s="8" t="s">
        <v>72</v>
      </c>
      <c r="G259" s="35"/>
    </row>
    <row r="260" spans="2:7">
      <c r="B260" s="96">
        <v>809</v>
      </c>
      <c r="C260" s="92" t="s">
        <v>440</v>
      </c>
      <c r="D260" s="93">
        <v>10114420473</v>
      </c>
      <c r="E260" s="93" t="s">
        <v>1204</v>
      </c>
      <c r="F260" s="8" t="s">
        <v>72</v>
      </c>
      <c r="G260" s="35"/>
    </row>
    <row r="261" spans="2:7">
      <c r="B261" s="96">
        <v>816</v>
      </c>
      <c r="C261" s="92" t="s">
        <v>1273</v>
      </c>
      <c r="D261" s="93">
        <v>10111595349</v>
      </c>
      <c r="E261" s="93" t="s">
        <v>1274</v>
      </c>
      <c r="F261" s="8" t="s">
        <v>72</v>
      </c>
      <c r="G261" s="35"/>
    </row>
    <row r="262" spans="2:7">
      <c r="B262" s="96">
        <v>824</v>
      </c>
      <c r="C262" s="92" t="s">
        <v>1437</v>
      </c>
      <c r="D262" s="93" t="s">
        <v>1292</v>
      </c>
      <c r="E262" s="93" t="s">
        <v>397</v>
      </c>
      <c r="F262" s="8" t="s">
        <v>72</v>
      </c>
      <c r="G262" s="35"/>
    </row>
    <row r="263" spans="2:7">
      <c r="B263" s="108">
        <v>825</v>
      </c>
      <c r="C263" s="92" t="s">
        <v>1277</v>
      </c>
      <c r="D263" s="93">
        <v>10111579585</v>
      </c>
      <c r="E263" s="93" t="s">
        <v>1278</v>
      </c>
      <c r="F263" s="8" t="s">
        <v>72</v>
      </c>
      <c r="G263" s="35"/>
    </row>
    <row r="264" spans="2:7">
      <c r="B264" s="108">
        <v>826</v>
      </c>
      <c r="C264" s="92" t="s">
        <v>1439</v>
      </c>
      <c r="D264" s="93" t="s">
        <v>1440</v>
      </c>
      <c r="E264" s="93" t="s">
        <v>1441</v>
      </c>
      <c r="F264" s="8" t="s">
        <v>72</v>
      </c>
      <c r="G264" s="35"/>
    </row>
    <row r="265" spans="2:7">
      <c r="B265" s="108">
        <v>827</v>
      </c>
      <c r="C265" s="92" t="s">
        <v>1438</v>
      </c>
      <c r="D265" s="93" t="s">
        <v>1292</v>
      </c>
      <c r="E265" s="93" t="s">
        <v>6</v>
      </c>
      <c r="F265" s="8" t="s">
        <v>72</v>
      </c>
      <c r="G265" s="35"/>
    </row>
    <row r="266" spans="2:7">
      <c r="B266" s="96"/>
      <c r="C266" s="92"/>
      <c r="D266" s="93"/>
      <c r="E266" s="93"/>
      <c r="F266" s="8" t="s">
        <v>72</v>
      </c>
      <c r="G266" s="35"/>
    </row>
    <row r="267" spans="2:7">
      <c r="B267" s="96"/>
      <c r="C267" s="93"/>
      <c r="D267" s="93"/>
      <c r="E267" s="92"/>
      <c r="F267" s="8"/>
      <c r="G267" s="35"/>
    </row>
    <row r="268" spans="2:7">
      <c r="B268" s="96"/>
      <c r="C268" s="97"/>
      <c r="D268" s="98"/>
      <c r="E268" s="98"/>
      <c r="F268" s="8"/>
      <c r="G268" s="35"/>
    </row>
    <row r="269" spans="2:7">
      <c r="B269" s="7"/>
      <c r="C269" s="8"/>
      <c r="D269" s="54"/>
      <c r="E269" s="54"/>
      <c r="F269" s="8"/>
      <c r="G269" s="35"/>
    </row>
    <row r="270" spans="2:7">
      <c r="B270" s="22">
        <v>853</v>
      </c>
      <c r="C270" s="92" t="s">
        <v>803</v>
      </c>
      <c r="D270" s="93">
        <v>10122227054</v>
      </c>
      <c r="E270" s="93" t="s">
        <v>100</v>
      </c>
      <c r="F270" s="8" t="s">
        <v>90</v>
      </c>
      <c r="G270" s="35"/>
    </row>
    <row r="271" spans="2:7">
      <c r="B271" s="22">
        <v>868</v>
      </c>
      <c r="C271" s="92" t="s">
        <v>802</v>
      </c>
      <c r="D271" s="93">
        <v>10074930662</v>
      </c>
      <c r="E271" s="93" t="s">
        <v>434</v>
      </c>
      <c r="F271" s="8" t="s">
        <v>90</v>
      </c>
      <c r="G271" s="35"/>
    </row>
    <row r="272" spans="2:7">
      <c r="B272" s="22">
        <v>851</v>
      </c>
      <c r="C272" s="92" t="s">
        <v>920</v>
      </c>
      <c r="D272" s="93">
        <v>10060932451</v>
      </c>
      <c r="E272" s="93" t="s">
        <v>121</v>
      </c>
      <c r="F272" s="8" t="s">
        <v>90</v>
      </c>
      <c r="G272" s="35"/>
    </row>
    <row r="273" spans="2:7">
      <c r="B273" s="22">
        <v>860</v>
      </c>
      <c r="C273" s="92" t="s">
        <v>1284</v>
      </c>
      <c r="D273" s="93">
        <v>10061984903</v>
      </c>
      <c r="E273" s="93" t="s">
        <v>1285</v>
      </c>
      <c r="F273" s="8" t="s">
        <v>90</v>
      </c>
      <c r="G273" s="35"/>
    </row>
    <row r="274" spans="2:7">
      <c r="B274" s="22">
        <v>859</v>
      </c>
      <c r="C274" s="92" t="s">
        <v>801</v>
      </c>
      <c r="D274" s="93">
        <v>10051462726</v>
      </c>
      <c r="E274" s="93" t="s">
        <v>464</v>
      </c>
      <c r="F274" s="8" t="s">
        <v>90</v>
      </c>
      <c r="G274" s="35"/>
    </row>
    <row r="275" spans="2:7">
      <c r="B275" s="22">
        <v>865</v>
      </c>
      <c r="C275" s="92" t="s">
        <v>1288</v>
      </c>
      <c r="D275" s="93">
        <v>10138850531</v>
      </c>
      <c r="E275" s="93" t="s">
        <v>1289</v>
      </c>
      <c r="F275" s="8" t="s">
        <v>90</v>
      </c>
      <c r="G275" s="35"/>
    </row>
    <row r="276" spans="2:7">
      <c r="B276" s="22">
        <v>870</v>
      </c>
      <c r="C276" s="92" t="s">
        <v>912</v>
      </c>
      <c r="D276" s="93">
        <v>10089830468</v>
      </c>
      <c r="E276" s="93" t="s">
        <v>624</v>
      </c>
      <c r="F276" s="8" t="s">
        <v>90</v>
      </c>
      <c r="G276" s="35"/>
    </row>
    <row r="277" spans="2:7">
      <c r="B277" s="22">
        <v>863</v>
      </c>
      <c r="C277" s="92" t="s">
        <v>919</v>
      </c>
      <c r="D277" s="93" t="s">
        <v>1292</v>
      </c>
      <c r="E277" s="93" t="s">
        <v>136</v>
      </c>
      <c r="F277" s="8" t="s">
        <v>90</v>
      </c>
      <c r="G277" s="35"/>
    </row>
    <row r="278" spans="2:7">
      <c r="B278" s="22">
        <v>855</v>
      </c>
      <c r="C278" s="92" t="s">
        <v>455</v>
      </c>
      <c r="D278" s="93">
        <v>10059069243</v>
      </c>
      <c r="E278" s="93" t="s">
        <v>115</v>
      </c>
      <c r="F278" s="8" t="s">
        <v>90</v>
      </c>
      <c r="G278" s="35"/>
    </row>
    <row r="279" spans="2:7">
      <c r="B279" s="22">
        <v>861</v>
      </c>
      <c r="C279" s="92" t="s">
        <v>1293</v>
      </c>
      <c r="D279" s="93">
        <v>11111</v>
      </c>
      <c r="E279" s="93" t="s">
        <v>1294</v>
      </c>
      <c r="F279" s="8" t="s">
        <v>90</v>
      </c>
      <c r="G279" s="35"/>
    </row>
    <row r="280" spans="2:7">
      <c r="B280" s="22">
        <v>858</v>
      </c>
      <c r="C280" s="92" t="s">
        <v>1290</v>
      </c>
      <c r="D280" s="93" t="s">
        <v>1264</v>
      </c>
      <c r="E280" s="93" t="s">
        <v>1291</v>
      </c>
      <c r="F280" s="8" t="s">
        <v>90</v>
      </c>
      <c r="G280" s="35"/>
    </row>
    <row r="281" spans="2:7">
      <c r="B281" s="22">
        <v>852</v>
      </c>
      <c r="C281" s="92" t="s">
        <v>123</v>
      </c>
      <c r="D281" s="93">
        <v>10007726234</v>
      </c>
      <c r="E281" s="93" t="s">
        <v>124</v>
      </c>
      <c r="F281" s="8" t="s">
        <v>90</v>
      </c>
      <c r="G281" s="35"/>
    </row>
    <row r="282" spans="2:7">
      <c r="B282" s="22">
        <v>862</v>
      </c>
      <c r="C282" s="92" t="s">
        <v>147</v>
      </c>
      <c r="D282" s="93">
        <v>10120760132</v>
      </c>
      <c r="E282" s="93" t="s">
        <v>122</v>
      </c>
      <c r="F282" s="8" t="s">
        <v>90</v>
      </c>
      <c r="G282" s="35"/>
    </row>
    <row r="283" spans="2:7">
      <c r="B283" s="107">
        <v>873</v>
      </c>
      <c r="C283" s="92" t="s">
        <v>1286</v>
      </c>
      <c r="D283" s="93">
        <v>10092276585</v>
      </c>
      <c r="E283" s="93" t="s">
        <v>1287</v>
      </c>
      <c r="F283" s="8" t="s">
        <v>90</v>
      </c>
      <c r="G283" s="35"/>
    </row>
    <row r="284" spans="2:7">
      <c r="B284" s="107">
        <v>874</v>
      </c>
      <c r="C284" s="92" t="s">
        <v>1295</v>
      </c>
      <c r="D284" s="93">
        <v>10161402627</v>
      </c>
      <c r="E284" s="93" t="s">
        <v>1296</v>
      </c>
      <c r="F284" s="8" t="s">
        <v>90</v>
      </c>
      <c r="G284" s="35"/>
    </row>
    <row r="285" spans="2:7">
      <c r="B285" s="107">
        <v>875</v>
      </c>
      <c r="C285" s="92" t="s">
        <v>1282</v>
      </c>
      <c r="D285" s="93">
        <v>10075035948</v>
      </c>
      <c r="E285" s="93" t="s">
        <v>1283</v>
      </c>
      <c r="F285" s="8" t="s">
        <v>90</v>
      </c>
      <c r="G285" s="35"/>
    </row>
    <row r="286" spans="2:7">
      <c r="B286" s="22"/>
      <c r="C286" s="92"/>
      <c r="D286" s="93"/>
      <c r="E286" s="93"/>
      <c r="F286" s="8" t="s">
        <v>90</v>
      </c>
      <c r="G286" s="35"/>
    </row>
    <row r="287" spans="2:7">
      <c r="B287" s="22"/>
      <c r="C287" s="92"/>
      <c r="D287" s="93"/>
      <c r="E287" s="93"/>
      <c r="F287" s="8" t="s">
        <v>90</v>
      </c>
      <c r="G287" s="35"/>
    </row>
    <row r="288" spans="2:7">
      <c r="B288" s="22"/>
      <c r="C288" s="92"/>
      <c r="D288" s="93"/>
      <c r="E288" s="93"/>
      <c r="F288" s="8" t="s">
        <v>90</v>
      </c>
      <c r="G288" s="35"/>
    </row>
    <row r="289" spans="2:7" ht="15.75">
      <c r="B289" s="48"/>
      <c r="C289" s="8"/>
      <c r="D289" s="7"/>
      <c r="E289" s="54"/>
      <c r="F289" s="8"/>
      <c r="G289" s="35"/>
    </row>
    <row r="290" spans="2:7">
      <c r="B290" s="96">
        <v>906</v>
      </c>
      <c r="C290" s="97" t="s">
        <v>481</v>
      </c>
      <c r="D290" s="99">
        <v>10054780328</v>
      </c>
      <c r="E290" s="98" t="s">
        <v>100</v>
      </c>
      <c r="F290" s="8" t="s">
        <v>91</v>
      </c>
      <c r="G290" s="35"/>
    </row>
    <row r="291" spans="2:7">
      <c r="B291" s="96">
        <v>908</v>
      </c>
      <c r="C291" s="92" t="s">
        <v>126</v>
      </c>
      <c r="D291" s="22">
        <v>10101986891</v>
      </c>
      <c r="E291" s="93" t="s">
        <v>1298</v>
      </c>
      <c r="F291" s="8" t="s">
        <v>91</v>
      </c>
      <c r="G291" s="35"/>
    </row>
    <row r="292" spans="2:7">
      <c r="B292" s="96">
        <v>903</v>
      </c>
      <c r="C292" s="92" t="s">
        <v>73</v>
      </c>
      <c r="D292" s="22">
        <v>10061997734</v>
      </c>
      <c r="E292" s="93" t="s">
        <v>69</v>
      </c>
      <c r="F292" s="8" t="s">
        <v>91</v>
      </c>
      <c r="G292" s="35"/>
    </row>
    <row r="293" spans="2:7">
      <c r="B293" s="96">
        <v>910</v>
      </c>
      <c r="C293" s="92" t="s">
        <v>1299</v>
      </c>
      <c r="D293" s="22">
        <v>10112076915</v>
      </c>
      <c r="E293" s="93" t="s">
        <v>487</v>
      </c>
      <c r="F293" s="8" t="s">
        <v>91</v>
      </c>
      <c r="G293" s="35"/>
    </row>
    <row r="294" spans="2:7">
      <c r="B294" s="96">
        <v>905</v>
      </c>
      <c r="C294" s="92" t="s">
        <v>479</v>
      </c>
      <c r="D294" s="22">
        <v>10061855668</v>
      </c>
      <c r="E294" s="92" t="s">
        <v>1305</v>
      </c>
      <c r="F294" s="8" t="s">
        <v>91</v>
      </c>
      <c r="G294" s="35"/>
    </row>
    <row r="295" spans="2:7">
      <c r="B295" s="96">
        <v>913</v>
      </c>
      <c r="C295" s="92" t="s">
        <v>491</v>
      </c>
      <c r="D295" s="22">
        <v>10172012306</v>
      </c>
      <c r="E295" s="93" t="s">
        <v>492</v>
      </c>
      <c r="F295" s="8" t="s">
        <v>91</v>
      </c>
      <c r="G295" s="35"/>
    </row>
    <row r="296" spans="2:7">
      <c r="B296" s="96">
        <v>902</v>
      </c>
      <c r="C296" s="92" t="s">
        <v>478</v>
      </c>
      <c r="D296" s="22" t="s">
        <v>1297</v>
      </c>
      <c r="E296" s="93" t="s">
        <v>149</v>
      </c>
      <c r="F296" s="8" t="s">
        <v>91</v>
      </c>
      <c r="G296" s="35"/>
    </row>
    <row r="297" spans="2:7">
      <c r="B297" s="96">
        <v>911</v>
      </c>
      <c r="C297" s="92" t="s">
        <v>488</v>
      </c>
      <c r="D297" s="22">
        <v>10052413629</v>
      </c>
      <c r="E297" s="93" t="s">
        <v>150</v>
      </c>
      <c r="F297" s="8" t="s">
        <v>91</v>
      </c>
      <c r="G297" s="35"/>
    </row>
    <row r="298" spans="2:7">
      <c r="B298" s="96">
        <v>904</v>
      </c>
      <c r="C298" s="92" t="s">
        <v>1300</v>
      </c>
      <c r="D298" s="22">
        <v>10052228218</v>
      </c>
      <c r="E298" s="93" t="s">
        <v>100</v>
      </c>
      <c r="F298" s="8" t="s">
        <v>91</v>
      </c>
      <c r="G298" s="35"/>
    </row>
    <row r="299" spans="2:7">
      <c r="B299" s="96">
        <v>907</v>
      </c>
      <c r="C299" s="92" t="s">
        <v>817</v>
      </c>
      <c r="D299" s="22">
        <v>10075039079</v>
      </c>
      <c r="E299" s="93" t="s">
        <v>1302</v>
      </c>
      <c r="F299" s="8" t="s">
        <v>91</v>
      </c>
      <c r="G299" s="35"/>
    </row>
    <row r="300" spans="2:7">
      <c r="B300" s="96">
        <v>922</v>
      </c>
      <c r="C300" s="92" t="s">
        <v>928</v>
      </c>
      <c r="D300" s="22">
        <v>10126639241</v>
      </c>
      <c r="E300" s="93" t="s">
        <v>1208</v>
      </c>
      <c r="F300" s="8" t="s">
        <v>91</v>
      </c>
      <c r="G300" s="35"/>
    </row>
    <row r="301" spans="2:7">
      <c r="B301" s="96">
        <v>914</v>
      </c>
      <c r="C301" s="92" t="s">
        <v>1301</v>
      </c>
      <c r="D301" s="22">
        <v>10109809842</v>
      </c>
      <c r="E301" s="93" t="s">
        <v>786</v>
      </c>
      <c r="F301" s="8" t="s">
        <v>91</v>
      </c>
      <c r="G301" s="35"/>
    </row>
    <row r="302" spans="2:7">
      <c r="B302" s="108">
        <v>923</v>
      </c>
      <c r="C302" s="92" t="s">
        <v>1303</v>
      </c>
      <c r="D302" s="22" t="s">
        <v>1292</v>
      </c>
      <c r="E302" s="93" t="s">
        <v>1304</v>
      </c>
      <c r="F302" s="8" t="s">
        <v>91</v>
      </c>
      <c r="G302" s="35"/>
    </row>
    <row r="303" spans="2:7">
      <c r="B303" s="96"/>
      <c r="C303" s="92"/>
      <c r="D303" s="22"/>
      <c r="E303" s="93"/>
      <c r="F303" s="8" t="s">
        <v>91</v>
      </c>
      <c r="G303" s="35"/>
    </row>
    <row r="304" spans="2:7">
      <c r="B304" s="96"/>
      <c r="C304" s="92"/>
      <c r="D304" s="22"/>
      <c r="E304" s="93"/>
      <c r="F304" s="8" t="s">
        <v>91</v>
      </c>
      <c r="G304" s="35"/>
    </row>
    <row r="305" spans="2:7">
      <c r="B305" s="7"/>
      <c r="C305" s="8"/>
      <c r="D305" s="54"/>
      <c r="E305" s="54"/>
      <c r="F305" s="8" t="s">
        <v>91</v>
      </c>
      <c r="G305" s="35"/>
    </row>
    <row r="306" spans="2:7">
      <c r="B306" s="41"/>
      <c r="C306" s="8"/>
      <c r="D306" s="54"/>
      <c r="E306" s="8"/>
      <c r="F306" s="8" t="s">
        <v>91</v>
      </c>
      <c r="G306" s="35"/>
    </row>
    <row r="307" spans="2:7">
      <c r="B307" s="41"/>
      <c r="C307" s="54"/>
      <c r="D307" s="54"/>
      <c r="E307" s="8"/>
      <c r="F307" s="54"/>
      <c r="G307" s="35"/>
    </row>
    <row r="308" spans="2:7" ht="15.75">
      <c r="B308" s="21"/>
      <c r="C308" s="8"/>
      <c r="D308" s="54"/>
      <c r="E308" s="54"/>
      <c r="F308" s="54"/>
      <c r="G308" s="35"/>
    </row>
    <row r="309" spans="2:7">
      <c r="B309" s="22">
        <v>935</v>
      </c>
      <c r="C309" s="93" t="s">
        <v>921</v>
      </c>
      <c r="D309" s="93">
        <v>10083854965</v>
      </c>
      <c r="E309" s="92" t="s">
        <v>1404</v>
      </c>
      <c r="F309" s="8" t="s">
        <v>165</v>
      </c>
      <c r="G309" s="35"/>
    </row>
    <row r="310" spans="2:7">
      <c r="B310" s="22">
        <v>932</v>
      </c>
      <c r="C310" s="92" t="s">
        <v>826</v>
      </c>
      <c r="D310" s="93">
        <v>10121261300</v>
      </c>
      <c r="E310" s="93" t="s">
        <v>498</v>
      </c>
      <c r="F310" s="8" t="s">
        <v>165</v>
      </c>
      <c r="G310" s="35"/>
    </row>
    <row r="311" spans="2:7">
      <c r="B311" s="22">
        <v>934</v>
      </c>
      <c r="C311" s="92" t="s">
        <v>501</v>
      </c>
      <c r="D311" s="93">
        <v>10133198663</v>
      </c>
      <c r="E311" s="93" t="s">
        <v>1405</v>
      </c>
      <c r="F311" s="8" t="s">
        <v>165</v>
      </c>
      <c r="G311" s="35"/>
    </row>
    <row r="312" spans="2:7">
      <c r="B312" s="107">
        <v>936</v>
      </c>
      <c r="C312" s="92" t="s">
        <v>1442</v>
      </c>
      <c r="D312" s="93">
        <v>10139341086</v>
      </c>
      <c r="E312" s="93" t="s">
        <v>1443</v>
      </c>
      <c r="F312" s="8" t="s">
        <v>165</v>
      </c>
      <c r="G312" s="35"/>
    </row>
    <row r="313" spans="2:7">
      <c r="B313" s="41"/>
      <c r="C313" s="54"/>
      <c r="D313" s="54"/>
      <c r="E313" s="8"/>
      <c r="F313" s="54"/>
      <c r="G313" s="35"/>
    </row>
    <row r="314" spans="2:7">
      <c r="B314" s="22">
        <v>951</v>
      </c>
      <c r="C314" s="93" t="s">
        <v>161</v>
      </c>
      <c r="D314" s="93">
        <v>10101986689</v>
      </c>
      <c r="E314" s="92" t="s">
        <v>1406</v>
      </c>
      <c r="F314" s="8" t="s">
        <v>166</v>
      </c>
      <c r="G314" s="35"/>
    </row>
    <row r="315" spans="2:7">
      <c r="B315" s="107">
        <v>956</v>
      </c>
      <c r="C315" s="93" t="s">
        <v>1407</v>
      </c>
      <c r="D315" s="93">
        <v>10116040878</v>
      </c>
      <c r="E315" s="92" t="s">
        <v>70</v>
      </c>
      <c r="F315" s="8" t="s">
        <v>166</v>
      </c>
      <c r="G315" s="35"/>
    </row>
    <row r="316" spans="2:7">
      <c r="B316" s="3"/>
      <c r="C316" s="93"/>
      <c r="D316" s="93"/>
      <c r="E316" s="92"/>
      <c r="F316" s="8" t="s">
        <v>166</v>
      </c>
      <c r="G316" s="35"/>
    </row>
    <row r="317" spans="2:7">
      <c r="B317" s="3"/>
      <c r="C317" s="93"/>
      <c r="D317" s="93"/>
      <c r="E317" s="92"/>
      <c r="F317" s="8" t="s">
        <v>166</v>
      </c>
      <c r="G317" s="35"/>
    </row>
    <row r="318" spans="2:7">
      <c r="B318" s="3"/>
      <c r="C318" s="93"/>
      <c r="D318" s="93"/>
      <c r="E318" s="92"/>
      <c r="F318" s="8"/>
      <c r="G318" s="35"/>
    </row>
    <row r="319" spans="2:7">
      <c r="B319" s="22">
        <v>614</v>
      </c>
      <c r="C319" s="92" t="s">
        <v>162</v>
      </c>
      <c r="D319" s="93">
        <v>10153041631</v>
      </c>
      <c r="E319" s="93" t="s">
        <v>1434</v>
      </c>
      <c r="F319" s="8" t="s">
        <v>60</v>
      </c>
      <c r="G319" s="35"/>
    </row>
    <row r="320" spans="2:7">
      <c r="B320" s="22">
        <v>609</v>
      </c>
      <c r="C320" s="92" t="s">
        <v>518</v>
      </c>
      <c r="D320" s="93">
        <v>10063635620</v>
      </c>
      <c r="E320" s="93" t="s">
        <v>839</v>
      </c>
      <c r="F320" s="8" t="s">
        <v>60</v>
      </c>
      <c r="G320" s="35"/>
    </row>
    <row r="321" spans="2:7">
      <c r="B321" s="22">
        <v>603</v>
      </c>
      <c r="C321" s="92" t="s">
        <v>840</v>
      </c>
      <c r="D321" s="93">
        <v>10164876237</v>
      </c>
      <c r="E321" s="93" t="s">
        <v>841</v>
      </c>
      <c r="F321" s="8" t="s">
        <v>60</v>
      </c>
      <c r="G321" s="35"/>
    </row>
    <row r="322" spans="2:7">
      <c r="B322" s="22">
        <v>618</v>
      </c>
      <c r="C322" s="92" t="s">
        <v>532</v>
      </c>
      <c r="D322" s="93">
        <v>10127815668</v>
      </c>
      <c r="E322" s="92" t="s">
        <v>399</v>
      </c>
      <c r="F322" s="8" t="s">
        <v>60</v>
      </c>
      <c r="G322" s="35"/>
    </row>
    <row r="323" spans="2:7">
      <c r="B323" s="22">
        <v>622</v>
      </c>
      <c r="C323" s="92" t="s">
        <v>407</v>
      </c>
      <c r="D323" s="93" t="s">
        <v>1311</v>
      </c>
      <c r="E323" s="93" t="s">
        <v>895</v>
      </c>
      <c r="F323" s="8" t="s">
        <v>60</v>
      </c>
      <c r="G323" s="35"/>
    </row>
    <row r="324" spans="2:7">
      <c r="B324" s="22">
        <v>625</v>
      </c>
      <c r="C324" s="92" t="s">
        <v>538</v>
      </c>
      <c r="D324" s="93">
        <v>10172016144</v>
      </c>
      <c r="E324" s="93" t="s">
        <v>6</v>
      </c>
      <c r="F324" s="8" t="s">
        <v>60</v>
      </c>
      <c r="G324" s="35"/>
    </row>
    <row r="325" spans="2:7">
      <c r="B325" s="22">
        <v>602</v>
      </c>
      <c r="C325" s="92" t="s">
        <v>157</v>
      </c>
      <c r="D325" s="93" t="s">
        <v>1292</v>
      </c>
      <c r="E325" s="93" t="s">
        <v>506</v>
      </c>
      <c r="F325" s="8" t="s">
        <v>60</v>
      </c>
      <c r="G325" s="35"/>
    </row>
    <row r="326" spans="2:7">
      <c r="B326" s="22">
        <v>616</v>
      </c>
      <c r="C326" s="93" t="s">
        <v>529</v>
      </c>
      <c r="D326" s="93">
        <v>10126140804</v>
      </c>
      <c r="E326" s="92" t="s">
        <v>530</v>
      </c>
      <c r="F326" s="8" t="s">
        <v>60</v>
      </c>
      <c r="G326" s="35"/>
    </row>
    <row r="327" spans="2:7">
      <c r="B327" s="107">
        <v>628</v>
      </c>
      <c r="C327" s="92" t="s">
        <v>1435</v>
      </c>
      <c r="D327" s="93">
        <v>10129820740</v>
      </c>
      <c r="E327" s="93" t="s">
        <v>1436</v>
      </c>
      <c r="F327" s="8" t="s">
        <v>60</v>
      </c>
      <c r="G327" s="35"/>
    </row>
    <row r="328" spans="2:7">
      <c r="B328" s="22"/>
      <c r="C328" s="92"/>
      <c r="D328" s="93"/>
      <c r="E328" s="92"/>
      <c r="F328" s="8" t="s">
        <v>60</v>
      </c>
      <c r="G328" s="35"/>
    </row>
    <row r="329" spans="2:7">
      <c r="B329" s="22"/>
      <c r="C329" s="92"/>
      <c r="D329" s="93"/>
      <c r="E329" s="93"/>
      <c r="F329" s="8" t="s">
        <v>60</v>
      </c>
      <c r="G329" s="35"/>
    </row>
    <row r="330" spans="2:7">
      <c r="B330" s="22"/>
      <c r="C330" s="92"/>
      <c r="D330" s="93"/>
      <c r="E330" s="93"/>
      <c r="F330" s="8" t="s">
        <v>60</v>
      </c>
      <c r="G330" s="35"/>
    </row>
    <row r="331" spans="2:7">
      <c r="B331" s="22"/>
      <c r="C331" s="92"/>
      <c r="D331" s="93"/>
      <c r="E331" s="93"/>
      <c r="F331" s="8" t="s">
        <v>60</v>
      </c>
      <c r="G331" s="35"/>
    </row>
    <row r="332" spans="2:7">
      <c r="B332" s="22"/>
      <c r="C332" s="93"/>
      <c r="D332" s="93"/>
      <c r="E332" s="92"/>
      <c r="F332" s="8" t="s">
        <v>60</v>
      </c>
      <c r="G332" s="35"/>
    </row>
    <row r="333" spans="2:7">
      <c r="B333" s="22"/>
      <c r="C333" s="93"/>
      <c r="D333" s="93"/>
      <c r="E333" s="92"/>
      <c r="F333" s="8" t="s">
        <v>60</v>
      </c>
      <c r="G333" s="35"/>
    </row>
    <row r="334" spans="2:7">
      <c r="B334" s="22"/>
      <c r="C334" s="92"/>
      <c r="D334" s="93"/>
      <c r="E334" s="93"/>
      <c r="F334" s="8" t="s">
        <v>60</v>
      </c>
      <c r="G334" s="35"/>
    </row>
    <row r="335" spans="2:7">
      <c r="B335" s="22"/>
      <c r="C335" s="92"/>
      <c r="D335" s="93"/>
      <c r="E335" s="93"/>
      <c r="F335" s="8" t="s">
        <v>60</v>
      </c>
      <c r="G335" s="35"/>
    </row>
    <row r="336" spans="2:7">
      <c r="B336" s="22"/>
      <c r="C336" s="92"/>
      <c r="D336" s="93"/>
      <c r="E336" s="93"/>
      <c r="F336" s="8" t="s">
        <v>60</v>
      </c>
      <c r="G336" s="35"/>
    </row>
    <row r="337" spans="2:7">
      <c r="B337" s="22"/>
      <c r="C337" s="92"/>
      <c r="D337" s="93"/>
      <c r="E337" s="93"/>
      <c r="F337" s="8" t="s">
        <v>60</v>
      </c>
      <c r="G337" s="35"/>
    </row>
    <row r="338" spans="2:7">
      <c r="B338" s="22"/>
      <c r="C338" s="92"/>
      <c r="D338" s="93"/>
      <c r="E338" s="93"/>
      <c r="F338" s="8" t="s">
        <v>60</v>
      </c>
      <c r="G338" s="35"/>
    </row>
    <row r="339" spans="2:7">
      <c r="B339" s="7"/>
      <c r="C339" s="8"/>
      <c r="D339" s="54"/>
      <c r="E339" s="54"/>
      <c r="F339" s="54"/>
      <c r="G339" s="35"/>
    </row>
    <row r="340" spans="2:7">
      <c r="B340" s="7"/>
      <c r="C340" s="8"/>
      <c r="D340" s="54"/>
      <c r="E340" s="54"/>
      <c r="F340" s="54"/>
      <c r="G340" s="35"/>
    </row>
    <row r="341" spans="2:7">
      <c r="B341" s="22">
        <v>671</v>
      </c>
      <c r="C341" s="92" t="s">
        <v>537</v>
      </c>
      <c r="D341" s="93">
        <v>10136876074</v>
      </c>
      <c r="E341" s="92" t="s">
        <v>399</v>
      </c>
      <c r="F341" s="8" t="s">
        <v>92</v>
      </c>
      <c r="G341" s="35"/>
    </row>
    <row r="342" spans="2:7">
      <c r="B342" s="22"/>
      <c r="C342" s="92"/>
      <c r="D342" s="93"/>
      <c r="E342" s="92"/>
      <c r="F342" s="8" t="s">
        <v>92</v>
      </c>
      <c r="G342" s="35"/>
    </row>
    <row r="343" spans="2:7">
      <c r="B343" s="41"/>
      <c r="C343" s="8"/>
      <c r="D343" s="54"/>
      <c r="E343" s="54"/>
      <c r="F343" s="8"/>
      <c r="G343" s="35"/>
    </row>
    <row r="344" spans="2:7">
      <c r="B344" s="22">
        <v>981</v>
      </c>
      <c r="C344" s="92" t="s">
        <v>1421</v>
      </c>
      <c r="D344" s="93" t="s">
        <v>1311</v>
      </c>
      <c r="E344" s="93" t="s">
        <v>1422</v>
      </c>
      <c r="F344" s="8" t="s">
        <v>167</v>
      </c>
      <c r="G344" s="35"/>
    </row>
    <row r="345" spans="2:7">
      <c r="B345" s="22">
        <v>978</v>
      </c>
      <c r="C345" s="92" t="s">
        <v>1424</v>
      </c>
      <c r="D345" s="93" t="s">
        <v>1311</v>
      </c>
      <c r="E345" s="92" t="s">
        <v>1425</v>
      </c>
      <c r="F345" s="8" t="s">
        <v>167</v>
      </c>
      <c r="G345" s="35"/>
    </row>
    <row r="346" spans="2:7">
      <c r="B346" s="22">
        <v>982</v>
      </c>
      <c r="C346" s="92" t="s">
        <v>854</v>
      </c>
      <c r="D346" s="93">
        <v>10050347327</v>
      </c>
      <c r="E346" s="93" t="s">
        <v>1423</v>
      </c>
      <c r="F346" s="8" t="s">
        <v>167</v>
      </c>
      <c r="G346" s="35"/>
    </row>
    <row r="347" spans="2:7">
      <c r="B347" s="107">
        <v>983</v>
      </c>
      <c r="C347" s="92" t="s">
        <v>1426</v>
      </c>
      <c r="D347" s="93">
        <v>1015955048</v>
      </c>
      <c r="E347" s="93" t="s">
        <v>1427</v>
      </c>
      <c r="F347" s="8" t="s">
        <v>167</v>
      </c>
      <c r="G347" s="35"/>
    </row>
    <row r="348" spans="2:7">
      <c r="B348" s="8"/>
      <c r="C348" s="8"/>
      <c r="D348" s="54"/>
      <c r="E348" s="8"/>
      <c r="F348" s="8" t="s">
        <v>167</v>
      </c>
      <c r="G348" s="35"/>
    </row>
    <row r="349" spans="2:7">
      <c r="B349" s="8"/>
      <c r="C349" s="8"/>
      <c r="D349" s="54"/>
      <c r="E349" s="8"/>
      <c r="F349" s="8" t="s">
        <v>167</v>
      </c>
      <c r="G349" s="35"/>
    </row>
    <row r="350" spans="2:7">
      <c r="B350" s="8"/>
      <c r="C350" s="8"/>
      <c r="D350" s="54"/>
      <c r="E350" s="8"/>
      <c r="F350" s="8" t="s">
        <v>167</v>
      </c>
      <c r="G350" s="35"/>
    </row>
    <row r="351" spans="2:7">
      <c r="B351" s="8"/>
      <c r="C351" s="8"/>
      <c r="D351" s="54"/>
      <c r="E351" s="8"/>
      <c r="F351" s="8" t="s">
        <v>167</v>
      </c>
      <c r="G351" s="35"/>
    </row>
    <row r="352" spans="2:7">
      <c r="B352" s="8"/>
      <c r="C352" s="8"/>
      <c r="D352" s="54"/>
      <c r="E352" s="8"/>
      <c r="F352" s="8" t="s">
        <v>167</v>
      </c>
      <c r="G352" s="35"/>
    </row>
    <row r="353" spans="2:7">
      <c r="B353" s="8"/>
      <c r="C353" s="8"/>
      <c r="D353" s="54"/>
      <c r="E353" s="8"/>
      <c r="F353" s="8" t="s">
        <v>167</v>
      </c>
      <c r="G353" s="35"/>
    </row>
    <row r="354" spans="2:7">
      <c r="B354" s="8"/>
      <c r="C354" s="8"/>
      <c r="D354" s="54"/>
      <c r="E354" s="8"/>
      <c r="F354" s="8" t="s">
        <v>167</v>
      </c>
      <c r="G354" s="35"/>
    </row>
    <row r="355" spans="2:7">
      <c r="B355" s="8"/>
      <c r="C355" s="8"/>
      <c r="D355" s="54"/>
      <c r="E355" s="8"/>
      <c r="F355" s="8" t="s">
        <v>167</v>
      </c>
      <c r="G355" s="35"/>
    </row>
    <row r="356" spans="2:7">
      <c r="B356" s="8"/>
      <c r="C356" s="8"/>
      <c r="D356" s="54"/>
      <c r="E356" s="8"/>
      <c r="F356" s="8" t="s">
        <v>167</v>
      </c>
      <c r="G356" s="35"/>
    </row>
    <row r="357" spans="2:7">
      <c r="B357" s="8"/>
      <c r="C357" s="8"/>
      <c r="D357" s="54"/>
      <c r="E357" s="8"/>
      <c r="F357" s="8" t="s">
        <v>167</v>
      </c>
      <c r="G357" s="35"/>
    </row>
    <row r="358" spans="2:7">
      <c r="B358" s="8"/>
      <c r="C358" s="8"/>
      <c r="D358" s="54"/>
      <c r="E358" s="8"/>
      <c r="F358" s="8" t="s">
        <v>167</v>
      </c>
      <c r="G358" s="35"/>
    </row>
    <row r="359" spans="2:7">
      <c r="B359" s="8"/>
      <c r="C359" s="8"/>
      <c r="D359" s="54"/>
      <c r="E359" s="8"/>
      <c r="F359" s="8"/>
      <c r="G359" s="35"/>
    </row>
    <row r="360" spans="2:7">
      <c r="B360" s="22">
        <v>961</v>
      </c>
      <c r="C360" s="92" t="s">
        <v>1413</v>
      </c>
      <c r="D360" s="93">
        <v>10129943002</v>
      </c>
      <c r="E360" s="93" t="s">
        <v>116</v>
      </c>
      <c r="F360" s="8" t="s">
        <v>102</v>
      </c>
      <c r="G360" s="35"/>
    </row>
    <row r="361" spans="2:7">
      <c r="B361" s="22">
        <v>962</v>
      </c>
      <c r="C361" s="92" t="s">
        <v>1416</v>
      </c>
      <c r="D361" s="93">
        <v>10136994700</v>
      </c>
      <c r="E361" s="93" t="s">
        <v>116</v>
      </c>
      <c r="F361" s="8" t="s">
        <v>102</v>
      </c>
      <c r="G361" s="35"/>
    </row>
    <row r="362" spans="2:7">
      <c r="B362" s="22">
        <v>964</v>
      </c>
      <c r="C362" s="92" t="s">
        <v>1414</v>
      </c>
      <c r="D362" s="93">
        <v>10061982172</v>
      </c>
      <c r="E362" s="93" t="s">
        <v>1415</v>
      </c>
      <c r="F362" s="8" t="s">
        <v>102</v>
      </c>
      <c r="G362" s="35"/>
    </row>
    <row r="363" spans="2:7">
      <c r="B363" s="107">
        <v>965</v>
      </c>
      <c r="C363" s="92" t="s">
        <v>1417</v>
      </c>
      <c r="D363" s="93" t="s">
        <v>1292</v>
      </c>
      <c r="E363" s="93" t="s">
        <v>1418</v>
      </c>
      <c r="F363" s="8" t="s">
        <v>102</v>
      </c>
      <c r="G363" s="35"/>
    </row>
    <row r="364" spans="2:7">
      <c r="B364" s="107">
        <v>966</v>
      </c>
      <c r="C364" s="92" t="s">
        <v>1419</v>
      </c>
      <c r="D364" s="93">
        <v>10075908039</v>
      </c>
      <c r="E364" s="93" t="s">
        <v>1420</v>
      </c>
      <c r="F364" s="8" t="s">
        <v>102</v>
      </c>
      <c r="G364" s="35"/>
    </row>
    <row r="365" spans="2:7">
      <c r="B365" s="18"/>
      <c r="C365" s="19"/>
      <c r="D365" s="19"/>
      <c r="E365" s="19"/>
      <c r="F365" s="19"/>
      <c r="G365" s="35"/>
    </row>
    <row r="366" spans="2:7">
      <c r="B366" s="18"/>
      <c r="C366" s="19"/>
      <c r="D366" s="19"/>
      <c r="E366" s="19"/>
      <c r="F366" s="19"/>
      <c r="G366" s="35"/>
    </row>
    <row r="367" spans="2:7">
      <c r="B367" s="18"/>
      <c r="C367" s="19"/>
      <c r="D367" s="19"/>
      <c r="E367" s="19"/>
      <c r="F367" s="19"/>
      <c r="G367" s="35"/>
    </row>
    <row r="368" spans="2:7">
      <c r="B368" s="18"/>
      <c r="C368" s="18" t="s">
        <v>1262</v>
      </c>
      <c r="D368" s="19"/>
      <c r="E368" s="19"/>
      <c r="F368" s="19"/>
      <c r="G368" s="35"/>
    </row>
    <row r="369" spans="2:7">
      <c r="B369" s="3">
        <v>3</v>
      </c>
      <c r="C369" s="92" t="s">
        <v>169</v>
      </c>
      <c r="D369" s="93">
        <v>10009200331</v>
      </c>
      <c r="E369" s="93" t="s">
        <v>566</v>
      </c>
      <c r="F369" s="8" t="s">
        <v>50</v>
      </c>
      <c r="G369" s="35"/>
    </row>
    <row r="370" spans="2:7">
      <c r="B370" s="3">
        <v>4</v>
      </c>
      <c r="C370" s="92" t="s">
        <v>565</v>
      </c>
      <c r="D370" s="93">
        <v>10058573533</v>
      </c>
      <c r="E370" s="93" t="s">
        <v>1236</v>
      </c>
      <c r="F370" s="8" t="s">
        <v>50</v>
      </c>
      <c r="G370" s="35"/>
    </row>
    <row r="371" spans="2:7">
      <c r="B371" s="3">
        <v>25</v>
      </c>
      <c r="C371" s="92" t="s">
        <v>173</v>
      </c>
      <c r="D371" s="93">
        <v>10076890971</v>
      </c>
      <c r="E371" s="93" t="s">
        <v>114</v>
      </c>
      <c r="F371" s="8" t="s">
        <v>50</v>
      </c>
      <c r="G371" s="35"/>
    </row>
    <row r="372" spans="2:7">
      <c r="B372" s="3">
        <v>23</v>
      </c>
      <c r="C372" s="92" t="s">
        <v>171</v>
      </c>
      <c r="D372" s="93">
        <v>10092456037</v>
      </c>
      <c r="E372" s="93" t="s">
        <v>100</v>
      </c>
      <c r="F372" s="8" t="s">
        <v>50</v>
      </c>
      <c r="G372" s="35"/>
    </row>
    <row r="373" spans="2:7">
      <c r="B373" s="3">
        <v>9</v>
      </c>
      <c r="C373" s="92" t="s">
        <v>1241</v>
      </c>
      <c r="D373" s="93">
        <v>10105198201</v>
      </c>
      <c r="E373" s="93" t="s">
        <v>1242</v>
      </c>
      <c r="F373" s="8" t="s">
        <v>50</v>
      </c>
      <c r="G373" s="35"/>
    </row>
    <row r="374" spans="2:7">
      <c r="B374" s="3">
        <v>10</v>
      </c>
      <c r="C374" s="92" t="s">
        <v>174</v>
      </c>
      <c r="D374" s="93">
        <v>10075992208</v>
      </c>
      <c r="E374" s="93" t="s">
        <v>115</v>
      </c>
      <c r="F374" s="8" t="s">
        <v>50</v>
      </c>
      <c r="G374" s="35"/>
    </row>
    <row r="375" spans="2:7">
      <c r="B375" s="3">
        <v>12</v>
      </c>
      <c r="C375" s="92" t="s">
        <v>143</v>
      </c>
      <c r="D375" s="93">
        <v>10051220327</v>
      </c>
      <c r="E375" s="93" t="s">
        <v>1236</v>
      </c>
      <c r="F375" s="8" t="s">
        <v>50</v>
      </c>
      <c r="G375" s="35"/>
    </row>
    <row r="376" spans="2:7">
      <c r="B376" s="3">
        <v>27</v>
      </c>
      <c r="C376" s="92" t="s">
        <v>180</v>
      </c>
      <c r="D376" s="93">
        <v>10103820090</v>
      </c>
      <c r="E376" s="93" t="s">
        <v>114</v>
      </c>
      <c r="F376" s="8" t="s">
        <v>50</v>
      </c>
      <c r="G376" s="35"/>
    </row>
    <row r="377" spans="2:7">
      <c r="B377" s="3">
        <v>13</v>
      </c>
      <c r="C377" s="92" t="s">
        <v>997</v>
      </c>
      <c r="D377" s="93">
        <v>10088970101</v>
      </c>
      <c r="E377" s="93" t="s">
        <v>1237</v>
      </c>
      <c r="F377" s="8" t="s">
        <v>50</v>
      </c>
      <c r="G377" s="35"/>
    </row>
    <row r="378" spans="2:7">
      <c r="B378" s="3">
        <v>30</v>
      </c>
      <c r="C378" s="92" t="s">
        <v>1239</v>
      </c>
      <c r="D378" s="93">
        <v>10140483767</v>
      </c>
      <c r="E378" s="93" t="s">
        <v>85</v>
      </c>
      <c r="F378" s="8" t="s">
        <v>50</v>
      </c>
      <c r="G378" s="35"/>
    </row>
    <row r="379" spans="2:7">
      <c r="B379" s="3">
        <v>26</v>
      </c>
      <c r="C379" s="92" t="s">
        <v>1005</v>
      </c>
      <c r="D379" s="93">
        <v>10089547148</v>
      </c>
      <c r="E379" s="93" t="s">
        <v>114</v>
      </c>
      <c r="F379" s="8" t="s">
        <v>50</v>
      </c>
      <c r="G379" s="35"/>
    </row>
    <row r="380" spans="2:7">
      <c r="B380" s="3">
        <v>28</v>
      </c>
      <c r="C380" s="92" t="s">
        <v>186</v>
      </c>
      <c r="D380" s="93">
        <v>10120369001</v>
      </c>
      <c r="E380" s="93" t="s">
        <v>100</v>
      </c>
      <c r="F380" s="8" t="s">
        <v>50</v>
      </c>
      <c r="G380" s="35"/>
    </row>
    <row r="381" spans="2:7">
      <c r="B381" s="3">
        <v>29</v>
      </c>
      <c r="C381" s="93" t="s">
        <v>1006</v>
      </c>
      <c r="D381" s="93" t="s">
        <v>66</v>
      </c>
      <c r="E381" s="92" t="s">
        <v>100</v>
      </c>
      <c r="F381" s="8" t="s">
        <v>50</v>
      </c>
      <c r="G381" s="35"/>
    </row>
    <row r="382" spans="2:7">
      <c r="B382" s="105">
        <v>37</v>
      </c>
      <c r="C382" s="92" t="s">
        <v>192</v>
      </c>
      <c r="D382" s="93">
        <v>10120252500</v>
      </c>
      <c r="E382" s="93" t="s">
        <v>1238</v>
      </c>
      <c r="F382" s="8" t="s">
        <v>50</v>
      </c>
      <c r="G382" s="35"/>
    </row>
    <row r="383" spans="2:7">
      <c r="B383" s="3">
        <v>35</v>
      </c>
      <c r="C383" s="93" t="s">
        <v>1011</v>
      </c>
      <c r="D383" s="93">
        <v>10113953358</v>
      </c>
      <c r="E383" s="92" t="s">
        <v>114</v>
      </c>
      <c r="F383" s="8" t="s">
        <v>50</v>
      </c>
      <c r="G383" s="35"/>
    </row>
    <row r="384" spans="2:7">
      <c r="B384" s="105">
        <v>38</v>
      </c>
      <c r="C384" s="92" t="s">
        <v>1258</v>
      </c>
      <c r="D384" s="93">
        <v>10116526888</v>
      </c>
      <c r="E384" s="93" t="s">
        <v>84</v>
      </c>
      <c r="F384" s="8" t="s">
        <v>50</v>
      </c>
      <c r="G384" s="35"/>
    </row>
    <row r="385" spans="2:7">
      <c r="B385" s="3"/>
      <c r="C385" s="92"/>
      <c r="D385" s="93"/>
      <c r="E385" s="93"/>
      <c r="F385" s="8" t="s">
        <v>50</v>
      </c>
      <c r="G385" s="35"/>
    </row>
    <row r="386" spans="2:7">
      <c r="B386" s="3"/>
      <c r="C386" s="92"/>
      <c r="D386" s="93"/>
      <c r="E386" s="93"/>
      <c r="F386" s="8" t="s">
        <v>50</v>
      </c>
      <c r="G386" s="35"/>
    </row>
    <row r="387" spans="2:7">
      <c r="B387" s="3"/>
      <c r="C387" s="92"/>
      <c r="D387" s="93"/>
      <c r="E387" s="93"/>
      <c r="F387" s="8" t="s">
        <v>50</v>
      </c>
      <c r="G387" s="35"/>
    </row>
    <row r="388" spans="2:7">
      <c r="B388" s="3"/>
      <c r="C388" s="93"/>
      <c r="D388" s="93"/>
      <c r="E388" s="92"/>
      <c r="F388" s="8" t="s">
        <v>50</v>
      </c>
      <c r="G388" s="35"/>
    </row>
    <row r="389" spans="2:7">
      <c r="B389" s="3"/>
      <c r="C389" s="97"/>
      <c r="D389" s="97"/>
      <c r="E389" s="94"/>
      <c r="F389" s="8" t="s">
        <v>50</v>
      </c>
      <c r="G389" s="35"/>
    </row>
    <row r="390" spans="2:7">
      <c r="B390" s="22"/>
      <c r="C390" s="97"/>
      <c r="D390" s="97"/>
      <c r="E390" s="94"/>
      <c r="F390" s="8" t="s">
        <v>50</v>
      </c>
      <c r="G390" s="35"/>
    </row>
    <row r="391" spans="2:7">
      <c r="B391" s="3"/>
      <c r="C391" s="92"/>
      <c r="D391" s="93"/>
      <c r="E391" s="93"/>
      <c r="F391" s="8" t="s">
        <v>50</v>
      </c>
      <c r="G391" s="35"/>
    </row>
    <row r="392" spans="2:7">
      <c r="B392" s="3"/>
      <c r="C392" s="92"/>
      <c r="D392" s="93"/>
      <c r="E392" s="93"/>
      <c r="F392" s="8" t="s">
        <v>50</v>
      </c>
      <c r="G392" s="35"/>
    </row>
    <row r="393" spans="2:7">
      <c r="B393" s="10"/>
      <c r="C393" s="8"/>
      <c r="D393" s="54"/>
      <c r="E393" s="54"/>
      <c r="F393" s="8" t="s">
        <v>50</v>
      </c>
      <c r="G393" s="35"/>
    </row>
    <row r="394" spans="2:7">
      <c r="B394" s="10"/>
      <c r="C394" s="8"/>
      <c r="D394" s="54"/>
      <c r="E394" s="54"/>
      <c r="F394" s="8" t="s">
        <v>50</v>
      </c>
      <c r="G394" s="35"/>
    </row>
    <row r="395" spans="2:7" ht="15.75">
      <c r="B395" s="40"/>
      <c r="C395" s="8"/>
      <c r="D395" s="54"/>
      <c r="E395" s="54"/>
      <c r="F395" s="8"/>
      <c r="G395" s="35"/>
    </row>
    <row r="396" spans="2:7">
      <c r="B396" s="3">
        <v>84</v>
      </c>
      <c r="C396" s="94" t="s">
        <v>195</v>
      </c>
      <c r="D396" s="93">
        <v>10052898528</v>
      </c>
      <c r="E396" s="93" t="s">
        <v>1230</v>
      </c>
      <c r="F396" s="8" t="s">
        <v>51</v>
      </c>
      <c r="G396" s="35"/>
    </row>
    <row r="397" spans="2:7">
      <c r="B397" s="22">
        <v>91</v>
      </c>
      <c r="C397" s="94" t="s">
        <v>1026</v>
      </c>
      <c r="D397" s="93">
        <v>10077498132</v>
      </c>
      <c r="E397" s="93" t="s">
        <v>114</v>
      </c>
      <c r="F397" s="8" t="s">
        <v>51</v>
      </c>
      <c r="G397" s="35"/>
    </row>
    <row r="398" spans="2:7">
      <c r="B398" s="3">
        <v>92</v>
      </c>
      <c r="C398" s="94" t="s">
        <v>1027</v>
      </c>
      <c r="D398" s="93">
        <v>10077498435</v>
      </c>
      <c r="E398" s="93" t="s">
        <v>114</v>
      </c>
      <c r="F398" s="8" t="s">
        <v>51</v>
      </c>
      <c r="G398" s="35"/>
    </row>
    <row r="399" spans="2:7">
      <c r="B399" s="22">
        <v>87</v>
      </c>
      <c r="C399" s="92" t="s">
        <v>592</v>
      </c>
      <c r="D399" s="93">
        <v>10112699836</v>
      </c>
      <c r="E399" s="93" t="s">
        <v>138</v>
      </c>
      <c r="F399" s="8" t="s">
        <v>51</v>
      </c>
      <c r="G399" s="35"/>
    </row>
    <row r="400" spans="2:7">
      <c r="B400" s="22">
        <v>94</v>
      </c>
      <c r="C400" s="94" t="s">
        <v>206</v>
      </c>
      <c r="D400" s="93">
        <v>10076571982</v>
      </c>
      <c r="E400" s="93" t="s">
        <v>1231</v>
      </c>
      <c r="F400" s="8" t="s">
        <v>51</v>
      </c>
      <c r="G400" s="35"/>
    </row>
    <row r="401" spans="2:7">
      <c r="B401" s="107">
        <v>95</v>
      </c>
      <c r="C401" s="94" t="s">
        <v>203</v>
      </c>
      <c r="D401" s="93">
        <v>10120014242</v>
      </c>
      <c r="E401" s="93" t="s">
        <v>204</v>
      </c>
      <c r="F401" s="8" t="s">
        <v>51</v>
      </c>
      <c r="G401" s="35"/>
    </row>
    <row r="402" spans="2:7">
      <c r="B402" s="105">
        <v>90</v>
      </c>
      <c r="C402" s="94" t="s">
        <v>207</v>
      </c>
      <c r="D402" s="93">
        <v>10104125238</v>
      </c>
      <c r="E402" s="93" t="s">
        <v>100</v>
      </c>
      <c r="F402" s="8" t="s">
        <v>51</v>
      </c>
      <c r="G402" s="35"/>
    </row>
    <row r="403" spans="2:7">
      <c r="B403" s="7"/>
      <c r="C403" s="8"/>
      <c r="D403" s="54"/>
      <c r="E403" s="54"/>
      <c r="F403" s="8" t="s">
        <v>51</v>
      </c>
      <c r="G403" s="35"/>
    </row>
    <row r="404" spans="2:7">
      <c r="B404" s="22"/>
      <c r="C404" s="94"/>
      <c r="D404" s="93"/>
      <c r="E404" s="93"/>
      <c r="F404" s="8" t="s">
        <v>51</v>
      </c>
      <c r="G404" s="35"/>
    </row>
    <row r="405" spans="2:7">
      <c r="B405" s="3"/>
      <c r="C405" s="94"/>
      <c r="D405" s="93"/>
      <c r="E405" s="93"/>
      <c r="F405" s="8" t="s">
        <v>51</v>
      </c>
      <c r="G405" s="35"/>
    </row>
    <row r="406" spans="2:7">
      <c r="B406" s="22"/>
      <c r="C406" s="94"/>
      <c r="D406" s="93"/>
      <c r="E406" s="93"/>
      <c r="F406" s="8" t="s">
        <v>51</v>
      </c>
      <c r="G406" s="35"/>
    </row>
    <row r="407" spans="2:7">
      <c r="B407" s="10"/>
      <c r="C407" s="8"/>
      <c r="D407" s="54"/>
      <c r="E407" s="54"/>
      <c r="F407" s="8"/>
      <c r="G407" s="35"/>
    </row>
    <row r="408" spans="2:7">
      <c r="B408" s="3">
        <v>103</v>
      </c>
      <c r="C408" s="92" t="s">
        <v>211</v>
      </c>
      <c r="D408" s="93">
        <v>10154951521</v>
      </c>
      <c r="E408" s="93" t="s">
        <v>868</v>
      </c>
      <c r="F408" s="8" t="s">
        <v>52</v>
      </c>
      <c r="G408" s="35"/>
    </row>
    <row r="409" spans="2:7">
      <c r="B409" s="105">
        <v>158</v>
      </c>
      <c r="C409" s="92" t="s">
        <v>1213</v>
      </c>
      <c r="D409" s="93">
        <v>10089728923</v>
      </c>
      <c r="E409" s="93" t="s">
        <v>868</v>
      </c>
      <c r="F409" s="8" t="s">
        <v>52</v>
      </c>
      <c r="G409" s="35"/>
    </row>
    <row r="410" spans="2:7">
      <c r="B410" s="3">
        <v>104</v>
      </c>
      <c r="C410" s="92" t="s">
        <v>595</v>
      </c>
      <c r="D410" s="93">
        <v>10116215680</v>
      </c>
      <c r="E410" s="93" t="s">
        <v>114</v>
      </c>
      <c r="F410" s="8" t="s">
        <v>52</v>
      </c>
      <c r="G410" s="35"/>
    </row>
    <row r="411" spans="2:7">
      <c r="B411" s="3">
        <v>113</v>
      </c>
      <c r="C411" s="92" t="s">
        <v>1042</v>
      </c>
      <c r="D411" s="93">
        <v>10126522639</v>
      </c>
      <c r="E411" s="93" t="s">
        <v>84</v>
      </c>
      <c r="F411" s="8" t="s">
        <v>52</v>
      </c>
      <c r="G411" s="35"/>
    </row>
    <row r="412" spans="2:7">
      <c r="B412" s="3">
        <v>105</v>
      </c>
      <c r="C412" s="92" t="s">
        <v>213</v>
      </c>
      <c r="D412" s="93">
        <v>10141533185</v>
      </c>
      <c r="E412" s="93" t="s">
        <v>596</v>
      </c>
      <c r="F412" s="8" t="s">
        <v>52</v>
      </c>
      <c r="G412" s="35"/>
    </row>
    <row r="413" spans="2:7">
      <c r="B413" s="3">
        <v>106</v>
      </c>
      <c r="C413" s="92" t="s">
        <v>240</v>
      </c>
      <c r="D413" s="93">
        <v>10119593506</v>
      </c>
      <c r="E413" s="93" t="s">
        <v>71</v>
      </c>
      <c r="F413" s="8" t="s">
        <v>52</v>
      </c>
      <c r="G413" s="35"/>
    </row>
    <row r="414" spans="2:7">
      <c r="B414" s="3">
        <v>107</v>
      </c>
      <c r="C414" s="92" t="s">
        <v>1036</v>
      </c>
      <c r="D414" s="93">
        <v>10171946426</v>
      </c>
      <c r="E414" s="93" t="s">
        <v>6</v>
      </c>
      <c r="F414" s="8" t="s">
        <v>52</v>
      </c>
      <c r="G414" s="35"/>
    </row>
    <row r="415" spans="2:7">
      <c r="B415" s="3">
        <v>108</v>
      </c>
      <c r="C415" s="92" t="s">
        <v>1224</v>
      </c>
      <c r="D415" s="93">
        <v>10152456092</v>
      </c>
      <c r="E415" s="93" t="s">
        <v>345</v>
      </c>
      <c r="F415" s="8" t="s">
        <v>52</v>
      </c>
      <c r="G415" s="35"/>
    </row>
    <row r="416" spans="2:7">
      <c r="B416" s="3">
        <v>109</v>
      </c>
      <c r="C416" s="92" t="s">
        <v>607</v>
      </c>
      <c r="D416" s="93">
        <v>10161160935</v>
      </c>
      <c r="E416" s="93" t="s">
        <v>1214</v>
      </c>
      <c r="F416" s="8" t="s">
        <v>52</v>
      </c>
      <c r="G416" s="35"/>
    </row>
    <row r="417" spans="2:7">
      <c r="B417" s="3">
        <v>112</v>
      </c>
      <c r="C417" s="92" t="s">
        <v>252</v>
      </c>
      <c r="D417" s="93">
        <v>10164774385</v>
      </c>
      <c r="E417" s="93" t="s">
        <v>6</v>
      </c>
      <c r="F417" s="8" t="s">
        <v>52</v>
      </c>
      <c r="G417" s="35"/>
    </row>
    <row r="418" spans="2:7">
      <c r="B418" s="3">
        <v>135</v>
      </c>
      <c r="C418" s="92" t="s">
        <v>254</v>
      </c>
      <c r="D418" s="93">
        <v>10132702145</v>
      </c>
      <c r="E418" s="93" t="s">
        <v>1229</v>
      </c>
      <c r="F418" s="8" t="s">
        <v>52</v>
      </c>
      <c r="G418" s="35"/>
    </row>
    <row r="419" spans="2:7">
      <c r="B419" s="3">
        <v>131</v>
      </c>
      <c r="C419" s="92" t="s">
        <v>1260</v>
      </c>
      <c r="D419" s="93">
        <v>10152089718</v>
      </c>
      <c r="E419" s="93" t="s">
        <v>132</v>
      </c>
      <c r="F419" s="8" t="s">
        <v>52</v>
      </c>
      <c r="G419" s="35"/>
    </row>
    <row r="420" spans="2:7">
      <c r="B420" s="3">
        <v>114</v>
      </c>
      <c r="C420" s="92" t="s">
        <v>217</v>
      </c>
      <c r="D420" s="93">
        <v>13041</v>
      </c>
      <c r="E420" s="93" t="s">
        <v>285</v>
      </c>
      <c r="F420" s="8" t="s">
        <v>52</v>
      </c>
      <c r="G420" s="35"/>
    </row>
    <row r="421" spans="2:7">
      <c r="B421" s="3">
        <v>119</v>
      </c>
      <c r="C421" s="92" t="s">
        <v>243</v>
      </c>
      <c r="D421" s="93" t="s">
        <v>66</v>
      </c>
      <c r="E421" s="93" t="s">
        <v>84</v>
      </c>
      <c r="F421" s="8" t="s">
        <v>52</v>
      </c>
      <c r="G421" s="35"/>
    </row>
    <row r="422" spans="2:7">
      <c r="B422" s="3">
        <v>110</v>
      </c>
      <c r="C422" s="92" t="s">
        <v>1215</v>
      </c>
      <c r="D422" s="93">
        <v>10131930286</v>
      </c>
      <c r="E422" s="93" t="s">
        <v>6</v>
      </c>
      <c r="F422" s="8" t="s">
        <v>52</v>
      </c>
      <c r="G422" s="35"/>
    </row>
    <row r="423" spans="2:7">
      <c r="B423" s="3">
        <v>132</v>
      </c>
      <c r="C423" s="92" t="s">
        <v>249</v>
      </c>
      <c r="D423" s="93">
        <v>10152089819</v>
      </c>
      <c r="E423" s="93" t="s">
        <v>132</v>
      </c>
      <c r="F423" s="8" t="s">
        <v>52</v>
      </c>
      <c r="G423" s="35"/>
    </row>
    <row r="424" spans="2:7">
      <c r="B424" s="3">
        <v>130</v>
      </c>
      <c r="C424" s="92" t="s">
        <v>1261</v>
      </c>
      <c r="D424" s="93">
        <v>10141535512</v>
      </c>
      <c r="E424" s="93" t="s">
        <v>132</v>
      </c>
      <c r="F424" s="8" t="s">
        <v>52</v>
      </c>
      <c r="G424" s="35"/>
    </row>
    <row r="425" spans="2:7">
      <c r="B425" s="105">
        <v>159</v>
      </c>
      <c r="C425" s="92" t="s">
        <v>1222</v>
      </c>
      <c r="D425" s="93">
        <v>10137506372</v>
      </c>
      <c r="E425" s="93" t="s">
        <v>85</v>
      </c>
      <c r="F425" s="8" t="s">
        <v>52</v>
      </c>
      <c r="G425" s="35"/>
    </row>
    <row r="426" spans="2:7">
      <c r="B426" s="3">
        <v>120</v>
      </c>
      <c r="C426" s="92" t="s">
        <v>1221</v>
      </c>
      <c r="D426" s="93">
        <v>10164260275</v>
      </c>
      <c r="E426" s="93" t="s">
        <v>71</v>
      </c>
      <c r="F426" s="8" t="s">
        <v>52</v>
      </c>
      <c r="G426" s="35"/>
    </row>
    <row r="427" spans="2:7">
      <c r="B427" s="3">
        <v>121</v>
      </c>
      <c r="C427" s="92" t="s">
        <v>629</v>
      </c>
      <c r="D427" s="93">
        <v>10142925440</v>
      </c>
      <c r="E427" s="93" t="s">
        <v>492</v>
      </c>
      <c r="F427" s="8" t="s">
        <v>52</v>
      </c>
      <c r="G427" s="35"/>
    </row>
    <row r="428" spans="2:7">
      <c r="B428" s="105">
        <v>160</v>
      </c>
      <c r="C428" s="92" t="s">
        <v>1223</v>
      </c>
      <c r="D428" s="93">
        <v>10171940059</v>
      </c>
      <c r="E428" s="93" t="s">
        <v>204</v>
      </c>
      <c r="F428" s="8" t="s">
        <v>52</v>
      </c>
      <c r="G428" s="35"/>
    </row>
    <row r="429" spans="2:7">
      <c r="B429" s="105">
        <v>161</v>
      </c>
      <c r="C429" s="92" t="s">
        <v>223</v>
      </c>
      <c r="D429" s="93">
        <v>10152284728</v>
      </c>
      <c r="E429" s="93" t="s">
        <v>177</v>
      </c>
      <c r="F429" s="8" t="s">
        <v>52</v>
      </c>
      <c r="G429" s="35"/>
    </row>
    <row r="430" spans="2:7">
      <c r="B430" s="3">
        <v>147</v>
      </c>
      <c r="C430" s="92" t="s">
        <v>266</v>
      </c>
      <c r="D430" s="93">
        <v>10173505601</v>
      </c>
      <c r="E430" s="93" t="s">
        <v>115</v>
      </c>
      <c r="F430" s="8" t="s">
        <v>52</v>
      </c>
      <c r="G430" s="35"/>
    </row>
    <row r="431" spans="2:7">
      <c r="B431" s="3">
        <v>125</v>
      </c>
      <c r="C431" s="92" t="s">
        <v>1054</v>
      </c>
      <c r="D431" s="93">
        <v>10171432932</v>
      </c>
      <c r="E431" s="93" t="s">
        <v>245</v>
      </c>
      <c r="F431" s="8" t="s">
        <v>52</v>
      </c>
      <c r="G431" s="35"/>
    </row>
    <row r="432" spans="2:7">
      <c r="B432" s="3">
        <v>122</v>
      </c>
      <c r="C432" s="92" t="s">
        <v>1219</v>
      </c>
      <c r="D432" s="93">
        <v>10133141372</v>
      </c>
      <c r="E432" s="93" t="s">
        <v>1220</v>
      </c>
      <c r="F432" s="8" t="s">
        <v>52</v>
      </c>
      <c r="G432" s="35"/>
    </row>
    <row r="433" spans="2:7">
      <c r="B433" s="3">
        <v>126</v>
      </c>
      <c r="C433" s="92" t="s">
        <v>1055</v>
      </c>
      <c r="D433" s="93">
        <v>10151269157</v>
      </c>
      <c r="E433" s="93" t="s">
        <v>1218</v>
      </c>
      <c r="F433" s="8" t="s">
        <v>52</v>
      </c>
      <c r="G433" s="35"/>
    </row>
    <row r="434" spans="2:7">
      <c r="B434" s="3">
        <v>142</v>
      </c>
      <c r="C434" s="92" t="s">
        <v>1216</v>
      </c>
      <c r="D434" s="93">
        <v>10126142117</v>
      </c>
      <c r="E434" s="93" t="s">
        <v>1217</v>
      </c>
      <c r="F434" s="8" t="s">
        <v>52</v>
      </c>
      <c r="G434" s="35"/>
    </row>
    <row r="435" spans="2:7">
      <c r="B435" s="105">
        <v>162</v>
      </c>
      <c r="C435" s="92" t="s">
        <v>611</v>
      </c>
      <c r="D435" s="93">
        <v>10161111728</v>
      </c>
      <c r="E435" s="93" t="s">
        <v>135</v>
      </c>
      <c r="F435" s="8" t="s">
        <v>52</v>
      </c>
      <c r="G435" s="35"/>
    </row>
    <row r="436" spans="2:7">
      <c r="B436" s="105">
        <v>163</v>
      </c>
      <c r="C436" s="92" t="s">
        <v>225</v>
      </c>
      <c r="D436" s="93">
        <v>10142353645</v>
      </c>
      <c r="E436" s="93" t="s">
        <v>1228</v>
      </c>
      <c r="F436" s="8" t="s">
        <v>52</v>
      </c>
      <c r="G436" s="35"/>
    </row>
    <row r="437" spans="2:7">
      <c r="B437" s="3">
        <v>124</v>
      </c>
      <c r="C437" s="92" t="s">
        <v>218</v>
      </c>
      <c r="D437" s="93">
        <v>10171656234</v>
      </c>
      <c r="E437" s="93" t="s">
        <v>619</v>
      </c>
      <c r="F437" s="8" t="s">
        <v>52</v>
      </c>
      <c r="G437" s="35"/>
    </row>
    <row r="438" spans="2:7">
      <c r="B438" s="105">
        <v>164</v>
      </c>
      <c r="C438" s="92" t="s">
        <v>1225</v>
      </c>
      <c r="D438" s="93" t="s">
        <v>66</v>
      </c>
      <c r="E438" s="93" t="s">
        <v>155</v>
      </c>
      <c r="F438" s="8" t="s">
        <v>52</v>
      </c>
      <c r="G438" s="35"/>
    </row>
    <row r="439" spans="2:7">
      <c r="B439" s="105">
        <v>165</v>
      </c>
      <c r="C439" s="92" t="s">
        <v>1227</v>
      </c>
      <c r="D439" s="93">
        <v>10129953611</v>
      </c>
      <c r="E439" s="93" t="s">
        <v>130</v>
      </c>
      <c r="F439" s="8" t="s">
        <v>52</v>
      </c>
      <c r="G439" s="35"/>
    </row>
    <row r="440" spans="2:7">
      <c r="B440" s="3"/>
      <c r="C440" s="92"/>
      <c r="D440" s="93"/>
      <c r="E440" s="93"/>
      <c r="F440" s="8" t="s">
        <v>52</v>
      </c>
      <c r="G440" s="35"/>
    </row>
    <row r="441" spans="2:7">
      <c r="B441" s="3"/>
      <c r="C441" s="92"/>
      <c r="D441" s="93"/>
      <c r="E441" s="93"/>
      <c r="F441" s="8" t="s">
        <v>52</v>
      </c>
      <c r="G441" s="35"/>
    </row>
    <row r="442" spans="2:7">
      <c r="B442" s="3"/>
      <c r="C442" s="92"/>
      <c r="D442" s="93"/>
      <c r="E442" s="93"/>
      <c r="F442" s="8" t="s">
        <v>52</v>
      </c>
      <c r="G442" s="35"/>
    </row>
    <row r="443" spans="2:7">
      <c r="B443" s="3"/>
      <c r="C443" s="92"/>
      <c r="D443" s="93"/>
      <c r="E443" s="93"/>
      <c r="F443" s="8" t="s">
        <v>52</v>
      </c>
      <c r="G443" s="35"/>
    </row>
    <row r="444" spans="2:7">
      <c r="B444" s="3"/>
      <c r="C444" s="92"/>
      <c r="D444" s="93"/>
      <c r="E444" s="93"/>
      <c r="F444" s="8" t="s">
        <v>52</v>
      </c>
      <c r="G444" s="35"/>
    </row>
    <row r="445" spans="2:7">
      <c r="B445" s="3"/>
      <c r="C445" s="92"/>
      <c r="D445" s="93"/>
      <c r="E445" s="93"/>
      <c r="F445" s="8" t="s">
        <v>52</v>
      </c>
      <c r="G445" s="35"/>
    </row>
    <row r="446" spans="2:7">
      <c r="B446" s="3"/>
      <c r="C446" s="92"/>
      <c r="D446" s="93"/>
      <c r="E446" s="93"/>
      <c r="F446" s="8" t="s">
        <v>52</v>
      </c>
      <c r="G446" s="35"/>
    </row>
    <row r="447" spans="2:7">
      <c r="B447" s="3"/>
      <c r="C447" s="92"/>
      <c r="D447" s="93"/>
      <c r="E447" s="93"/>
      <c r="F447" s="8" t="s">
        <v>52</v>
      </c>
      <c r="G447" s="35"/>
    </row>
    <row r="448" spans="2:7">
      <c r="B448" s="3"/>
      <c r="C448" s="92"/>
      <c r="D448" s="93"/>
      <c r="E448" s="93"/>
      <c r="F448" s="8" t="s">
        <v>52</v>
      </c>
      <c r="G448" s="35"/>
    </row>
    <row r="449" spans="2:7">
      <c r="B449" s="3"/>
      <c r="C449" s="92"/>
      <c r="D449" s="93"/>
      <c r="E449" s="93"/>
      <c r="F449" s="8" t="s">
        <v>52</v>
      </c>
      <c r="G449" s="35"/>
    </row>
    <row r="450" spans="2:7">
      <c r="B450" s="3"/>
      <c r="C450" s="92"/>
      <c r="D450" s="93"/>
      <c r="E450" s="93"/>
      <c r="F450" s="8" t="s">
        <v>52</v>
      </c>
      <c r="G450" s="35"/>
    </row>
    <row r="451" spans="2:7">
      <c r="B451" s="3"/>
      <c r="C451" s="92"/>
      <c r="D451" s="93"/>
      <c r="E451" s="93"/>
      <c r="F451" s="8" t="s">
        <v>52</v>
      </c>
      <c r="G451" s="35"/>
    </row>
    <row r="452" spans="2:7">
      <c r="B452" s="3"/>
      <c r="C452" s="92"/>
      <c r="D452" s="93"/>
      <c r="E452" s="93"/>
      <c r="F452" s="8" t="s">
        <v>52</v>
      </c>
      <c r="G452" s="35"/>
    </row>
    <row r="453" spans="2:7">
      <c r="B453" s="3"/>
      <c r="C453" s="92"/>
      <c r="D453" s="93"/>
      <c r="E453" s="93"/>
      <c r="F453" s="8" t="s">
        <v>52</v>
      </c>
      <c r="G453" s="35"/>
    </row>
    <row r="454" spans="2:7">
      <c r="B454" s="3"/>
      <c r="C454" s="92"/>
      <c r="D454" s="93"/>
      <c r="E454" s="93"/>
      <c r="F454" s="8" t="s">
        <v>52</v>
      </c>
      <c r="G454" s="35"/>
    </row>
    <row r="455" spans="2:7">
      <c r="B455" s="3"/>
      <c r="C455" s="92"/>
      <c r="D455" s="93"/>
      <c r="E455" s="93"/>
      <c r="F455" s="8" t="s">
        <v>52</v>
      </c>
      <c r="G455" s="35"/>
    </row>
    <row r="456" spans="2:7">
      <c r="B456" s="3"/>
      <c r="C456" s="92"/>
      <c r="D456" s="93"/>
      <c r="E456" s="93"/>
      <c r="F456" s="8" t="s">
        <v>52</v>
      </c>
      <c r="G456" s="35"/>
    </row>
    <row r="457" spans="2:7">
      <c r="B457" s="3"/>
      <c r="C457" s="92"/>
      <c r="D457" s="93"/>
      <c r="E457" s="93"/>
      <c r="F457" s="8"/>
      <c r="G457" s="35"/>
    </row>
    <row r="458" spans="2:7">
      <c r="B458" s="3">
        <v>263</v>
      </c>
      <c r="C458" s="92" t="s">
        <v>1232</v>
      </c>
      <c r="D458" s="93">
        <v>10122460056</v>
      </c>
      <c r="E458" s="93" t="s">
        <v>868</v>
      </c>
      <c r="F458" s="8" t="s">
        <v>53</v>
      </c>
      <c r="G458" s="35"/>
    </row>
    <row r="459" spans="2:7">
      <c r="B459" s="3">
        <v>264</v>
      </c>
      <c r="C459" s="92" t="s">
        <v>269</v>
      </c>
      <c r="D459" s="93">
        <v>10141535916</v>
      </c>
      <c r="E459" s="93" t="s">
        <v>1233</v>
      </c>
      <c r="F459" s="8" t="s">
        <v>53</v>
      </c>
      <c r="G459" s="35"/>
    </row>
    <row r="460" spans="2:7">
      <c r="B460" s="3">
        <v>265</v>
      </c>
      <c r="C460" s="92" t="s">
        <v>1060</v>
      </c>
      <c r="D460" s="93">
        <v>10164933831</v>
      </c>
      <c r="E460" s="93" t="s">
        <v>133</v>
      </c>
      <c r="F460" s="8" t="s">
        <v>53</v>
      </c>
      <c r="G460" s="35"/>
    </row>
    <row r="461" spans="2:7">
      <c r="B461" s="3"/>
      <c r="C461" s="92"/>
      <c r="D461" s="93"/>
      <c r="E461" s="93"/>
      <c r="F461" s="8" t="s">
        <v>53</v>
      </c>
      <c r="G461" s="35"/>
    </row>
    <row r="462" spans="2:7">
      <c r="B462" s="22"/>
      <c r="C462" s="8"/>
      <c r="D462" s="54"/>
      <c r="E462" s="54"/>
      <c r="F462" s="8"/>
      <c r="G462" s="35"/>
    </row>
    <row r="463" spans="2:7">
      <c r="B463" s="22">
        <v>302</v>
      </c>
      <c r="C463" s="92" t="s">
        <v>1179</v>
      </c>
      <c r="D463" s="93">
        <v>10128933895</v>
      </c>
      <c r="E463" s="93" t="s">
        <v>1180</v>
      </c>
      <c r="F463" s="8" t="s">
        <v>54</v>
      </c>
      <c r="G463" s="35"/>
    </row>
    <row r="464" spans="2:7">
      <c r="B464" s="22">
        <v>301</v>
      </c>
      <c r="C464" s="92" t="s">
        <v>272</v>
      </c>
      <c r="D464" s="93">
        <v>120760930</v>
      </c>
      <c r="E464" s="92" t="s">
        <v>114</v>
      </c>
      <c r="F464" s="8" t="s">
        <v>54</v>
      </c>
      <c r="G464" s="35"/>
    </row>
    <row r="465" spans="2:7">
      <c r="B465" s="22">
        <v>311</v>
      </c>
      <c r="C465" s="92" t="s">
        <v>1181</v>
      </c>
      <c r="D465" s="93">
        <v>10128424344</v>
      </c>
      <c r="E465" s="93" t="s">
        <v>6</v>
      </c>
      <c r="F465" s="8" t="s">
        <v>54</v>
      </c>
      <c r="G465" s="35"/>
    </row>
    <row r="466" spans="2:7">
      <c r="B466" s="22">
        <v>304</v>
      </c>
      <c r="C466" s="92" t="s">
        <v>650</v>
      </c>
      <c r="D466" s="93">
        <v>10156150681</v>
      </c>
      <c r="E466" s="93" t="s">
        <v>1182</v>
      </c>
      <c r="F466" s="8" t="s">
        <v>54</v>
      </c>
      <c r="G466" s="35"/>
    </row>
    <row r="467" spans="2:7">
      <c r="B467" s="22">
        <v>307</v>
      </c>
      <c r="C467" s="92" t="s">
        <v>280</v>
      </c>
      <c r="D467" s="93">
        <v>10153824200</v>
      </c>
      <c r="E467" s="93" t="s">
        <v>285</v>
      </c>
      <c r="F467" s="8" t="s">
        <v>54</v>
      </c>
      <c r="G467" s="35"/>
    </row>
    <row r="468" spans="2:7">
      <c r="B468" s="22">
        <v>303</v>
      </c>
      <c r="C468" s="92" t="s">
        <v>274</v>
      </c>
      <c r="D468" s="93">
        <v>10152378694</v>
      </c>
      <c r="E468" s="93" t="s">
        <v>115</v>
      </c>
      <c r="F468" s="8" t="s">
        <v>54</v>
      </c>
      <c r="G468" s="35"/>
    </row>
    <row r="469" spans="2:7">
      <c r="B469" s="22">
        <v>325</v>
      </c>
      <c r="C469" s="92" t="s">
        <v>654</v>
      </c>
      <c r="D469" s="93">
        <v>10152418609</v>
      </c>
      <c r="E469" s="93" t="s">
        <v>6</v>
      </c>
      <c r="F469" s="8" t="s">
        <v>54</v>
      </c>
      <c r="G469" s="35"/>
    </row>
    <row r="470" spans="2:7">
      <c r="B470" s="22">
        <v>323</v>
      </c>
      <c r="C470" s="92" t="s">
        <v>964</v>
      </c>
      <c r="D470" s="93">
        <v>10111930102</v>
      </c>
      <c r="E470" s="93" t="s">
        <v>653</v>
      </c>
      <c r="F470" s="8" t="s">
        <v>54</v>
      </c>
      <c r="G470" s="35"/>
    </row>
    <row r="471" spans="2:7">
      <c r="B471" s="22">
        <v>321</v>
      </c>
      <c r="C471" s="92" t="s">
        <v>296</v>
      </c>
      <c r="D471" s="93">
        <v>120870744</v>
      </c>
      <c r="E471" s="93" t="s">
        <v>71</v>
      </c>
      <c r="F471" s="8" t="s">
        <v>54</v>
      </c>
      <c r="G471" s="35"/>
    </row>
    <row r="472" spans="2:7">
      <c r="B472" s="22">
        <v>337</v>
      </c>
      <c r="C472" s="92" t="s">
        <v>322</v>
      </c>
      <c r="D472" s="93">
        <v>10173459020</v>
      </c>
      <c r="E472" s="92" t="s">
        <v>138</v>
      </c>
      <c r="F472" s="8" t="s">
        <v>54</v>
      </c>
      <c r="G472" s="35"/>
    </row>
    <row r="473" spans="2:7">
      <c r="B473" s="22">
        <v>333</v>
      </c>
      <c r="C473" s="92" t="s">
        <v>1185</v>
      </c>
      <c r="D473" s="93" t="s">
        <v>66</v>
      </c>
      <c r="E473" s="93" t="s">
        <v>71</v>
      </c>
      <c r="F473" s="8" t="s">
        <v>54</v>
      </c>
      <c r="G473" s="35"/>
    </row>
    <row r="474" spans="2:7">
      <c r="B474" s="22">
        <v>305</v>
      </c>
      <c r="C474" s="92" t="s">
        <v>1186</v>
      </c>
      <c r="D474" s="93">
        <v>12348</v>
      </c>
      <c r="E474" s="93" t="s">
        <v>1187</v>
      </c>
      <c r="F474" s="8" t="s">
        <v>54</v>
      </c>
      <c r="G474" s="35"/>
    </row>
    <row r="475" spans="2:7">
      <c r="B475" s="22">
        <v>314</v>
      </c>
      <c r="C475" s="92" t="s">
        <v>288</v>
      </c>
      <c r="D475" s="93">
        <v>10164592614</v>
      </c>
      <c r="E475" s="93" t="s">
        <v>113</v>
      </c>
      <c r="F475" s="8" t="s">
        <v>54</v>
      </c>
      <c r="G475" s="35"/>
    </row>
    <row r="476" spans="2:7">
      <c r="B476" s="22">
        <v>327</v>
      </c>
      <c r="C476" s="23" t="s">
        <v>1183</v>
      </c>
      <c r="D476" s="60">
        <v>10171445864</v>
      </c>
      <c r="E476" s="93" t="s">
        <v>1184</v>
      </c>
      <c r="F476" s="8" t="s">
        <v>54</v>
      </c>
      <c r="G476" s="35"/>
    </row>
    <row r="477" spans="2:7">
      <c r="B477" s="22">
        <v>309</v>
      </c>
      <c r="C477" s="92" t="s">
        <v>282</v>
      </c>
      <c r="D477" s="93">
        <v>13243</v>
      </c>
      <c r="E477" s="93" t="s">
        <v>619</v>
      </c>
      <c r="F477" s="8" t="s">
        <v>54</v>
      </c>
      <c r="G477" s="35"/>
    </row>
    <row r="478" spans="2:7">
      <c r="B478" s="22">
        <v>310</v>
      </c>
      <c r="C478" s="92" t="s">
        <v>1188</v>
      </c>
      <c r="D478" s="93">
        <v>10140942495</v>
      </c>
      <c r="E478" s="92" t="s">
        <v>113</v>
      </c>
      <c r="F478" s="8" t="s">
        <v>54</v>
      </c>
      <c r="G478" s="35"/>
    </row>
    <row r="479" spans="2:7">
      <c r="B479" s="22">
        <v>326</v>
      </c>
      <c r="C479" s="92" t="s">
        <v>1193</v>
      </c>
      <c r="D479" s="93">
        <v>10120480953</v>
      </c>
      <c r="E479" s="93" t="s">
        <v>135</v>
      </c>
      <c r="F479" s="8" t="s">
        <v>54</v>
      </c>
      <c r="G479" s="35"/>
    </row>
    <row r="480" spans="2:7">
      <c r="B480" s="22">
        <v>319</v>
      </c>
      <c r="C480" s="92" t="s">
        <v>293</v>
      </c>
      <c r="D480" s="93">
        <v>10155992956</v>
      </c>
      <c r="E480" s="93" t="s">
        <v>130</v>
      </c>
      <c r="F480" s="8" t="s">
        <v>54</v>
      </c>
      <c r="G480" s="35"/>
    </row>
    <row r="481" spans="2:7">
      <c r="B481" s="22">
        <v>306</v>
      </c>
      <c r="C481" s="92" t="s">
        <v>1189</v>
      </c>
      <c r="D481" s="93" t="s">
        <v>66</v>
      </c>
      <c r="E481" s="92" t="s">
        <v>285</v>
      </c>
      <c r="F481" s="8" t="s">
        <v>54</v>
      </c>
      <c r="G481" s="35"/>
    </row>
    <row r="482" spans="2:7">
      <c r="B482" s="22">
        <v>336</v>
      </c>
      <c r="C482" s="92" t="s">
        <v>320</v>
      </c>
      <c r="D482" s="93">
        <v>10173205507</v>
      </c>
      <c r="E482" s="93" t="s">
        <v>321</v>
      </c>
      <c r="F482" s="8" t="s">
        <v>54</v>
      </c>
      <c r="G482" s="35"/>
    </row>
    <row r="483" spans="2:7">
      <c r="B483" s="22">
        <v>322</v>
      </c>
      <c r="C483" s="23" t="s">
        <v>298</v>
      </c>
      <c r="D483" s="93">
        <v>10141584820</v>
      </c>
      <c r="E483" s="93" t="s">
        <v>1195</v>
      </c>
      <c r="F483" s="8" t="s">
        <v>54</v>
      </c>
      <c r="G483" s="35"/>
    </row>
    <row r="484" spans="2:7">
      <c r="B484" s="22">
        <v>332</v>
      </c>
      <c r="C484" s="92" t="s">
        <v>313</v>
      </c>
      <c r="D484" s="93">
        <v>121280045</v>
      </c>
      <c r="E484" s="93" t="s">
        <v>65</v>
      </c>
      <c r="F484" s="8" t="s">
        <v>54</v>
      </c>
      <c r="G484" s="35"/>
    </row>
    <row r="485" spans="2:7">
      <c r="B485" s="22">
        <v>342</v>
      </c>
      <c r="C485" s="92" t="s">
        <v>1191</v>
      </c>
      <c r="D485" s="93">
        <v>10166012652</v>
      </c>
      <c r="E485" s="92" t="s">
        <v>1192</v>
      </c>
      <c r="F485" s="8" t="s">
        <v>54</v>
      </c>
      <c r="G485" s="35"/>
    </row>
    <row r="486" spans="2:7">
      <c r="B486" s="22">
        <v>320</v>
      </c>
      <c r="C486" s="92" t="s">
        <v>295</v>
      </c>
      <c r="D486" s="93">
        <v>10136994902</v>
      </c>
      <c r="E486" s="93" t="s">
        <v>155</v>
      </c>
      <c r="F486" s="8" t="s">
        <v>54</v>
      </c>
      <c r="G486" s="35"/>
    </row>
    <row r="487" spans="2:7">
      <c r="B487" s="22">
        <v>315</v>
      </c>
      <c r="C487" s="92" t="s">
        <v>1194</v>
      </c>
      <c r="D487" s="93">
        <v>12664</v>
      </c>
      <c r="E487" s="93" t="s">
        <v>86</v>
      </c>
      <c r="F487" s="8" t="s">
        <v>54</v>
      </c>
      <c r="G487" s="35"/>
    </row>
    <row r="488" spans="2:7">
      <c r="B488" s="22">
        <v>317</v>
      </c>
      <c r="C488" s="92" t="s">
        <v>291</v>
      </c>
      <c r="D488" s="93" t="s">
        <v>66</v>
      </c>
      <c r="E488" s="93" t="s">
        <v>84</v>
      </c>
      <c r="F488" s="8" t="s">
        <v>54</v>
      </c>
      <c r="G488" s="35"/>
    </row>
    <row r="489" spans="2:7">
      <c r="B489" s="22">
        <v>344</v>
      </c>
      <c r="C489" s="92" t="s">
        <v>1190</v>
      </c>
      <c r="D489" s="93">
        <v>10128563982</v>
      </c>
      <c r="E489" s="93" t="s">
        <v>130</v>
      </c>
      <c r="F489" s="8" t="s">
        <v>54</v>
      </c>
      <c r="G489" s="35"/>
    </row>
    <row r="490" spans="2:7">
      <c r="B490" s="22">
        <v>341</v>
      </c>
      <c r="C490" s="23" t="s">
        <v>675</v>
      </c>
      <c r="D490" s="93">
        <v>209350007</v>
      </c>
      <c r="E490" s="93" t="s">
        <v>65</v>
      </c>
      <c r="F490" s="8" t="s">
        <v>54</v>
      </c>
      <c r="G490" s="35"/>
    </row>
    <row r="491" spans="2:7">
      <c r="B491" s="22">
        <v>318</v>
      </c>
      <c r="C491" s="92" t="s">
        <v>292</v>
      </c>
      <c r="D491" s="93" t="s">
        <v>66</v>
      </c>
      <c r="E491" s="93" t="s">
        <v>84</v>
      </c>
      <c r="F491" s="8" t="s">
        <v>54</v>
      </c>
      <c r="G491" s="35"/>
    </row>
    <row r="492" spans="2:7">
      <c r="B492" s="22">
        <v>324</v>
      </c>
      <c r="C492" s="23" t="s">
        <v>302</v>
      </c>
      <c r="D492" s="60">
        <v>10161110819</v>
      </c>
      <c r="E492" s="93" t="s">
        <v>1197</v>
      </c>
      <c r="F492" s="8" t="s">
        <v>54</v>
      </c>
      <c r="G492" s="35"/>
    </row>
    <row r="493" spans="2:7">
      <c r="B493" s="22">
        <v>343</v>
      </c>
      <c r="C493" s="92" t="s">
        <v>678</v>
      </c>
      <c r="D493" s="93" t="s">
        <v>66</v>
      </c>
      <c r="E493" s="93" t="s">
        <v>112</v>
      </c>
      <c r="F493" s="8" t="s">
        <v>54</v>
      </c>
      <c r="G493" s="35"/>
    </row>
    <row r="494" spans="2:7">
      <c r="B494" s="22">
        <v>329</v>
      </c>
      <c r="C494" s="92" t="s">
        <v>673</v>
      </c>
      <c r="D494" s="93">
        <v>10144442579</v>
      </c>
      <c r="E494" s="92" t="s">
        <v>130</v>
      </c>
      <c r="F494" s="8" t="s">
        <v>54</v>
      </c>
      <c r="G494" s="35"/>
    </row>
    <row r="495" spans="2:7">
      <c r="B495" s="107">
        <v>351</v>
      </c>
      <c r="C495" s="23" t="s">
        <v>1196</v>
      </c>
      <c r="D495" s="60">
        <v>10152378795</v>
      </c>
      <c r="E495" s="93" t="s">
        <v>65</v>
      </c>
      <c r="F495" s="8" t="s">
        <v>54</v>
      </c>
      <c r="G495" s="35"/>
    </row>
    <row r="496" spans="2:7">
      <c r="B496" s="107">
        <v>352</v>
      </c>
      <c r="C496" s="92" t="s">
        <v>1259</v>
      </c>
      <c r="D496" s="93" t="s">
        <v>66</v>
      </c>
      <c r="E496" s="93" t="s">
        <v>84</v>
      </c>
      <c r="F496" s="8" t="s">
        <v>54</v>
      </c>
      <c r="G496" s="35"/>
    </row>
    <row r="497" spans="2:7">
      <c r="B497" s="22"/>
      <c r="C497" s="92"/>
      <c r="D497" s="93"/>
      <c r="E497" s="92"/>
      <c r="F497" s="8" t="s">
        <v>54</v>
      </c>
      <c r="G497" s="35"/>
    </row>
    <row r="498" spans="2:7">
      <c r="B498" s="22"/>
      <c r="C498" s="92"/>
      <c r="D498" s="93"/>
      <c r="E498" s="93"/>
      <c r="F498" s="8" t="s">
        <v>54</v>
      </c>
      <c r="G498" s="35"/>
    </row>
    <row r="499" spans="2:7">
      <c r="B499" s="22"/>
      <c r="C499" s="92"/>
      <c r="D499" s="93"/>
      <c r="E499" s="93"/>
      <c r="F499" s="8" t="s">
        <v>54</v>
      </c>
      <c r="G499" s="35"/>
    </row>
    <row r="500" spans="2:7">
      <c r="B500" s="22"/>
      <c r="C500" s="92"/>
      <c r="D500" s="93"/>
      <c r="E500" s="93"/>
      <c r="F500" s="8" t="s">
        <v>54</v>
      </c>
      <c r="G500" s="35"/>
    </row>
    <row r="501" spans="2:7">
      <c r="B501" s="22"/>
      <c r="C501" s="92"/>
      <c r="D501" s="93"/>
      <c r="E501" s="92"/>
      <c r="F501" s="8" t="s">
        <v>54</v>
      </c>
      <c r="G501" s="35"/>
    </row>
    <row r="502" spans="2:7">
      <c r="B502" s="22"/>
      <c r="C502" s="92"/>
      <c r="D502" s="93"/>
      <c r="E502" s="92"/>
      <c r="F502" s="8" t="s">
        <v>54</v>
      </c>
      <c r="G502" s="35"/>
    </row>
    <row r="503" spans="2:7">
      <c r="B503" s="22"/>
      <c r="C503" s="92"/>
      <c r="D503" s="93"/>
      <c r="E503" s="93"/>
      <c r="F503" s="8" t="s">
        <v>54</v>
      </c>
      <c r="G503" s="35"/>
    </row>
    <row r="504" spans="2:7">
      <c r="B504" s="22"/>
      <c r="C504" s="23"/>
      <c r="D504" s="93"/>
      <c r="E504" s="93"/>
      <c r="F504" s="8" t="s">
        <v>54</v>
      </c>
      <c r="G504" s="35"/>
    </row>
    <row r="505" spans="2:7">
      <c r="B505" s="22"/>
      <c r="C505" s="23"/>
      <c r="D505" s="93"/>
      <c r="E505" s="93"/>
      <c r="F505" s="8"/>
      <c r="G505" s="35"/>
    </row>
    <row r="506" spans="2:7">
      <c r="B506" s="22">
        <v>381</v>
      </c>
      <c r="C506" s="92" t="s">
        <v>327</v>
      </c>
      <c r="D506" s="93" t="s">
        <v>66</v>
      </c>
      <c r="E506" s="93" t="s">
        <v>100</v>
      </c>
      <c r="F506" s="8" t="s">
        <v>55</v>
      </c>
      <c r="G506" s="35"/>
    </row>
    <row r="507" spans="2:7">
      <c r="B507" s="22">
        <v>384</v>
      </c>
      <c r="C507" s="93" t="s">
        <v>1171</v>
      </c>
      <c r="D507" s="93">
        <v>10141538340</v>
      </c>
      <c r="E507" s="92" t="s">
        <v>1172</v>
      </c>
      <c r="F507" s="8" t="s">
        <v>55</v>
      </c>
      <c r="G507" s="35"/>
    </row>
    <row r="508" spans="2:7">
      <c r="B508" s="22">
        <v>387</v>
      </c>
      <c r="C508" s="92" t="s">
        <v>334</v>
      </c>
      <c r="D508" s="93" t="s">
        <v>66</v>
      </c>
      <c r="E508" s="93" t="s">
        <v>100</v>
      </c>
      <c r="F508" s="8" t="s">
        <v>55</v>
      </c>
      <c r="G508" s="35"/>
    </row>
    <row r="509" spans="2:7">
      <c r="B509" s="22">
        <v>382</v>
      </c>
      <c r="C509" s="92" t="s">
        <v>1170</v>
      </c>
      <c r="D509" s="93">
        <v>10128546909</v>
      </c>
      <c r="E509" s="92" t="s">
        <v>64</v>
      </c>
      <c r="F509" s="8" t="s">
        <v>55</v>
      </c>
      <c r="G509" s="35"/>
    </row>
    <row r="510" spans="2:7">
      <c r="B510" s="22">
        <v>388</v>
      </c>
      <c r="C510" s="92" t="s">
        <v>335</v>
      </c>
      <c r="D510" s="93">
        <v>10128284605</v>
      </c>
      <c r="E510" s="92" t="s">
        <v>677</v>
      </c>
      <c r="F510" s="8" t="s">
        <v>55</v>
      </c>
      <c r="G510" s="35"/>
    </row>
    <row r="511" spans="2:7">
      <c r="B511" s="22">
        <v>386</v>
      </c>
      <c r="C511" s="92" t="s">
        <v>982</v>
      </c>
      <c r="D511" s="93">
        <v>10152378391</v>
      </c>
      <c r="E511" s="93" t="s">
        <v>983</v>
      </c>
      <c r="F511" s="8" t="s">
        <v>55</v>
      </c>
      <c r="G511" s="35"/>
    </row>
    <row r="512" spans="2:7">
      <c r="B512" s="22">
        <v>383</v>
      </c>
      <c r="C512" s="92" t="s">
        <v>329</v>
      </c>
      <c r="D512" s="93">
        <v>10128827401</v>
      </c>
      <c r="E512" s="93" t="s">
        <v>64</v>
      </c>
      <c r="F512" s="8" t="s">
        <v>55</v>
      </c>
      <c r="G512" s="35"/>
    </row>
    <row r="513" spans="2:7">
      <c r="B513" s="22">
        <v>385</v>
      </c>
      <c r="C513" s="93" t="s">
        <v>1173</v>
      </c>
      <c r="D513" s="93">
        <v>10171339063</v>
      </c>
      <c r="E513" s="92" t="s">
        <v>1174</v>
      </c>
      <c r="F513" s="8" t="s">
        <v>55</v>
      </c>
      <c r="G513" s="35"/>
    </row>
    <row r="514" spans="2:7">
      <c r="B514" s="22"/>
      <c r="C514" s="92"/>
      <c r="D514" s="93"/>
      <c r="E514" s="93"/>
      <c r="F514" s="8" t="s">
        <v>55</v>
      </c>
      <c r="G514" s="35"/>
    </row>
    <row r="515" spans="2:7">
      <c r="B515" s="22"/>
      <c r="C515" s="92"/>
      <c r="D515" s="93"/>
      <c r="E515" s="93"/>
      <c r="F515" s="8"/>
      <c r="G515" s="35"/>
    </row>
    <row r="516" spans="2:7">
      <c r="B516" s="22">
        <v>510</v>
      </c>
      <c r="C516" s="92" t="s">
        <v>352</v>
      </c>
      <c r="D516" s="93">
        <v>10126142218</v>
      </c>
      <c r="E516" s="93" t="s">
        <v>130</v>
      </c>
      <c r="F516" s="8" t="s">
        <v>56</v>
      </c>
      <c r="G516" s="35"/>
    </row>
    <row r="517" spans="2:7">
      <c r="B517" s="22">
        <v>518</v>
      </c>
      <c r="C517" s="92" t="s">
        <v>361</v>
      </c>
      <c r="D517" s="93">
        <v>10141584517</v>
      </c>
      <c r="E517" s="93" t="s">
        <v>362</v>
      </c>
      <c r="F517" s="8" t="s">
        <v>56</v>
      </c>
      <c r="G517" s="35"/>
    </row>
    <row r="518" spans="2:7">
      <c r="B518" s="22">
        <v>505</v>
      </c>
      <c r="C518" s="92" t="s">
        <v>344</v>
      </c>
      <c r="D518" s="93">
        <v>10156807554</v>
      </c>
      <c r="E518" s="93" t="s">
        <v>345</v>
      </c>
      <c r="F518" s="8" t="s">
        <v>56</v>
      </c>
      <c r="G518" s="35"/>
    </row>
    <row r="519" spans="2:7">
      <c r="B519" s="22">
        <v>502</v>
      </c>
      <c r="C519" s="92" t="s">
        <v>1256</v>
      </c>
      <c r="D519" s="95" t="s">
        <v>66</v>
      </c>
      <c r="E519" s="93" t="s">
        <v>84</v>
      </c>
      <c r="F519" s="8" t="s">
        <v>56</v>
      </c>
      <c r="G519" s="35"/>
    </row>
    <row r="520" spans="2:7">
      <c r="B520" s="22">
        <v>521</v>
      </c>
      <c r="C520" s="92" t="s">
        <v>698</v>
      </c>
      <c r="D520" s="93">
        <v>10153425183</v>
      </c>
      <c r="E520" s="93" t="s">
        <v>130</v>
      </c>
      <c r="F520" s="8" t="s">
        <v>56</v>
      </c>
      <c r="G520" s="35"/>
    </row>
    <row r="521" spans="2:7">
      <c r="B521" s="22">
        <v>507</v>
      </c>
      <c r="C521" s="92" t="s">
        <v>701</v>
      </c>
      <c r="D521" s="93">
        <v>10129054440</v>
      </c>
      <c r="E521" s="93" t="s">
        <v>155</v>
      </c>
      <c r="F521" s="8" t="s">
        <v>56</v>
      </c>
      <c r="G521" s="35"/>
    </row>
    <row r="522" spans="2:7">
      <c r="B522" s="22">
        <v>524</v>
      </c>
      <c r="C522" s="92" t="s">
        <v>940</v>
      </c>
      <c r="D522" s="93">
        <v>5117</v>
      </c>
      <c r="E522" s="93" t="s">
        <v>700</v>
      </c>
      <c r="F522" s="8" t="s">
        <v>56</v>
      </c>
      <c r="G522" s="35"/>
    </row>
    <row r="523" spans="2:7">
      <c r="B523" s="22">
        <v>512</v>
      </c>
      <c r="C523" s="92" t="s">
        <v>1159</v>
      </c>
      <c r="D523" s="93">
        <v>10131905735</v>
      </c>
      <c r="E523" s="92" t="s">
        <v>133</v>
      </c>
      <c r="F523" s="8" t="s">
        <v>56</v>
      </c>
      <c r="G523" s="35"/>
    </row>
    <row r="524" spans="2:7">
      <c r="B524" s="22">
        <v>503</v>
      </c>
      <c r="C524" s="92" t="s">
        <v>944</v>
      </c>
      <c r="D524" s="93">
        <v>10142567550</v>
      </c>
      <c r="E524" s="93" t="s">
        <v>159</v>
      </c>
      <c r="F524" s="8" t="s">
        <v>56</v>
      </c>
      <c r="G524" s="35"/>
    </row>
    <row r="525" spans="2:7">
      <c r="B525" s="22">
        <v>514</v>
      </c>
      <c r="C525" s="92" t="s">
        <v>949</v>
      </c>
      <c r="D525" s="93">
        <v>10157013577</v>
      </c>
      <c r="E525" s="93" t="s">
        <v>1161</v>
      </c>
      <c r="F525" s="8" t="s">
        <v>56</v>
      </c>
      <c r="G525" s="35"/>
    </row>
    <row r="526" spans="2:7">
      <c r="B526" s="22">
        <v>501</v>
      </c>
      <c r="C526" s="92" t="s">
        <v>697</v>
      </c>
      <c r="D526" s="93">
        <v>13221</v>
      </c>
      <c r="E526" s="92" t="s">
        <v>1160</v>
      </c>
      <c r="F526" s="8" t="s">
        <v>56</v>
      </c>
      <c r="G526" s="35"/>
    </row>
    <row r="527" spans="2:7">
      <c r="B527" s="22">
        <v>504</v>
      </c>
      <c r="C527" s="92" t="s">
        <v>343</v>
      </c>
      <c r="D527" s="93">
        <v>10154828350</v>
      </c>
      <c r="E527" s="93" t="s">
        <v>129</v>
      </c>
      <c r="F527" s="8" t="s">
        <v>56</v>
      </c>
      <c r="G527" s="35"/>
    </row>
    <row r="528" spans="2:7">
      <c r="B528" s="22">
        <v>516</v>
      </c>
      <c r="C528" s="92" t="s">
        <v>359</v>
      </c>
      <c r="D528" s="93" t="s">
        <v>66</v>
      </c>
      <c r="E528" s="92" t="s">
        <v>84</v>
      </c>
      <c r="F528" s="8" t="s">
        <v>56</v>
      </c>
      <c r="G528" s="35"/>
    </row>
    <row r="529" spans="2:7">
      <c r="B529" s="22">
        <v>513</v>
      </c>
      <c r="C529" s="92" t="s">
        <v>1163</v>
      </c>
      <c r="D529" s="93">
        <v>10131905331</v>
      </c>
      <c r="E529" s="93" t="s">
        <v>135</v>
      </c>
      <c r="F529" s="8" t="s">
        <v>56</v>
      </c>
      <c r="G529" s="35"/>
    </row>
    <row r="530" spans="2:7">
      <c r="B530" s="22">
        <v>517</v>
      </c>
      <c r="C530" s="92" t="s">
        <v>711</v>
      </c>
      <c r="D530" s="93">
        <v>10171431821</v>
      </c>
      <c r="E530" s="93" t="s">
        <v>245</v>
      </c>
      <c r="F530" s="8" t="s">
        <v>56</v>
      </c>
      <c r="G530" s="35"/>
    </row>
    <row r="531" spans="2:7">
      <c r="B531" s="22">
        <v>515</v>
      </c>
      <c r="C531" s="92" t="s">
        <v>953</v>
      </c>
      <c r="D531" s="93">
        <v>10171999875</v>
      </c>
      <c r="E531" s="93" t="s">
        <v>135</v>
      </c>
      <c r="F531" s="8" t="s">
        <v>56</v>
      </c>
      <c r="G531" s="35"/>
    </row>
    <row r="532" spans="2:7">
      <c r="B532" s="22">
        <v>509</v>
      </c>
      <c r="C532" s="92" t="s">
        <v>713</v>
      </c>
      <c r="D532" s="93">
        <v>605370547</v>
      </c>
      <c r="E532" s="93" t="s">
        <v>71</v>
      </c>
      <c r="F532" s="8" t="s">
        <v>56</v>
      </c>
      <c r="G532" s="35"/>
    </row>
    <row r="533" spans="2:7">
      <c r="B533" s="22">
        <v>537</v>
      </c>
      <c r="C533" s="92" t="s">
        <v>1162</v>
      </c>
      <c r="D533" s="93">
        <v>1210</v>
      </c>
      <c r="E533" s="93" t="s">
        <v>1160</v>
      </c>
      <c r="F533" s="8" t="s">
        <v>56</v>
      </c>
      <c r="G533" s="35"/>
    </row>
    <row r="534" spans="2:7">
      <c r="B534" s="22">
        <v>528</v>
      </c>
      <c r="C534" s="92" t="s">
        <v>1169</v>
      </c>
      <c r="D534" s="95">
        <v>10140850549</v>
      </c>
      <c r="E534" s="92" t="s">
        <v>130</v>
      </c>
      <c r="F534" s="8" t="s">
        <v>56</v>
      </c>
      <c r="G534" s="35"/>
    </row>
    <row r="535" spans="2:7">
      <c r="B535" s="22">
        <v>532</v>
      </c>
      <c r="C535" s="92" t="s">
        <v>1167</v>
      </c>
      <c r="D535" s="93" t="s">
        <v>66</v>
      </c>
      <c r="E535" s="93" t="s">
        <v>1168</v>
      </c>
      <c r="F535" s="8" t="s">
        <v>56</v>
      </c>
      <c r="G535" s="35"/>
    </row>
    <row r="536" spans="2:7">
      <c r="B536" s="22">
        <v>536</v>
      </c>
      <c r="C536" s="92" t="s">
        <v>1164</v>
      </c>
      <c r="D536" s="93">
        <v>402950828</v>
      </c>
      <c r="E536" s="93" t="s">
        <v>71</v>
      </c>
      <c r="F536" s="8" t="s">
        <v>56</v>
      </c>
      <c r="G536" s="35"/>
    </row>
    <row r="537" spans="2:7">
      <c r="B537" s="107">
        <v>538</v>
      </c>
      <c r="C537" s="92" t="s">
        <v>1165</v>
      </c>
      <c r="D537" s="93" t="s">
        <v>66</v>
      </c>
      <c r="E537" s="93" t="s">
        <v>1166</v>
      </c>
      <c r="F537" s="8" t="s">
        <v>56</v>
      </c>
      <c r="G537" s="35"/>
    </row>
    <row r="538" spans="2:7">
      <c r="B538" s="22">
        <v>410</v>
      </c>
      <c r="C538" s="92" t="s">
        <v>1153</v>
      </c>
      <c r="D538" s="93"/>
      <c r="E538" s="93" t="s">
        <v>1176</v>
      </c>
      <c r="F538" s="8" t="s">
        <v>56</v>
      </c>
      <c r="G538" s="35"/>
    </row>
    <row r="539" spans="2:7">
      <c r="B539" s="22"/>
      <c r="C539" s="92"/>
      <c r="D539" s="93"/>
      <c r="E539" s="92"/>
      <c r="F539" s="8" t="s">
        <v>56</v>
      </c>
      <c r="G539" s="35"/>
    </row>
    <row r="540" spans="2:7">
      <c r="B540" s="22"/>
      <c r="C540" s="92"/>
      <c r="D540" s="93"/>
      <c r="E540" s="93"/>
      <c r="F540" s="8" t="s">
        <v>56</v>
      </c>
      <c r="G540" s="35"/>
    </row>
    <row r="541" spans="2:7">
      <c r="B541" s="22"/>
      <c r="C541" s="92"/>
      <c r="D541" s="93"/>
      <c r="E541" s="93"/>
      <c r="F541" s="8" t="s">
        <v>56</v>
      </c>
      <c r="G541" s="35"/>
    </row>
    <row r="542" spans="2:7">
      <c r="B542" s="22"/>
      <c r="C542" s="92"/>
      <c r="D542" s="93"/>
      <c r="E542" s="92"/>
      <c r="F542" s="8" t="s">
        <v>56</v>
      </c>
      <c r="G542" s="35"/>
    </row>
    <row r="543" spans="2:7">
      <c r="B543" s="22"/>
      <c r="C543" s="92"/>
      <c r="D543" s="93"/>
      <c r="E543" s="92"/>
      <c r="F543" s="8" t="s">
        <v>56</v>
      </c>
      <c r="G543" s="35"/>
    </row>
    <row r="544" spans="2:7">
      <c r="B544" s="22"/>
      <c r="C544" s="92"/>
      <c r="D544" s="93"/>
      <c r="E544" s="92"/>
      <c r="F544" s="8" t="s">
        <v>56</v>
      </c>
      <c r="G544" s="35"/>
    </row>
    <row r="545" spans="2:7">
      <c r="B545" s="22"/>
      <c r="C545" s="92"/>
      <c r="D545" s="93"/>
      <c r="E545" s="92"/>
      <c r="F545" s="8" t="s">
        <v>56</v>
      </c>
      <c r="G545" s="35"/>
    </row>
    <row r="546" spans="2:7">
      <c r="B546" s="22"/>
      <c r="C546" s="92"/>
      <c r="D546" s="93"/>
      <c r="E546" s="92"/>
      <c r="F546" s="8" t="s">
        <v>56</v>
      </c>
      <c r="G546" s="35"/>
    </row>
    <row r="547" spans="2:7">
      <c r="B547" s="22"/>
      <c r="C547" s="92"/>
      <c r="D547" s="93"/>
      <c r="E547" s="92"/>
      <c r="F547" s="8" t="s">
        <v>56</v>
      </c>
      <c r="G547" s="35"/>
    </row>
    <row r="548" spans="2:7">
      <c r="B548" s="22"/>
      <c r="C548" s="92"/>
      <c r="D548" s="93"/>
      <c r="E548" s="92"/>
      <c r="F548" s="8"/>
      <c r="G548" s="35"/>
    </row>
    <row r="549" spans="2:7">
      <c r="B549" s="22">
        <v>581</v>
      </c>
      <c r="C549" s="22" t="s">
        <v>371</v>
      </c>
      <c r="D549" s="93">
        <v>121480116</v>
      </c>
      <c r="E549" s="92" t="s">
        <v>114</v>
      </c>
      <c r="F549" s="8" t="s">
        <v>57</v>
      </c>
      <c r="G549" s="35"/>
    </row>
    <row r="550" spans="2:7">
      <c r="B550" s="22">
        <v>584</v>
      </c>
      <c r="C550" s="93" t="s">
        <v>374</v>
      </c>
      <c r="D550" s="93">
        <v>10154309503</v>
      </c>
      <c r="E550" s="92" t="s">
        <v>115</v>
      </c>
      <c r="F550" s="8" t="s">
        <v>57</v>
      </c>
      <c r="G550" s="35"/>
    </row>
    <row r="551" spans="2:7">
      <c r="B551" s="22">
        <v>583</v>
      </c>
      <c r="C551" s="92" t="s">
        <v>956</v>
      </c>
      <c r="D551" s="93">
        <v>10154228768</v>
      </c>
      <c r="E551" s="93" t="s">
        <v>129</v>
      </c>
      <c r="F551" s="8" t="s">
        <v>57</v>
      </c>
      <c r="G551" s="35"/>
    </row>
    <row r="552" spans="2:7">
      <c r="B552" s="22">
        <v>582</v>
      </c>
      <c r="C552" s="92" t="s">
        <v>1175</v>
      </c>
      <c r="D552" s="93">
        <v>10164934033</v>
      </c>
      <c r="E552" s="93" t="s">
        <v>135</v>
      </c>
      <c r="F552" s="8" t="s">
        <v>57</v>
      </c>
      <c r="G552" s="35"/>
    </row>
    <row r="553" spans="2:7">
      <c r="B553" s="22">
        <v>586</v>
      </c>
      <c r="C553" s="92" t="s">
        <v>733</v>
      </c>
      <c r="D553" s="93" t="s">
        <v>66</v>
      </c>
      <c r="E553" s="93" t="s">
        <v>155</v>
      </c>
      <c r="F553" s="8" t="s">
        <v>57</v>
      </c>
      <c r="G553" s="35"/>
    </row>
    <row r="554" spans="2:7">
      <c r="B554" s="22">
        <v>585</v>
      </c>
      <c r="C554" s="92" t="s">
        <v>375</v>
      </c>
      <c r="D554" s="93">
        <v>10132320209</v>
      </c>
      <c r="E554" s="93" t="s">
        <v>1176</v>
      </c>
      <c r="F554" s="8" t="s">
        <v>57</v>
      </c>
      <c r="G554" s="35"/>
    </row>
    <row r="555" spans="2:7">
      <c r="B555" s="22">
        <v>589</v>
      </c>
      <c r="C555" s="92" t="s">
        <v>379</v>
      </c>
      <c r="D555" s="93">
        <v>10164743360</v>
      </c>
      <c r="E555" s="93" t="s">
        <v>155</v>
      </c>
      <c r="F555" s="8" t="s">
        <v>57</v>
      </c>
      <c r="G555" s="35"/>
    </row>
    <row r="556" spans="2:7">
      <c r="B556" s="22">
        <v>588</v>
      </c>
      <c r="C556" s="92" t="s">
        <v>734</v>
      </c>
      <c r="D556" s="93" t="s">
        <v>66</v>
      </c>
      <c r="E556" s="92" t="s">
        <v>155</v>
      </c>
      <c r="F556" s="8" t="s">
        <v>57</v>
      </c>
      <c r="G556" s="35"/>
    </row>
    <row r="557" spans="2:7">
      <c r="B557" s="22">
        <v>587</v>
      </c>
      <c r="C557" s="92" t="s">
        <v>377</v>
      </c>
      <c r="D557" s="93" t="s">
        <v>66</v>
      </c>
      <c r="E557" s="93" t="s">
        <v>155</v>
      </c>
      <c r="F557" s="8" t="s">
        <v>57</v>
      </c>
      <c r="G557" s="35"/>
    </row>
    <row r="558" spans="2:7">
      <c r="B558" s="22">
        <v>595</v>
      </c>
      <c r="C558" s="92" t="s">
        <v>743</v>
      </c>
      <c r="D558" s="93">
        <v>10173517826</v>
      </c>
      <c r="E558" s="93" t="s">
        <v>1178</v>
      </c>
      <c r="F558" s="8" t="s">
        <v>57</v>
      </c>
      <c r="G558" s="35"/>
    </row>
    <row r="559" spans="2:7">
      <c r="B559" s="107">
        <v>597</v>
      </c>
      <c r="C559" s="92" t="s">
        <v>1177</v>
      </c>
      <c r="D559" s="17" t="s">
        <v>66</v>
      </c>
      <c r="E559" t="s">
        <v>134</v>
      </c>
      <c r="F559" s="8" t="s">
        <v>57</v>
      </c>
      <c r="G559" s="35"/>
    </row>
    <row r="560" spans="2:7">
      <c r="B560" s="41"/>
      <c r="C560" s="8"/>
      <c r="D560" s="54"/>
      <c r="E560" s="54"/>
      <c r="F560" s="8" t="s">
        <v>57</v>
      </c>
      <c r="G560" s="35"/>
    </row>
    <row r="561" spans="2:7">
      <c r="B561" s="41"/>
      <c r="C561" s="8"/>
      <c r="D561" s="54"/>
      <c r="E561" s="54"/>
      <c r="F561" s="8" t="s">
        <v>57</v>
      </c>
      <c r="G561" s="35"/>
    </row>
    <row r="562" spans="2:7">
      <c r="B562" s="41"/>
      <c r="C562" s="8"/>
      <c r="D562" s="54"/>
      <c r="E562" s="54"/>
      <c r="F562" s="8" t="s">
        <v>57</v>
      </c>
      <c r="G562" s="35"/>
    </row>
    <row r="563" spans="2:7">
      <c r="B563" s="41"/>
      <c r="C563" s="8"/>
      <c r="D563" s="54"/>
      <c r="E563" s="54"/>
      <c r="F563" s="8" t="s">
        <v>57</v>
      </c>
      <c r="G563" s="35"/>
    </row>
    <row r="564" spans="2:7" ht="15.75">
      <c r="B564" s="52"/>
      <c r="C564" s="8"/>
      <c r="D564" s="54"/>
      <c r="E564" s="54"/>
      <c r="F564" s="8"/>
      <c r="G564" s="35"/>
    </row>
    <row r="565" spans="2:7">
      <c r="B565" s="7"/>
      <c r="C565" s="8"/>
      <c r="D565" s="54"/>
      <c r="E565" s="54"/>
      <c r="F565" s="8"/>
      <c r="G565" s="35"/>
    </row>
    <row r="566" spans="2:7">
      <c r="B566" s="22">
        <v>401</v>
      </c>
      <c r="C566" s="92" t="s">
        <v>748</v>
      </c>
      <c r="D566" s="93">
        <v>25485564</v>
      </c>
      <c r="E566" s="93" t="s">
        <v>1148</v>
      </c>
      <c r="F566" s="8" t="s">
        <v>163</v>
      </c>
      <c r="G566" s="35"/>
    </row>
    <row r="567" spans="2:7">
      <c r="B567" s="22">
        <v>402</v>
      </c>
      <c r="C567" s="92" t="s">
        <v>750</v>
      </c>
      <c r="D567" s="93" t="s">
        <v>66</v>
      </c>
      <c r="E567" s="93" t="s">
        <v>65</v>
      </c>
      <c r="F567" s="8" t="s">
        <v>163</v>
      </c>
      <c r="G567" s="35"/>
    </row>
    <row r="568" spans="2:7">
      <c r="B568" s="22">
        <v>406</v>
      </c>
      <c r="C568" s="92" t="s">
        <v>388</v>
      </c>
      <c r="D568" s="93">
        <v>10172211659</v>
      </c>
      <c r="E568" s="93" t="s">
        <v>677</v>
      </c>
      <c r="F568" s="8" t="s">
        <v>163</v>
      </c>
      <c r="G568" s="35"/>
    </row>
    <row r="569" spans="2:7">
      <c r="B569" s="22">
        <v>404</v>
      </c>
      <c r="C569" s="92" t="s">
        <v>385</v>
      </c>
      <c r="D569" s="93">
        <v>10130330796</v>
      </c>
      <c r="E569" s="93" t="s">
        <v>117</v>
      </c>
      <c r="F569" s="8" t="s">
        <v>163</v>
      </c>
      <c r="G569" s="35"/>
    </row>
    <row r="570" spans="2:7">
      <c r="B570" s="22">
        <v>407</v>
      </c>
      <c r="C570" s="92" t="s">
        <v>1062</v>
      </c>
      <c r="D570" s="93" t="s">
        <v>66</v>
      </c>
      <c r="E570" s="93" t="s">
        <v>1149</v>
      </c>
      <c r="F570" s="8" t="s">
        <v>163</v>
      </c>
      <c r="G570" s="35"/>
    </row>
    <row r="571" spans="2:7">
      <c r="B571" s="22">
        <v>409</v>
      </c>
      <c r="C571" s="92" t="s">
        <v>1151</v>
      </c>
      <c r="D571" s="93">
        <v>10173513378</v>
      </c>
      <c r="E571" s="93" t="s">
        <v>1152</v>
      </c>
      <c r="F571" s="8" t="s">
        <v>163</v>
      </c>
      <c r="G571" s="35"/>
    </row>
    <row r="572" spans="2:7">
      <c r="B572" s="22">
        <v>411</v>
      </c>
      <c r="C572" s="92" t="s">
        <v>1150</v>
      </c>
      <c r="D572" s="93">
        <v>10151394247</v>
      </c>
      <c r="E572" s="93" t="s">
        <v>721</v>
      </c>
      <c r="F572" s="8" t="s">
        <v>163</v>
      </c>
      <c r="G572" s="35"/>
    </row>
    <row r="573" spans="2:7">
      <c r="B573" s="22">
        <v>413</v>
      </c>
      <c r="C573" s="92" t="s">
        <v>1066</v>
      </c>
      <c r="D573" s="93" t="s">
        <v>66</v>
      </c>
      <c r="E573" s="93" t="s">
        <v>1184</v>
      </c>
      <c r="F573" s="8" t="s">
        <v>163</v>
      </c>
      <c r="G573" s="35"/>
    </row>
    <row r="574" spans="2:7">
      <c r="B574" s="107">
        <v>414</v>
      </c>
      <c r="C574" s="92" t="s">
        <v>1155</v>
      </c>
      <c r="D574" s="93">
        <v>209870552</v>
      </c>
      <c r="E574" s="93" t="s">
        <v>71</v>
      </c>
      <c r="F574" s="8" t="s">
        <v>163</v>
      </c>
      <c r="G574" s="35"/>
    </row>
    <row r="575" spans="2:7">
      <c r="B575" s="22">
        <v>410</v>
      </c>
      <c r="C575" s="92" t="s">
        <v>1153</v>
      </c>
      <c r="D575" s="93"/>
      <c r="E575" s="93" t="s">
        <v>1152</v>
      </c>
      <c r="F575" s="8" t="s">
        <v>163</v>
      </c>
      <c r="G575" s="35"/>
    </row>
    <row r="576" spans="2:7">
      <c r="B576" s="22"/>
      <c r="C576" s="8"/>
      <c r="D576" s="54"/>
      <c r="E576" s="8"/>
      <c r="F576" s="8"/>
      <c r="G576" s="35"/>
    </row>
    <row r="577" spans="2:7" ht="15.75">
      <c r="B577" s="21"/>
      <c r="C577" s="8"/>
      <c r="D577" s="54"/>
      <c r="E577" s="54"/>
      <c r="F577" s="8"/>
      <c r="G577" s="35"/>
    </row>
    <row r="578" spans="2:7">
      <c r="B578" s="22">
        <v>482</v>
      </c>
      <c r="C578" s="92" t="s">
        <v>391</v>
      </c>
      <c r="D578" s="93">
        <v>10171940261</v>
      </c>
      <c r="E578" s="93" t="s">
        <v>1157</v>
      </c>
      <c r="F578" s="8" t="s">
        <v>164</v>
      </c>
      <c r="G578" s="35"/>
    </row>
    <row r="579" spans="2:7">
      <c r="B579" s="22">
        <v>484</v>
      </c>
      <c r="C579" s="92" t="s">
        <v>394</v>
      </c>
      <c r="D579" s="93">
        <v>10162507114</v>
      </c>
      <c r="E579" s="93" t="s">
        <v>130</v>
      </c>
      <c r="F579" s="8" t="s">
        <v>164</v>
      </c>
      <c r="G579" s="35"/>
    </row>
    <row r="580" spans="2:7">
      <c r="B580" s="22">
        <v>481</v>
      </c>
      <c r="C580" s="92" t="s">
        <v>756</v>
      </c>
      <c r="D580" s="93">
        <v>10162377172</v>
      </c>
      <c r="E580" s="93" t="s">
        <v>1156</v>
      </c>
      <c r="F580" s="8" t="s">
        <v>164</v>
      </c>
      <c r="G580" s="35"/>
    </row>
    <row r="581" spans="2:7">
      <c r="B581" s="22">
        <v>483</v>
      </c>
      <c r="C581" s="92" t="s">
        <v>760</v>
      </c>
      <c r="D581" s="93">
        <v>122090579</v>
      </c>
      <c r="E581" s="93" t="s">
        <v>1158</v>
      </c>
      <c r="F581" s="8" t="s">
        <v>164</v>
      </c>
      <c r="G581" s="35"/>
    </row>
    <row r="582" spans="2:7">
      <c r="B582" s="22">
        <v>486</v>
      </c>
      <c r="C582" s="92" t="s">
        <v>1257</v>
      </c>
      <c r="D582" s="93" t="s">
        <v>66</v>
      </c>
      <c r="E582" s="92" t="s">
        <v>155</v>
      </c>
      <c r="F582" s="8" t="s">
        <v>164</v>
      </c>
      <c r="G582" s="35"/>
    </row>
    <row r="583" spans="2:7">
      <c r="B583" s="22"/>
      <c r="C583" s="92"/>
      <c r="D583" s="93"/>
      <c r="E583" s="93"/>
      <c r="F583" s="8" t="s">
        <v>164</v>
      </c>
      <c r="G583" s="35"/>
    </row>
    <row r="584" spans="2:7">
      <c r="B584" s="22"/>
      <c r="C584" s="92"/>
      <c r="D584" s="93"/>
      <c r="E584" s="93"/>
      <c r="F584" s="8" t="s">
        <v>164</v>
      </c>
      <c r="G584" s="35"/>
    </row>
    <row r="585" spans="2:7">
      <c r="B585" s="22"/>
      <c r="C585" s="92"/>
      <c r="D585" s="93"/>
      <c r="E585" s="93"/>
      <c r="F585" s="8" t="s">
        <v>164</v>
      </c>
      <c r="G585" s="35"/>
    </row>
    <row r="586" spans="2:7" ht="15.75">
      <c r="B586" s="21"/>
      <c r="C586" s="8"/>
      <c r="D586" s="54"/>
      <c r="E586" s="54"/>
      <c r="F586" s="8" t="s">
        <v>164</v>
      </c>
      <c r="G586" s="35"/>
    </row>
    <row r="587" spans="2:7" ht="15.75">
      <c r="B587" s="21"/>
      <c r="C587" s="8"/>
      <c r="D587" s="54"/>
      <c r="E587" s="54"/>
      <c r="F587" s="8"/>
      <c r="G587" s="35"/>
    </row>
    <row r="588" spans="2:7">
      <c r="B588" s="22">
        <v>701</v>
      </c>
      <c r="C588" s="92" t="s">
        <v>765</v>
      </c>
      <c r="D588" s="93">
        <v>10079383568</v>
      </c>
      <c r="E588" s="93" t="s">
        <v>156</v>
      </c>
      <c r="F588" s="8" t="s">
        <v>58</v>
      </c>
      <c r="G588" s="35"/>
    </row>
    <row r="589" spans="2:7">
      <c r="B589" s="22">
        <v>708</v>
      </c>
      <c r="C589" s="92" t="s">
        <v>766</v>
      </c>
      <c r="D589" s="93">
        <v>10056033143</v>
      </c>
      <c r="E589" s="93" t="s">
        <v>868</v>
      </c>
      <c r="F589" s="8" t="s">
        <v>58</v>
      </c>
      <c r="G589" s="35"/>
    </row>
    <row r="590" spans="2:7">
      <c r="B590" s="22">
        <v>713</v>
      </c>
      <c r="C590" s="93" t="s">
        <v>771</v>
      </c>
      <c r="D590" s="93">
        <v>10006255268</v>
      </c>
      <c r="E590" s="93" t="s">
        <v>100</v>
      </c>
      <c r="F590" s="8" t="s">
        <v>58</v>
      </c>
      <c r="G590" s="35"/>
    </row>
    <row r="591" spans="2:7">
      <c r="B591" s="22">
        <v>714</v>
      </c>
      <c r="C591" s="92" t="s">
        <v>772</v>
      </c>
      <c r="D591" s="93" t="s">
        <v>66</v>
      </c>
      <c r="E591" s="93" t="s">
        <v>1250</v>
      </c>
      <c r="F591" s="8" t="s">
        <v>58</v>
      </c>
      <c r="G591" s="35"/>
    </row>
    <row r="592" spans="2:7">
      <c r="B592" s="22"/>
      <c r="C592" s="93"/>
      <c r="D592" s="93"/>
      <c r="E592" s="93"/>
      <c r="F592" s="8" t="s">
        <v>58</v>
      </c>
      <c r="G592" s="35"/>
    </row>
    <row r="593" spans="2:7">
      <c r="B593" s="22"/>
      <c r="C593" s="92"/>
      <c r="D593" s="93"/>
      <c r="E593" s="93"/>
      <c r="F593" s="8" t="s">
        <v>58</v>
      </c>
      <c r="G593" s="35"/>
    </row>
    <row r="594" spans="2:7">
      <c r="B594" s="22"/>
      <c r="C594" s="92"/>
      <c r="D594" s="93"/>
      <c r="E594" s="93"/>
      <c r="F594" s="8" t="s">
        <v>58</v>
      </c>
      <c r="G594" s="35"/>
    </row>
    <row r="595" spans="2:7">
      <c r="B595" s="22"/>
      <c r="C595" s="93"/>
      <c r="D595" s="93"/>
      <c r="E595" s="93"/>
      <c r="F595" s="8" t="s">
        <v>58</v>
      </c>
      <c r="G595" s="35"/>
    </row>
    <row r="596" spans="2:7">
      <c r="B596" s="22"/>
      <c r="C596" s="92"/>
      <c r="D596" s="93"/>
      <c r="E596" s="93"/>
      <c r="F596" s="8" t="s">
        <v>58</v>
      </c>
      <c r="G596" s="35"/>
    </row>
    <row r="597" spans="2:7">
      <c r="B597" s="22"/>
      <c r="C597" s="92"/>
      <c r="D597" s="93"/>
      <c r="E597" s="93"/>
      <c r="F597" s="8" t="s">
        <v>58</v>
      </c>
      <c r="G597" s="35"/>
    </row>
    <row r="598" spans="2:7">
      <c r="B598" s="22"/>
      <c r="C598" s="92"/>
      <c r="D598" s="93"/>
      <c r="E598" s="93"/>
      <c r="F598" s="8" t="s">
        <v>58</v>
      </c>
      <c r="G598" s="35"/>
    </row>
    <row r="599" spans="2:7" ht="15.75">
      <c r="B599" s="21"/>
      <c r="C599" s="8"/>
      <c r="D599" s="54"/>
      <c r="E599" s="54"/>
      <c r="F599" s="8"/>
      <c r="G599" s="35"/>
    </row>
    <row r="600" spans="2:7">
      <c r="B600" s="22">
        <v>752</v>
      </c>
      <c r="C600" s="92" t="s">
        <v>882</v>
      </c>
      <c r="D600" s="93">
        <v>10001352223</v>
      </c>
      <c r="E600" s="93" t="s">
        <v>883</v>
      </c>
      <c r="F600" s="8" t="s">
        <v>59</v>
      </c>
      <c r="G600" s="35"/>
    </row>
    <row r="601" spans="2:7">
      <c r="B601" s="22">
        <v>758</v>
      </c>
      <c r="C601" s="92" t="s">
        <v>1199</v>
      </c>
      <c r="D601" s="93">
        <v>10140636745</v>
      </c>
      <c r="E601" s="93" t="s">
        <v>135</v>
      </c>
      <c r="F601" s="8" t="s">
        <v>59</v>
      </c>
      <c r="G601" s="35"/>
    </row>
    <row r="602" spans="2:7">
      <c r="B602" s="22">
        <v>756</v>
      </c>
      <c r="C602" s="92" t="s">
        <v>1200</v>
      </c>
      <c r="D602" s="93">
        <v>10137070781</v>
      </c>
      <c r="E602" s="93" t="s">
        <v>508</v>
      </c>
      <c r="F602" s="8" t="s">
        <v>59</v>
      </c>
      <c r="G602" s="35"/>
    </row>
    <row r="603" spans="2:7">
      <c r="B603" s="22">
        <v>769</v>
      </c>
      <c r="C603" s="92" t="s">
        <v>782</v>
      </c>
      <c r="D603" s="93">
        <v>10053119810</v>
      </c>
      <c r="E603" s="93" t="s">
        <v>783</v>
      </c>
      <c r="F603" s="8" t="s">
        <v>59</v>
      </c>
      <c r="G603" s="35"/>
    </row>
    <row r="604" spans="2:7">
      <c r="B604" s="22">
        <v>763</v>
      </c>
      <c r="C604" s="92" t="s">
        <v>426</v>
      </c>
      <c r="D604" s="93">
        <v>10103825447</v>
      </c>
      <c r="E604" s="93" t="s">
        <v>427</v>
      </c>
      <c r="F604" s="8" t="s">
        <v>59</v>
      </c>
      <c r="G604" s="35"/>
    </row>
    <row r="605" spans="2:7">
      <c r="B605" s="22">
        <v>768</v>
      </c>
      <c r="C605" s="92" t="s">
        <v>781</v>
      </c>
      <c r="D605" s="93">
        <v>10061819595</v>
      </c>
      <c r="E605" s="93" t="s">
        <v>138</v>
      </c>
      <c r="F605" s="8" t="s">
        <v>59</v>
      </c>
      <c r="G605" s="35"/>
    </row>
    <row r="606" spans="2:7">
      <c r="B606" s="22">
        <v>766</v>
      </c>
      <c r="C606" s="92" t="s">
        <v>523</v>
      </c>
      <c r="D606" s="93" t="s">
        <v>66</v>
      </c>
      <c r="E606" s="93" t="s">
        <v>1166</v>
      </c>
      <c r="F606" s="8" t="s">
        <v>59</v>
      </c>
      <c r="G606" s="35"/>
    </row>
    <row r="607" spans="2:7">
      <c r="B607" s="107">
        <v>774</v>
      </c>
      <c r="C607" s="92" t="s">
        <v>1251</v>
      </c>
      <c r="D607" s="93" t="s">
        <v>66</v>
      </c>
      <c r="E607" s="93" t="s">
        <v>100</v>
      </c>
      <c r="F607" s="8" t="s">
        <v>59</v>
      </c>
      <c r="G607" s="35"/>
    </row>
    <row r="608" spans="2:7">
      <c r="B608" s="22"/>
      <c r="C608" s="92"/>
      <c r="D608" s="93"/>
      <c r="E608" s="93"/>
      <c r="F608" s="8" t="s">
        <v>59</v>
      </c>
      <c r="G608" s="35"/>
    </row>
    <row r="609" spans="2:7">
      <c r="B609" s="22"/>
      <c r="C609" s="92"/>
      <c r="D609" s="93"/>
      <c r="E609" s="93"/>
      <c r="F609" s="8" t="s">
        <v>59</v>
      </c>
      <c r="G609" s="35"/>
    </row>
    <row r="610" spans="2:7">
      <c r="B610" s="22"/>
      <c r="C610" s="92"/>
      <c r="D610" s="93"/>
      <c r="E610" s="93"/>
      <c r="F610" s="8" t="s">
        <v>59</v>
      </c>
      <c r="G610" s="35"/>
    </row>
    <row r="611" spans="2:7">
      <c r="B611" s="22"/>
      <c r="C611" s="92"/>
      <c r="D611" s="93"/>
      <c r="E611" s="93"/>
      <c r="F611" s="8" t="s">
        <v>59</v>
      </c>
      <c r="G611" s="35"/>
    </row>
    <row r="612" spans="2:7">
      <c r="B612" s="22"/>
      <c r="C612" s="92"/>
      <c r="D612" s="93"/>
      <c r="E612" s="93"/>
      <c r="F612" s="8" t="s">
        <v>59</v>
      </c>
      <c r="G612" s="35"/>
    </row>
    <row r="613" spans="2:7">
      <c r="B613" s="22"/>
      <c r="C613" s="92"/>
      <c r="D613" s="93"/>
      <c r="E613" s="93"/>
      <c r="F613" s="8" t="s">
        <v>59</v>
      </c>
      <c r="G613" s="35"/>
    </row>
    <row r="614" spans="2:7">
      <c r="B614" s="22"/>
      <c r="C614" s="92"/>
      <c r="D614" s="93"/>
      <c r="E614" s="93"/>
      <c r="F614" s="8" t="s">
        <v>59</v>
      </c>
      <c r="G614" s="35"/>
    </row>
    <row r="615" spans="2:7">
      <c r="B615" s="104"/>
      <c r="C615" s="8"/>
      <c r="D615" s="54"/>
      <c r="E615" s="54"/>
      <c r="F615" s="8"/>
      <c r="G615" s="35"/>
    </row>
    <row r="616" spans="2:7">
      <c r="B616" s="96">
        <v>810</v>
      </c>
      <c r="C616" s="92" t="s">
        <v>442</v>
      </c>
      <c r="D616" s="93">
        <v>10061985206</v>
      </c>
      <c r="E616" s="93" t="s">
        <v>1201</v>
      </c>
      <c r="F616" s="8" t="s">
        <v>72</v>
      </c>
      <c r="G616" s="35"/>
    </row>
    <row r="617" spans="2:7">
      <c r="B617" s="96">
        <v>801</v>
      </c>
      <c r="C617" s="97" t="s">
        <v>120</v>
      </c>
      <c r="D617" s="98">
        <v>10102979628</v>
      </c>
      <c r="E617" s="98" t="s">
        <v>432</v>
      </c>
      <c r="F617" s="8" t="s">
        <v>72</v>
      </c>
      <c r="G617" s="35"/>
    </row>
    <row r="618" spans="2:7">
      <c r="B618" s="96">
        <v>813</v>
      </c>
      <c r="C618" s="92" t="s">
        <v>1252</v>
      </c>
      <c r="D618" s="93">
        <v>10051209819</v>
      </c>
      <c r="E618" s="93" t="s">
        <v>6</v>
      </c>
      <c r="F618" s="8" t="s">
        <v>72</v>
      </c>
      <c r="G618" s="35"/>
    </row>
    <row r="619" spans="2:7">
      <c r="B619" s="96">
        <v>811</v>
      </c>
      <c r="C619" s="92" t="s">
        <v>443</v>
      </c>
      <c r="D619" s="93">
        <v>10124200400</v>
      </c>
      <c r="E619" s="93" t="s">
        <v>399</v>
      </c>
      <c r="F619" s="8" t="s">
        <v>72</v>
      </c>
      <c r="G619" s="35"/>
    </row>
    <row r="620" spans="2:7">
      <c r="B620" s="96">
        <v>805</v>
      </c>
      <c r="C620" s="92" t="s">
        <v>790</v>
      </c>
      <c r="D620" s="93">
        <v>10122661938</v>
      </c>
      <c r="E620" s="93" t="s">
        <v>6</v>
      </c>
      <c r="F620" s="8" t="s">
        <v>72</v>
      </c>
      <c r="G620" s="35"/>
    </row>
    <row r="621" spans="2:7">
      <c r="B621" s="96">
        <v>814</v>
      </c>
      <c r="C621" s="97" t="s">
        <v>88</v>
      </c>
      <c r="D621" s="98">
        <v>10114540513</v>
      </c>
      <c r="E621" s="98" t="s">
        <v>89</v>
      </c>
      <c r="F621" s="8" t="s">
        <v>72</v>
      </c>
      <c r="G621" s="35"/>
    </row>
    <row r="622" spans="2:7">
      <c r="B622" s="96">
        <v>820</v>
      </c>
      <c r="C622" s="92" t="s">
        <v>1202</v>
      </c>
      <c r="D622" s="93">
        <v>10094103118</v>
      </c>
      <c r="E622" s="93" t="s">
        <v>1203</v>
      </c>
      <c r="F622" s="8" t="s">
        <v>72</v>
      </c>
      <c r="G622" s="35"/>
    </row>
    <row r="623" spans="2:7">
      <c r="B623" s="96">
        <v>802</v>
      </c>
      <c r="C623" s="92" t="s">
        <v>433</v>
      </c>
      <c r="D623" s="93">
        <v>10075677966</v>
      </c>
      <c r="E623" s="93" t="s">
        <v>767</v>
      </c>
      <c r="F623" s="8" t="s">
        <v>72</v>
      </c>
      <c r="G623" s="35"/>
    </row>
    <row r="624" spans="2:7">
      <c r="B624" s="96">
        <v>809</v>
      </c>
      <c r="C624" s="92" t="s">
        <v>440</v>
      </c>
      <c r="D624" s="93">
        <v>10114420473</v>
      </c>
      <c r="E624" s="93" t="s">
        <v>1204</v>
      </c>
      <c r="F624" s="8" t="s">
        <v>72</v>
      </c>
      <c r="G624" s="35"/>
    </row>
    <row r="625" spans="2:7">
      <c r="B625" s="96">
        <v>823</v>
      </c>
      <c r="C625" s="92" t="s">
        <v>907</v>
      </c>
      <c r="D625" s="93">
        <v>10051458783</v>
      </c>
      <c r="E625" s="93" t="s">
        <v>6</v>
      </c>
      <c r="F625" s="8" t="s">
        <v>72</v>
      </c>
      <c r="G625" s="35"/>
    </row>
    <row r="626" spans="2:7">
      <c r="B626" s="96"/>
      <c r="C626" s="92"/>
      <c r="D626" s="93"/>
      <c r="E626" s="93"/>
      <c r="F626" s="8" t="s">
        <v>72</v>
      </c>
      <c r="G626" s="35"/>
    </row>
    <row r="627" spans="2:7">
      <c r="B627" s="96"/>
      <c r="C627" s="92"/>
      <c r="D627" s="93"/>
      <c r="E627" s="93"/>
      <c r="F627" s="8" t="s">
        <v>72</v>
      </c>
      <c r="G627" s="35"/>
    </row>
    <row r="628" spans="2:7">
      <c r="B628" s="96"/>
      <c r="C628" s="92"/>
      <c r="D628" s="93"/>
      <c r="E628" s="93"/>
      <c r="F628" s="8" t="s">
        <v>72</v>
      </c>
      <c r="G628" s="35"/>
    </row>
    <row r="629" spans="2:7">
      <c r="B629" s="96"/>
      <c r="C629" s="92"/>
      <c r="D629" s="93"/>
      <c r="E629" s="93"/>
      <c r="F629" s="8" t="s">
        <v>72</v>
      </c>
      <c r="G629" s="35"/>
    </row>
    <row r="630" spans="2:7">
      <c r="B630" s="96"/>
      <c r="C630" s="93"/>
      <c r="D630" s="93"/>
      <c r="E630" s="92"/>
      <c r="F630" s="8"/>
      <c r="G630" s="35"/>
    </row>
    <row r="631" spans="2:7">
      <c r="B631" s="96"/>
      <c r="C631" s="97"/>
      <c r="D631" s="98"/>
      <c r="E631" s="98"/>
      <c r="F631" s="8"/>
      <c r="G631" s="35"/>
    </row>
    <row r="632" spans="2:7">
      <c r="B632" s="7"/>
      <c r="C632" s="8"/>
      <c r="D632" s="54"/>
      <c r="E632" s="54"/>
      <c r="F632" s="8"/>
      <c r="G632" s="35"/>
    </row>
    <row r="633" spans="2:7">
      <c r="B633" s="22">
        <v>851</v>
      </c>
      <c r="C633" s="92" t="s">
        <v>1254</v>
      </c>
      <c r="D633" s="93">
        <v>10060932451</v>
      </c>
      <c r="E633" s="93" t="s">
        <v>121</v>
      </c>
      <c r="F633" s="8" t="s">
        <v>90</v>
      </c>
      <c r="G633" s="35"/>
    </row>
    <row r="634" spans="2:7">
      <c r="B634" s="22">
        <v>853</v>
      </c>
      <c r="C634" s="92" t="s">
        <v>452</v>
      </c>
      <c r="D634" s="93">
        <v>10122227054</v>
      </c>
      <c r="E634" s="93" t="s">
        <v>100</v>
      </c>
      <c r="F634" s="8" t="s">
        <v>90</v>
      </c>
      <c r="G634" s="35"/>
    </row>
    <row r="635" spans="2:7">
      <c r="B635" s="22">
        <v>860</v>
      </c>
      <c r="C635" s="92" t="s">
        <v>804</v>
      </c>
      <c r="D635" s="93">
        <v>10061984903</v>
      </c>
      <c r="E635" s="93" t="s">
        <v>429</v>
      </c>
      <c r="F635" s="8" t="s">
        <v>90</v>
      </c>
      <c r="G635" s="35"/>
    </row>
    <row r="636" spans="2:7">
      <c r="B636" s="22">
        <v>865</v>
      </c>
      <c r="C636" s="92" t="s">
        <v>470</v>
      </c>
      <c r="D636" s="93">
        <v>10138850531</v>
      </c>
      <c r="E636" s="93" t="s">
        <v>805</v>
      </c>
      <c r="F636" s="8" t="s">
        <v>90</v>
      </c>
      <c r="G636" s="35"/>
    </row>
    <row r="637" spans="2:7">
      <c r="B637" s="22">
        <v>868</v>
      </c>
      <c r="C637" s="92" t="s">
        <v>474</v>
      </c>
      <c r="D637" s="93">
        <v>10074930662</v>
      </c>
      <c r="E637" s="93" t="s">
        <v>434</v>
      </c>
      <c r="F637" s="8" t="s">
        <v>90</v>
      </c>
      <c r="G637" s="35"/>
    </row>
    <row r="638" spans="2:7">
      <c r="B638" s="22">
        <v>859</v>
      </c>
      <c r="C638" s="92" t="s">
        <v>801</v>
      </c>
      <c r="D638" s="93">
        <v>10051462726</v>
      </c>
      <c r="E638" s="93" t="s">
        <v>464</v>
      </c>
      <c r="F638" s="8" t="s">
        <v>90</v>
      </c>
      <c r="G638" s="35"/>
    </row>
    <row r="639" spans="2:7">
      <c r="B639" s="22">
        <v>863</v>
      </c>
      <c r="C639" s="92" t="s">
        <v>1253</v>
      </c>
      <c r="D639" s="93" t="s">
        <v>66</v>
      </c>
      <c r="E639" s="93" t="s">
        <v>136</v>
      </c>
      <c r="F639" s="8" t="s">
        <v>90</v>
      </c>
      <c r="G639" s="35"/>
    </row>
    <row r="640" spans="2:7">
      <c r="B640" s="22">
        <v>870</v>
      </c>
      <c r="C640" s="92" t="s">
        <v>912</v>
      </c>
      <c r="D640" s="93">
        <v>10089830468</v>
      </c>
      <c r="E640" s="93" t="s">
        <v>1205</v>
      </c>
      <c r="F640" s="8" t="s">
        <v>90</v>
      </c>
      <c r="G640" s="35"/>
    </row>
    <row r="641" spans="2:7">
      <c r="B641" s="22">
        <v>855</v>
      </c>
      <c r="C641" s="92" t="s">
        <v>1206</v>
      </c>
      <c r="D641" s="93">
        <v>10059069243</v>
      </c>
      <c r="E641" s="93" t="s">
        <v>115</v>
      </c>
      <c r="F641" s="8" t="s">
        <v>90</v>
      </c>
      <c r="G641" s="35"/>
    </row>
    <row r="642" spans="2:7">
      <c r="B642" s="22"/>
      <c r="C642" s="92"/>
      <c r="D642" s="93"/>
      <c r="E642" s="93"/>
      <c r="F642" s="8" t="s">
        <v>90</v>
      </c>
      <c r="G642" s="35"/>
    </row>
    <row r="643" spans="2:7">
      <c r="B643" s="22"/>
      <c r="C643" s="92"/>
      <c r="D643" s="93"/>
      <c r="E643" s="93"/>
      <c r="F643" s="8" t="s">
        <v>90</v>
      </c>
      <c r="G643" s="35"/>
    </row>
    <row r="644" spans="2:7">
      <c r="B644" s="22"/>
      <c r="C644" s="92"/>
      <c r="D644" s="93"/>
      <c r="E644" s="93"/>
      <c r="F644" s="8" t="s">
        <v>90</v>
      </c>
      <c r="G644" s="35"/>
    </row>
    <row r="645" spans="2:7">
      <c r="B645" s="22"/>
      <c r="C645" s="92"/>
      <c r="D645" s="93"/>
      <c r="E645" s="93"/>
      <c r="F645" s="8" t="s">
        <v>90</v>
      </c>
      <c r="G645" s="35"/>
    </row>
    <row r="646" spans="2:7">
      <c r="B646" s="22"/>
      <c r="C646" s="92"/>
      <c r="D646" s="93"/>
      <c r="E646" s="93"/>
      <c r="F646" s="8" t="s">
        <v>90</v>
      </c>
      <c r="G646" s="35"/>
    </row>
    <row r="647" spans="2:7">
      <c r="B647" s="22"/>
      <c r="C647" s="92"/>
      <c r="D647" s="93"/>
      <c r="E647" s="93"/>
      <c r="F647" s="8" t="s">
        <v>90</v>
      </c>
      <c r="G647" s="35"/>
    </row>
    <row r="648" spans="2:7">
      <c r="B648" s="22"/>
      <c r="C648" s="92"/>
      <c r="D648" s="93"/>
      <c r="E648" s="93"/>
      <c r="F648" s="8" t="s">
        <v>90</v>
      </c>
      <c r="G648" s="35"/>
    </row>
    <row r="649" spans="2:7">
      <c r="B649" s="22"/>
      <c r="C649" s="92"/>
      <c r="D649" s="93"/>
      <c r="E649" s="93"/>
      <c r="F649" s="8" t="s">
        <v>90</v>
      </c>
      <c r="G649" s="35"/>
    </row>
    <row r="650" spans="2:7">
      <c r="B650" s="22"/>
      <c r="C650" s="92"/>
      <c r="D650" s="93"/>
      <c r="E650" s="93"/>
      <c r="F650" s="8" t="s">
        <v>90</v>
      </c>
      <c r="G650" s="35"/>
    </row>
    <row r="651" spans="2:7">
      <c r="B651" s="22"/>
      <c r="C651" s="92"/>
      <c r="D651" s="93"/>
      <c r="E651" s="93"/>
      <c r="F651" s="8" t="s">
        <v>90</v>
      </c>
      <c r="G651" s="35"/>
    </row>
    <row r="652" spans="2:7" ht="15.75">
      <c r="B652" s="48"/>
      <c r="C652" s="8"/>
      <c r="D652" s="7"/>
      <c r="E652" s="54"/>
      <c r="F652" s="8"/>
      <c r="G652" s="35"/>
    </row>
    <row r="653" spans="2:7">
      <c r="B653" s="96">
        <v>906</v>
      </c>
      <c r="C653" s="92" t="s">
        <v>481</v>
      </c>
      <c r="D653" s="22">
        <v>10054780328</v>
      </c>
      <c r="E653" s="92" t="s">
        <v>100</v>
      </c>
      <c r="F653" s="8" t="s">
        <v>91</v>
      </c>
      <c r="G653" s="35"/>
    </row>
    <row r="654" spans="2:7">
      <c r="B654" s="96">
        <v>908</v>
      </c>
      <c r="C654" s="92" t="s">
        <v>812</v>
      </c>
      <c r="D654" s="22">
        <v>10101986891</v>
      </c>
      <c r="E654" s="93" t="s">
        <v>1207</v>
      </c>
      <c r="F654" s="8" t="s">
        <v>91</v>
      </c>
      <c r="G654" s="35"/>
    </row>
    <row r="655" spans="2:7">
      <c r="B655" s="96">
        <v>903</v>
      </c>
      <c r="C655" s="92" t="s">
        <v>73</v>
      </c>
      <c r="D655" s="22">
        <v>10061997734</v>
      </c>
      <c r="E655" s="93" t="s">
        <v>69</v>
      </c>
      <c r="F655" s="8" t="s">
        <v>91</v>
      </c>
      <c r="G655" s="35"/>
    </row>
    <row r="656" spans="2:7">
      <c r="B656" s="96">
        <v>905</v>
      </c>
      <c r="C656" s="92" t="s">
        <v>926</v>
      </c>
      <c r="D656" s="22">
        <v>10061855668</v>
      </c>
      <c r="E656" s="93" t="s">
        <v>927</v>
      </c>
      <c r="F656" s="8" t="s">
        <v>91</v>
      </c>
      <c r="G656" s="35"/>
    </row>
    <row r="657" spans="2:7">
      <c r="B657" s="96">
        <v>913</v>
      </c>
      <c r="C657" s="92" t="s">
        <v>816</v>
      </c>
      <c r="D657" s="22">
        <v>10172012306</v>
      </c>
      <c r="E657" s="93" t="s">
        <v>492</v>
      </c>
      <c r="F657" s="8" t="s">
        <v>91</v>
      </c>
      <c r="G657" s="35"/>
    </row>
    <row r="658" spans="2:7">
      <c r="B658" s="96">
        <v>910</v>
      </c>
      <c r="C658" s="97" t="s">
        <v>486</v>
      </c>
      <c r="D658" s="99">
        <v>10112076915</v>
      </c>
      <c r="E658" s="98" t="s">
        <v>487</v>
      </c>
      <c r="F658" s="8" t="s">
        <v>91</v>
      </c>
      <c r="G658" s="35"/>
    </row>
    <row r="659" spans="2:7">
      <c r="B659" s="96">
        <v>922</v>
      </c>
      <c r="C659" s="92" t="s">
        <v>928</v>
      </c>
      <c r="D659" s="22">
        <v>10126639241</v>
      </c>
      <c r="E659" s="93" t="s">
        <v>1208</v>
      </c>
      <c r="F659" s="8" t="s">
        <v>91</v>
      </c>
      <c r="G659" s="35"/>
    </row>
    <row r="660" spans="2:7">
      <c r="B660" s="96"/>
      <c r="C660" s="92"/>
      <c r="D660" s="22"/>
      <c r="E660" s="92"/>
      <c r="F660" s="8" t="s">
        <v>91</v>
      </c>
      <c r="G660" s="35"/>
    </row>
    <row r="661" spans="2:7">
      <c r="B661" s="96"/>
      <c r="C661" s="92"/>
      <c r="D661" s="22"/>
      <c r="E661" s="93"/>
      <c r="F661" s="8" t="s">
        <v>91</v>
      </c>
      <c r="G661" s="35"/>
    </row>
    <row r="662" spans="2:7">
      <c r="B662" s="96"/>
      <c r="C662" s="92"/>
      <c r="D662" s="22"/>
      <c r="E662" s="93"/>
      <c r="F662" s="8" t="s">
        <v>91</v>
      </c>
      <c r="G662" s="35"/>
    </row>
    <row r="663" spans="2:7">
      <c r="B663" s="96"/>
      <c r="C663" s="92"/>
      <c r="D663" s="22"/>
      <c r="E663" s="93"/>
      <c r="F663" s="8" t="s">
        <v>91</v>
      </c>
      <c r="G663" s="35"/>
    </row>
    <row r="664" spans="2:7">
      <c r="B664" s="96"/>
      <c r="C664" s="92"/>
      <c r="D664" s="22"/>
      <c r="E664" s="93"/>
      <c r="F664" s="8" t="s">
        <v>91</v>
      </c>
      <c r="G664" s="35"/>
    </row>
    <row r="665" spans="2:7">
      <c r="B665" s="96"/>
      <c r="C665" s="92"/>
      <c r="D665" s="22"/>
      <c r="E665" s="93"/>
      <c r="F665" s="8" t="s">
        <v>91</v>
      </c>
      <c r="G665" s="35"/>
    </row>
    <row r="666" spans="2:7">
      <c r="B666" s="96"/>
      <c r="C666" s="92"/>
      <c r="D666" s="22"/>
      <c r="E666" s="93"/>
      <c r="F666" s="8" t="s">
        <v>91</v>
      </c>
      <c r="G666" s="35"/>
    </row>
    <row r="667" spans="2:7">
      <c r="B667" s="96"/>
      <c r="C667" s="92"/>
      <c r="D667" s="22"/>
      <c r="E667" s="93"/>
      <c r="F667" s="8" t="s">
        <v>91</v>
      </c>
      <c r="G667" s="35"/>
    </row>
    <row r="668" spans="2:7">
      <c r="B668" s="7"/>
      <c r="C668" s="8"/>
      <c r="D668" s="54"/>
      <c r="E668" s="54"/>
      <c r="F668" s="8" t="s">
        <v>91</v>
      </c>
      <c r="G668" s="35"/>
    </row>
    <row r="669" spans="2:7">
      <c r="B669" s="41"/>
      <c r="C669" s="8"/>
      <c r="D669" s="54"/>
      <c r="E669" s="8"/>
      <c r="F669" s="8" t="s">
        <v>91</v>
      </c>
      <c r="G669" s="35"/>
    </row>
    <row r="670" spans="2:7">
      <c r="B670" s="41"/>
      <c r="C670" s="54"/>
      <c r="D670" s="54"/>
      <c r="E670" s="8"/>
      <c r="F670" s="54"/>
      <c r="G670" s="35"/>
    </row>
    <row r="671" spans="2:7" ht="15.75">
      <c r="B671" s="21"/>
      <c r="C671" s="8"/>
      <c r="D671" s="54"/>
      <c r="E671" s="54"/>
      <c r="F671" s="54"/>
      <c r="G671" s="35"/>
    </row>
    <row r="672" spans="2:7">
      <c r="B672" s="22">
        <v>935</v>
      </c>
      <c r="C672" s="93" t="s">
        <v>830</v>
      </c>
      <c r="D672" s="93">
        <v>10083854965</v>
      </c>
      <c r="E672" s="92" t="s">
        <v>1255</v>
      </c>
      <c r="F672" s="8" t="s">
        <v>165</v>
      </c>
      <c r="G672" s="35"/>
    </row>
    <row r="673" spans="2:7">
      <c r="B673" s="22">
        <v>934</v>
      </c>
      <c r="C673" s="92" t="s">
        <v>501</v>
      </c>
      <c r="D673" s="93">
        <v>10133198663</v>
      </c>
      <c r="E673" s="93" t="s">
        <v>399</v>
      </c>
      <c r="F673" s="8" t="s">
        <v>165</v>
      </c>
      <c r="G673" s="35"/>
    </row>
    <row r="674" spans="2:7">
      <c r="B674" s="22"/>
      <c r="C674" s="92"/>
      <c r="D674" s="93"/>
      <c r="E674" s="93"/>
      <c r="F674" s="8" t="s">
        <v>165</v>
      </c>
      <c r="G674" s="35"/>
    </row>
    <row r="675" spans="2:7">
      <c r="B675" s="22"/>
      <c r="C675" s="93"/>
      <c r="D675" s="93"/>
      <c r="E675" s="93"/>
      <c r="F675" s="8" t="s">
        <v>165</v>
      </c>
      <c r="G675" s="35"/>
    </row>
    <row r="676" spans="2:7">
      <c r="B676" s="41"/>
      <c r="C676" s="54"/>
      <c r="D676" s="54"/>
      <c r="E676" s="8"/>
      <c r="F676" s="54"/>
      <c r="G676" s="35"/>
    </row>
    <row r="677" spans="2:7">
      <c r="B677" s="22">
        <v>951</v>
      </c>
      <c r="C677" s="93" t="s">
        <v>161</v>
      </c>
      <c r="D677" s="93">
        <v>10101986689</v>
      </c>
      <c r="E677" s="92" t="s">
        <v>1234</v>
      </c>
      <c r="F677" s="8" t="s">
        <v>166</v>
      </c>
      <c r="G677" s="35"/>
    </row>
    <row r="678" spans="2:7">
      <c r="B678" s="3"/>
      <c r="C678" s="93"/>
      <c r="D678" s="93"/>
      <c r="E678" s="92"/>
      <c r="F678" s="8" t="s">
        <v>166</v>
      </c>
      <c r="G678" s="35"/>
    </row>
    <row r="679" spans="2:7">
      <c r="B679" s="3"/>
      <c r="C679" s="93"/>
      <c r="D679" s="93"/>
      <c r="E679" s="92"/>
      <c r="F679" s="8" t="s">
        <v>166</v>
      </c>
      <c r="G679" s="35"/>
    </row>
    <row r="680" spans="2:7">
      <c r="B680" s="3"/>
      <c r="C680" s="93"/>
      <c r="D680" s="93"/>
      <c r="E680" s="92"/>
      <c r="F680" s="8" t="s">
        <v>166</v>
      </c>
      <c r="G680" s="35"/>
    </row>
    <row r="681" spans="2:7">
      <c r="B681" s="3"/>
      <c r="C681" s="93"/>
      <c r="D681" s="93"/>
      <c r="E681" s="92"/>
      <c r="F681" s="8"/>
      <c r="G681" s="35"/>
    </row>
    <row r="682" spans="2:7">
      <c r="B682" s="22">
        <v>614</v>
      </c>
      <c r="C682" s="92" t="s">
        <v>890</v>
      </c>
      <c r="D682" s="93">
        <v>10153041631</v>
      </c>
      <c r="E682" s="93" t="s">
        <v>1209</v>
      </c>
      <c r="F682" s="8" t="s">
        <v>60</v>
      </c>
      <c r="G682" s="35"/>
    </row>
    <row r="683" spans="2:7">
      <c r="B683" s="22">
        <v>609</v>
      </c>
      <c r="C683" s="93" t="s">
        <v>1210</v>
      </c>
      <c r="D683" s="93">
        <v>10063635620</v>
      </c>
      <c r="E683" s="92" t="s">
        <v>1211</v>
      </c>
      <c r="F683" s="8" t="s">
        <v>60</v>
      </c>
      <c r="G683" s="35"/>
    </row>
    <row r="684" spans="2:7">
      <c r="B684" s="22">
        <v>603</v>
      </c>
      <c r="C684" s="92" t="s">
        <v>840</v>
      </c>
      <c r="D684" s="93">
        <v>10164876237</v>
      </c>
      <c r="E684" s="93" t="s">
        <v>399</v>
      </c>
      <c r="F684" s="8" t="s">
        <v>60</v>
      </c>
      <c r="G684" s="35"/>
    </row>
    <row r="685" spans="2:7">
      <c r="B685" s="22">
        <v>618</v>
      </c>
      <c r="C685" s="92" t="s">
        <v>532</v>
      </c>
      <c r="D685" s="93">
        <v>10127815668</v>
      </c>
      <c r="E685" s="93" t="s">
        <v>399</v>
      </c>
      <c r="F685" s="8" t="s">
        <v>60</v>
      </c>
      <c r="G685" s="35"/>
    </row>
    <row r="686" spans="2:7">
      <c r="B686" s="22">
        <v>610</v>
      </c>
      <c r="C686" s="92" t="s">
        <v>520</v>
      </c>
      <c r="D686" s="93">
        <v>10175619288</v>
      </c>
      <c r="E686" s="93" t="s">
        <v>521</v>
      </c>
      <c r="F686" s="8" t="s">
        <v>60</v>
      </c>
      <c r="G686" s="35"/>
    </row>
    <row r="687" spans="2:7">
      <c r="B687" s="22">
        <v>622</v>
      </c>
      <c r="C687" s="92" t="s">
        <v>1212</v>
      </c>
      <c r="D687" s="93" t="s">
        <v>66</v>
      </c>
      <c r="E687" s="92" t="s">
        <v>138</v>
      </c>
      <c r="F687" s="8" t="s">
        <v>60</v>
      </c>
      <c r="G687" s="35"/>
    </row>
    <row r="688" spans="2:7">
      <c r="B688" s="22">
        <v>608</v>
      </c>
      <c r="C688" s="92" t="s">
        <v>516</v>
      </c>
      <c r="D688" s="93" t="s">
        <v>66</v>
      </c>
      <c r="E688" s="92" t="s">
        <v>517</v>
      </c>
      <c r="F688" s="8" t="s">
        <v>60</v>
      </c>
      <c r="G688" s="35"/>
    </row>
    <row r="689" spans="2:7">
      <c r="B689" s="22"/>
      <c r="C689" s="92"/>
      <c r="D689" s="93"/>
      <c r="E689" s="93"/>
      <c r="F689" s="8" t="s">
        <v>60</v>
      </c>
      <c r="G689" s="35"/>
    </row>
    <row r="690" spans="2:7">
      <c r="B690" s="22"/>
      <c r="C690" s="92"/>
      <c r="D690" s="93"/>
      <c r="E690" s="93"/>
      <c r="F690" s="8" t="s">
        <v>60</v>
      </c>
      <c r="G690" s="35"/>
    </row>
    <row r="691" spans="2:7">
      <c r="B691" s="22"/>
      <c r="C691" s="92"/>
      <c r="D691" s="93"/>
      <c r="E691" s="92"/>
      <c r="F691" s="8" t="s">
        <v>60</v>
      </c>
      <c r="G691" s="35"/>
    </row>
    <row r="692" spans="2:7">
      <c r="B692" s="22"/>
      <c r="C692" s="92"/>
      <c r="D692" s="93"/>
      <c r="E692" s="93"/>
      <c r="F692" s="8" t="s">
        <v>60</v>
      </c>
      <c r="G692" s="35"/>
    </row>
    <row r="693" spans="2:7">
      <c r="B693" s="22"/>
      <c r="C693" s="92"/>
      <c r="D693" s="93"/>
      <c r="E693" s="93"/>
      <c r="F693" s="8" t="s">
        <v>60</v>
      </c>
      <c r="G693" s="35"/>
    </row>
    <row r="694" spans="2:7">
      <c r="B694" s="22"/>
      <c r="C694" s="92"/>
      <c r="D694" s="93"/>
      <c r="E694" s="93"/>
      <c r="F694" s="8" t="s">
        <v>60</v>
      </c>
      <c r="G694" s="35"/>
    </row>
    <row r="695" spans="2:7">
      <c r="B695" s="22"/>
      <c r="C695" s="93"/>
      <c r="D695" s="93"/>
      <c r="E695" s="92"/>
      <c r="F695" s="8" t="s">
        <v>60</v>
      </c>
      <c r="G695" s="35"/>
    </row>
    <row r="696" spans="2:7">
      <c r="B696" s="22"/>
      <c r="C696" s="93"/>
      <c r="D696" s="93"/>
      <c r="E696" s="92"/>
      <c r="F696" s="8" t="s">
        <v>60</v>
      </c>
      <c r="G696" s="35"/>
    </row>
    <row r="697" spans="2:7">
      <c r="B697" s="22"/>
      <c r="C697" s="92"/>
      <c r="D697" s="93"/>
      <c r="E697" s="93"/>
      <c r="F697" s="8" t="s">
        <v>60</v>
      </c>
      <c r="G697" s="35"/>
    </row>
    <row r="698" spans="2:7">
      <c r="B698" s="22"/>
      <c r="C698" s="92"/>
      <c r="D698" s="93"/>
      <c r="E698" s="93"/>
      <c r="F698" s="8" t="s">
        <v>60</v>
      </c>
      <c r="G698" s="35"/>
    </row>
    <row r="699" spans="2:7">
      <c r="B699" s="22"/>
      <c r="C699" s="92"/>
      <c r="D699" s="93"/>
      <c r="E699" s="93"/>
      <c r="F699" s="8" t="s">
        <v>60</v>
      </c>
      <c r="G699" s="35"/>
    </row>
    <row r="700" spans="2:7">
      <c r="B700" s="22"/>
      <c r="C700" s="92"/>
      <c r="D700" s="93"/>
      <c r="E700" s="93"/>
      <c r="F700" s="8" t="s">
        <v>60</v>
      </c>
      <c r="G700" s="35"/>
    </row>
    <row r="701" spans="2:7">
      <c r="B701" s="22"/>
      <c r="C701" s="92"/>
      <c r="D701" s="93"/>
      <c r="E701" s="93"/>
      <c r="F701" s="8" t="s">
        <v>60</v>
      </c>
      <c r="G701" s="35"/>
    </row>
    <row r="702" spans="2:7">
      <c r="B702" s="7"/>
      <c r="C702" s="8"/>
      <c r="D702" s="54"/>
      <c r="E702" s="54"/>
      <c r="F702" s="54"/>
      <c r="G702" s="35"/>
    </row>
    <row r="703" spans="2:7">
      <c r="B703" s="7"/>
      <c r="C703" s="8"/>
      <c r="D703" s="54"/>
      <c r="E703" s="54"/>
      <c r="F703" s="54"/>
      <c r="G703" s="35"/>
    </row>
    <row r="704" spans="2:7">
      <c r="B704" s="22">
        <v>671</v>
      </c>
      <c r="C704" s="92" t="s">
        <v>849</v>
      </c>
      <c r="D704" s="93">
        <v>10136876074</v>
      </c>
      <c r="E704" s="92" t="s">
        <v>399</v>
      </c>
      <c r="F704" s="8" t="s">
        <v>92</v>
      </c>
      <c r="G704" s="35"/>
    </row>
    <row r="705" spans="2:7">
      <c r="B705" s="22">
        <v>672</v>
      </c>
      <c r="C705" s="92" t="s">
        <v>1235</v>
      </c>
      <c r="D705" s="93">
        <v>10132333646</v>
      </c>
      <c r="E705" s="92" t="s">
        <v>399</v>
      </c>
      <c r="F705" s="8" t="s">
        <v>92</v>
      </c>
      <c r="G705" s="35"/>
    </row>
    <row r="706" spans="2:7">
      <c r="B706" s="41"/>
      <c r="C706" s="8"/>
      <c r="D706" s="54"/>
      <c r="E706" s="54"/>
      <c r="F706" s="8"/>
      <c r="G706" s="35"/>
    </row>
    <row r="707" spans="2:7">
      <c r="B707" s="22">
        <v>981</v>
      </c>
      <c r="C707" s="92" t="s">
        <v>1245</v>
      </c>
      <c r="D707" s="93" t="s">
        <v>66</v>
      </c>
      <c r="E707" s="93" t="s">
        <v>1246</v>
      </c>
      <c r="F707" s="8" t="s">
        <v>167</v>
      </c>
      <c r="G707" s="35"/>
    </row>
    <row r="708" spans="2:7">
      <c r="B708" s="22">
        <v>982</v>
      </c>
      <c r="C708" s="92" t="s">
        <v>854</v>
      </c>
      <c r="D708" s="93">
        <v>10050347327</v>
      </c>
      <c r="E708" s="93" t="s">
        <v>1249</v>
      </c>
      <c r="F708" s="8" t="s">
        <v>167</v>
      </c>
      <c r="G708" s="35"/>
    </row>
    <row r="709" spans="2:7">
      <c r="B709" s="22">
        <v>978</v>
      </c>
      <c r="C709" s="92" t="s">
        <v>1247</v>
      </c>
      <c r="D709" s="93" t="s">
        <v>66</v>
      </c>
      <c r="E709" s="92" t="s">
        <v>1248</v>
      </c>
      <c r="F709" s="8" t="s">
        <v>167</v>
      </c>
      <c r="G709" s="35"/>
    </row>
    <row r="710" spans="2:7">
      <c r="B710" s="22"/>
      <c r="C710" s="92"/>
      <c r="D710" s="93"/>
      <c r="E710" s="93"/>
      <c r="F710" s="8" t="s">
        <v>167</v>
      </c>
      <c r="G710" s="35"/>
    </row>
    <row r="711" spans="2:7">
      <c r="B711" s="8"/>
      <c r="C711" s="8"/>
      <c r="D711" s="54"/>
      <c r="E711" s="8"/>
      <c r="F711" s="8" t="s">
        <v>167</v>
      </c>
      <c r="G711" s="35"/>
    </row>
    <row r="712" spans="2:7">
      <c r="B712" s="8"/>
      <c r="C712" s="8"/>
      <c r="D712" s="54"/>
      <c r="E712" s="8"/>
      <c r="F712" s="8" t="s">
        <v>167</v>
      </c>
      <c r="G712" s="35"/>
    </row>
    <row r="713" spans="2:7">
      <c r="B713" s="8"/>
      <c r="C713" s="8"/>
      <c r="D713" s="54"/>
      <c r="E713" s="8"/>
      <c r="F713" s="8" t="s">
        <v>167</v>
      </c>
      <c r="G713" s="35"/>
    </row>
    <row r="714" spans="2:7">
      <c r="B714" s="8"/>
      <c r="C714" s="8"/>
      <c r="D714" s="54"/>
      <c r="E714" s="8"/>
      <c r="F714" s="8" t="s">
        <v>167</v>
      </c>
      <c r="G714" s="35"/>
    </row>
    <row r="715" spans="2:7">
      <c r="B715" s="8"/>
      <c r="C715" s="8"/>
      <c r="D715" s="54"/>
      <c r="E715" s="8"/>
      <c r="F715" s="8" t="s">
        <v>167</v>
      </c>
      <c r="G715" s="35"/>
    </row>
    <row r="716" spans="2:7">
      <c r="B716" s="8"/>
      <c r="C716" s="8"/>
      <c r="D716" s="54"/>
      <c r="E716" s="8"/>
      <c r="F716" s="8" t="s">
        <v>167</v>
      </c>
      <c r="G716" s="35"/>
    </row>
    <row r="717" spans="2:7">
      <c r="B717" s="8"/>
      <c r="C717" s="8"/>
      <c r="D717" s="54"/>
      <c r="E717" s="8"/>
      <c r="F717" s="8" t="s">
        <v>167</v>
      </c>
      <c r="G717" s="35"/>
    </row>
    <row r="718" spans="2:7">
      <c r="B718" s="8"/>
      <c r="C718" s="8"/>
      <c r="D718" s="54"/>
      <c r="E718" s="8"/>
      <c r="F718" s="8" t="s">
        <v>167</v>
      </c>
      <c r="G718" s="35"/>
    </row>
    <row r="719" spans="2:7">
      <c r="B719" s="8"/>
      <c r="C719" s="8"/>
      <c r="D719" s="54"/>
      <c r="E719" s="8"/>
      <c r="F719" s="8" t="s">
        <v>167</v>
      </c>
      <c r="G719" s="35"/>
    </row>
    <row r="720" spans="2:7">
      <c r="B720" s="8"/>
      <c r="C720" s="8"/>
      <c r="D720" s="54"/>
      <c r="E720" s="8"/>
      <c r="F720" s="8" t="s">
        <v>167</v>
      </c>
      <c r="G720" s="35"/>
    </row>
    <row r="721" spans="2:7">
      <c r="B721" s="8"/>
      <c r="C721" s="8"/>
      <c r="D721" s="54"/>
      <c r="E721" s="8"/>
      <c r="F721" s="8" t="s">
        <v>167</v>
      </c>
      <c r="G721" s="35"/>
    </row>
    <row r="722" spans="2:7">
      <c r="B722" s="8"/>
      <c r="C722" s="8"/>
      <c r="D722" s="54"/>
      <c r="E722" s="8"/>
      <c r="F722" s="8"/>
      <c r="G722" s="35"/>
    </row>
    <row r="723" spans="2:7">
      <c r="B723" s="22">
        <v>961</v>
      </c>
      <c r="C723" s="92" t="s">
        <v>1243</v>
      </c>
      <c r="D723" s="93">
        <v>10129943002</v>
      </c>
      <c r="E723" s="93" t="s">
        <v>116</v>
      </c>
      <c r="F723" s="8" t="s">
        <v>102</v>
      </c>
      <c r="G723" s="35"/>
    </row>
    <row r="724" spans="2:7">
      <c r="B724" s="22">
        <v>962</v>
      </c>
      <c r="C724" s="92" t="s">
        <v>1244</v>
      </c>
      <c r="D724" s="93">
        <v>10136994700</v>
      </c>
      <c r="E724" s="93" t="s">
        <v>116</v>
      </c>
      <c r="F724" s="8" t="s">
        <v>102</v>
      </c>
      <c r="G724" s="35"/>
    </row>
    <row r="725" spans="2:7">
      <c r="B725" s="22">
        <v>964</v>
      </c>
      <c r="C725" s="92" t="s">
        <v>453</v>
      </c>
      <c r="D725" s="93">
        <v>10061982172</v>
      </c>
      <c r="E725" s="93" t="s">
        <v>155</v>
      </c>
      <c r="F725" s="8" t="s">
        <v>102</v>
      </c>
      <c r="G725" s="35"/>
    </row>
    <row r="726" spans="2:7">
      <c r="B726" s="18"/>
      <c r="C726" s="19"/>
      <c r="D726" s="19"/>
      <c r="E726" s="19"/>
      <c r="F726" s="19"/>
      <c r="G726" s="35"/>
    </row>
    <row r="727" spans="2:7">
      <c r="B727" s="18"/>
      <c r="C727" s="19"/>
      <c r="D727" s="19"/>
      <c r="E727" s="19"/>
      <c r="F727" s="19"/>
      <c r="G727" s="35"/>
    </row>
    <row r="728" spans="2:7">
      <c r="B728" s="18"/>
      <c r="C728" s="19"/>
      <c r="D728" s="19"/>
      <c r="E728" s="19"/>
      <c r="F728" s="19"/>
      <c r="G728" s="35"/>
    </row>
    <row r="729" spans="2:7">
      <c r="B729" s="18"/>
      <c r="C729" s="19"/>
      <c r="D729" s="19"/>
      <c r="E729" s="19"/>
      <c r="F729" s="19"/>
      <c r="G729" s="35"/>
    </row>
    <row r="730" spans="2:7">
      <c r="C730" s="18" t="s">
        <v>1068</v>
      </c>
      <c r="D730" s="19"/>
      <c r="E730" s="19"/>
      <c r="F730" s="19"/>
      <c r="G730" s="35"/>
    </row>
    <row r="731" spans="2:7">
      <c r="B731" s="18"/>
      <c r="C731" s="19"/>
      <c r="D731" s="19"/>
      <c r="E731" s="19"/>
      <c r="F731" s="19"/>
      <c r="G731" s="35"/>
    </row>
    <row r="732" spans="2:7">
      <c r="B732" s="3" t="s">
        <v>1069</v>
      </c>
      <c r="C732" s="92" t="s">
        <v>984</v>
      </c>
      <c r="D732" s="93">
        <v>10009256107</v>
      </c>
      <c r="E732" s="93" t="s">
        <v>985</v>
      </c>
      <c r="F732" s="8" t="s">
        <v>986</v>
      </c>
      <c r="G732" s="35"/>
    </row>
    <row r="733" spans="2:7">
      <c r="B733" s="3" t="s">
        <v>1070</v>
      </c>
      <c r="C733" s="92" t="s">
        <v>987</v>
      </c>
      <c r="D733" s="93">
        <v>10007719362</v>
      </c>
      <c r="E733" s="93" t="s">
        <v>906</v>
      </c>
      <c r="F733" s="8" t="s">
        <v>986</v>
      </c>
      <c r="G733" s="35"/>
    </row>
    <row r="734" spans="2:7">
      <c r="B734" s="3" t="s">
        <v>1071</v>
      </c>
      <c r="C734" s="92" t="s">
        <v>988</v>
      </c>
      <c r="D734" s="93">
        <v>10119032017</v>
      </c>
      <c r="E734" s="93" t="s">
        <v>989</v>
      </c>
      <c r="F734" s="8" t="s">
        <v>986</v>
      </c>
      <c r="G734" s="35"/>
    </row>
    <row r="735" spans="2:7">
      <c r="B735" s="3" t="s">
        <v>1072</v>
      </c>
      <c r="C735" s="92" t="s">
        <v>169</v>
      </c>
      <c r="D735" s="93">
        <v>10009200331</v>
      </c>
      <c r="E735" s="93" t="s">
        <v>566</v>
      </c>
      <c r="F735" s="8" t="s">
        <v>986</v>
      </c>
      <c r="G735" s="35"/>
    </row>
    <row r="736" spans="2:7">
      <c r="B736" s="3" t="s">
        <v>1073</v>
      </c>
      <c r="C736" s="92" t="s">
        <v>990</v>
      </c>
      <c r="D736" s="93">
        <v>10058573533</v>
      </c>
      <c r="E736" s="93" t="s">
        <v>175</v>
      </c>
      <c r="F736" s="8" t="s">
        <v>986</v>
      </c>
      <c r="G736" s="35"/>
    </row>
    <row r="737" spans="2:7">
      <c r="B737" s="3" t="s">
        <v>1074</v>
      </c>
      <c r="C737" s="92" t="s">
        <v>991</v>
      </c>
      <c r="D737" s="93">
        <v>10035259076</v>
      </c>
      <c r="E737" s="93" t="s">
        <v>906</v>
      </c>
      <c r="F737" s="8" t="s">
        <v>986</v>
      </c>
      <c r="G737" s="35"/>
    </row>
    <row r="738" spans="2:7">
      <c r="B738" s="3" t="s">
        <v>1075</v>
      </c>
      <c r="C738" s="92" t="s">
        <v>992</v>
      </c>
      <c r="D738" s="93">
        <v>10056016167</v>
      </c>
      <c r="E738" s="93" t="s">
        <v>114</v>
      </c>
      <c r="F738" s="8" t="s">
        <v>986</v>
      </c>
      <c r="G738" s="35"/>
    </row>
    <row r="739" spans="2:7">
      <c r="B739" s="3" t="s">
        <v>1076</v>
      </c>
      <c r="C739" s="92" t="s">
        <v>993</v>
      </c>
      <c r="D739" s="93">
        <v>10050357734</v>
      </c>
      <c r="E739" s="93" t="s">
        <v>114</v>
      </c>
      <c r="F739" s="8" t="s">
        <v>986</v>
      </c>
      <c r="G739" s="35"/>
    </row>
    <row r="740" spans="2:7">
      <c r="B740" s="3" t="s">
        <v>1077</v>
      </c>
      <c r="C740" s="92" t="s">
        <v>569</v>
      </c>
      <c r="D740" s="93">
        <v>10007693090</v>
      </c>
      <c r="E740" s="93" t="s">
        <v>868</v>
      </c>
      <c r="F740" s="8" t="s">
        <v>986</v>
      </c>
      <c r="G740" s="35"/>
    </row>
    <row r="741" spans="2:7">
      <c r="B741" s="3" t="s">
        <v>1078</v>
      </c>
      <c r="C741" s="93" t="s">
        <v>111</v>
      </c>
      <c r="D741" s="93">
        <v>10105198201</v>
      </c>
      <c r="E741" s="92" t="s">
        <v>994</v>
      </c>
      <c r="F741" s="8" t="s">
        <v>986</v>
      </c>
      <c r="G741" s="35"/>
    </row>
    <row r="742" spans="2:7">
      <c r="B742" s="3" t="s">
        <v>1079</v>
      </c>
      <c r="C742" s="92" t="s">
        <v>174</v>
      </c>
      <c r="D742" s="93">
        <v>10075992208</v>
      </c>
      <c r="E742" s="93" t="s">
        <v>115</v>
      </c>
      <c r="F742" s="8" t="s">
        <v>986</v>
      </c>
      <c r="G742" s="35"/>
    </row>
    <row r="743" spans="2:7">
      <c r="B743" s="3" t="s">
        <v>1080</v>
      </c>
      <c r="C743" s="92" t="s">
        <v>995</v>
      </c>
      <c r="D743" s="93">
        <v>10058578987</v>
      </c>
      <c r="E743" s="93" t="s">
        <v>996</v>
      </c>
      <c r="F743" s="8" t="s">
        <v>986</v>
      </c>
      <c r="G743" s="35"/>
    </row>
    <row r="744" spans="2:7">
      <c r="B744" s="3" t="s">
        <v>1081</v>
      </c>
      <c r="C744" s="92" t="s">
        <v>143</v>
      </c>
      <c r="D744" s="93">
        <v>10051220327</v>
      </c>
      <c r="E744" s="93" t="s">
        <v>175</v>
      </c>
      <c r="F744" s="8" t="s">
        <v>986</v>
      </c>
      <c r="G744" s="35"/>
    </row>
    <row r="745" spans="2:7">
      <c r="B745" s="3" t="s">
        <v>1082</v>
      </c>
      <c r="C745" s="92" t="s">
        <v>997</v>
      </c>
      <c r="D745" s="93">
        <v>10088970101</v>
      </c>
      <c r="E745" s="93" t="s">
        <v>998</v>
      </c>
      <c r="F745" s="8" t="s">
        <v>986</v>
      </c>
      <c r="G745" s="35"/>
    </row>
    <row r="746" spans="2:7">
      <c r="B746" s="3"/>
      <c r="C746" s="92"/>
      <c r="D746" s="93"/>
      <c r="E746" s="93"/>
      <c r="G746" s="35"/>
    </row>
    <row r="747" spans="2:7">
      <c r="B747" s="3" t="s">
        <v>1083</v>
      </c>
      <c r="C747" s="92" t="s">
        <v>999</v>
      </c>
      <c r="D747" s="93">
        <v>10064146686</v>
      </c>
      <c r="E747" s="93" t="s">
        <v>1000</v>
      </c>
      <c r="F747" s="8" t="s">
        <v>68</v>
      </c>
      <c r="G747" s="35"/>
    </row>
    <row r="748" spans="2:7">
      <c r="B748" s="3" t="s">
        <v>1084</v>
      </c>
      <c r="C748" s="92" t="s">
        <v>1001</v>
      </c>
      <c r="D748" s="93">
        <v>10052762223</v>
      </c>
      <c r="E748" s="93" t="s">
        <v>1002</v>
      </c>
      <c r="F748" s="8" t="s">
        <v>68</v>
      </c>
      <c r="G748" s="35"/>
    </row>
    <row r="749" spans="2:7">
      <c r="B749" s="3" t="s">
        <v>1085</v>
      </c>
      <c r="C749" s="92" t="s">
        <v>171</v>
      </c>
      <c r="D749" s="93">
        <v>10092456037</v>
      </c>
      <c r="E749" s="93" t="s">
        <v>100</v>
      </c>
      <c r="F749" s="8" t="s">
        <v>68</v>
      </c>
      <c r="G749" s="35"/>
    </row>
    <row r="750" spans="2:7">
      <c r="B750" s="3" t="s">
        <v>1086</v>
      </c>
      <c r="C750" s="92" t="s">
        <v>1003</v>
      </c>
      <c r="D750" s="93">
        <v>10060170595</v>
      </c>
      <c r="E750" s="93" t="s">
        <v>1004</v>
      </c>
      <c r="F750" s="8" t="s">
        <v>68</v>
      </c>
      <c r="G750" s="35"/>
    </row>
    <row r="751" spans="2:7">
      <c r="B751" s="3" t="s">
        <v>1087</v>
      </c>
      <c r="C751" s="92" t="s">
        <v>173</v>
      </c>
      <c r="D751" s="93">
        <v>10076890971</v>
      </c>
      <c r="E751" s="93" t="s">
        <v>114</v>
      </c>
      <c r="F751" s="8" t="s">
        <v>68</v>
      </c>
      <c r="G751" s="35"/>
    </row>
    <row r="752" spans="2:7">
      <c r="B752" s="3" t="s">
        <v>1088</v>
      </c>
      <c r="C752" s="92" t="s">
        <v>1005</v>
      </c>
      <c r="D752" s="93">
        <v>10089547148</v>
      </c>
      <c r="E752" s="93" t="s">
        <v>114</v>
      </c>
      <c r="F752" s="8" t="s">
        <v>68</v>
      </c>
      <c r="G752" s="35"/>
    </row>
    <row r="753" spans="2:7">
      <c r="B753" s="3" t="s">
        <v>1089</v>
      </c>
      <c r="C753" s="93" t="s">
        <v>180</v>
      </c>
      <c r="D753" s="93">
        <v>10103820090</v>
      </c>
      <c r="E753" s="92" t="s">
        <v>114</v>
      </c>
      <c r="F753" s="8" t="s">
        <v>68</v>
      </c>
      <c r="G753" s="35"/>
    </row>
    <row r="754" spans="2:7">
      <c r="B754" s="3" t="s">
        <v>1090</v>
      </c>
      <c r="C754" s="92" t="s">
        <v>186</v>
      </c>
      <c r="D754" s="93">
        <v>10120369001</v>
      </c>
      <c r="E754" s="93" t="s">
        <v>100</v>
      </c>
      <c r="F754" s="8" t="s">
        <v>68</v>
      </c>
      <c r="G754" s="35"/>
    </row>
    <row r="755" spans="2:7">
      <c r="B755" s="3" t="s">
        <v>1091</v>
      </c>
      <c r="C755" s="92" t="s">
        <v>1006</v>
      </c>
      <c r="D755" s="93">
        <v>10121754380</v>
      </c>
      <c r="E755" s="93" t="s">
        <v>100</v>
      </c>
      <c r="F755" s="8" t="s">
        <v>68</v>
      </c>
      <c r="G755" s="35"/>
    </row>
    <row r="756" spans="2:7">
      <c r="B756" s="3" t="s">
        <v>1092</v>
      </c>
      <c r="C756" s="92" t="s">
        <v>176</v>
      </c>
      <c r="D756" s="93">
        <v>10140483767</v>
      </c>
      <c r="E756" s="93" t="s">
        <v>85</v>
      </c>
      <c r="F756" s="8" t="s">
        <v>68</v>
      </c>
      <c r="G756" s="35"/>
    </row>
    <row r="757" spans="2:7">
      <c r="B757" s="3" t="s">
        <v>1093</v>
      </c>
      <c r="C757" s="92" t="s">
        <v>1007</v>
      </c>
      <c r="D757" s="93">
        <v>10144142687</v>
      </c>
      <c r="E757" s="93" t="s">
        <v>71</v>
      </c>
      <c r="F757" s="8" t="s">
        <v>68</v>
      </c>
      <c r="G757" s="35"/>
    </row>
    <row r="758" spans="2:7">
      <c r="B758" s="3" t="s">
        <v>1094</v>
      </c>
      <c r="C758" s="92" t="s">
        <v>182</v>
      </c>
      <c r="D758" s="93">
        <v>10101989521</v>
      </c>
      <c r="E758" s="93" t="s">
        <v>1008</v>
      </c>
      <c r="F758" s="8" t="s">
        <v>68</v>
      </c>
      <c r="G758" s="35"/>
    </row>
    <row r="759" spans="2:7">
      <c r="B759" s="3" t="s">
        <v>1095</v>
      </c>
      <c r="C759" s="92" t="s">
        <v>1009</v>
      </c>
      <c r="D759" s="93">
        <v>10061052083</v>
      </c>
      <c r="E759" s="93" t="s">
        <v>1004</v>
      </c>
      <c r="F759" s="8" t="s">
        <v>68</v>
      </c>
      <c r="G759" s="35"/>
    </row>
    <row r="760" spans="2:7">
      <c r="B760" s="3" t="s">
        <v>1096</v>
      </c>
      <c r="C760" s="93" t="s">
        <v>1010</v>
      </c>
      <c r="D760" s="93">
        <v>10125524650</v>
      </c>
      <c r="E760" s="92" t="s">
        <v>932</v>
      </c>
      <c r="F760" s="8" t="s">
        <v>68</v>
      </c>
      <c r="G760" s="35"/>
    </row>
    <row r="761" spans="2:7">
      <c r="B761" s="3" t="s">
        <v>1097</v>
      </c>
      <c r="C761" s="92" t="s">
        <v>1011</v>
      </c>
      <c r="D761" s="93">
        <v>10113953358</v>
      </c>
      <c r="E761" s="93" t="s">
        <v>114</v>
      </c>
      <c r="F761" s="8" t="s">
        <v>68</v>
      </c>
      <c r="G761" s="35"/>
    </row>
    <row r="762" spans="2:7">
      <c r="B762" s="3" t="s">
        <v>1098</v>
      </c>
      <c r="C762" s="92" t="s">
        <v>1012</v>
      </c>
      <c r="D762" s="93">
        <v>10162967256</v>
      </c>
      <c r="E762" s="93" t="s">
        <v>1013</v>
      </c>
      <c r="F762" s="8" t="s">
        <v>68</v>
      </c>
      <c r="G762" s="35"/>
    </row>
    <row r="763" spans="2:7">
      <c r="B763" s="7"/>
      <c r="C763" s="8"/>
      <c r="D763" s="17"/>
      <c r="E763" s="17"/>
      <c r="F763" s="8"/>
      <c r="G763" s="35"/>
    </row>
    <row r="764" spans="2:7">
      <c r="B764" s="22" t="s">
        <v>1099</v>
      </c>
      <c r="C764" s="94" t="s">
        <v>1014</v>
      </c>
      <c r="D764" s="93">
        <v>10007369556</v>
      </c>
      <c r="E764" s="93" t="s">
        <v>1015</v>
      </c>
      <c r="F764" s="8" t="s">
        <v>1016</v>
      </c>
      <c r="G764" s="35"/>
    </row>
    <row r="765" spans="2:7">
      <c r="B765" s="3" t="s">
        <v>1100</v>
      </c>
      <c r="C765" s="94" t="s">
        <v>1017</v>
      </c>
      <c r="D765" s="93">
        <v>10112115412</v>
      </c>
      <c r="E765" s="93" t="s">
        <v>1018</v>
      </c>
      <c r="F765" s="8" t="s">
        <v>1016</v>
      </c>
      <c r="G765" s="35"/>
    </row>
    <row r="766" spans="2:7">
      <c r="B766" s="22" t="s">
        <v>1101</v>
      </c>
      <c r="C766" s="94" t="s">
        <v>1019</v>
      </c>
      <c r="D766" s="93">
        <v>10079542206</v>
      </c>
      <c r="E766" s="93"/>
      <c r="F766" s="8" t="s">
        <v>1016</v>
      </c>
      <c r="G766" s="35"/>
    </row>
    <row r="767" spans="2:7">
      <c r="B767" s="22" t="s">
        <v>1102</v>
      </c>
      <c r="C767" s="94" t="s">
        <v>1020</v>
      </c>
      <c r="D767" s="93">
        <v>10009027044</v>
      </c>
      <c r="E767" s="93" t="s">
        <v>1018</v>
      </c>
      <c r="F767" s="8" t="s">
        <v>1016</v>
      </c>
      <c r="G767" s="35"/>
    </row>
    <row r="768" spans="2:7">
      <c r="B768" s="3" t="s">
        <v>1103</v>
      </c>
      <c r="C768" s="94" t="s">
        <v>195</v>
      </c>
      <c r="D768" s="93">
        <v>10052898528</v>
      </c>
      <c r="E768" s="93" t="s">
        <v>1021</v>
      </c>
      <c r="F768" s="8" t="s">
        <v>1016</v>
      </c>
      <c r="G768" s="35"/>
    </row>
    <row r="769" spans="2:7">
      <c r="B769" s="22" t="s">
        <v>1104</v>
      </c>
      <c r="C769" s="94" t="s">
        <v>153</v>
      </c>
      <c r="D769" s="93">
        <v>10059847263</v>
      </c>
      <c r="E769" s="93" t="s">
        <v>1022</v>
      </c>
      <c r="F769" s="8" t="s">
        <v>1016</v>
      </c>
      <c r="G769" s="35"/>
    </row>
    <row r="770" spans="2:7">
      <c r="B770" s="3" t="s">
        <v>1105</v>
      </c>
      <c r="C770" s="92" t="s">
        <v>1023</v>
      </c>
      <c r="D770" s="93">
        <v>10011009884</v>
      </c>
      <c r="E770" s="93" t="s">
        <v>1024</v>
      </c>
      <c r="F770" s="8" t="s">
        <v>1016</v>
      </c>
      <c r="G770" s="35"/>
    </row>
    <row r="771" spans="2:7">
      <c r="B771" s="22" t="s">
        <v>1106</v>
      </c>
      <c r="C771" s="92" t="s">
        <v>1025</v>
      </c>
      <c r="D771" s="93">
        <v>10112699836</v>
      </c>
      <c r="E771" s="93" t="s">
        <v>138</v>
      </c>
      <c r="F771" s="8" t="s">
        <v>1016</v>
      </c>
      <c r="G771" s="35"/>
    </row>
    <row r="772" spans="2:7">
      <c r="B772" s="3" t="s">
        <v>1107</v>
      </c>
      <c r="C772" s="94" t="s">
        <v>201</v>
      </c>
      <c r="D772" s="93">
        <v>10101990228</v>
      </c>
      <c r="E772" s="93" t="s">
        <v>100</v>
      </c>
      <c r="F772" s="8" t="s">
        <v>1016</v>
      </c>
      <c r="G772" s="35"/>
    </row>
    <row r="773" spans="2:7">
      <c r="B773" s="3"/>
      <c r="C773" s="92"/>
      <c r="D773" s="93"/>
      <c r="E773" s="93"/>
      <c r="G773" s="35"/>
    </row>
    <row r="774" spans="2:7">
      <c r="B774" s="3" t="s">
        <v>1108</v>
      </c>
      <c r="C774" s="92" t="s">
        <v>1026</v>
      </c>
      <c r="D774" s="93">
        <v>10077498132</v>
      </c>
      <c r="E774" s="93" t="s">
        <v>114</v>
      </c>
      <c r="F774" s="8" t="s">
        <v>67</v>
      </c>
      <c r="G774" s="35"/>
    </row>
    <row r="775" spans="2:7">
      <c r="B775" s="3" t="s">
        <v>1109</v>
      </c>
      <c r="C775" s="92" t="s">
        <v>1027</v>
      </c>
      <c r="D775" s="93">
        <v>10077498435</v>
      </c>
      <c r="E775" s="93" t="s">
        <v>114</v>
      </c>
      <c r="F775" s="8" t="s">
        <v>67</v>
      </c>
      <c r="G775" s="35"/>
    </row>
    <row r="776" spans="2:7">
      <c r="B776" s="3" t="s">
        <v>1110</v>
      </c>
      <c r="C776" s="92" t="s">
        <v>1028</v>
      </c>
      <c r="D776" s="93">
        <v>10125271743</v>
      </c>
      <c r="E776" s="93" t="s">
        <v>1029</v>
      </c>
      <c r="F776" s="8" t="s">
        <v>67</v>
      </c>
      <c r="G776" s="35"/>
    </row>
    <row r="777" spans="2:7">
      <c r="B777" s="3" t="s">
        <v>1111</v>
      </c>
      <c r="C777" s="92" t="s">
        <v>1030</v>
      </c>
      <c r="D777" s="93">
        <v>10076571982</v>
      </c>
      <c r="E777" s="93" t="s">
        <v>1031</v>
      </c>
      <c r="F777" s="8" t="s">
        <v>67</v>
      </c>
      <c r="G777" s="35"/>
    </row>
    <row r="778" spans="2:7">
      <c r="B778" s="3"/>
      <c r="C778" s="92"/>
      <c r="D778" s="93"/>
      <c r="E778" s="93"/>
      <c r="G778" s="35"/>
    </row>
    <row r="779" spans="2:7">
      <c r="B779" s="3" t="s">
        <v>1112</v>
      </c>
      <c r="C779" s="92" t="s">
        <v>1032</v>
      </c>
      <c r="D779" s="93">
        <v>10127261859</v>
      </c>
      <c r="E779" s="93" t="s">
        <v>906</v>
      </c>
      <c r="F779" t="s">
        <v>52</v>
      </c>
      <c r="G779" s="35"/>
    </row>
    <row r="780" spans="2:7">
      <c r="B780" s="3" t="s">
        <v>1113</v>
      </c>
      <c r="C780" s="92" t="s">
        <v>1033</v>
      </c>
      <c r="D780" s="93">
        <v>10127715638</v>
      </c>
      <c r="E780" s="93" t="s">
        <v>1034</v>
      </c>
      <c r="F780" t="s">
        <v>52</v>
      </c>
      <c r="G780" s="35"/>
    </row>
    <row r="781" spans="2:7">
      <c r="B781" s="3" t="s">
        <v>1114</v>
      </c>
      <c r="C781" s="92" t="s">
        <v>211</v>
      </c>
      <c r="D781" s="93">
        <v>10154951521</v>
      </c>
      <c r="E781" s="93" t="s">
        <v>868</v>
      </c>
      <c r="F781" t="s">
        <v>52</v>
      </c>
      <c r="G781" s="35"/>
    </row>
    <row r="782" spans="2:7">
      <c r="B782" s="3" t="s">
        <v>1115</v>
      </c>
      <c r="C782" s="92" t="s">
        <v>595</v>
      </c>
      <c r="D782" s="93">
        <v>10116215680</v>
      </c>
      <c r="E782" s="93" t="s">
        <v>114</v>
      </c>
      <c r="F782" t="s">
        <v>52</v>
      </c>
      <c r="G782" s="35"/>
    </row>
    <row r="783" spans="2:7">
      <c r="B783" s="3" t="s">
        <v>1116</v>
      </c>
      <c r="C783" s="92" t="s">
        <v>213</v>
      </c>
      <c r="D783" s="93">
        <v>10141533185</v>
      </c>
      <c r="E783" s="93" t="s">
        <v>596</v>
      </c>
      <c r="F783" t="s">
        <v>52</v>
      </c>
      <c r="G783" s="35"/>
    </row>
    <row r="784" spans="2:7">
      <c r="B784" s="3" t="s">
        <v>1117</v>
      </c>
      <c r="C784" s="92" t="s">
        <v>240</v>
      </c>
      <c r="D784" s="93">
        <v>10119593506</v>
      </c>
      <c r="E784" s="93" t="s">
        <v>1035</v>
      </c>
      <c r="F784" t="s">
        <v>52</v>
      </c>
      <c r="G784" s="35"/>
    </row>
    <row r="785" spans="2:7">
      <c r="B785" s="3" t="s">
        <v>1118</v>
      </c>
      <c r="C785" s="92" t="s">
        <v>1036</v>
      </c>
      <c r="D785" s="93">
        <v>10171946426</v>
      </c>
      <c r="E785" s="93" t="s">
        <v>70</v>
      </c>
      <c r="F785" t="s">
        <v>52</v>
      </c>
      <c r="G785" s="35"/>
    </row>
    <row r="786" spans="2:7">
      <c r="B786" s="3" t="s">
        <v>1119</v>
      </c>
      <c r="C786" s="92" t="s">
        <v>1037</v>
      </c>
      <c r="D786" s="93">
        <v>10152456092</v>
      </c>
      <c r="E786" s="93" t="s">
        <v>159</v>
      </c>
      <c r="F786" t="s">
        <v>52</v>
      </c>
      <c r="G786" s="35"/>
    </row>
    <row r="787" spans="2:7">
      <c r="B787" s="3" t="s">
        <v>1120</v>
      </c>
      <c r="C787" s="92" t="s">
        <v>607</v>
      </c>
      <c r="D787" s="93">
        <v>10161160935</v>
      </c>
      <c r="E787" s="93" t="s">
        <v>245</v>
      </c>
      <c r="F787" t="s">
        <v>52</v>
      </c>
      <c r="G787" s="35"/>
    </row>
    <row r="788" spans="2:7">
      <c r="B788" s="3" t="s">
        <v>1121</v>
      </c>
      <c r="C788" s="92" t="s">
        <v>1038</v>
      </c>
      <c r="D788" s="93">
        <v>10131930286</v>
      </c>
      <c r="E788" s="93" t="s">
        <v>251</v>
      </c>
      <c r="F788" t="s">
        <v>52</v>
      </c>
      <c r="G788" s="35"/>
    </row>
    <row r="789" spans="2:7">
      <c r="B789" s="3" t="s">
        <v>1122</v>
      </c>
      <c r="C789" s="92" t="s">
        <v>1039</v>
      </c>
      <c r="D789" s="93">
        <v>10129733642</v>
      </c>
      <c r="E789" s="93" t="s">
        <v>1040</v>
      </c>
      <c r="F789" t="s">
        <v>52</v>
      </c>
      <c r="G789" s="35"/>
    </row>
    <row r="790" spans="2:7">
      <c r="B790" s="3" t="s">
        <v>1123</v>
      </c>
      <c r="C790" s="92" t="s">
        <v>1041</v>
      </c>
      <c r="D790" s="93">
        <v>10164774385</v>
      </c>
      <c r="E790" s="93" t="s">
        <v>6</v>
      </c>
      <c r="F790" t="s">
        <v>52</v>
      </c>
      <c r="G790" s="35"/>
    </row>
    <row r="791" spans="2:7">
      <c r="B791" s="3" t="s">
        <v>1124</v>
      </c>
      <c r="C791" s="92" t="s">
        <v>1042</v>
      </c>
      <c r="D791" s="93">
        <v>10126522639</v>
      </c>
      <c r="E791" s="93" t="s">
        <v>84</v>
      </c>
      <c r="F791" t="s">
        <v>52</v>
      </c>
      <c r="G791" s="35"/>
    </row>
    <row r="792" spans="2:7">
      <c r="B792" s="3" t="s">
        <v>1125</v>
      </c>
      <c r="C792" s="92" t="s">
        <v>1043</v>
      </c>
      <c r="D792" s="93">
        <v>10165016683</v>
      </c>
      <c r="E792" s="93" t="s">
        <v>113</v>
      </c>
      <c r="F792" t="s">
        <v>52</v>
      </c>
      <c r="G792" s="35"/>
    </row>
    <row r="793" spans="2:7">
      <c r="B793" s="3" t="s">
        <v>1126</v>
      </c>
      <c r="C793" s="92" t="s">
        <v>1044</v>
      </c>
      <c r="D793" s="93">
        <v>10128869837</v>
      </c>
      <c r="E793" s="93" t="s">
        <v>1045</v>
      </c>
      <c r="F793" t="s">
        <v>52</v>
      </c>
      <c r="G793" s="35"/>
    </row>
    <row r="794" spans="2:7">
      <c r="B794" s="3" t="s">
        <v>1127</v>
      </c>
      <c r="C794" s="92" t="s">
        <v>266</v>
      </c>
      <c r="D794" s="93">
        <v>10173505601</v>
      </c>
      <c r="E794" s="93" t="s">
        <v>115</v>
      </c>
      <c r="F794" t="s">
        <v>52</v>
      </c>
      <c r="G794" s="35"/>
    </row>
    <row r="795" spans="2:7">
      <c r="B795" s="3" t="s">
        <v>1128</v>
      </c>
      <c r="C795" s="92" t="s">
        <v>1046</v>
      </c>
      <c r="D795" s="93">
        <v>10125275278</v>
      </c>
      <c r="E795" s="93" t="s">
        <v>1029</v>
      </c>
      <c r="F795" t="s">
        <v>52</v>
      </c>
      <c r="G795" s="35"/>
    </row>
    <row r="796" spans="2:7">
      <c r="B796" s="3" t="s">
        <v>1129</v>
      </c>
      <c r="C796" s="92" t="s">
        <v>1047</v>
      </c>
      <c r="D796" s="93">
        <v>10170820014</v>
      </c>
      <c r="E796" s="93" t="s">
        <v>619</v>
      </c>
      <c r="F796" t="s">
        <v>52</v>
      </c>
      <c r="G796" s="35"/>
    </row>
    <row r="797" spans="2:7">
      <c r="B797" s="3" t="s">
        <v>1130</v>
      </c>
      <c r="C797" s="92" t="s">
        <v>243</v>
      </c>
      <c r="D797" s="93" t="s">
        <v>66</v>
      </c>
      <c r="E797" s="93" t="s">
        <v>84</v>
      </c>
      <c r="F797" t="s">
        <v>52</v>
      </c>
      <c r="G797" s="35"/>
    </row>
    <row r="798" spans="2:7">
      <c r="B798" s="3" t="s">
        <v>1131</v>
      </c>
      <c r="C798" s="92" t="s">
        <v>260</v>
      </c>
      <c r="D798" s="93">
        <v>10164526027</v>
      </c>
      <c r="E798" s="93" t="s">
        <v>71</v>
      </c>
      <c r="F798" t="s">
        <v>52</v>
      </c>
      <c r="G798" s="35"/>
    </row>
    <row r="799" spans="2:7">
      <c r="B799" s="3" t="s">
        <v>1132</v>
      </c>
      <c r="C799" s="92" t="s">
        <v>1048</v>
      </c>
      <c r="D799" s="93">
        <v>10142925440</v>
      </c>
      <c r="E799" s="93" t="s">
        <v>138</v>
      </c>
      <c r="F799" t="s">
        <v>52</v>
      </c>
      <c r="G799" s="35"/>
    </row>
    <row r="800" spans="2:7">
      <c r="B800" s="3" t="s">
        <v>1133</v>
      </c>
      <c r="C800" s="92" t="s">
        <v>1049</v>
      </c>
      <c r="D800" s="93">
        <v>10133141372</v>
      </c>
      <c r="E800" s="93" t="s">
        <v>1050</v>
      </c>
      <c r="F800" t="s">
        <v>52</v>
      </c>
      <c r="G800" s="35"/>
    </row>
    <row r="801" spans="2:7">
      <c r="B801" s="3" t="s">
        <v>1134</v>
      </c>
      <c r="C801" s="92" t="s">
        <v>1051</v>
      </c>
      <c r="D801" s="93">
        <v>10172011902</v>
      </c>
      <c r="E801" s="93" t="s">
        <v>1052</v>
      </c>
      <c r="F801" t="s">
        <v>52</v>
      </c>
      <c r="G801" s="35"/>
    </row>
    <row r="802" spans="2:7">
      <c r="B802" s="3" t="s">
        <v>1135</v>
      </c>
      <c r="C802" s="92" t="s">
        <v>218</v>
      </c>
      <c r="D802" s="93">
        <v>10171656234</v>
      </c>
      <c r="E802" s="93" t="s">
        <v>1053</v>
      </c>
      <c r="F802" t="s">
        <v>52</v>
      </c>
      <c r="G802" s="35"/>
    </row>
    <row r="803" spans="2:7">
      <c r="B803" s="3" t="s">
        <v>1136</v>
      </c>
      <c r="C803" s="92" t="s">
        <v>1054</v>
      </c>
      <c r="D803" s="93">
        <v>10171432932</v>
      </c>
      <c r="E803" s="93" t="s">
        <v>245</v>
      </c>
      <c r="F803" t="s">
        <v>52</v>
      </c>
      <c r="G803" s="35"/>
    </row>
    <row r="804" spans="2:7">
      <c r="B804" s="3" t="s">
        <v>1137</v>
      </c>
      <c r="C804" s="92" t="s">
        <v>1055</v>
      </c>
      <c r="D804" s="93">
        <v>10151269157</v>
      </c>
      <c r="E804" s="93" t="s">
        <v>962</v>
      </c>
      <c r="F804" t="s">
        <v>52</v>
      </c>
      <c r="G804" s="35"/>
    </row>
    <row r="805" spans="2:7">
      <c r="B805" s="3" t="s">
        <v>1138</v>
      </c>
      <c r="C805" s="92" t="s">
        <v>1056</v>
      </c>
      <c r="D805" s="93" t="s">
        <v>66</v>
      </c>
      <c r="E805" s="93" t="s">
        <v>128</v>
      </c>
      <c r="F805" t="s">
        <v>52</v>
      </c>
      <c r="G805" s="35"/>
    </row>
    <row r="806" spans="2:7">
      <c r="B806" s="3"/>
      <c r="C806" s="92"/>
      <c r="D806" s="93"/>
      <c r="E806" s="93"/>
      <c r="F806" t="s">
        <v>52</v>
      </c>
      <c r="G806" s="35"/>
    </row>
    <row r="807" spans="2:7">
      <c r="B807" s="3"/>
      <c r="C807" s="92"/>
      <c r="D807" s="93"/>
      <c r="E807" s="93"/>
      <c r="F807" s="8"/>
      <c r="G807" s="35"/>
    </row>
    <row r="808" spans="2:7">
      <c r="B808" s="3" t="s">
        <v>1139</v>
      </c>
      <c r="C808" s="92" t="s">
        <v>1057</v>
      </c>
      <c r="D808" s="93">
        <v>10119540861</v>
      </c>
      <c r="E808" s="93" t="s">
        <v>906</v>
      </c>
      <c r="F808" s="8" t="s">
        <v>53</v>
      </c>
      <c r="G808" s="35"/>
    </row>
    <row r="809" spans="2:7">
      <c r="B809" s="3" t="s">
        <v>1140</v>
      </c>
      <c r="C809" s="92" t="s">
        <v>1058</v>
      </c>
      <c r="D809" s="93">
        <v>10122143289</v>
      </c>
      <c r="E809" s="93" t="s">
        <v>1040</v>
      </c>
      <c r="F809" s="8" t="s">
        <v>53</v>
      </c>
      <c r="G809" s="35"/>
    </row>
    <row r="810" spans="2:7">
      <c r="B810" s="3" t="s">
        <v>1141</v>
      </c>
      <c r="C810" s="92" t="s">
        <v>1059</v>
      </c>
      <c r="D810" s="93">
        <v>10122460056</v>
      </c>
      <c r="E810" s="93" t="s">
        <v>868</v>
      </c>
      <c r="F810" s="8" t="s">
        <v>53</v>
      </c>
      <c r="G810" s="35"/>
    </row>
    <row r="811" spans="2:7">
      <c r="B811" s="3" t="s">
        <v>1142</v>
      </c>
      <c r="C811" s="92" t="s">
        <v>269</v>
      </c>
      <c r="D811" s="93">
        <v>10141535916</v>
      </c>
      <c r="E811" s="93" t="s">
        <v>647</v>
      </c>
      <c r="F811" s="8" t="s">
        <v>53</v>
      </c>
      <c r="G811" s="35"/>
    </row>
    <row r="812" spans="2:7">
      <c r="B812" s="3" t="s">
        <v>1143</v>
      </c>
      <c r="C812" s="92" t="s">
        <v>1060</v>
      </c>
      <c r="D812" s="93">
        <v>10164933831</v>
      </c>
      <c r="E812" s="93" t="s">
        <v>133</v>
      </c>
      <c r="F812" s="8" t="s">
        <v>53</v>
      </c>
      <c r="G812" s="35"/>
    </row>
    <row r="813" spans="2:7">
      <c r="B813" s="22"/>
      <c r="C813" s="92"/>
      <c r="D813" s="93"/>
      <c r="E813" s="93"/>
      <c r="G813" s="35"/>
    </row>
    <row r="814" spans="2:7">
      <c r="B814" s="22">
        <v>302</v>
      </c>
      <c r="C814" s="92" t="s">
        <v>976</v>
      </c>
      <c r="D814" s="93">
        <v>10128933895</v>
      </c>
      <c r="E814" s="93" t="s">
        <v>977</v>
      </c>
      <c r="F814" t="s">
        <v>54</v>
      </c>
      <c r="G814" s="35"/>
    </row>
    <row r="815" spans="2:7">
      <c r="B815" s="22">
        <v>301</v>
      </c>
      <c r="C815" s="92" t="s">
        <v>272</v>
      </c>
      <c r="D815" s="93">
        <v>10142436295</v>
      </c>
      <c r="E815" s="93" t="s">
        <v>114</v>
      </c>
      <c r="F815" t="s">
        <v>54</v>
      </c>
      <c r="G815" s="35"/>
    </row>
    <row r="816" spans="2:7">
      <c r="B816" s="22">
        <v>304</v>
      </c>
      <c r="C816" s="92" t="s">
        <v>650</v>
      </c>
      <c r="D816" s="93">
        <v>10156150681</v>
      </c>
      <c r="E816" s="93" t="s">
        <v>963</v>
      </c>
      <c r="F816" t="s">
        <v>54</v>
      </c>
      <c r="G816" s="35"/>
    </row>
    <row r="817" spans="2:7">
      <c r="B817" s="22">
        <v>325</v>
      </c>
      <c r="C817" s="92" t="s">
        <v>304</v>
      </c>
      <c r="D817" s="93">
        <v>10152418609</v>
      </c>
      <c r="E817" s="93" t="s">
        <v>6</v>
      </c>
      <c r="F817" t="s">
        <v>54</v>
      </c>
      <c r="G817" s="35"/>
    </row>
    <row r="818" spans="2:7">
      <c r="B818" s="22">
        <v>311</v>
      </c>
      <c r="C818" s="92" t="s">
        <v>660</v>
      </c>
      <c r="D818" s="93">
        <v>10128424344</v>
      </c>
      <c r="E818" s="92" t="s">
        <v>113</v>
      </c>
      <c r="F818" t="s">
        <v>54</v>
      </c>
      <c r="G818" s="35"/>
    </row>
    <row r="819" spans="2:7" ht="29.25">
      <c r="B819" s="22">
        <v>303</v>
      </c>
      <c r="C819" s="23" t="s">
        <v>274</v>
      </c>
      <c r="D819" s="93">
        <v>10152378694</v>
      </c>
      <c r="E819" s="93" t="s">
        <v>115</v>
      </c>
      <c r="F819" t="s">
        <v>54</v>
      </c>
      <c r="G819" s="35"/>
    </row>
    <row r="820" spans="2:7">
      <c r="B820" s="22">
        <v>323</v>
      </c>
      <c r="C820" s="92" t="s">
        <v>964</v>
      </c>
      <c r="D820" s="93">
        <v>10111930102</v>
      </c>
      <c r="E820" s="93" t="s">
        <v>653</v>
      </c>
      <c r="F820" t="s">
        <v>54</v>
      </c>
      <c r="G820" s="35"/>
    </row>
    <row r="821" spans="2:7">
      <c r="B821" s="22">
        <v>307</v>
      </c>
      <c r="C821" s="92" t="s">
        <v>287</v>
      </c>
      <c r="D821" s="93">
        <v>10153824200</v>
      </c>
      <c r="E821" s="92" t="s">
        <v>113</v>
      </c>
      <c r="F821" t="s">
        <v>54</v>
      </c>
      <c r="G821" s="35"/>
    </row>
    <row r="822" spans="2:7">
      <c r="B822" s="22">
        <v>321</v>
      </c>
      <c r="C822" s="92" t="s">
        <v>296</v>
      </c>
      <c r="D822" s="93">
        <v>10153036577</v>
      </c>
      <c r="E822" s="93" t="s">
        <v>71</v>
      </c>
      <c r="F822" t="s">
        <v>54</v>
      </c>
      <c r="G822" s="35"/>
    </row>
    <row r="823" spans="2:7">
      <c r="B823" s="22">
        <v>337</v>
      </c>
      <c r="C823" s="23" t="s">
        <v>322</v>
      </c>
      <c r="D823" s="93">
        <v>10173459020</v>
      </c>
      <c r="E823" s="93" t="s">
        <v>138</v>
      </c>
      <c r="F823" t="s">
        <v>54</v>
      </c>
      <c r="G823" s="35"/>
    </row>
    <row r="824" spans="2:7">
      <c r="B824" s="107">
        <v>349</v>
      </c>
      <c r="C824" s="92" t="s">
        <v>959</v>
      </c>
      <c r="D824" s="93">
        <v>10131228149</v>
      </c>
      <c r="E824" s="93" t="s">
        <v>960</v>
      </c>
      <c r="F824" t="s">
        <v>54</v>
      </c>
      <c r="G824" s="35"/>
    </row>
    <row r="825" spans="2:7">
      <c r="B825" s="22">
        <v>305</v>
      </c>
      <c r="C825" s="92" t="s">
        <v>966</v>
      </c>
      <c r="D825" s="93">
        <v>10152909669</v>
      </c>
      <c r="E825" s="93" t="s">
        <v>278</v>
      </c>
      <c r="F825" t="s">
        <v>54</v>
      </c>
      <c r="G825" s="35"/>
    </row>
    <row r="826" spans="2:7">
      <c r="B826" s="22">
        <v>333</v>
      </c>
      <c r="C826" s="92" t="s">
        <v>965</v>
      </c>
      <c r="D826" s="93">
        <v>10170459902</v>
      </c>
      <c r="E826" s="93" t="s">
        <v>71</v>
      </c>
      <c r="F826" t="s">
        <v>54</v>
      </c>
      <c r="G826" s="35"/>
    </row>
    <row r="827" spans="2:7">
      <c r="B827" s="22">
        <v>314</v>
      </c>
      <c r="C827" s="92" t="s">
        <v>288</v>
      </c>
      <c r="D827" s="93">
        <v>10164592614</v>
      </c>
      <c r="E827" s="93" t="s">
        <v>113</v>
      </c>
      <c r="F827" t="s">
        <v>54</v>
      </c>
      <c r="G827" s="35"/>
    </row>
    <row r="828" spans="2:7">
      <c r="B828" s="107">
        <v>350</v>
      </c>
      <c r="C828" s="92" t="s">
        <v>961</v>
      </c>
      <c r="D828" s="93">
        <v>10139137386</v>
      </c>
      <c r="E828" s="93" t="s">
        <v>937</v>
      </c>
      <c r="F828" t="s">
        <v>54</v>
      </c>
      <c r="G828" s="35"/>
    </row>
    <row r="829" spans="2:7">
      <c r="B829" s="22">
        <v>309</v>
      </c>
      <c r="C829" s="92" t="s">
        <v>282</v>
      </c>
      <c r="D829" s="93">
        <v>10171656840</v>
      </c>
      <c r="E829" s="92" t="s">
        <v>113</v>
      </c>
      <c r="F829" t="s">
        <v>54</v>
      </c>
      <c r="G829" s="35"/>
    </row>
    <row r="830" spans="2:7">
      <c r="B830" s="22">
        <v>310</v>
      </c>
      <c r="C830" s="92" t="s">
        <v>283</v>
      </c>
      <c r="D830" s="93">
        <v>10140942495</v>
      </c>
      <c r="E830" s="93" t="s">
        <v>113</v>
      </c>
      <c r="F830" t="s">
        <v>54</v>
      </c>
      <c r="G830" s="35"/>
    </row>
    <row r="831" spans="2:7">
      <c r="B831" s="22">
        <v>328</v>
      </c>
      <c r="C831" s="23" t="s">
        <v>974</v>
      </c>
      <c r="D831" s="60">
        <v>10162461543</v>
      </c>
      <c r="E831" s="93" t="s">
        <v>975</v>
      </c>
      <c r="F831" t="s">
        <v>54</v>
      </c>
      <c r="G831" s="35"/>
    </row>
    <row r="832" spans="2:7">
      <c r="B832" s="22">
        <v>306</v>
      </c>
      <c r="C832" s="92" t="s">
        <v>969</v>
      </c>
      <c r="D832" s="93">
        <v>10170771312</v>
      </c>
      <c r="E832" s="93" t="s">
        <v>113</v>
      </c>
      <c r="F832" t="s">
        <v>54</v>
      </c>
      <c r="G832" s="35"/>
    </row>
    <row r="833" spans="2:7">
      <c r="B833" s="22">
        <v>326</v>
      </c>
      <c r="C833" s="92" t="s">
        <v>672</v>
      </c>
      <c r="D833" s="93">
        <v>10120480953</v>
      </c>
      <c r="E833" s="93" t="s">
        <v>962</v>
      </c>
      <c r="F833" t="s">
        <v>54</v>
      </c>
      <c r="G833" s="35"/>
    </row>
    <row r="834" spans="2:7">
      <c r="B834" s="22">
        <v>322</v>
      </c>
      <c r="C834" s="92" t="s">
        <v>298</v>
      </c>
      <c r="D834" s="93">
        <v>10141584820</v>
      </c>
      <c r="E834" s="93" t="s">
        <v>972</v>
      </c>
      <c r="F834" t="s">
        <v>54</v>
      </c>
      <c r="G834" s="35"/>
    </row>
    <row r="835" spans="2:7">
      <c r="B835" s="22">
        <v>327</v>
      </c>
      <c r="C835" s="92" t="s">
        <v>306</v>
      </c>
      <c r="D835" s="93">
        <v>10171445864</v>
      </c>
      <c r="E835" s="93" t="s">
        <v>245</v>
      </c>
      <c r="F835" t="s">
        <v>54</v>
      </c>
      <c r="G835" s="35"/>
    </row>
    <row r="836" spans="2:7">
      <c r="B836" s="22">
        <v>338</v>
      </c>
      <c r="C836" s="92" t="s">
        <v>323</v>
      </c>
      <c r="D836" s="93">
        <v>10173361919</v>
      </c>
      <c r="E836" s="93" t="s">
        <v>324</v>
      </c>
      <c r="F836" t="s">
        <v>54</v>
      </c>
      <c r="G836" s="35"/>
    </row>
    <row r="837" spans="2:7">
      <c r="B837" s="22">
        <v>348</v>
      </c>
      <c r="C837" s="92" t="s">
        <v>970</v>
      </c>
      <c r="D837" s="93">
        <v>10165439746</v>
      </c>
      <c r="E837" s="93" t="s">
        <v>971</v>
      </c>
      <c r="F837" t="s">
        <v>54</v>
      </c>
      <c r="G837" s="35"/>
    </row>
    <row r="838" spans="2:7">
      <c r="B838" s="22">
        <v>332</v>
      </c>
      <c r="C838" s="92" t="s">
        <v>313</v>
      </c>
      <c r="D838" s="93">
        <v>10166671242</v>
      </c>
      <c r="E838" s="93" t="s">
        <v>71</v>
      </c>
      <c r="F838" t="s">
        <v>54</v>
      </c>
      <c r="G838" s="35"/>
    </row>
    <row r="839" spans="2:7">
      <c r="B839" s="22">
        <v>342</v>
      </c>
      <c r="C839" s="92" t="s">
        <v>967</v>
      </c>
      <c r="D839" s="93">
        <v>10166012652</v>
      </c>
      <c r="E839" s="92" t="s">
        <v>968</v>
      </c>
      <c r="F839" t="s">
        <v>54</v>
      </c>
      <c r="G839" s="35"/>
    </row>
    <row r="840" spans="2:7">
      <c r="B840" s="22">
        <v>324</v>
      </c>
      <c r="C840" s="92" t="s">
        <v>978</v>
      </c>
      <c r="D840" s="93">
        <v>10161110819</v>
      </c>
      <c r="E840" s="93" t="s">
        <v>979</v>
      </c>
      <c r="F840" t="s">
        <v>54</v>
      </c>
      <c r="G840" s="35"/>
    </row>
    <row r="841" spans="2:7" ht="19.5" customHeight="1">
      <c r="B841" s="22">
        <v>341</v>
      </c>
      <c r="C841" s="92" t="s">
        <v>973</v>
      </c>
      <c r="D841" s="93">
        <v>209350007</v>
      </c>
      <c r="E841" s="93" t="s">
        <v>71</v>
      </c>
      <c r="F841" t="s">
        <v>54</v>
      </c>
      <c r="G841" s="35"/>
    </row>
    <row r="842" spans="2:7">
      <c r="B842" s="22"/>
      <c r="C842" s="23"/>
      <c r="D842" s="93"/>
      <c r="E842" s="93"/>
      <c r="F842" t="s">
        <v>54</v>
      </c>
      <c r="G842" s="35"/>
    </row>
    <row r="843" spans="2:7">
      <c r="B843" s="22"/>
      <c r="C843" s="23"/>
      <c r="D843" s="93"/>
      <c r="E843" s="93"/>
      <c r="F843" s="8"/>
      <c r="G843" s="35"/>
    </row>
    <row r="844" spans="2:7">
      <c r="B844" s="22">
        <v>381</v>
      </c>
      <c r="C844" s="92" t="s">
        <v>327</v>
      </c>
      <c r="D844" s="93">
        <v>10125653679</v>
      </c>
      <c r="E844" s="92" t="s">
        <v>100</v>
      </c>
      <c r="F844" s="8" t="s">
        <v>55</v>
      </c>
      <c r="G844" s="35"/>
    </row>
    <row r="845" spans="2:7">
      <c r="B845" s="22">
        <v>386</v>
      </c>
      <c r="C845" s="92" t="s">
        <v>982</v>
      </c>
      <c r="D845" s="93">
        <v>10152378391</v>
      </c>
      <c r="E845" s="93" t="s">
        <v>983</v>
      </c>
      <c r="F845" s="8" t="s">
        <v>55</v>
      </c>
      <c r="G845" s="35"/>
    </row>
    <row r="846" spans="2:7">
      <c r="B846" s="22">
        <v>385</v>
      </c>
      <c r="C846" s="93" t="s">
        <v>688</v>
      </c>
      <c r="D846" s="93">
        <v>10171339063</v>
      </c>
      <c r="E846" s="92" t="s">
        <v>113</v>
      </c>
      <c r="F846" s="8" t="s">
        <v>55</v>
      </c>
      <c r="G846" s="35"/>
    </row>
    <row r="847" spans="2:7">
      <c r="B847" s="22">
        <v>384</v>
      </c>
      <c r="C847" s="92" t="s">
        <v>981</v>
      </c>
      <c r="D847" s="93">
        <v>10141538340</v>
      </c>
      <c r="E847" s="92" t="s">
        <v>71</v>
      </c>
      <c r="F847" s="8" t="s">
        <v>55</v>
      </c>
      <c r="G847" s="35"/>
    </row>
    <row r="848" spans="2:7">
      <c r="B848" s="22">
        <v>388</v>
      </c>
      <c r="C848" s="93" t="s">
        <v>335</v>
      </c>
      <c r="D848" s="93">
        <v>10128284605</v>
      </c>
      <c r="E848" s="92" t="s">
        <v>980</v>
      </c>
      <c r="F848" s="8" t="s">
        <v>55</v>
      </c>
      <c r="G848" s="35"/>
    </row>
    <row r="849" spans="2:7">
      <c r="B849" s="22"/>
      <c r="C849" s="92"/>
      <c r="D849" s="93"/>
      <c r="E849" s="92"/>
      <c r="F849" s="8" t="s">
        <v>55</v>
      </c>
      <c r="G849" s="35"/>
    </row>
    <row r="850" spans="2:7">
      <c r="B850" s="22"/>
      <c r="C850" s="92"/>
      <c r="D850" s="93"/>
      <c r="E850" s="92"/>
      <c r="F850" s="8" t="s">
        <v>55</v>
      </c>
      <c r="G850" s="35"/>
    </row>
    <row r="851" spans="2:7">
      <c r="B851" s="22"/>
      <c r="C851" s="93"/>
      <c r="D851" s="93"/>
      <c r="E851" s="92"/>
      <c r="F851" s="8" t="s">
        <v>55</v>
      </c>
      <c r="G851" s="35"/>
    </row>
    <row r="852" spans="2:7">
      <c r="B852" s="22"/>
      <c r="C852" s="92"/>
      <c r="D852" s="93"/>
      <c r="E852" s="93"/>
      <c r="F852" s="8" t="s">
        <v>55</v>
      </c>
      <c r="G852" s="35"/>
    </row>
    <row r="853" spans="2:7">
      <c r="B853" s="22"/>
      <c r="C853" s="92"/>
      <c r="D853" s="93"/>
      <c r="E853" s="93"/>
      <c r="F853" s="8"/>
      <c r="G853" s="35"/>
    </row>
    <row r="854" spans="2:7">
      <c r="B854" s="22">
        <v>510</v>
      </c>
      <c r="C854" s="92" t="s">
        <v>352</v>
      </c>
      <c r="D854" s="95">
        <v>10126142218</v>
      </c>
      <c r="E854" s="93" t="s">
        <v>130</v>
      </c>
      <c r="F854" s="8" t="s">
        <v>56</v>
      </c>
      <c r="G854" s="35"/>
    </row>
    <row r="855" spans="2:7">
      <c r="B855" s="22">
        <v>518</v>
      </c>
      <c r="C855" s="92" t="s">
        <v>935</v>
      </c>
      <c r="D855" s="93">
        <v>10141584517</v>
      </c>
      <c r="E855" s="92" t="s">
        <v>362</v>
      </c>
      <c r="F855" s="8" t="s">
        <v>56</v>
      </c>
      <c r="G855" s="35"/>
    </row>
    <row r="856" spans="2:7">
      <c r="B856" s="22">
        <v>502</v>
      </c>
      <c r="C856" s="92" t="s">
        <v>696</v>
      </c>
      <c r="D856" s="93">
        <v>10139359880</v>
      </c>
      <c r="E856" s="93" t="s">
        <v>938</v>
      </c>
      <c r="F856" s="8" t="s">
        <v>56</v>
      </c>
      <c r="G856" s="35"/>
    </row>
    <row r="857" spans="2:7">
      <c r="B857" s="22">
        <v>505</v>
      </c>
      <c r="C857" s="92" t="s">
        <v>695</v>
      </c>
      <c r="D857" s="93">
        <v>10156807554</v>
      </c>
      <c r="E857" s="93" t="s">
        <v>345</v>
      </c>
      <c r="F857" s="8" t="s">
        <v>56</v>
      </c>
      <c r="G857" s="35"/>
    </row>
    <row r="858" spans="2:7">
      <c r="B858" s="22">
        <v>501</v>
      </c>
      <c r="C858" s="92" t="s">
        <v>697</v>
      </c>
      <c r="D858" s="93">
        <v>10171463345</v>
      </c>
      <c r="E858" s="93" t="s">
        <v>674</v>
      </c>
      <c r="F858" s="8" t="s">
        <v>56</v>
      </c>
      <c r="G858" s="35"/>
    </row>
    <row r="859" spans="2:7">
      <c r="B859" s="22">
        <v>521</v>
      </c>
      <c r="C859" s="92" t="s">
        <v>947</v>
      </c>
      <c r="D859" s="93">
        <v>10153425183</v>
      </c>
      <c r="E859" s="92" t="s">
        <v>130</v>
      </c>
      <c r="F859" s="8" t="s">
        <v>56</v>
      </c>
      <c r="G859" s="35"/>
    </row>
    <row r="860" spans="2:7">
      <c r="B860" s="22">
        <v>507</v>
      </c>
      <c r="C860" s="92" t="s">
        <v>701</v>
      </c>
      <c r="D860" s="93">
        <v>10129054440</v>
      </c>
      <c r="E860" s="92" t="s">
        <v>155</v>
      </c>
      <c r="F860" s="8" t="s">
        <v>56</v>
      </c>
      <c r="G860" s="35"/>
    </row>
    <row r="861" spans="2:7">
      <c r="B861" s="22">
        <v>524</v>
      </c>
      <c r="C861" s="92" t="s">
        <v>940</v>
      </c>
      <c r="D861" s="93">
        <v>10097164173</v>
      </c>
      <c r="E861" s="93" t="s">
        <v>941</v>
      </c>
      <c r="F861" s="8" t="s">
        <v>56</v>
      </c>
      <c r="G861" s="35"/>
    </row>
    <row r="862" spans="2:7">
      <c r="B862" s="22">
        <v>512</v>
      </c>
      <c r="C862" s="92" t="s">
        <v>939</v>
      </c>
      <c r="D862" s="93">
        <v>10131905735</v>
      </c>
      <c r="E862" s="93" t="s">
        <v>133</v>
      </c>
      <c r="F862" s="8" t="s">
        <v>56</v>
      </c>
      <c r="G862" s="35"/>
    </row>
    <row r="863" spans="2:7">
      <c r="B863" s="22">
        <v>503</v>
      </c>
      <c r="C863" s="92" t="s">
        <v>944</v>
      </c>
      <c r="D863" s="93">
        <v>10142567550</v>
      </c>
      <c r="E863" s="93" t="s">
        <v>945</v>
      </c>
      <c r="F863" s="8" t="s">
        <v>56</v>
      </c>
      <c r="G863" s="35"/>
    </row>
    <row r="864" spans="2:7">
      <c r="B864" s="107">
        <v>535</v>
      </c>
      <c r="C864" s="92" t="s">
        <v>936</v>
      </c>
      <c r="D864" s="93">
        <v>10139137386</v>
      </c>
      <c r="E864" s="93" t="s">
        <v>937</v>
      </c>
      <c r="F864" s="8" t="s">
        <v>56</v>
      </c>
      <c r="G864" s="35"/>
    </row>
    <row r="865" spans="2:7">
      <c r="B865" s="22">
        <v>514</v>
      </c>
      <c r="C865" s="92" t="s">
        <v>949</v>
      </c>
      <c r="D865" s="95" t="s">
        <v>950</v>
      </c>
      <c r="E865" s="92" t="s">
        <v>951</v>
      </c>
      <c r="F865" s="8" t="s">
        <v>56</v>
      </c>
      <c r="G865" s="35"/>
    </row>
    <row r="866" spans="2:7">
      <c r="B866" s="22">
        <v>504</v>
      </c>
      <c r="C866" s="92" t="s">
        <v>952</v>
      </c>
      <c r="D866" s="93">
        <v>10154828350</v>
      </c>
      <c r="E866" s="93" t="s">
        <v>129</v>
      </c>
      <c r="F866" s="8" t="s">
        <v>56</v>
      </c>
      <c r="G866" s="35"/>
    </row>
    <row r="867" spans="2:7">
      <c r="B867" s="22">
        <v>513</v>
      </c>
      <c r="C867" s="92" t="s">
        <v>355</v>
      </c>
      <c r="D867" s="93">
        <v>10131905331</v>
      </c>
      <c r="E867" s="93" t="s">
        <v>135</v>
      </c>
      <c r="F867" s="8" t="s">
        <v>56</v>
      </c>
      <c r="G867" s="35"/>
    </row>
    <row r="868" spans="2:7">
      <c r="B868" s="22">
        <v>506</v>
      </c>
      <c r="C868" s="92" t="s">
        <v>346</v>
      </c>
      <c r="D868" s="93">
        <v>10171702512</v>
      </c>
      <c r="E868" s="93" t="s">
        <v>113</v>
      </c>
      <c r="F868" s="8" t="s">
        <v>56</v>
      </c>
      <c r="G868" s="35"/>
    </row>
    <row r="869" spans="2:7">
      <c r="B869" s="22">
        <v>517</v>
      </c>
      <c r="C869" s="92" t="s">
        <v>711</v>
      </c>
      <c r="D869" s="93">
        <v>10171431821</v>
      </c>
      <c r="E869" s="92" t="s">
        <v>245</v>
      </c>
      <c r="F869" s="8" t="s">
        <v>56</v>
      </c>
      <c r="G869" s="35"/>
    </row>
    <row r="870" spans="2:7">
      <c r="B870" s="22">
        <v>515</v>
      </c>
      <c r="C870" s="92" t="s">
        <v>953</v>
      </c>
      <c r="D870" s="93">
        <v>10171999875</v>
      </c>
      <c r="E870" s="93" t="s">
        <v>135</v>
      </c>
      <c r="F870" s="8" t="s">
        <v>56</v>
      </c>
      <c r="G870" s="35"/>
    </row>
    <row r="871" spans="2:7">
      <c r="B871" s="22">
        <v>530</v>
      </c>
      <c r="C871" s="92" t="s">
        <v>946</v>
      </c>
      <c r="D871" s="93">
        <v>10173144172</v>
      </c>
      <c r="E871" s="93" t="s">
        <v>631</v>
      </c>
      <c r="F871" s="8" t="s">
        <v>56</v>
      </c>
      <c r="G871" s="35"/>
    </row>
    <row r="872" spans="2:7">
      <c r="B872" s="22">
        <v>520</v>
      </c>
      <c r="C872" s="92" t="s">
        <v>942</v>
      </c>
      <c r="D872" s="93" t="s">
        <v>66</v>
      </c>
      <c r="E872" s="93" t="s">
        <v>943</v>
      </c>
      <c r="F872" s="8" t="s">
        <v>56</v>
      </c>
      <c r="G872" s="35"/>
    </row>
    <row r="873" spans="2:7">
      <c r="B873" s="22">
        <v>509</v>
      </c>
      <c r="C873" s="92" t="s">
        <v>713</v>
      </c>
      <c r="D873" s="93">
        <v>10164774688</v>
      </c>
      <c r="E873" s="93" t="s">
        <v>71</v>
      </c>
      <c r="F873" s="8" t="s">
        <v>56</v>
      </c>
      <c r="G873" s="35"/>
    </row>
    <row r="874" spans="2:7">
      <c r="B874" s="22">
        <v>529</v>
      </c>
      <c r="C874" s="92" t="s">
        <v>722</v>
      </c>
      <c r="D874" s="93">
        <v>10162504282</v>
      </c>
      <c r="E874" s="93" t="s">
        <v>130</v>
      </c>
      <c r="F874" s="8" t="s">
        <v>56</v>
      </c>
      <c r="G874" s="35"/>
    </row>
    <row r="875" spans="2:7">
      <c r="B875" s="107">
        <v>536</v>
      </c>
      <c r="C875" s="92" t="s">
        <v>954</v>
      </c>
      <c r="D875" s="93">
        <v>402950828</v>
      </c>
      <c r="E875" s="93" t="s">
        <v>71</v>
      </c>
      <c r="F875" s="8" t="s">
        <v>56</v>
      </c>
      <c r="G875" s="35"/>
    </row>
    <row r="876" spans="2:7">
      <c r="B876" s="107">
        <v>537</v>
      </c>
      <c r="C876" s="92" t="s">
        <v>948</v>
      </c>
      <c r="D876" s="93">
        <v>10175124992</v>
      </c>
      <c r="E876" s="93" t="s">
        <v>674</v>
      </c>
      <c r="F876" s="8" t="s">
        <v>56</v>
      </c>
      <c r="G876" s="35"/>
    </row>
    <row r="877" spans="2:7">
      <c r="B877" s="22"/>
      <c r="C877" s="92"/>
      <c r="D877" s="93"/>
      <c r="E877" s="92"/>
      <c r="F877" s="8"/>
      <c r="G877" s="35"/>
    </row>
    <row r="878" spans="2:7">
      <c r="B878" s="2">
        <v>581</v>
      </c>
      <c r="C878" s="92" t="s">
        <v>371</v>
      </c>
      <c r="D878" s="17">
        <v>10156197262</v>
      </c>
      <c r="E878" t="s">
        <v>114</v>
      </c>
      <c r="F878" s="8" t="s">
        <v>57</v>
      </c>
      <c r="G878" s="35"/>
    </row>
    <row r="879" spans="2:7">
      <c r="B879" s="22">
        <v>583</v>
      </c>
      <c r="C879" s="93" t="s">
        <v>956</v>
      </c>
      <c r="D879" s="93">
        <v>10154228768</v>
      </c>
      <c r="E879" s="92" t="s">
        <v>129</v>
      </c>
      <c r="F879" s="8" t="s">
        <v>57</v>
      </c>
      <c r="G879" s="35"/>
    </row>
    <row r="880" spans="2:7">
      <c r="B880" s="22">
        <v>584</v>
      </c>
      <c r="C880" s="92" t="s">
        <v>374</v>
      </c>
      <c r="D880" s="93">
        <v>10154309503</v>
      </c>
      <c r="E880" s="93" t="s">
        <v>115</v>
      </c>
      <c r="F880" s="8" t="s">
        <v>57</v>
      </c>
      <c r="G880" s="35"/>
    </row>
    <row r="881" spans="2:7">
      <c r="B881" s="22">
        <v>582</v>
      </c>
      <c r="C881" s="92" t="s">
        <v>955</v>
      </c>
      <c r="D881" s="93">
        <v>10131906139</v>
      </c>
      <c r="E881" s="93" t="s">
        <v>135</v>
      </c>
      <c r="F881" s="8" t="s">
        <v>57</v>
      </c>
      <c r="G881" s="35"/>
    </row>
    <row r="882" spans="2:7">
      <c r="B882" s="22">
        <v>585</v>
      </c>
      <c r="C882" s="92" t="s">
        <v>957</v>
      </c>
      <c r="D882" s="93">
        <v>10132320209</v>
      </c>
      <c r="E882" s="93" t="s">
        <v>139</v>
      </c>
      <c r="F882" s="8" t="s">
        <v>57</v>
      </c>
      <c r="G882" s="35"/>
    </row>
    <row r="883" spans="2:7">
      <c r="B883" s="7"/>
      <c r="C883" s="8"/>
      <c r="D883" s="17"/>
      <c r="E883" s="17"/>
      <c r="F883" s="8" t="s">
        <v>57</v>
      </c>
      <c r="G883" s="35"/>
    </row>
    <row r="884" spans="2:7" ht="15.75">
      <c r="B884" s="52"/>
      <c r="C884" s="8"/>
      <c r="D884" s="17"/>
      <c r="E884" s="17"/>
      <c r="F884" s="8"/>
      <c r="G884" s="35"/>
    </row>
    <row r="885" spans="2:7">
      <c r="B885" s="7"/>
      <c r="C885" s="8"/>
      <c r="D885" s="17"/>
      <c r="E885" s="17"/>
      <c r="F885" s="8"/>
      <c r="G885" s="35"/>
    </row>
    <row r="886" spans="2:7">
      <c r="B886" s="22">
        <v>401</v>
      </c>
      <c r="C886" s="92" t="s">
        <v>1061</v>
      </c>
      <c r="D886" s="93">
        <v>10162383236</v>
      </c>
      <c r="E886" s="93" t="s">
        <v>749</v>
      </c>
      <c r="F886" s="8" t="s">
        <v>163</v>
      </c>
      <c r="G886" s="35"/>
    </row>
    <row r="887" spans="2:7">
      <c r="B887" s="22">
        <v>402</v>
      </c>
      <c r="C887" s="92" t="s">
        <v>750</v>
      </c>
      <c r="D887" s="93">
        <v>7500</v>
      </c>
      <c r="E887" s="93" t="s">
        <v>71</v>
      </c>
      <c r="F887" s="8" t="s">
        <v>163</v>
      </c>
      <c r="G887" s="35"/>
    </row>
    <row r="888" spans="2:7">
      <c r="B888" s="22">
        <v>406</v>
      </c>
      <c r="C888" s="92" t="s">
        <v>388</v>
      </c>
      <c r="D888" s="93">
        <v>10172211659</v>
      </c>
      <c r="E888" s="92" t="s">
        <v>980</v>
      </c>
      <c r="F888" s="8" t="s">
        <v>163</v>
      </c>
      <c r="G888" s="35"/>
    </row>
    <row r="889" spans="2:7">
      <c r="B889" s="22">
        <v>407</v>
      </c>
      <c r="C889" s="92" t="s">
        <v>1062</v>
      </c>
      <c r="D889" s="93" t="s">
        <v>66</v>
      </c>
      <c r="E889" s="93" t="s">
        <v>938</v>
      </c>
      <c r="F889" s="8" t="s">
        <v>163</v>
      </c>
      <c r="G889" s="35"/>
    </row>
    <row r="890" spans="2:7">
      <c r="B890" s="22">
        <v>404</v>
      </c>
      <c r="C890" s="92" t="s">
        <v>385</v>
      </c>
      <c r="D890" s="93">
        <v>10130330796</v>
      </c>
      <c r="E890" s="93" t="s">
        <v>65</v>
      </c>
      <c r="F890" s="8" t="s">
        <v>163</v>
      </c>
      <c r="G890" s="35"/>
    </row>
    <row r="891" spans="2:7">
      <c r="B891" s="107">
        <v>411</v>
      </c>
      <c r="C891" s="92" t="s">
        <v>1063</v>
      </c>
      <c r="D891" s="93">
        <v>10151394247</v>
      </c>
      <c r="E891" s="93" t="s">
        <v>70</v>
      </c>
      <c r="F891" s="8" t="s">
        <v>163</v>
      </c>
      <c r="G891" s="35"/>
    </row>
    <row r="892" spans="2:7">
      <c r="B892" s="107">
        <v>412</v>
      </c>
      <c r="C892" s="92" t="s">
        <v>1064</v>
      </c>
      <c r="D892" s="93">
        <v>1234</v>
      </c>
      <c r="E892" s="93" t="s">
        <v>1065</v>
      </c>
      <c r="F892" s="8" t="s">
        <v>163</v>
      </c>
      <c r="G892" s="35"/>
    </row>
    <row r="893" spans="2:7">
      <c r="B893" s="107">
        <v>413</v>
      </c>
      <c r="C893" s="92" t="s">
        <v>1066</v>
      </c>
      <c r="D893" s="93">
        <v>10113255059</v>
      </c>
      <c r="E893" s="93" t="s">
        <v>245</v>
      </c>
      <c r="F893" s="8" t="s">
        <v>163</v>
      </c>
      <c r="G893" s="35"/>
    </row>
    <row r="894" spans="2:7">
      <c r="B894" s="22"/>
      <c r="C894" s="92"/>
      <c r="D894" s="93"/>
      <c r="E894" s="93"/>
      <c r="F894" s="8" t="s">
        <v>163</v>
      </c>
      <c r="G894" s="35"/>
    </row>
    <row r="895" spans="2:7">
      <c r="B895" s="22"/>
      <c r="C895" s="92"/>
      <c r="D895" s="93"/>
      <c r="E895" s="93"/>
      <c r="F895" s="8" t="s">
        <v>163</v>
      </c>
      <c r="G895" s="35"/>
    </row>
    <row r="896" spans="2:7">
      <c r="B896" s="22"/>
      <c r="C896" s="8"/>
      <c r="D896" s="17"/>
      <c r="F896" s="8"/>
      <c r="G896" s="35"/>
    </row>
    <row r="897" spans="2:7" ht="15.75">
      <c r="B897" s="21"/>
      <c r="C897" s="8"/>
      <c r="D897" s="17"/>
      <c r="E897" s="17"/>
      <c r="F897" s="8"/>
      <c r="G897" s="35"/>
    </row>
    <row r="898" spans="2:7">
      <c r="B898" s="22">
        <v>481</v>
      </c>
      <c r="C898" s="92" t="s">
        <v>756</v>
      </c>
      <c r="D898" s="93">
        <v>10162377172</v>
      </c>
      <c r="E898" s="93" t="s">
        <v>390</v>
      </c>
      <c r="F898" s="8" t="s">
        <v>164</v>
      </c>
      <c r="G898" s="35"/>
    </row>
    <row r="899" spans="2:7">
      <c r="B899" s="22">
        <v>484</v>
      </c>
      <c r="C899" s="92" t="s">
        <v>394</v>
      </c>
      <c r="D899" s="93">
        <v>10162507114</v>
      </c>
      <c r="E899" s="92" t="s">
        <v>130</v>
      </c>
      <c r="F899" s="8" t="s">
        <v>164</v>
      </c>
      <c r="G899" s="35"/>
    </row>
    <row r="900" spans="2:7">
      <c r="B900" s="22">
        <v>482</v>
      </c>
      <c r="C900" s="92" t="s">
        <v>391</v>
      </c>
      <c r="D900" s="93">
        <v>10171940261</v>
      </c>
      <c r="E900" s="93" t="s">
        <v>958</v>
      </c>
      <c r="F900" s="8" t="s">
        <v>164</v>
      </c>
      <c r="G900" s="35"/>
    </row>
    <row r="901" spans="2:7">
      <c r="B901" s="22">
        <v>483</v>
      </c>
      <c r="C901" s="92" t="s">
        <v>393</v>
      </c>
      <c r="D901" s="93">
        <v>10156361455</v>
      </c>
      <c r="E901" s="93" t="s">
        <v>71</v>
      </c>
      <c r="F901" s="8" t="s">
        <v>164</v>
      </c>
      <c r="G901" s="35"/>
    </row>
    <row r="902" spans="2:7">
      <c r="B902" s="22"/>
      <c r="C902" s="92"/>
      <c r="D902" s="93"/>
      <c r="E902" s="93"/>
      <c r="F902" s="8" t="s">
        <v>164</v>
      </c>
      <c r="G902" s="35"/>
    </row>
    <row r="903" spans="2:7">
      <c r="B903" s="22">
        <v>701</v>
      </c>
      <c r="C903" s="92" t="s">
        <v>765</v>
      </c>
      <c r="D903" s="93">
        <v>10079383568</v>
      </c>
      <c r="E903" s="93" t="s">
        <v>867</v>
      </c>
      <c r="F903" s="8" t="s">
        <v>58</v>
      </c>
      <c r="G903" s="35"/>
    </row>
    <row r="904" spans="2:7">
      <c r="B904" s="22">
        <v>708</v>
      </c>
      <c r="C904" s="92" t="s">
        <v>766</v>
      </c>
      <c r="D904" s="93">
        <v>10056033143</v>
      </c>
      <c r="E904" s="93" t="s">
        <v>868</v>
      </c>
      <c r="F904" s="8" t="s">
        <v>58</v>
      </c>
      <c r="G904" s="35"/>
    </row>
    <row r="905" spans="2:7">
      <c r="B905" s="22">
        <v>704</v>
      </c>
      <c r="C905" s="92" t="s">
        <v>108</v>
      </c>
      <c r="D905" s="93">
        <v>10125323576</v>
      </c>
      <c r="E905" s="93" t="s">
        <v>508</v>
      </c>
      <c r="F905" s="8" t="s">
        <v>58</v>
      </c>
      <c r="G905" s="35"/>
    </row>
    <row r="906" spans="2:7">
      <c r="B906" s="22">
        <v>702</v>
      </c>
      <c r="C906" s="93" t="s">
        <v>875</v>
      </c>
      <c r="D906" s="93" t="s">
        <v>66</v>
      </c>
      <c r="E906" s="93" t="s">
        <v>767</v>
      </c>
      <c r="F906" s="8" t="s">
        <v>58</v>
      </c>
      <c r="G906" s="35"/>
    </row>
    <row r="907" spans="2:7">
      <c r="B907" s="22">
        <v>709</v>
      </c>
      <c r="C907" s="93" t="s">
        <v>876</v>
      </c>
      <c r="D907" s="93">
        <v>10124844640</v>
      </c>
      <c r="E907" s="93" t="s">
        <v>406</v>
      </c>
      <c r="F907" s="8" t="s">
        <v>58</v>
      </c>
      <c r="G907" s="35"/>
    </row>
    <row r="908" spans="2:7">
      <c r="B908" s="22">
        <v>705</v>
      </c>
      <c r="C908" s="92" t="s">
        <v>873</v>
      </c>
      <c r="D908" s="93">
        <v>10016062372</v>
      </c>
      <c r="E908" s="93" t="s">
        <v>874</v>
      </c>
      <c r="F908" s="8" t="s">
        <v>58</v>
      </c>
      <c r="G908" s="35"/>
    </row>
    <row r="909" spans="2:7">
      <c r="B909" s="22">
        <v>713</v>
      </c>
      <c r="C909" s="92" t="s">
        <v>771</v>
      </c>
      <c r="D909" s="93">
        <v>10006255268</v>
      </c>
      <c r="E909" s="93" t="s">
        <v>100</v>
      </c>
      <c r="F909" s="8" t="s">
        <v>58</v>
      </c>
      <c r="G909" s="35"/>
    </row>
    <row r="910" spans="2:7">
      <c r="B910" s="107">
        <v>715</v>
      </c>
      <c r="C910" s="93" t="s">
        <v>877</v>
      </c>
      <c r="D910" s="93">
        <v>10149059072</v>
      </c>
      <c r="E910" s="93" t="s">
        <v>427</v>
      </c>
      <c r="F910" s="8" t="s">
        <v>58</v>
      </c>
      <c r="G910" s="35"/>
    </row>
    <row r="911" spans="2:7">
      <c r="B911" s="107">
        <v>716</v>
      </c>
      <c r="C911" s="92" t="s">
        <v>878</v>
      </c>
      <c r="D911" s="93">
        <v>10159628335</v>
      </c>
      <c r="E911" s="93" t="s">
        <v>879</v>
      </c>
      <c r="F911" s="8" t="s">
        <v>58</v>
      </c>
      <c r="G911" s="35"/>
    </row>
    <row r="912" spans="2:7">
      <c r="B912" s="107">
        <v>717</v>
      </c>
      <c r="C912" s="93" t="s">
        <v>869</v>
      </c>
      <c r="D912" s="93">
        <v>10109664746</v>
      </c>
      <c r="E912" s="93" t="s">
        <v>870</v>
      </c>
      <c r="F912" s="8" t="s">
        <v>58</v>
      </c>
      <c r="G912" s="35"/>
    </row>
    <row r="913" spans="2:7">
      <c r="B913" s="107">
        <v>718</v>
      </c>
      <c r="C913" s="92" t="s">
        <v>871</v>
      </c>
      <c r="D913" s="93">
        <v>10050357936</v>
      </c>
      <c r="E913" s="93" t="s">
        <v>872</v>
      </c>
      <c r="F913" s="8" t="s">
        <v>58</v>
      </c>
      <c r="G913" s="35"/>
    </row>
    <row r="914" spans="2:7">
      <c r="B914" s="107">
        <v>719</v>
      </c>
      <c r="C914" s="92" t="s">
        <v>880</v>
      </c>
      <c r="D914" s="93">
        <v>10171945315</v>
      </c>
      <c r="E914" s="93" t="s">
        <v>881</v>
      </c>
      <c r="F914" s="8" t="s">
        <v>58</v>
      </c>
      <c r="G914" s="35"/>
    </row>
    <row r="915" spans="2:7">
      <c r="B915" s="22"/>
      <c r="C915" s="92"/>
      <c r="D915" s="93"/>
      <c r="E915" s="93"/>
      <c r="F915" s="8"/>
      <c r="G915" s="35"/>
    </row>
    <row r="916" spans="2:7">
      <c r="B916" s="22">
        <v>751</v>
      </c>
      <c r="C916" s="92" t="s">
        <v>119</v>
      </c>
      <c r="D916" s="93">
        <v>10127988349</v>
      </c>
      <c r="E916" s="93" t="s">
        <v>100</v>
      </c>
      <c r="F916" s="8" t="s">
        <v>59</v>
      </c>
      <c r="G916" s="35"/>
    </row>
    <row r="917" spans="2:7">
      <c r="B917" s="22">
        <v>758</v>
      </c>
      <c r="C917" s="92" t="s">
        <v>884</v>
      </c>
      <c r="D917" s="93">
        <v>10140636745</v>
      </c>
      <c r="E917" s="93" t="s">
        <v>135</v>
      </c>
      <c r="F917" s="8" t="s">
        <v>59</v>
      </c>
      <c r="G917" s="35"/>
    </row>
    <row r="918" spans="2:7">
      <c r="B918" s="22">
        <v>756</v>
      </c>
      <c r="C918" s="92" t="s">
        <v>417</v>
      </c>
      <c r="D918" s="93">
        <v>10137070781</v>
      </c>
      <c r="E918" s="93" t="s">
        <v>399</v>
      </c>
      <c r="F918" s="8" t="s">
        <v>59</v>
      </c>
      <c r="G918" s="35"/>
    </row>
    <row r="919" spans="2:7">
      <c r="B919" s="22">
        <v>765</v>
      </c>
      <c r="C919" s="92" t="s">
        <v>430</v>
      </c>
      <c r="D919" s="93">
        <v>10170981880</v>
      </c>
      <c r="E919" s="93" t="s">
        <v>431</v>
      </c>
      <c r="F919" s="8" t="s">
        <v>59</v>
      </c>
      <c r="G919" s="35"/>
    </row>
    <row r="920" spans="2:7">
      <c r="B920" s="22">
        <v>761</v>
      </c>
      <c r="C920" s="92" t="s">
        <v>87</v>
      </c>
      <c r="D920" s="93">
        <v>10126504047</v>
      </c>
      <c r="E920" s="93" t="s">
        <v>885</v>
      </c>
      <c r="F920" s="8" t="s">
        <v>59</v>
      </c>
      <c r="G920" s="35"/>
    </row>
    <row r="921" spans="2:7">
      <c r="B921" s="22">
        <v>752</v>
      </c>
      <c r="C921" s="92" t="s">
        <v>882</v>
      </c>
      <c r="D921" s="93">
        <v>10001352223</v>
      </c>
      <c r="E921" s="93" t="s">
        <v>883</v>
      </c>
      <c r="F921" s="8" t="s">
        <v>59</v>
      </c>
      <c r="G921" s="35"/>
    </row>
    <row r="922" spans="2:7">
      <c r="B922" s="22">
        <v>769</v>
      </c>
      <c r="C922" s="92" t="s">
        <v>782</v>
      </c>
      <c r="D922" s="93">
        <v>10053119810</v>
      </c>
      <c r="E922" s="93" t="s">
        <v>783</v>
      </c>
      <c r="F922" s="8" t="s">
        <v>59</v>
      </c>
      <c r="G922" s="35"/>
    </row>
    <row r="923" spans="2:7">
      <c r="B923" s="22">
        <v>763</v>
      </c>
      <c r="C923" s="92" t="s">
        <v>886</v>
      </c>
      <c r="D923" s="93">
        <v>10103825447</v>
      </c>
      <c r="E923" s="93" t="s">
        <v>427</v>
      </c>
      <c r="F923" s="8" t="s">
        <v>59</v>
      </c>
      <c r="G923" s="35"/>
    </row>
    <row r="924" spans="2:7">
      <c r="B924" s="22">
        <v>768</v>
      </c>
      <c r="C924" s="92" t="s">
        <v>781</v>
      </c>
      <c r="D924" s="93">
        <v>10061819595</v>
      </c>
      <c r="E924" s="93" t="s">
        <v>138</v>
      </c>
      <c r="F924" s="8" t="s">
        <v>59</v>
      </c>
      <c r="G924" s="35"/>
    </row>
    <row r="925" spans="2:7">
      <c r="B925" s="22">
        <v>766</v>
      </c>
      <c r="C925" s="92" t="s">
        <v>888</v>
      </c>
      <c r="D925" s="93">
        <v>10082235671</v>
      </c>
      <c r="E925" s="93" t="s">
        <v>889</v>
      </c>
      <c r="F925" s="8" t="s">
        <v>59</v>
      </c>
      <c r="G925" s="35"/>
    </row>
    <row r="926" spans="2:7">
      <c r="B926" s="107">
        <v>773</v>
      </c>
      <c r="C926" s="92" t="s">
        <v>887</v>
      </c>
      <c r="D926" s="93">
        <v>10124667111</v>
      </c>
      <c r="E926" s="93" t="s">
        <v>399</v>
      </c>
      <c r="F926" s="8" t="s">
        <v>59</v>
      </c>
      <c r="G926" s="35"/>
    </row>
    <row r="927" spans="2:7">
      <c r="B927" s="22"/>
      <c r="C927" s="92"/>
      <c r="D927" s="93"/>
      <c r="E927" s="93"/>
      <c r="F927" s="8" t="s">
        <v>59</v>
      </c>
      <c r="G927" s="35"/>
    </row>
    <row r="928" spans="2:7">
      <c r="B928" s="22"/>
      <c r="C928" s="92"/>
      <c r="D928" s="93"/>
      <c r="E928" s="93"/>
      <c r="F928" s="8" t="s">
        <v>59</v>
      </c>
      <c r="G928" s="35"/>
    </row>
    <row r="929" spans="2:7">
      <c r="B929" s="22"/>
      <c r="C929" s="92"/>
      <c r="D929" s="93"/>
      <c r="E929" s="93"/>
      <c r="F929" s="8" t="s">
        <v>59</v>
      </c>
      <c r="G929" s="35"/>
    </row>
    <row r="930" spans="2:7">
      <c r="B930" s="104"/>
      <c r="C930" s="8"/>
      <c r="D930" s="17"/>
      <c r="E930" s="17"/>
      <c r="F930" s="8"/>
      <c r="G930" s="35"/>
    </row>
    <row r="931" spans="2:7">
      <c r="B931" s="96">
        <v>810</v>
      </c>
      <c r="C931" s="97" t="s">
        <v>442</v>
      </c>
      <c r="D931" s="98">
        <v>10061985206</v>
      </c>
      <c r="E931" s="98" t="s">
        <v>100</v>
      </c>
      <c r="F931" s="8" t="s">
        <v>72</v>
      </c>
      <c r="G931" s="35"/>
    </row>
    <row r="932" spans="2:7">
      <c r="B932" s="96">
        <v>801</v>
      </c>
      <c r="C932" s="92" t="s">
        <v>120</v>
      </c>
      <c r="D932" s="93">
        <v>10102979628</v>
      </c>
      <c r="E932" s="93" t="s">
        <v>432</v>
      </c>
      <c r="F932" s="8" t="s">
        <v>72</v>
      </c>
      <c r="G932" s="35"/>
    </row>
    <row r="933" spans="2:7">
      <c r="B933" s="96">
        <v>813</v>
      </c>
      <c r="C933" s="92" t="s">
        <v>904</v>
      </c>
      <c r="D933" s="93">
        <v>10051209819</v>
      </c>
      <c r="E933" s="93" t="s">
        <v>447</v>
      </c>
      <c r="F933" s="8" t="s">
        <v>72</v>
      </c>
      <c r="G933" s="35"/>
    </row>
    <row r="934" spans="2:7">
      <c r="B934" s="96">
        <v>811</v>
      </c>
      <c r="C934" s="92" t="s">
        <v>443</v>
      </c>
      <c r="D934" s="93">
        <v>10124200400</v>
      </c>
      <c r="E934" s="93" t="s">
        <v>399</v>
      </c>
      <c r="F934" s="8" t="s">
        <v>72</v>
      </c>
      <c r="G934" s="35"/>
    </row>
    <row r="935" spans="2:7">
      <c r="B935" s="96">
        <v>805</v>
      </c>
      <c r="C935" s="92" t="s">
        <v>790</v>
      </c>
      <c r="D935" s="93">
        <v>10122661938</v>
      </c>
      <c r="E935" s="93" t="s">
        <v>6</v>
      </c>
      <c r="F935" s="8" t="s">
        <v>72</v>
      </c>
      <c r="G935" s="35"/>
    </row>
    <row r="936" spans="2:7">
      <c r="B936" s="96">
        <v>814</v>
      </c>
      <c r="C936" s="97" t="s">
        <v>88</v>
      </c>
      <c r="D936" s="98">
        <v>10114540513</v>
      </c>
      <c r="E936" s="98" t="s">
        <v>89</v>
      </c>
      <c r="F936" s="8" t="s">
        <v>72</v>
      </c>
      <c r="G936" s="35"/>
    </row>
    <row r="937" spans="2:7">
      <c r="B937" s="96">
        <v>818</v>
      </c>
      <c r="C937" s="92" t="s">
        <v>794</v>
      </c>
      <c r="D937" s="93">
        <v>10061991973</v>
      </c>
      <c r="E937" s="93" t="s">
        <v>434</v>
      </c>
      <c r="F937" s="8" t="s">
        <v>72</v>
      </c>
      <c r="G937" s="35"/>
    </row>
    <row r="938" spans="2:7">
      <c r="B938" s="96">
        <v>820</v>
      </c>
      <c r="C938" s="92" t="s">
        <v>902</v>
      </c>
      <c r="D938" s="93">
        <v>10094103118</v>
      </c>
      <c r="E938" s="93" t="s">
        <v>903</v>
      </c>
      <c r="F938" s="8" t="s">
        <v>72</v>
      </c>
      <c r="G938" s="35"/>
    </row>
    <row r="939" spans="2:7">
      <c r="B939" s="22">
        <v>819</v>
      </c>
      <c r="C939" s="92" t="s">
        <v>909</v>
      </c>
      <c r="D939" s="93">
        <v>10089829761</v>
      </c>
      <c r="E939" s="92" t="s">
        <v>434</v>
      </c>
      <c r="F939" s="8" t="s">
        <v>72</v>
      </c>
      <c r="G939" s="35"/>
    </row>
    <row r="940" spans="2:7">
      <c r="B940" s="96">
        <v>809</v>
      </c>
      <c r="C940" s="92" t="s">
        <v>440</v>
      </c>
      <c r="D940" s="93">
        <v>10114420473</v>
      </c>
      <c r="E940" s="93" t="s">
        <v>441</v>
      </c>
      <c r="F940" s="8" t="s">
        <v>72</v>
      </c>
      <c r="G940" s="35"/>
    </row>
    <row r="941" spans="2:7">
      <c r="B941" s="96">
        <v>802</v>
      </c>
      <c r="C941" s="92" t="s">
        <v>901</v>
      </c>
      <c r="D941" s="93">
        <v>10075677966</v>
      </c>
      <c r="E941" s="93" t="s">
        <v>434</v>
      </c>
      <c r="F941" s="8" t="s">
        <v>72</v>
      </c>
      <c r="G941" s="35"/>
    </row>
    <row r="942" spans="2:7">
      <c r="B942" s="96">
        <v>806</v>
      </c>
      <c r="C942" s="92" t="s">
        <v>145</v>
      </c>
      <c r="D942" s="93">
        <v>10074956126</v>
      </c>
      <c r="E942" s="93" t="s">
        <v>438</v>
      </c>
      <c r="F942" s="8" t="s">
        <v>72</v>
      </c>
      <c r="G942" s="35"/>
    </row>
    <row r="943" spans="2:7">
      <c r="B943" s="108">
        <v>822</v>
      </c>
      <c r="C943" s="92" t="s">
        <v>905</v>
      </c>
      <c r="D943" s="93">
        <v>10035259177</v>
      </c>
      <c r="E943" s="93" t="s">
        <v>906</v>
      </c>
      <c r="F943" s="8" t="s">
        <v>72</v>
      </c>
      <c r="G943" s="35"/>
    </row>
    <row r="944" spans="2:7">
      <c r="B944" s="96">
        <v>803</v>
      </c>
      <c r="C944" s="92" t="s">
        <v>146</v>
      </c>
      <c r="D944" s="93">
        <v>10097275725</v>
      </c>
      <c r="E944" s="93" t="s">
        <v>910</v>
      </c>
      <c r="F944" s="8" t="s">
        <v>72</v>
      </c>
      <c r="G944" s="35"/>
    </row>
    <row r="945" spans="2:7">
      <c r="B945" s="108">
        <v>823</v>
      </c>
      <c r="C945" s="92" t="s">
        <v>907</v>
      </c>
      <c r="D945" s="93">
        <v>10051458783</v>
      </c>
      <c r="E945" s="93" t="s">
        <v>908</v>
      </c>
      <c r="F945" s="8" t="s">
        <v>72</v>
      </c>
      <c r="G945" s="35"/>
    </row>
    <row r="946" spans="2:7">
      <c r="B946" s="108">
        <v>824</v>
      </c>
      <c r="C946" s="97" t="s">
        <v>911</v>
      </c>
      <c r="D946" s="98" t="s">
        <v>66</v>
      </c>
      <c r="E946" s="93" t="s">
        <v>767</v>
      </c>
      <c r="F946" s="8" t="s">
        <v>72</v>
      </c>
      <c r="G946" s="35"/>
    </row>
    <row r="947" spans="2:7">
      <c r="B947" s="7"/>
      <c r="C947" s="8"/>
      <c r="D947" s="17"/>
      <c r="E947" s="17"/>
      <c r="F947" s="8"/>
      <c r="G947" s="35"/>
    </row>
    <row r="948" spans="2:7">
      <c r="B948" s="22">
        <v>851</v>
      </c>
      <c r="C948" s="92" t="s">
        <v>920</v>
      </c>
      <c r="D948" s="93">
        <v>10060932451</v>
      </c>
      <c r="E948" s="93" t="s">
        <v>121</v>
      </c>
      <c r="F948" s="8" t="s">
        <v>90</v>
      </c>
      <c r="G948" s="35"/>
    </row>
    <row r="949" spans="2:7">
      <c r="B949" s="22">
        <v>868</v>
      </c>
      <c r="C949" s="92" t="s">
        <v>802</v>
      </c>
      <c r="D949" s="93">
        <v>10074930662</v>
      </c>
      <c r="E949" s="93" t="s">
        <v>434</v>
      </c>
      <c r="F949" s="8" t="s">
        <v>90</v>
      </c>
      <c r="G949" s="35"/>
    </row>
    <row r="950" spans="2:7">
      <c r="B950" s="22">
        <v>853</v>
      </c>
      <c r="C950" s="92" t="s">
        <v>803</v>
      </c>
      <c r="D950" s="93">
        <v>10122227054</v>
      </c>
      <c r="E950" s="93" t="s">
        <v>100</v>
      </c>
      <c r="F950" s="8" t="s">
        <v>90</v>
      </c>
      <c r="G950" s="35"/>
    </row>
    <row r="951" spans="2:7">
      <c r="B951" s="22">
        <v>860</v>
      </c>
      <c r="C951" s="92" t="s">
        <v>804</v>
      </c>
      <c r="D951" s="93">
        <v>10061984903</v>
      </c>
      <c r="E951" s="93" t="s">
        <v>429</v>
      </c>
      <c r="F951" s="8" t="s">
        <v>90</v>
      </c>
      <c r="G951" s="35"/>
    </row>
    <row r="952" spans="2:7">
      <c r="B952" s="22">
        <v>865</v>
      </c>
      <c r="C952" s="92" t="s">
        <v>470</v>
      </c>
      <c r="D952" s="93">
        <v>10138850531</v>
      </c>
      <c r="E952" s="93" t="s">
        <v>805</v>
      </c>
      <c r="F952" s="8" t="s">
        <v>90</v>
      </c>
      <c r="G952" s="35"/>
    </row>
    <row r="953" spans="2:7">
      <c r="B953" s="22">
        <v>863</v>
      </c>
      <c r="C953" s="92" t="s">
        <v>919</v>
      </c>
      <c r="D953" s="93">
        <v>10104387239</v>
      </c>
      <c r="E953" s="93" t="s">
        <v>136</v>
      </c>
      <c r="F953" s="8" t="s">
        <v>90</v>
      </c>
      <c r="G953" s="35"/>
    </row>
    <row r="954" spans="2:7">
      <c r="B954" s="22">
        <v>861</v>
      </c>
      <c r="C954" s="92" t="s">
        <v>466</v>
      </c>
      <c r="D954" s="93">
        <v>10060624980</v>
      </c>
      <c r="E954" s="93" t="s">
        <v>467</v>
      </c>
      <c r="F954" s="8" t="s">
        <v>90</v>
      </c>
      <c r="G954" s="35"/>
    </row>
    <row r="955" spans="2:7">
      <c r="B955" s="22">
        <v>864</v>
      </c>
      <c r="C955" s="92" t="s">
        <v>469</v>
      </c>
      <c r="D955" s="93">
        <v>10126882448</v>
      </c>
      <c r="E955" s="93" t="s">
        <v>69</v>
      </c>
      <c r="F955" s="8" t="s">
        <v>90</v>
      </c>
      <c r="G955" s="35"/>
    </row>
    <row r="956" spans="2:7">
      <c r="B956" s="22">
        <v>855</v>
      </c>
      <c r="C956" s="92" t="s">
        <v>455</v>
      </c>
      <c r="D956" s="93">
        <v>10059069243</v>
      </c>
      <c r="E956" s="93" t="s">
        <v>115</v>
      </c>
      <c r="F956" s="8" t="s">
        <v>90</v>
      </c>
      <c r="G956" s="35"/>
    </row>
    <row r="957" spans="2:7">
      <c r="B957" s="22">
        <v>866</v>
      </c>
      <c r="C957" s="92" t="s">
        <v>918</v>
      </c>
      <c r="D957" s="93">
        <v>10079385386</v>
      </c>
      <c r="E957" s="93" t="s">
        <v>6</v>
      </c>
      <c r="F957" s="8" t="s">
        <v>90</v>
      </c>
      <c r="G957" s="35"/>
    </row>
    <row r="958" spans="2:7">
      <c r="B958" s="107">
        <v>870</v>
      </c>
      <c r="C958" s="92" t="s">
        <v>912</v>
      </c>
      <c r="D958" s="93">
        <v>10089830468</v>
      </c>
      <c r="E958" s="93" t="s">
        <v>913</v>
      </c>
      <c r="F958" s="8" t="s">
        <v>90</v>
      </c>
      <c r="G958" s="35"/>
    </row>
    <row r="959" spans="2:7">
      <c r="B959" s="107">
        <v>871</v>
      </c>
      <c r="C959" s="92" t="s">
        <v>916</v>
      </c>
      <c r="D959" s="93">
        <v>10151491146</v>
      </c>
      <c r="E959" s="93" t="s">
        <v>917</v>
      </c>
      <c r="F959" s="8" t="s">
        <v>90</v>
      </c>
      <c r="G959" s="35"/>
    </row>
    <row r="960" spans="2:7">
      <c r="B960" s="107">
        <v>872</v>
      </c>
      <c r="C960" s="92" t="s">
        <v>914</v>
      </c>
      <c r="D960" s="93">
        <v>10061991771</v>
      </c>
      <c r="E960" s="93" t="s">
        <v>915</v>
      </c>
      <c r="F960" s="8" t="s">
        <v>90</v>
      </c>
      <c r="G960" s="35"/>
    </row>
    <row r="961" spans="2:7">
      <c r="B961" s="22"/>
      <c r="C961" s="92"/>
      <c r="D961" s="93"/>
      <c r="E961" s="93"/>
      <c r="F961" s="8" t="s">
        <v>90</v>
      </c>
      <c r="G961" s="35"/>
    </row>
    <row r="962" spans="2:7" ht="15.75">
      <c r="B962" s="48"/>
      <c r="C962" s="8"/>
      <c r="D962" s="2"/>
      <c r="E962" s="17"/>
      <c r="F962" s="8"/>
      <c r="G962" s="35"/>
    </row>
    <row r="963" spans="2:7">
      <c r="B963" s="96">
        <v>906</v>
      </c>
      <c r="C963" s="92" t="s">
        <v>481</v>
      </c>
      <c r="D963" s="22">
        <v>10054780328</v>
      </c>
      <c r="E963" s="93" t="s">
        <v>100</v>
      </c>
      <c r="F963" s="8" t="s">
        <v>91</v>
      </c>
      <c r="G963" s="35"/>
    </row>
    <row r="964" spans="2:7">
      <c r="B964" s="96">
        <v>908</v>
      </c>
      <c r="C964" s="92" t="s">
        <v>812</v>
      </c>
      <c r="D964" s="22">
        <v>10101986891</v>
      </c>
      <c r="E964" s="92" t="s">
        <v>923</v>
      </c>
      <c r="F964" s="8" t="s">
        <v>91</v>
      </c>
      <c r="G964" s="35"/>
    </row>
    <row r="965" spans="2:7">
      <c r="B965" s="96">
        <v>903</v>
      </c>
      <c r="C965" s="92" t="s">
        <v>73</v>
      </c>
      <c r="D965" s="22">
        <v>10061997734</v>
      </c>
      <c r="E965" s="93" t="s">
        <v>69</v>
      </c>
      <c r="F965" s="8" t="s">
        <v>91</v>
      </c>
      <c r="G965" s="35"/>
    </row>
    <row r="966" spans="2:7">
      <c r="B966" s="96">
        <v>902</v>
      </c>
      <c r="C966" s="92" t="s">
        <v>922</v>
      </c>
      <c r="D966" s="22">
        <v>10061990660</v>
      </c>
      <c r="E966" s="93" t="s">
        <v>149</v>
      </c>
      <c r="F966" s="8" t="s">
        <v>91</v>
      </c>
      <c r="G966" s="35"/>
    </row>
    <row r="967" spans="2:7">
      <c r="B967" s="96">
        <v>905</v>
      </c>
      <c r="C967" s="92" t="s">
        <v>926</v>
      </c>
      <c r="D967" s="22">
        <v>10061855668</v>
      </c>
      <c r="E967" s="93" t="s">
        <v>927</v>
      </c>
      <c r="F967" s="8" t="s">
        <v>91</v>
      </c>
      <c r="G967" s="35"/>
    </row>
    <row r="968" spans="2:7">
      <c r="B968" s="96">
        <v>913</v>
      </c>
      <c r="C968" s="97" t="s">
        <v>930</v>
      </c>
      <c r="D968" s="99">
        <v>10172012306</v>
      </c>
      <c r="E968" s="98" t="s">
        <v>492</v>
      </c>
      <c r="F968" s="8" t="s">
        <v>91</v>
      </c>
      <c r="G968" s="35"/>
    </row>
    <row r="969" spans="2:7">
      <c r="B969" s="96">
        <v>910</v>
      </c>
      <c r="C969" s="92" t="s">
        <v>486</v>
      </c>
      <c r="D969" s="22">
        <v>10112076915</v>
      </c>
      <c r="E969" s="93" t="s">
        <v>487</v>
      </c>
      <c r="F969" s="8" t="s">
        <v>91</v>
      </c>
      <c r="G969" s="35"/>
    </row>
    <row r="970" spans="2:7">
      <c r="B970" s="108">
        <v>920</v>
      </c>
      <c r="C970" s="92" t="s">
        <v>931</v>
      </c>
      <c r="D970" s="22">
        <v>10058250100</v>
      </c>
      <c r="E970" s="93" t="s">
        <v>932</v>
      </c>
      <c r="F970" s="8" t="s">
        <v>91</v>
      </c>
      <c r="G970" s="35"/>
    </row>
    <row r="971" spans="2:7">
      <c r="B971" s="108">
        <v>921</v>
      </c>
      <c r="C971" s="92" t="s">
        <v>924</v>
      </c>
      <c r="D971" s="22">
        <v>10086665945</v>
      </c>
      <c r="E971" s="92" t="s">
        <v>925</v>
      </c>
      <c r="F971" s="8" t="s">
        <v>91</v>
      </c>
      <c r="G971" s="35"/>
    </row>
    <row r="972" spans="2:7">
      <c r="B972" s="108">
        <v>922</v>
      </c>
      <c r="C972" s="92" t="s">
        <v>928</v>
      </c>
      <c r="D972" s="22">
        <v>10126639241</v>
      </c>
      <c r="E972" s="93" t="s">
        <v>929</v>
      </c>
      <c r="F972" s="8" t="s">
        <v>91</v>
      </c>
      <c r="G972" s="35"/>
    </row>
    <row r="973" spans="2:7">
      <c r="B973" s="96"/>
      <c r="C973" s="92"/>
      <c r="D973" s="22"/>
      <c r="E973" s="93"/>
      <c r="F973" s="8" t="s">
        <v>91</v>
      </c>
      <c r="G973" s="35"/>
    </row>
    <row r="974" spans="2:7">
      <c r="B974" s="41"/>
      <c r="C974" s="54"/>
      <c r="D974" s="17"/>
      <c r="F974" s="17"/>
      <c r="G974" s="35"/>
    </row>
    <row r="975" spans="2:7" ht="15.75">
      <c r="B975" s="21"/>
      <c r="C975" s="8"/>
      <c r="D975" s="17"/>
      <c r="E975" s="17"/>
      <c r="F975" s="17"/>
      <c r="G975" s="35"/>
    </row>
    <row r="976" spans="2:7">
      <c r="B976" s="22">
        <v>935</v>
      </c>
      <c r="C976" s="93" t="s">
        <v>921</v>
      </c>
      <c r="D976" s="93">
        <v>10083854965</v>
      </c>
      <c r="E976" s="92" t="s">
        <v>1067</v>
      </c>
      <c r="F976" s="8" t="s">
        <v>165</v>
      </c>
      <c r="G976" s="35"/>
    </row>
    <row r="977" spans="2:7">
      <c r="B977" s="22"/>
      <c r="C977" s="93"/>
      <c r="D977" s="93"/>
      <c r="E977" s="92"/>
      <c r="F977" s="8" t="s">
        <v>165</v>
      </c>
      <c r="G977" s="35"/>
    </row>
    <row r="978" spans="2:7">
      <c r="B978" s="22"/>
      <c r="C978" s="92"/>
      <c r="D978" s="93"/>
      <c r="E978" s="93"/>
      <c r="F978" s="8" t="s">
        <v>165</v>
      </c>
      <c r="G978" s="35"/>
    </row>
    <row r="979" spans="2:7">
      <c r="B979" s="22"/>
      <c r="C979" s="93"/>
      <c r="D979" s="93"/>
      <c r="E979" s="93"/>
      <c r="F979" s="8" t="s">
        <v>165</v>
      </c>
      <c r="G979" s="35"/>
    </row>
    <row r="980" spans="2:7">
      <c r="B980" s="41"/>
      <c r="C980" s="54"/>
      <c r="D980" s="17"/>
      <c r="F980" s="17"/>
      <c r="G980" s="35"/>
    </row>
    <row r="981" spans="2:7">
      <c r="B981" s="22">
        <v>951</v>
      </c>
      <c r="C981" s="93" t="s">
        <v>933</v>
      </c>
      <c r="D981" s="93">
        <v>10101986689</v>
      </c>
      <c r="E981" s="92" t="s">
        <v>934</v>
      </c>
      <c r="F981" s="8" t="s">
        <v>166</v>
      </c>
      <c r="G981" s="35"/>
    </row>
    <row r="982" spans="2:7">
      <c r="B982" s="22">
        <v>955</v>
      </c>
      <c r="C982" s="93" t="s">
        <v>836</v>
      </c>
      <c r="D982" s="93">
        <v>10052912268</v>
      </c>
      <c r="E982" s="92" t="s">
        <v>700</v>
      </c>
      <c r="F982" s="8" t="s">
        <v>166</v>
      </c>
      <c r="G982" s="35"/>
    </row>
    <row r="983" spans="2:7">
      <c r="B983" s="3"/>
      <c r="C983" s="93"/>
      <c r="D983" s="93"/>
      <c r="E983" s="92"/>
      <c r="F983" s="8" t="s">
        <v>166</v>
      </c>
      <c r="G983" s="35"/>
    </row>
    <row r="984" spans="2:7">
      <c r="B984" s="3"/>
      <c r="C984" s="93"/>
      <c r="D984" s="93"/>
      <c r="E984" s="92"/>
      <c r="F984" s="8" t="s">
        <v>166</v>
      </c>
      <c r="G984" s="35"/>
    </row>
    <row r="985" spans="2:7">
      <c r="B985" s="3"/>
      <c r="C985" s="93"/>
      <c r="D985" s="93"/>
      <c r="E985" s="92"/>
      <c r="F985" s="8"/>
      <c r="G985" s="35"/>
    </row>
    <row r="986" spans="2:7">
      <c r="B986" s="22">
        <v>609</v>
      </c>
      <c r="C986" s="92" t="s">
        <v>893</v>
      </c>
      <c r="D986" s="93">
        <v>10063635620</v>
      </c>
      <c r="E986" s="93" t="s">
        <v>894</v>
      </c>
      <c r="F986" s="8" t="s">
        <v>60</v>
      </c>
      <c r="G986" s="35"/>
    </row>
    <row r="987" spans="2:7">
      <c r="B987" s="22">
        <v>614</v>
      </c>
      <c r="C987" s="92" t="s">
        <v>890</v>
      </c>
      <c r="D987" s="93">
        <v>10153041631</v>
      </c>
      <c r="E987" s="92" t="s">
        <v>891</v>
      </c>
      <c r="F987" s="8" t="s">
        <v>60</v>
      </c>
      <c r="G987" s="35"/>
    </row>
    <row r="988" spans="2:7">
      <c r="B988" s="22">
        <v>603</v>
      </c>
      <c r="C988" s="92" t="s">
        <v>896</v>
      </c>
      <c r="D988" s="93">
        <v>10164876237</v>
      </c>
      <c r="E988" s="93" t="s">
        <v>841</v>
      </c>
      <c r="F988" s="8" t="s">
        <v>60</v>
      </c>
      <c r="G988" s="35"/>
    </row>
    <row r="989" spans="2:7">
      <c r="B989" s="22">
        <v>610</v>
      </c>
      <c r="C989" s="93" t="s">
        <v>520</v>
      </c>
      <c r="D989" s="93" t="s">
        <v>66</v>
      </c>
      <c r="E989" s="92" t="s">
        <v>521</v>
      </c>
      <c r="F989" s="8" t="s">
        <v>60</v>
      </c>
      <c r="G989" s="35"/>
    </row>
    <row r="990" spans="2:7">
      <c r="B990" s="22">
        <v>622</v>
      </c>
      <c r="C990" s="92" t="s">
        <v>407</v>
      </c>
      <c r="D990" s="93" t="s">
        <v>66</v>
      </c>
      <c r="E990" s="92" t="s">
        <v>895</v>
      </c>
      <c r="F990" s="8" t="s">
        <v>60</v>
      </c>
      <c r="G990" s="35"/>
    </row>
    <row r="991" spans="2:7">
      <c r="B991" s="22">
        <v>618</v>
      </c>
      <c r="C991" s="92" t="s">
        <v>892</v>
      </c>
      <c r="D991" s="93">
        <v>10127815668</v>
      </c>
      <c r="E991" s="93" t="s">
        <v>399</v>
      </c>
      <c r="F991" s="8" t="s">
        <v>60</v>
      </c>
      <c r="G991" s="35"/>
    </row>
    <row r="992" spans="2:7">
      <c r="B992" s="22">
        <v>619</v>
      </c>
      <c r="C992" s="92" t="s">
        <v>533</v>
      </c>
      <c r="D992" s="93">
        <v>10154842595</v>
      </c>
      <c r="E992" s="93" t="s">
        <v>101</v>
      </c>
      <c r="F992" s="8" t="s">
        <v>60</v>
      </c>
      <c r="G992" s="35"/>
    </row>
    <row r="993" spans="2:7">
      <c r="B993" s="22">
        <v>625</v>
      </c>
      <c r="C993" s="92" t="s">
        <v>538</v>
      </c>
      <c r="D993" s="93">
        <v>10172016144</v>
      </c>
      <c r="E993" s="93" t="s">
        <v>6</v>
      </c>
      <c r="F993" s="8" t="s">
        <v>60</v>
      </c>
      <c r="G993" s="35"/>
    </row>
    <row r="994" spans="2:7">
      <c r="B994" s="22">
        <v>617</v>
      </c>
      <c r="C994" s="92" t="s">
        <v>899</v>
      </c>
      <c r="D994" s="93">
        <v>10096302287</v>
      </c>
      <c r="E994" s="93" t="s">
        <v>900</v>
      </c>
      <c r="F994" s="8" t="s">
        <v>60</v>
      </c>
      <c r="G994" s="35"/>
    </row>
    <row r="995" spans="2:7">
      <c r="B995" s="107">
        <v>627</v>
      </c>
      <c r="C995" s="92" t="s">
        <v>897</v>
      </c>
      <c r="D995" s="93">
        <v>10123139965</v>
      </c>
      <c r="E995" s="93" t="s">
        <v>898</v>
      </c>
      <c r="F995" s="8" t="s">
        <v>60</v>
      </c>
      <c r="G995" s="35"/>
    </row>
    <row r="996" spans="2:7">
      <c r="B996" s="22"/>
      <c r="C996" s="92"/>
      <c r="D996" s="93"/>
      <c r="E996" s="93"/>
      <c r="F996" s="8" t="s">
        <v>60</v>
      </c>
      <c r="G996" s="35"/>
    </row>
    <row r="997" spans="2:7">
      <c r="B997" s="7"/>
      <c r="C997" s="8"/>
      <c r="D997" s="17"/>
      <c r="E997" s="17"/>
      <c r="F997" s="17"/>
      <c r="G997" s="35"/>
    </row>
    <row r="998" spans="2:7">
      <c r="B998" s="7"/>
      <c r="C998" s="8"/>
      <c r="D998" s="17"/>
      <c r="E998" s="17"/>
      <c r="F998" s="17"/>
      <c r="G998" s="35"/>
    </row>
    <row r="999" spans="2:7">
      <c r="B999" s="22">
        <v>671</v>
      </c>
      <c r="C999" s="92" t="s">
        <v>537</v>
      </c>
      <c r="D999" s="93">
        <v>10136876074</v>
      </c>
      <c r="E999" s="92" t="s">
        <v>399</v>
      </c>
      <c r="F999" s="8" t="s">
        <v>92</v>
      </c>
      <c r="G999" s="35"/>
    </row>
    <row r="1000" spans="2:7">
      <c r="B1000" s="18"/>
      <c r="C1000" s="19"/>
      <c r="D1000" s="19"/>
      <c r="E1000" s="19"/>
      <c r="F1000" s="19"/>
      <c r="G1000" s="35"/>
    </row>
    <row r="1001" spans="2:7">
      <c r="B1001" s="18"/>
      <c r="C1001" s="19"/>
      <c r="D1001" s="19"/>
      <c r="E1001" s="19"/>
      <c r="F1001" s="19"/>
      <c r="G1001" s="35"/>
    </row>
    <row r="1002" spans="2:7">
      <c r="B1002" s="18"/>
      <c r="C1002" s="19"/>
      <c r="D1002" s="19"/>
      <c r="E1002" s="19"/>
      <c r="F1002" s="19"/>
      <c r="G1002" s="35"/>
    </row>
    <row r="1003" spans="2:7">
      <c r="B1003" s="18"/>
      <c r="C1003" s="19" t="s">
        <v>564</v>
      </c>
      <c r="D1003" s="19"/>
      <c r="E1003" s="19"/>
      <c r="F1003" s="19"/>
      <c r="G1003" s="35"/>
    </row>
    <row r="1004" spans="2:7">
      <c r="B1004" s="3">
        <v>20</v>
      </c>
      <c r="C1004" s="93" t="s">
        <v>565</v>
      </c>
      <c r="D1004" s="93">
        <v>10058573533</v>
      </c>
      <c r="E1004" s="92" t="s">
        <v>175</v>
      </c>
      <c r="F1004" t="s">
        <v>50</v>
      </c>
      <c r="G1004" s="35"/>
    </row>
    <row r="1005" spans="2:7">
      <c r="B1005" s="22">
        <v>1</v>
      </c>
      <c r="C1005" s="93" t="s">
        <v>169</v>
      </c>
      <c r="D1005" s="93">
        <v>10009200331</v>
      </c>
      <c r="E1005" s="92" t="s">
        <v>566</v>
      </c>
      <c r="F1005" t="s">
        <v>50</v>
      </c>
      <c r="G1005" s="35"/>
    </row>
    <row r="1006" spans="2:7">
      <c r="B1006" s="3">
        <v>2</v>
      </c>
      <c r="C1006" s="92" t="s">
        <v>171</v>
      </c>
      <c r="D1006" s="93">
        <v>10092456037</v>
      </c>
      <c r="E1006" s="93" t="s">
        <v>567</v>
      </c>
      <c r="F1006" t="s">
        <v>50</v>
      </c>
      <c r="G1006" s="35"/>
    </row>
    <row r="1007" spans="2:7">
      <c r="B1007" s="3">
        <v>21</v>
      </c>
      <c r="C1007" s="93" t="s">
        <v>568</v>
      </c>
      <c r="D1007" s="93">
        <v>10056016167</v>
      </c>
      <c r="E1007" s="92" t="s">
        <v>114</v>
      </c>
      <c r="F1007" t="s">
        <v>50</v>
      </c>
      <c r="G1007" s="35"/>
    </row>
    <row r="1008" spans="2:7">
      <c r="B1008" s="3">
        <v>22</v>
      </c>
      <c r="C1008" s="92" t="s">
        <v>569</v>
      </c>
      <c r="D1008" s="93">
        <v>10007693090</v>
      </c>
      <c r="E1008" s="93" t="s">
        <v>570</v>
      </c>
      <c r="F1008" t="s">
        <v>50</v>
      </c>
      <c r="G1008" s="35"/>
    </row>
    <row r="1009" spans="2:7">
      <c r="B1009" s="3">
        <v>3</v>
      </c>
      <c r="C1009" s="92" t="s">
        <v>111</v>
      </c>
      <c r="D1009" s="93">
        <v>10105198201</v>
      </c>
      <c r="E1009" s="93" t="s">
        <v>571</v>
      </c>
      <c r="F1009" t="s">
        <v>50</v>
      </c>
      <c r="G1009" s="35"/>
    </row>
    <row r="1010" spans="2:7">
      <c r="B1010" s="3">
        <v>4</v>
      </c>
      <c r="C1010" s="92" t="s">
        <v>572</v>
      </c>
      <c r="D1010" s="93">
        <v>10076890971</v>
      </c>
      <c r="E1010" s="93" t="s">
        <v>114</v>
      </c>
      <c r="F1010" t="s">
        <v>50</v>
      </c>
      <c r="G1010" s="35"/>
    </row>
    <row r="1011" spans="2:7">
      <c r="B1011" s="3">
        <v>5</v>
      </c>
      <c r="C1011" s="92" t="s">
        <v>573</v>
      </c>
      <c r="D1011" s="93">
        <v>10075992208</v>
      </c>
      <c r="E1011" s="93" t="s">
        <v>115</v>
      </c>
      <c r="F1011" t="s">
        <v>50</v>
      </c>
      <c r="G1011" s="35"/>
    </row>
    <row r="1012" spans="2:7">
      <c r="B1012" s="3">
        <v>6</v>
      </c>
      <c r="C1012" s="92" t="s">
        <v>574</v>
      </c>
      <c r="D1012" s="93">
        <v>10051220327</v>
      </c>
      <c r="E1012" s="93" t="s">
        <v>175</v>
      </c>
      <c r="F1012" t="s">
        <v>50</v>
      </c>
      <c r="G1012" s="35"/>
    </row>
    <row r="1013" spans="2:7">
      <c r="B1013" s="3">
        <v>7</v>
      </c>
      <c r="C1013" s="92" t="s">
        <v>176</v>
      </c>
      <c r="D1013" s="93">
        <v>10140483767</v>
      </c>
      <c r="E1013" s="93" t="s">
        <v>177</v>
      </c>
      <c r="F1013" t="s">
        <v>50</v>
      </c>
      <c r="G1013" s="35"/>
    </row>
    <row r="1014" spans="2:7">
      <c r="B1014" s="3">
        <v>23</v>
      </c>
      <c r="C1014" s="92" t="s">
        <v>575</v>
      </c>
      <c r="D1014" s="93">
        <v>10089547148</v>
      </c>
      <c r="E1014" s="93" t="s">
        <v>114</v>
      </c>
      <c r="F1014" t="s">
        <v>50</v>
      </c>
      <c r="G1014" s="35"/>
    </row>
    <row r="1015" spans="2:7">
      <c r="B1015" s="3">
        <v>10</v>
      </c>
      <c r="C1015" s="92" t="s">
        <v>576</v>
      </c>
      <c r="D1015" s="93">
        <v>10103820090</v>
      </c>
      <c r="E1015" s="93" t="s">
        <v>114</v>
      </c>
      <c r="F1015" t="s">
        <v>50</v>
      </c>
      <c r="G1015" s="35"/>
    </row>
    <row r="1016" spans="2:7">
      <c r="B1016" s="3">
        <v>15</v>
      </c>
      <c r="C1016" s="92" t="s">
        <v>186</v>
      </c>
      <c r="D1016" s="93">
        <v>10120369001</v>
      </c>
      <c r="E1016" s="93" t="s">
        <v>100</v>
      </c>
      <c r="F1016" t="s">
        <v>50</v>
      </c>
      <c r="G1016" s="35"/>
    </row>
    <row r="1017" spans="2:7">
      <c r="B1017" s="3">
        <v>11</v>
      </c>
      <c r="C1017" s="92" t="s">
        <v>181</v>
      </c>
      <c r="D1017" s="93">
        <v>10121754380</v>
      </c>
      <c r="E1017" s="93" t="s">
        <v>100</v>
      </c>
      <c r="F1017" t="s">
        <v>50</v>
      </c>
      <c r="G1017" s="35"/>
    </row>
    <row r="1018" spans="2:7">
      <c r="B1018" s="3">
        <v>18</v>
      </c>
      <c r="C1018" s="92" t="s">
        <v>192</v>
      </c>
      <c r="D1018" s="93">
        <v>10120252500</v>
      </c>
      <c r="E1018" s="93" t="s">
        <v>577</v>
      </c>
      <c r="F1018" t="s">
        <v>50</v>
      </c>
      <c r="G1018" s="35"/>
    </row>
    <row r="1019" spans="2:7">
      <c r="B1019" s="3">
        <v>16</v>
      </c>
      <c r="C1019" s="92" t="s">
        <v>578</v>
      </c>
      <c r="D1019" s="93">
        <v>10144142687</v>
      </c>
      <c r="E1019" s="93" t="s">
        <v>189</v>
      </c>
      <c r="F1019" t="s">
        <v>50</v>
      </c>
      <c r="G1019" s="35"/>
    </row>
    <row r="1020" spans="2:7">
      <c r="B1020" s="3">
        <v>24</v>
      </c>
      <c r="C1020" s="92" t="s">
        <v>579</v>
      </c>
      <c r="D1020" s="93">
        <v>10061669651</v>
      </c>
      <c r="E1020" s="93" t="s">
        <v>70</v>
      </c>
      <c r="F1020" t="s">
        <v>50</v>
      </c>
      <c r="G1020" s="35"/>
    </row>
    <row r="1021" spans="2:7">
      <c r="B1021" s="3">
        <v>25</v>
      </c>
      <c r="C1021" s="92" t="s">
        <v>580</v>
      </c>
      <c r="D1021" s="93">
        <v>10113743291</v>
      </c>
      <c r="E1021" s="93" t="s">
        <v>70</v>
      </c>
      <c r="F1021" t="s">
        <v>50</v>
      </c>
      <c r="G1021" s="35"/>
    </row>
    <row r="1022" spans="2:7">
      <c r="B1022" s="3">
        <v>27</v>
      </c>
      <c r="C1022" s="92" t="s">
        <v>581</v>
      </c>
      <c r="D1022" s="93" t="s">
        <v>66</v>
      </c>
      <c r="E1022" s="93" t="s">
        <v>70</v>
      </c>
      <c r="F1022" t="s">
        <v>50</v>
      </c>
      <c r="G1022" s="35"/>
    </row>
    <row r="1023" spans="2:7">
      <c r="B1023" s="3">
        <v>28</v>
      </c>
      <c r="C1023" s="93" t="s">
        <v>582</v>
      </c>
      <c r="D1023" s="93" t="s">
        <v>66</v>
      </c>
      <c r="E1023" s="92" t="s">
        <v>583</v>
      </c>
      <c r="F1023" t="s">
        <v>50</v>
      </c>
      <c r="G1023" s="35"/>
    </row>
    <row r="1024" spans="2:7" ht="29.25">
      <c r="B1024" s="3">
        <v>29</v>
      </c>
      <c r="C1024" s="97" t="s">
        <v>584</v>
      </c>
      <c r="D1024" s="97">
        <v>10138661278</v>
      </c>
      <c r="E1024" s="94" t="s">
        <v>585</v>
      </c>
      <c r="F1024" t="s">
        <v>50</v>
      </c>
      <c r="G1024" s="35"/>
    </row>
    <row r="1025" spans="2:7">
      <c r="B1025" s="22">
        <v>17</v>
      </c>
      <c r="C1025" s="97" t="s">
        <v>586</v>
      </c>
      <c r="D1025" s="97">
        <v>10121518449</v>
      </c>
      <c r="E1025" s="94" t="s">
        <v>128</v>
      </c>
      <c r="F1025" t="s">
        <v>50</v>
      </c>
      <c r="G1025" s="35"/>
    </row>
    <row r="1026" spans="2:7">
      <c r="B1026" s="22">
        <v>30</v>
      </c>
      <c r="C1026" s="92" t="s">
        <v>587</v>
      </c>
      <c r="D1026" s="93">
        <v>10082024901</v>
      </c>
      <c r="E1026" s="92" t="s">
        <v>588</v>
      </c>
      <c r="F1026" t="s">
        <v>50</v>
      </c>
      <c r="G1026" s="35"/>
    </row>
    <row r="1027" spans="2:7">
      <c r="B1027" s="3"/>
      <c r="C1027" s="92"/>
      <c r="D1027" s="93"/>
      <c r="E1027" s="93"/>
      <c r="F1027" t="s">
        <v>50</v>
      </c>
      <c r="G1027" s="35"/>
    </row>
    <row r="1028" spans="2:7">
      <c r="B1028" s="10"/>
      <c r="C1028" s="8"/>
      <c r="D1028" s="17"/>
      <c r="E1028" s="17"/>
      <c r="F1028" t="s">
        <v>50</v>
      </c>
      <c r="G1028" s="35"/>
    </row>
    <row r="1029" spans="2:7">
      <c r="B1029" s="10"/>
      <c r="C1029" s="8"/>
      <c r="D1029" s="17"/>
      <c r="E1029" s="17"/>
      <c r="F1029" t="s">
        <v>50</v>
      </c>
      <c r="G1029" s="35"/>
    </row>
    <row r="1030" spans="2:7" ht="15.75">
      <c r="B1030" s="40"/>
      <c r="C1030" s="8"/>
      <c r="D1030" s="54"/>
      <c r="E1030" s="54"/>
      <c r="F1030" s="8"/>
      <c r="G1030" s="35"/>
    </row>
    <row r="1031" spans="2:7">
      <c r="B1031" s="7">
        <v>82</v>
      </c>
      <c r="C1031" s="8" t="s">
        <v>153</v>
      </c>
      <c r="D1031" s="17">
        <v>10059847263</v>
      </c>
      <c r="E1031" s="17" t="s">
        <v>589</v>
      </c>
      <c r="F1031" s="8" t="s">
        <v>51</v>
      </c>
      <c r="G1031" s="35"/>
    </row>
    <row r="1032" spans="2:7">
      <c r="B1032" s="41">
        <v>92</v>
      </c>
      <c r="C1032" s="8" t="s">
        <v>590</v>
      </c>
      <c r="D1032" s="17">
        <v>10077498132</v>
      </c>
      <c r="E1032" s="17" t="s">
        <v>114</v>
      </c>
      <c r="F1032" s="8" t="s">
        <v>51</v>
      </c>
      <c r="G1032" s="35"/>
    </row>
    <row r="1033" spans="2:7">
      <c r="B1033" s="41">
        <v>93</v>
      </c>
      <c r="C1033" s="8" t="s">
        <v>591</v>
      </c>
      <c r="D1033" s="17">
        <v>10077498435</v>
      </c>
      <c r="E1033" s="17" t="s">
        <v>114</v>
      </c>
      <c r="F1033" s="8" t="s">
        <v>51</v>
      </c>
      <c r="G1033" s="35"/>
    </row>
    <row r="1034" spans="2:7">
      <c r="B1034" s="41">
        <v>94</v>
      </c>
      <c r="C1034" s="8" t="s">
        <v>592</v>
      </c>
      <c r="D1034" s="17">
        <v>10112699836</v>
      </c>
      <c r="E1034" s="17" t="s">
        <v>138</v>
      </c>
      <c r="F1034" s="8" t="s">
        <v>51</v>
      </c>
      <c r="G1034" s="35"/>
    </row>
    <row r="1035" spans="2:7">
      <c r="B1035" s="7">
        <v>87</v>
      </c>
      <c r="C1035" s="8" t="s">
        <v>593</v>
      </c>
      <c r="D1035" s="17">
        <v>10120014242</v>
      </c>
      <c r="E1035" s="17" t="s">
        <v>204</v>
      </c>
      <c r="F1035" s="8" t="s">
        <v>51</v>
      </c>
      <c r="G1035" s="35"/>
    </row>
    <row r="1036" spans="2:7">
      <c r="B1036" s="7">
        <v>85</v>
      </c>
      <c r="C1036" s="8" t="s">
        <v>201</v>
      </c>
      <c r="D1036" s="17">
        <v>10101990228</v>
      </c>
      <c r="E1036" s="17" t="s">
        <v>100</v>
      </c>
      <c r="F1036" s="8" t="s">
        <v>51</v>
      </c>
      <c r="G1036" s="35"/>
    </row>
    <row r="1037" spans="2:7">
      <c r="B1037" s="7">
        <v>89</v>
      </c>
      <c r="C1037" s="8" t="s">
        <v>594</v>
      </c>
      <c r="D1037" s="17">
        <v>10076571982</v>
      </c>
      <c r="E1037" s="17" t="s">
        <v>139</v>
      </c>
      <c r="F1037" s="8" t="s">
        <v>51</v>
      </c>
      <c r="G1037" s="35"/>
    </row>
    <row r="1038" spans="2:7">
      <c r="B1038" s="7">
        <v>90</v>
      </c>
      <c r="C1038" s="8" t="s">
        <v>207</v>
      </c>
      <c r="D1038" s="17">
        <v>10104125238</v>
      </c>
      <c r="E1038" s="17" t="s">
        <v>100</v>
      </c>
      <c r="F1038" s="8" t="s">
        <v>51</v>
      </c>
      <c r="G1038" s="35"/>
    </row>
    <row r="1039" spans="2:7">
      <c r="B1039" s="22"/>
      <c r="C1039" s="94"/>
      <c r="D1039" s="93"/>
      <c r="E1039" s="93"/>
      <c r="F1039" s="8" t="s">
        <v>51</v>
      </c>
      <c r="G1039" s="35"/>
    </row>
    <row r="1040" spans="2:7">
      <c r="B1040" s="3"/>
      <c r="C1040" s="94"/>
      <c r="D1040" s="93"/>
      <c r="E1040" s="93"/>
      <c r="F1040" s="8" t="s">
        <v>51</v>
      </c>
      <c r="G1040" s="35"/>
    </row>
    <row r="1041" spans="2:7">
      <c r="B1041" s="22"/>
      <c r="C1041" s="94"/>
      <c r="D1041" s="93"/>
      <c r="E1041" s="93"/>
      <c r="F1041" s="8" t="s">
        <v>51</v>
      </c>
      <c r="G1041" s="35"/>
    </row>
    <row r="1042" spans="2:7">
      <c r="B1042" s="10"/>
      <c r="C1042" s="8"/>
      <c r="D1042" s="17"/>
      <c r="E1042" s="17"/>
      <c r="G1042" s="35"/>
    </row>
    <row r="1043" spans="2:7">
      <c r="B1043" s="3">
        <v>101</v>
      </c>
      <c r="C1043" s="92" t="s">
        <v>209</v>
      </c>
      <c r="D1043" s="93">
        <v>10089728923</v>
      </c>
      <c r="E1043" s="93" t="s">
        <v>570</v>
      </c>
      <c r="F1043" t="s">
        <v>52</v>
      </c>
      <c r="G1043" s="35"/>
    </row>
    <row r="1044" spans="2:7">
      <c r="B1044" s="3">
        <v>103</v>
      </c>
      <c r="C1044" s="92" t="s">
        <v>211</v>
      </c>
      <c r="D1044" s="93">
        <v>10154951521</v>
      </c>
      <c r="E1044" s="93" t="s">
        <v>570</v>
      </c>
      <c r="F1044" t="s">
        <v>52</v>
      </c>
      <c r="G1044" s="35"/>
    </row>
    <row r="1045" spans="2:7">
      <c r="B1045" s="3">
        <v>102</v>
      </c>
      <c r="C1045" s="92" t="s">
        <v>595</v>
      </c>
      <c r="D1045" s="93">
        <v>10116215680</v>
      </c>
      <c r="E1045" s="93" t="s">
        <v>114</v>
      </c>
      <c r="F1045" t="s">
        <v>52</v>
      </c>
      <c r="G1045" s="35"/>
    </row>
    <row r="1046" spans="2:7">
      <c r="B1046" s="3">
        <v>104</v>
      </c>
      <c r="C1046" s="92" t="s">
        <v>213</v>
      </c>
      <c r="D1046" s="93">
        <v>10141533185</v>
      </c>
      <c r="E1046" s="93" t="s">
        <v>596</v>
      </c>
      <c r="F1046" t="s">
        <v>52</v>
      </c>
      <c r="G1046" s="35"/>
    </row>
    <row r="1047" spans="2:7">
      <c r="B1047" s="3">
        <v>125</v>
      </c>
      <c r="C1047" s="92" t="s">
        <v>597</v>
      </c>
      <c r="D1047" s="93">
        <v>10119593506</v>
      </c>
      <c r="E1047" s="93" t="s">
        <v>133</v>
      </c>
      <c r="F1047" t="s">
        <v>52</v>
      </c>
      <c r="G1047" s="35"/>
    </row>
    <row r="1048" spans="2:7">
      <c r="B1048" s="3">
        <v>131</v>
      </c>
      <c r="C1048" s="92" t="s">
        <v>598</v>
      </c>
      <c r="D1048" s="93">
        <v>10152089718</v>
      </c>
      <c r="E1048" s="93" t="s">
        <v>132</v>
      </c>
      <c r="F1048" t="s">
        <v>52</v>
      </c>
      <c r="G1048" s="35"/>
    </row>
    <row r="1049" spans="2:7">
      <c r="B1049" s="3">
        <v>130</v>
      </c>
      <c r="C1049" s="92" t="s">
        <v>599</v>
      </c>
      <c r="D1049" s="93">
        <v>10141535512</v>
      </c>
      <c r="E1049" s="93" t="s">
        <v>132</v>
      </c>
      <c r="F1049" t="s">
        <v>52</v>
      </c>
      <c r="G1049" s="35"/>
    </row>
    <row r="1050" spans="2:7">
      <c r="B1050" s="3">
        <v>118</v>
      </c>
      <c r="C1050" s="92" t="s">
        <v>231</v>
      </c>
      <c r="D1050" s="93">
        <v>10131783170</v>
      </c>
      <c r="E1050" s="93" t="s">
        <v>84</v>
      </c>
      <c r="F1050" t="s">
        <v>52</v>
      </c>
      <c r="G1050" s="35"/>
    </row>
    <row r="1051" spans="2:7">
      <c r="B1051" s="3">
        <v>117</v>
      </c>
      <c r="C1051" s="92" t="s">
        <v>230</v>
      </c>
      <c r="D1051" s="93" t="s">
        <v>66</v>
      </c>
      <c r="E1051" s="93" t="s">
        <v>84</v>
      </c>
      <c r="F1051" t="s">
        <v>52</v>
      </c>
      <c r="G1051" s="35"/>
    </row>
    <row r="1052" spans="2:7">
      <c r="B1052" s="3">
        <v>132</v>
      </c>
      <c r="C1052" s="92" t="s">
        <v>600</v>
      </c>
      <c r="D1052" s="93">
        <v>10152089819</v>
      </c>
      <c r="E1052" s="93" t="s">
        <v>132</v>
      </c>
      <c r="F1052" t="s">
        <v>52</v>
      </c>
      <c r="G1052" s="35"/>
    </row>
    <row r="1053" spans="2:7">
      <c r="B1053" s="3">
        <v>135</v>
      </c>
      <c r="C1053" s="92" t="s">
        <v>601</v>
      </c>
      <c r="D1053" s="93">
        <v>10132702145</v>
      </c>
      <c r="E1053" s="93" t="s">
        <v>602</v>
      </c>
      <c r="F1053" t="s">
        <v>52</v>
      </c>
      <c r="G1053" s="35"/>
    </row>
    <row r="1054" spans="2:7">
      <c r="B1054" s="3">
        <v>123</v>
      </c>
      <c r="C1054" s="92" t="s">
        <v>603</v>
      </c>
      <c r="D1054" s="93">
        <v>10171946426</v>
      </c>
      <c r="E1054" s="93" t="s">
        <v>6</v>
      </c>
      <c r="F1054" t="s">
        <v>52</v>
      </c>
      <c r="G1054" s="35"/>
    </row>
    <row r="1055" spans="2:7">
      <c r="B1055" s="3">
        <v>136</v>
      </c>
      <c r="C1055" s="92" t="s">
        <v>604</v>
      </c>
      <c r="D1055" s="93">
        <v>10152456092</v>
      </c>
      <c r="E1055" s="93" t="s">
        <v>152</v>
      </c>
      <c r="F1055" t="s">
        <v>52</v>
      </c>
      <c r="G1055" s="35"/>
    </row>
    <row r="1056" spans="2:7">
      <c r="B1056" s="3">
        <v>134</v>
      </c>
      <c r="C1056" s="92" t="s">
        <v>252</v>
      </c>
      <c r="D1056" s="93">
        <v>10164774385</v>
      </c>
      <c r="E1056" s="93" t="s">
        <v>605</v>
      </c>
      <c r="F1056" t="s">
        <v>52</v>
      </c>
      <c r="G1056" s="35"/>
    </row>
    <row r="1057" spans="2:7">
      <c r="B1057" s="3">
        <v>115</v>
      </c>
      <c r="C1057" s="92" t="s">
        <v>227</v>
      </c>
      <c r="D1057" s="93">
        <v>10114172014</v>
      </c>
      <c r="E1057" s="93" t="s">
        <v>606</v>
      </c>
      <c r="F1057" t="s">
        <v>52</v>
      </c>
      <c r="G1057" s="35"/>
    </row>
    <row r="1058" spans="2:7">
      <c r="B1058" s="3">
        <v>111</v>
      </c>
      <c r="C1058" s="92" t="s">
        <v>221</v>
      </c>
      <c r="D1058" s="93">
        <v>10137506372</v>
      </c>
      <c r="E1058" s="93" t="s">
        <v>222</v>
      </c>
      <c r="F1058" t="s">
        <v>52</v>
      </c>
      <c r="G1058" s="35"/>
    </row>
    <row r="1059" spans="2:7">
      <c r="B1059" s="3">
        <v>128</v>
      </c>
      <c r="C1059" s="92" t="s">
        <v>607</v>
      </c>
      <c r="D1059" s="93">
        <v>10161160935</v>
      </c>
      <c r="E1059" s="93" t="s">
        <v>245</v>
      </c>
      <c r="F1059" t="s">
        <v>52</v>
      </c>
      <c r="G1059" s="35"/>
    </row>
    <row r="1060" spans="2:7">
      <c r="B1060" s="3">
        <v>133</v>
      </c>
      <c r="C1060" s="92" t="s">
        <v>608</v>
      </c>
      <c r="D1060" s="93">
        <v>10131930286</v>
      </c>
      <c r="E1060" s="93" t="s">
        <v>345</v>
      </c>
      <c r="F1060" t="s">
        <v>52</v>
      </c>
      <c r="G1060" s="35"/>
    </row>
    <row r="1061" spans="2:7">
      <c r="B1061" s="3">
        <v>112</v>
      </c>
      <c r="C1061" s="92" t="s">
        <v>609</v>
      </c>
      <c r="D1061" s="93">
        <v>10152284728</v>
      </c>
      <c r="E1061" s="93" t="s">
        <v>177</v>
      </c>
      <c r="F1061" t="s">
        <v>52</v>
      </c>
      <c r="G1061" s="35"/>
    </row>
    <row r="1062" spans="2:7">
      <c r="B1062" s="3">
        <v>126</v>
      </c>
      <c r="C1062" s="92" t="s">
        <v>241</v>
      </c>
      <c r="D1062" s="93">
        <v>10171940059</v>
      </c>
      <c r="E1062" s="93" t="s">
        <v>610</v>
      </c>
      <c r="F1062" t="s">
        <v>52</v>
      </c>
      <c r="G1062" s="35"/>
    </row>
    <row r="1063" spans="2:7">
      <c r="B1063" s="3">
        <v>121</v>
      </c>
      <c r="C1063" s="92" t="s">
        <v>611</v>
      </c>
      <c r="D1063" s="93">
        <v>12828</v>
      </c>
      <c r="E1063" s="93" t="s">
        <v>135</v>
      </c>
      <c r="F1063" t="s">
        <v>52</v>
      </c>
      <c r="G1063" s="35"/>
    </row>
    <row r="1064" spans="2:7">
      <c r="B1064" s="3">
        <v>113</v>
      </c>
      <c r="C1064" s="92" t="s">
        <v>612</v>
      </c>
      <c r="D1064" s="93">
        <v>10161366554</v>
      </c>
      <c r="E1064" s="93" t="s">
        <v>85</v>
      </c>
      <c r="F1064" t="s">
        <v>52</v>
      </c>
      <c r="G1064" s="35"/>
    </row>
    <row r="1065" spans="2:7">
      <c r="B1065" s="3">
        <v>106</v>
      </c>
      <c r="C1065" s="92" t="s">
        <v>613</v>
      </c>
      <c r="D1065" s="93">
        <v>10164874621</v>
      </c>
      <c r="E1065" s="93" t="s">
        <v>113</v>
      </c>
      <c r="F1065" t="s">
        <v>52</v>
      </c>
      <c r="G1065" s="35"/>
    </row>
    <row r="1066" spans="2:7">
      <c r="B1066" s="3">
        <v>127</v>
      </c>
      <c r="C1066" s="92" t="s">
        <v>614</v>
      </c>
      <c r="D1066" s="93" t="s">
        <v>66</v>
      </c>
      <c r="E1066" s="93" t="s">
        <v>84</v>
      </c>
      <c r="F1066" t="s">
        <v>52</v>
      </c>
      <c r="G1066" s="35"/>
    </row>
    <row r="1067" spans="2:7">
      <c r="B1067" s="3">
        <v>137</v>
      </c>
      <c r="C1067" s="92" t="s">
        <v>615</v>
      </c>
      <c r="D1067" s="93" t="s">
        <v>66</v>
      </c>
      <c r="E1067" s="93" t="s">
        <v>297</v>
      </c>
      <c r="F1067" t="s">
        <v>52</v>
      </c>
      <c r="G1067" s="35"/>
    </row>
    <row r="1068" spans="2:7">
      <c r="B1068" s="3">
        <v>107</v>
      </c>
      <c r="C1068" s="92" t="s">
        <v>616</v>
      </c>
      <c r="D1068" s="93">
        <v>10165016683</v>
      </c>
      <c r="E1068" s="93" t="s">
        <v>113</v>
      </c>
      <c r="F1068" t="s">
        <v>52</v>
      </c>
      <c r="G1068" s="35"/>
    </row>
    <row r="1069" spans="2:7">
      <c r="B1069" s="3">
        <v>120</v>
      </c>
      <c r="C1069" s="92" t="s">
        <v>617</v>
      </c>
      <c r="D1069" s="93">
        <v>10131783069</v>
      </c>
      <c r="E1069" s="93" t="s">
        <v>84</v>
      </c>
      <c r="F1069" t="s">
        <v>52</v>
      </c>
      <c r="G1069" s="35"/>
    </row>
    <row r="1070" spans="2:7">
      <c r="B1070" s="3">
        <v>110</v>
      </c>
      <c r="C1070" s="92" t="s">
        <v>220</v>
      </c>
      <c r="D1070" s="93">
        <v>10152458823</v>
      </c>
      <c r="E1070" s="93" t="s">
        <v>177</v>
      </c>
      <c r="F1070" t="s">
        <v>52</v>
      </c>
      <c r="G1070" s="35"/>
    </row>
    <row r="1071" spans="2:7">
      <c r="B1071" s="3">
        <v>116</v>
      </c>
      <c r="C1071" s="92" t="s">
        <v>229</v>
      </c>
      <c r="D1071" s="93">
        <v>10127011982</v>
      </c>
      <c r="E1071" s="93" t="s">
        <v>177</v>
      </c>
      <c r="F1071" t="s">
        <v>52</v>
      </c>
      <c r="G1071" s="35"/>
    </row>
    <row r="1072" spans="2:7">
      <c r="B1072" s="3">
        <v>109</v>
      </c>
      <c r="C1072" s="92" t="s">
        <v>618</v>
      </c>
      <c r="D1072" s="93">
        <v>10170820014</v>
      </c>
      <c r="E1072" s="93" t="s">
        <v>619</v>
      </c>
      <c r="F1072" t="s">
        <v>52</v>
      </c>
      <c r="G1072" s="35"/>
    </row>
    <row r="1073" spans="2:7">
      <c r="B1073" s="3">
        <v>108</v>
      </c>
      <c r="C1073" s="92" t="s">
        <v>218</v>
      </c>
      <c r="D1073" s="93">
        <v>13241</v>
      </c>
      <c r="E1073" s="93" t="s">
        <v>113</v>
      </c>
      <c r="F1073" t="s">
        <v>52</v>
      </c>
      <c r="G1073" s="35"/>
    </row>
    <row r="1074" spans="2:7">
      <c r="B1074" s="3">
        <v>114</v>
      </c>
      <c r="C1074" s="92" t="s">
        <v>620</v>
      </c>
      <c r="D1074" s="93">
        <v>10142353645</v>
      </c>
      <c r="E1074" s="93" t="s">
        <v>226</v>
      </c>
      <c r="F1074" t="s">
        <v>52</v>
      </c>
      <c r="G1074" s="35"/>
    </row>
    <row r="1075" spans="2:7">
      <c r="B1075" s="3">
        <v>119</v>
      </c>
      <c r="C1075" s="92" t="s">
        <v>621</v>
      </c>
      <c r="D1075" s="93" t="s">
        <v>66</v>
      </c>
      <c r="E1075" s="93" t="s">
        <v>84</v>
      </c>
      <c r="F1075" t="s">
        <v>52</v>
      </c>
      <c r="G1075" s="35"/>
    </row>
    <row r="1076" spans="2:7">
      <c r="B1076" s="3">
        <v>122</v>
      </c>
      <c r="C1076" s="92" t="s">
        <v>622</v>
      </c>
      <c r="D1076" s="93">
        <v>10127124544</v>
      </c>
      <c r="E1076" s="93" t="s">
        <v>623</v>
      </c>
      <c r="F1076" t="s">
        <v>52</v>
      </c>
      <c r="G1076" s="35"/>
    </row>
    <row r="1077" spans="2:7">
      <c r="B1077" s="3">
        <v>140</v>
      </c>
      <c r="C1077" s="92" t="s">
        <v>261</v>
      </c>
      <c r="D1077" s="93">
        <v>10133141372</v>
      </c>
      <c r="E1077" s="93" t="s">
        <v>624</v>
      </c>
      <c r="F1077" t="s">
        <v>52</v>
      </c>
      <c r="G1077" s="35"/>
    </row>
    <row r="1078" spans="2:7">
      <c r="B1078" s="3">
        <v>142</v>
      </c>
      <c r="C1078" s="92" t="s">
        <v>264</v>
      </c>
      <c r="D1078" s="93">
        <v>10126142117</v>
      </c>
      <c r="E1078" s="93" t="s">
        <v>625</v>
      </c>
      <c r="F1078" t="s">
        <v>52</v>
      </c>
      <c r="G1078" s="35"/>
    </row>
    <row r="1079" spans="2:7">
      <c r="B1079" s="3">
        <v>145</v>
      </c>
      <c r="C1079" s="92" t="s">
        <v>626</v>
      </c>
      <c r="D1079" s="93">
        <v>10126522639</v>
      </c>
      <c r="E1079" s="93" t="s">
        <v>84</v>
      </c>
      <c r="F1079" t="s">
        <v>52</v>
      </c>
      <c r="G1079" s="35"/>
    </row>
    <row r="1080" spans="2:7">
      <c r="B1080" s="3">
        <v>146</v>
      </c>
      <c r="C1080" s="92" t="s">
        <v>627</v>
      </c>
      <c r="D1080" s="93">
        <v>10171432932</v>
      </c>
      <c r="E1080" s="93" t="s">
        <v>628</v>
      </c>
      <c r="F1080" t="s">
        <v>52</v>
      </c>
      <c r="G1080" s="35"/>
    </row>
    <row r="1081" spans="2:7">
      <c r="B1081" s="3">
        <v>147</v>
      </c>
      <c r="C1081" s="92" t="s">
        <v>266</v>
      </c>
      <c r="D1081" s="93">
        <v>120230461</v>
      </c>
      <c r="E1081" s="93" t="s">
        <v>115</v>
      </c>
      <c r="F1081" t="s">
        <v>52</v>
      </c>
      <c r="G1081" s="35"/>
    </row>
    <row r="1082" spans="2:7">
      <c r="B1082" s="3">
        <v>148</v>
      </c>
      <c r="C1082" s="92" t="s">
        <v>629</v>
      </c>
      <c r="D1082" s="93">
        <v>10142925440</v>
      </c>
      <c r="E1082" s="93" t="s">
        <v>492</v>
      </c>
      <c r="F1082" t="s">
        <v>52</v>
      </c>
      <c r="G1082" s="35"/>
    </row>
    <row r="1083" spans="2:7">
      <c r="B1083" s="3">
        <v>149</v>
      </c>
      <c r="C1083" s="92" t="s">
        <v>630</v>
      </c>
      <c r="D1083" s="93">
        <v>13317</v>
      </c>
      <c r="E1083" s="93" t="s">
        <v>631</v>
      </c>
      <c r="F1083" t="s">
        <v>52</v>
      </c>
      <c r="G1083" s="35"/>
    </row>
    <row r="1084" spans="2:7">
      <c r="B1084" s="3">
        <v>150</v>
      </c>
      <c r="C1084" s="92" t="s">
        <v>632</v>
      </c>
      <c r="D1084" s="93" t="s">
        <v>66</v>
      </c>
      <c r="E1084" s="93" t="s">
        <v>633</v>
      </c>
      <c r="F1084" t="s">
        <v>52</v>
      </c>
      <c r="G1084" s="35"/>
    </row>
    <row r="1085" spans="2:7">
      <c r="B1085" s="3">
        <v>151</v>
      </c>
      <c r="C1085" s="92" t="s">
        <v>634</v>
      </c>
      <c r="D1085" s="93">
        <v>10128423940</v>
      </c>
      <c r="E1085" s="93" t="s">
        <v>71</v>
      </c>
      <c r="F1085" t="s">
        <v>52</v>
      </c>
      <c r="G1085" s="35"/>
    </row>
    <row r="1086" spans="2:7">
      <c r="B1086" s="3">
        <v>152</v>
      </c>
      <c r="C1086" s="92" t="s">
        <v>635</v>
      </c>
      <c r="D1086" s="93">
        <v>10142265941</v>
      </c>
      <c r="E1086" s="93" t="s">
        <v>101</v>
      </c>
      <c r="F1086" t="s">
        <v>52</v>
      </c>
      <c r="G1086" s="35"/>
    </row>
    <row r="1087" spans="2:7">
      <c r="B1087" s="3">
        <v>153</v>
      </c>
      <c r="C1087" s="92" t="s">
        <v>636</v>
      </c>
      <c r="D1087" s="93">
        <v>10173143061</v>
      </c>
      <c r="E1087" s="93" t="s">
        <v>637</v>
      </c>
      <c r="F1087" t="s">
        <v>52</v>
      </c>
      <c r="G1087" s="35"/>
    </row>
    <row r="1088" spans="2:7">
      <c r="B1088" s="3">
        <v>154</v>
      </c>
      <c r="C1088" s="92" t="s">
        <v>638</v>
      </c>
      <c r="D1088" s="93">
        <v>10173142758</v>
      </c>
      <c r="E1088" s="93" t="s">
        <v>639</v>
      </c>
      <c r="F1088" t="s">
        <v>52</v>
      </c>
      <c r="G1088" s="35"/>
    </row>
    <row r="1089" spans="2:7">
      <c r="B1089" s="3">
        <v>155</v>
      </c>
      <c r="C1089" s="92" t="s">
        <v>640</v>
      </c>
      <c r="D1089" s="93" t="s">
        <v>66</v>
      </c>
      <c r="E1089" s="93" t="s">
        <v>641</v>
      </c>
      <c r="F1089" t="s">
        <v>52</v>
      </c>
      <c r="G1089" s="35"/>
    </row>
    <row r="1090" spans="2:7">
      <c r="B1090" s="3">
        <v>156</v>
      </c>
      <c r="C1090" s="92" t="s">
        <v>545</v>
      </c>
      <c r="D1090" s="93">
        <v>10129943002</v>
      </c>
      <c r="E1090" s="93" t="s">
        <v>116</v>
      </c>
      <c r="F1090" t="s">
        <v>52</v>
      </c>
      <c r="G1090" s="35"/>
    </row>
    <row r="1091" spans="2:7">
      <c r="B1091" s="3">
        <v>157</v>
      </c>
      <c r="C1091" s="92" t="s">
        <v>642</v>
      </c>
      <c r="D1091" s="93">
        <v>10128869837</v>
      </c>
      <c r="E1091" s="93" t="s">
        <v>643</v>
      </c>
      <c r="F1091" t="s">
        <v>52</v>
      </c>
      <c r="G1091" s="35"/>
    </row>
    <row r="1092" spans="2:7">
      <c r="B1092" s="3"/>
      <c r="C1092" s="92"/>
      <c r="D1092" s="93"/>
      <c r="E1092" s="93"/>
      <c r="F1092" s="8"/>
      <c r="G1092" s="35"/>
    </row>
    <row r="1093" spans="2:7">
      <c r="B1093" s="3">
        <v>261</v>
      </c>
      <c r="C1093" s="92" t="s">
        <v>644</v>
      </c>
      <c r="D1093" s="93">
        <v>10122460056</v>
      </c>
      <c r="E1093" s="93" t="s">
        <v>570</v>
      </c>
      <c r="F1093" s="8" t="s">
        <v>53</v>
      </c>
      <c r="G1093" s="35"/>
    </row>
    <row r="1094" spans="2:7">
      <c r="B1094" s="3">
        <v>262</v>
      </c>
      <c r="C1094" s="92" t="s">
        <v>645</v>
      </c>
      <c r="D1094" s="93">
        <v>10128546505</v>
      </c>
      <c r="E1094" s="93" t="s">
        <v>113</v>
      </c>
      <c r="F1094" s="8" t="s">
        <v>53</v>
      </c>
      <c r="G1094" s="35"/>
    </row>
    <row r="1095" spans="2:7">
      <c r="B1095" s="3">
        <v>263</v>
      </c>
      <c r="C1095" s="92" t="s">
        <v>646</v>
      </c>
      <c r="D1095" s="93">
        <v>10141535916</v>
      </c>
      <c r="E1095" s="93" t="s">
        <v>647</v>
      </c>
      <c r="F1095" s="8" t="s">
        <v>53</v>
      </c>
      <c r="G1095" s="35"/>
    </row>
    <row r="1096" spans="2:7">
      <c r="B1096" s="3">
        <v>265</v>
      </c>
      <c r="C1096" s="92" t="s">
        <v>648</v>
      </c>
      <c r="D1096" s="93" t="s">
        <v>66</v>
      </c>
      <c r="E1096" s="93" t="s">
        <v>133</v>
      </c>
      <c r="F1096" s="8" t="s">
        <v>53</v>
      </c>
      <c r="G1096" s="35"/>
    </row>
    <row r="1097" spans="2:7">
      <c r="B1097" s="22"/>
      <c r="C1097" s="8"/>
      <c r="D1097" s="17"/>
      <c r="E1097" s="17"/>
      <c r="G1097" s="35"/>
    </row>
    <row r="1098" spans="2:7">
      <c r="B1098" s="22">
        <v>302</v>
      </c>
      <c r="C1098" s="92" t="s">
        <v>649</v>
      </c>
      <c r="D1098" s="93">
        <v>10128933895</v>
      </c>
      <c r="E1098" s="93" t="s">
        <v>570</v>
      </c>
      <c r="F1098" t="s">
        <v>54</v>
      </c>
      <c r="G1098" s="35"/>
    </row>
    <row r="1099" spans="2:7">
      <c r="B1099" s="22">
        <v>321</v>
      </c>
      <c r="C1099" s="92" t="s">
        <v>296</v>
      </c>
      <c r="D1099" s="93">
        <v>10153036577</v>
      </c>
      <c r="E1099" s="93" t="s">
        <v>6</v>
      </c>
      <c r="F1099" t="s">
        <v>54</v>
      </c>
      <c r="G1099" s="35"/>
    </row>
    <row r="1100" spans="2:7">
      <c r="B1100" s="22">
        <v>304</v>
      </c>
      <c r="C1100" s="92" t="s">
        <v>650</v>
      </c>
      <c r="D1100" s="93">
        <v>10156150681</v>
      </c>
      <c r="E1100" s="93" t="s">
        <v>651</v>
      </c>
      <c r="F1100" t="s">
        <v>54</v>
      </c>
      <c r="G1100" s="35"/>
    </row>
    <row r="1101" spans="2:7">
      <c r="B1101" s="22">
        <v>323</v>
      </c>
      <c r="C1101" s="23" t="s">
        <v>652</v>
      </c>
      <c r="D1101" s="60">
        <v>10111930102</v>
      </c>
      <c r="E1101" s="93" t="s">
        <v>653</v>
      </c>
      <c r="F1101" t="s">
        <v>54</v>
      </c>
      <c r="G1101" s="35"/>
    </row>
    <row r="1102" spans="2:7">
      <c r="B1102" s="22">
        <v>303</v>
      </c>
      <c r="C1102" s="92" t="s">
        <v>274</v>
      </c>
      <c r="D1102" s="93">
        <v>10152378694</v>
      </c>
      <c r="E1102" s="93" t="s">
        <v>115</v>
      </c>
      <c r="F1102" t="s">
        <v>54</v>
      </c>
      <c r="G1102" s="35"/>
    </row>
    <row r="1103" spans="2:7">
      <c r="B1103" s="22">
        <v>319</v>
      </c>
      <c r="C1103" s="92" t="s">
        <v>293</v>
      </c>
      <c r="D1103" s="93">
        <v>10155992956</v>
      </c>
      <c r="E1103" s="92" t="s">
        <v>130</v>
      </c>
      <c r="F1103" t="s">
        <v>54</v>
      </c>
      <c r="G1103" s="35"/>
    </row>
    <row r="1104" spans="2:7">
      <c r="B1104" s="22">
        <v>337</v>
      </c>
      <c r="C1104" s="92" t="s">
        <v>322</v>
      </c>
      <c r="D1104" s="93">
        <v>10173459020</v>
      </c>
      <c r="E1104" s="93" t="s">
        <v>138</v>
      </c>
      <c r="F1104" t="s">
        <v>54</v>
      </c>
      <c r="G1104" s="35"/>
    </row>
    <row r="1105" spans="2:7">
      <c r="B1105" s="22">
        <v>325</v>
      </c>
      <c r="C1105" s="23" t="s">
        <v>654</v>
      </c>
      <c r="D1105" s="60">
        <v>10152418609</v>
      </c>
      <c r="E1105" s="93" t="s">
        <v>6</v>
      </c>
      <c r="F1105" t="s">
        <v>54</v>
      </c>
      <c r="G1105" s="35"/>
    </row>
    <row r="1106" spans="2:7">
      <c r="B1106" s="22">
        <v>336</v>
      </c>
      <c r="C1106" s="92" t="s">
        <v>320</v>
      </c>
      <c r="D1106" s="93">
        <v>10173205507</v>
      </c>
      <c r="E1106" s="93" t="s">
        <v>321</v>
      </c>
      <c r="F1106" t="s">
        <v>54</v>
      </c>
      <c r="G1106" s="35"/>
    </row>
    <row r="1107" spans="2:7">
      <c r="B1107" s="22">
        <v>305</v>
      </c>
      <c r="C1107" s="23" t="s">
        <v>655</v>
      </c>
      <c r="D1107" s="60">
        <v>10152909669</v>
      </c>
      <c r="E1107" s="93" t="s">
        <v>656</v>
      </c>
      <c r="F1107" t="s">
        <v>54</v>
      </c>
      <c r="G1107" s="35"/>
    </row>
    <row r="1108" spans="2:7">
      <c r="B1108" s="22">
        <v>314</v>
      </c>
      <c r="C1108" s="92" t="s">
        <v>657</v>
      </c>
      <c r="D1108" s="93">
        <v>10164592614</v>
      </c>
      <c r="E1108" s="92" t="s">
        <v>113</v>
      </c>
      <c r="F1108" t="s">
        <v>54</v>
      </c>
      <c r="G1108" s="35"/>
    </row>
    <row r="1109" spans="2:7">
      <c r="B1109" s="22">
        <v>333</v>
      </c>
      <c r="C1109" s="92" t="s">
        <v>658</v>
      </c>
      <c r="D1109" s="93">
        <v>10170459902</v>
      </c>
      <c r="E1109" s="93" t="s">
        <v>71</v>
      </c>
      <c r="F1109" t="s">
        <v>54</v>
      </c>
      <c r="G1109" s="35"/>
    </row>
    <row r="1110" spans="2:7">
      <c r="B1110" s="22">
        <v>307</v>
      </c>
      <c r="C1110" s="92" t="s">
        <v>659</v>
      </c>
      <c r="D1110" s="93">
        <v>10153824200</v>
      </c>
      <c r="E1110" s="93" t="s">
        <v>113</v>
      </c>
      <c r="F1110" t="s">
        <v>54</v>
      </c>
      <c r="G1110" s="35"/>
    </row>
    <row r="1111" spans="2:7">
      <c r="B1111" s="22">
        <v>331</v>
      </c>
      <c r="C1111" s="92" t="s">
        <v>311</v>
      </c>
      <c r="D1111" s="93">
        <v>305900561</v>
      </c>
      <c r="E1111" s="92" t="s">
        <v>312</v>
      </c>
      <c r="F1111" t="s">
        <v>54</v>
      </c>
      <c r="G1111" s="35"/>
    </row>
    <row r="1112" spans="2:7">
      <c r="B1112" s="22">
        <v>310</v>
      </c>
      <c r="C1112" s="92" t="s">
        <v>283</v>
      </c>
      <c r="D1112" s="93">
        <v>10140942495</v>
      </c>
      <c r="E1112" s="92" t="s">
        <v>113</v>
      </c>
      <c r="F1112" t="s">
        <v>54</v>
      </c>
      <c r="G1112" s="35"/>
    </row>
    <row r="1113" spans="2:7">
      <c r="B1113" s="22">
        <v>311</v>
      </c>
      <c r="C1113" s="92" t="s">
        <v>660</v>
      </c>
      <c r="D1113" s="93">
        <v>10128424344</v>
      </c>
      <c r="E1113" s="92" t="s">
        <v>113</v>
      </c>
      <c r="F1113" t="s">
        <v>54</v>
      </c>
      <c r="G1113" s="35"/>
    </row>
    <row r="1114" spans="2:7">
      <c r="B1114" s="22">
        <v>328</v>
      </c>
      <c r="C1114" s="92" t="s">
        <v>661</v>
      </c>
      <c r="D1114" s="93">
        <v>10162461543</v>
      </c>
      <c r="E1114" s="93" t="s">
        <v>308</v>
      </c>
      <c r="F1114" t="s">
        <v>54</v>
      </c>
      <c r="G1114" s="35"/>
    </row>
    <row r="1115" spans="2:7">
      <c r="B1115" s="22">
        <v>335</v>
      </c>
      <c r="C1115" s="92" t="s">
        <v>662</v>
      </c>
      <c r="D1115" s="93">
        <v>10154135004</v>
      </c>
      <c r="E1115" s="92" t="s">
        <v>663</v>
      </c>
      <c r="F1115" t="s">
        <v>54</v>
      </c>
      <c r="G1115" s="35"/>
    </row>
    <row r="1116" spans="2:7">
      <c r="B1116" s="22">
        <v>320</v>
      </c>
      <c r="C1116" s="92" t="s">
        <v>664</v>
      </c>
      <c r="D1116" s="93">
        <v>10136994902</v>
      </c>
      <c r="E1116" s="93" t="s">
        <v>454</v>
      </c>
      <c r="F1116" t="s">
        <v>54</v>
      </c>
      <c r="G1116" s="35"/>
    </row>
    <row r="1117" spans="2:7">
      <c r="B1117" s="22">
        <v>315</v>
      </c>
      <c r="C1117" s="92" t="s">
        <v>289</v>
      </c>
      <c r="D1117" s="93">
        <v>10155740655</v>
      </c>
      <c r="E1117" s="93" t="s">
        <v>86</v>
      </c>
      <c r="F1117" t="s">
        <v>54</v>
      </c>
      <c r="G1117" s="35"/>
    </row>
    <row r="1118" spans="2:7">
      <c r="B1118" s="22">
        <v>317</v>
      </c>
      <c r="C1118" s="92" t="s">
        <v>665</v>
      </c>
      <c r="D1118" s="93" t="s">
        <v>66</v>
      </c>
      <c r="E1118" s="93" t="s">
        <v>84</v>
      </c>
      <c r="F1118" t="s">
        <v>54</v>
      </c>
      <c r="G1118" s="35"/>
    </row>
    <row r="1119" spans="2:7">
      <c r="B1119" s="22">
        <v>306</v>
      </c>
      <c r="C1119" s="92" t="s">
        <v>279</v>
      </c>
      <c r="D1119" s="93">
        <v>10170771312</v>
      </c>
      <c r="E1119" s="93" t="s">
        <v>113</v>
      </c>
      <c r="F1119" t="s">
        <v>54</v>
      </c>
      <c r="G1119" s="35"/>
    </row>
    <row r="1120" spans="2:7">
      <c r="B1120" s="22">
        <v>318</v>
      </c>
      <c r="C1120" s="92" t="s">
        <v>666</v>
      </c>
      <c r="D1120" s="93" t="s">
        <v>66</v>
      </c>
      <c r="E1120" s="93" t="s">
        <v>84</v>
      </c>
      <c r="F1120" t="s">
        <v>54</v>
      </c>
      <c r="G1120" s="35"/>
    </row>
    <row r="1121" spans="2:7">
      <c r="B1121" s="22">
        <v>338</v>
      </c>
      <c r="C1121" s="92" t="s">
        <v>667</v>
      </c>
      <c r="D1121" s="93">
        <v>10173361919</v>
      </c>
      <c r="E1121" s="93" t="s">
        <v>668</v>
      </c>
      <c r="F1121" t="s">
        <v>54</v>
      </c>
      <c r="G1121" s="35"/>
    </row>
    <row r="1122" spans="2:7">
      <c r="B1122" s="22">
        <v>322</v>
      </c>
      <c r="C1122" s="92" t="s">
        <v>669</v>
      </c>
      <c r="D1122" s="93">
        <v>10141584820</v>
      </c>
      <c r="E1122" s="92" t="s">
        <v>301</v>
      </c>
      <c r="F1122" t="s">
        <v>54</v>
      </c>
      <c r="G1122" s="35"/>
    </row>
    <row r="1123" spans="2:7">
      <c r="B1123" s="22">
        <v>324</v>
      </c>
      <c r="C1123" s="92" t="s">
        <v>670</v>
      </c>
      <c r="D1123" s="93">
        <v>10161110819</v>
      </c>
      <c r="E1123" s="93" t="s">
        <v>671</v>
      </c>
      <c r="F1123" t="s">
        <v>54</v>
      </c>
      <c r="G1123" s="35"/>
    </row>
    <row r="1124" spans="2:7">
      <c r="B1124" s="22">
        <v>316</v>
      </c>
      <c r="C1124" s="92" t="s">
        <v>290</v>
      </c>
      <c r="D1124" s="93" t="s">
        <v>66</v>
      </c>
      <c r="E1124" s="93" t="s">
        <v>84</v>
      </c>
      <c r="F1124" t="s">
        <v>54</v>
      </c>
      <c r="G1124" s="35"/>
    </row>
    <row r="1125" spans="2:7">
      <c r="B1125" s="22">
        <v>332</v>
      </c>
      <c r="C1125" s="92" t="s">
        <v>313</v>
      </c>
      <c r="D1125" s="93">
        <v>121280045</v>
      </c>
      <c r="E1125" s="92" t="s">
        <v>65</v>
      </c>
      <c r="F1125" t="s">
        <v>54</v>
      </c>
      <c r="G1125" s="35"/>
    </row>
    <row r="1126" spans="2:7">
      <c r="B1126" s="22">
        <v>309</v>
      </c>
      <c r="C1126" s="92" t="s">
        <v>282</v>
      </c>
      <c r="D1126" s="93">
        <v>10171656840</v>
      </c>
      <c r="E1126" s="93" t="s">
        <v>113</v>
      </c>
      <c r="F1126" t="s">
        <v>54</v>
      </c>
      <c r="G1126" s="35"/>
    </row>
    <row r="1127" spans="2:7">
      <c r="B1127" s="22">
        <v>301</v>
      </c>
      <c r="C1127" s="92" t="s">
        <v>272</v>
      </c>
      <c r="D1127" s="93">
        <v>120760930</v>
      </c>
      <c r="E1127" s="93" t="s">
        <v>114</v>
      </c>
      <c r="F1127" t="s">
        <v>54</v>
      </c>
      <c r="G1127" s="35"/>
    </row>
    <row r="1128" spans="2:7">
      <c r="B1128" s="22">
        <v>326</v>
      </c>
      <c r="C1128" s="92" t="s">
        <v>672</v>
      </c>
      <c r="D1128" s="93">
        <v>10120480953</v>
      </c>
      <c r="E1128" s="93" t="s">
        <v>133</v>
      </c>
      <c r="F1128" t="s">
        <v>54</v>
      </c>
      <c r="G1128" s="35"/>
    </row>
    <row r="1129" spans="2:7">
      <c r="B1129" s="22">
        <v>327</v>
      </c>
      <c r="C1129" s="92" t="s">
        <v>306</v>
      </c>
      <c r="D1129" s="93">
        <v>10171445864</v>
      </c>
      <c r="E1129" s="93" t="s">
        <v>245</v>
      </c>
      <c r="F1129" t="s">
        <v>54</v>
      </c>
      <c r="G1129" s="35"/>
    </row>
    <row r="1130" spans="2:7">
      <c r="B1130" s="22">
        <v>329</v>
      </c>
      <c r="C1130" s="92" t="s">
        <v>673</v>
      </c>
      <c r="D1130" s="93">
        <v>10144442579</v>
      </c>
      <c r="E1130" s="92" t="s">
        <v>130</v>
      </c>
      <c r="F1130" t="s">
        <v>54</v>
      </c>
      <c r="G1130" s="35"/>
    </row>
    <row r="1131" spans="2:7">
      <c r="B1131" s="22">
        <v>334</v>
      </c>
      <c r="C1131" s="23" t="s">
        <v>316</v>
      </c>
      <c r="D1131" s="93">
        <v>128883</v>
      </c>
      <c r="E1131" s="93" t="s">
        <v>674</v>
      </c>
      <c r="F1131" t="s">
        <v>54</v>
      </c>
      <c r="G1131" s="35"/>
    </row>
    <row r="1132" spans="2:7">
      <c r="B1132" s="22">
        <v>341</v>
      </c>
      <c r="C1132" s="92" t="s">
        <v>675</v>
      </c>
      <c r="D1132" s="93" t="s">
        <v>66</v>
      </c>
      <c r="E1132" s="92" t="s">
        <v>65</v>
      </c>
      <c r="F1132" t="s">
        <v>54</v>
      </c>
      <c r="G1132" s="35"/>
    </row>
    <row r="1133" spans="2:7">
      <c r="B1133" s="22">
        <v>342</v>
      </c>
      <c r="C1133" s="92" t="s">
        <v>676</v>
      </c>
      <c r="D1133" s="93">
        <v>10166012652</v>
      </c>
      <c r="E1133" s="93" t="s">
        <v>677</v>
      </c>
      <c r="F1133" t="s">
        <v>54</v>
      </c>
      <c r="G1133" s="35"/>
    </row>
    <row r="1134" spans="2:7">
      <c r="B1134" s="22">
        <v>343</v>
      </c>
      <c r="C1134" s="92" t="s">
        <v>678</v>
      </c>
      <c r="D1134" s="93" t="s">
        <v>66</v>
      </c>
      <c r="E1134" s="93" t="s">
        <v>112</v>
      </c>
      <c r="F1134" t="s">
        <v>54</v>
      </c>
      <c r="G1134" s="35"/>
    </row>
    <row r="1135" spans="2:7">
      <c r="B1135" s="22">
        <v>344</v>
      </c>
      <c r="C1135" s="92" t="s">
        <v>679</v>
      </c>
      <c r="D1135" s="93">
        <v>10128563982</v>
      </c>
      <c r="E1135" s="93" t="s">
        <v>680</v>
      </c>
      <c r="F1135" t="s">
        <v>54</v>
      </c>
      <c r="G1135" s="35"/>
    </row>
    <row r="1136" spans="2:7">
      <c r="B1136" s="22">
        <v>345</v>
      </c>
      <c r="C1136" s="92" t="s">
        <v>681</v>
      </c>
      <c r="D1136" s="93" t="s">
        <v>66</v>
      </c>
      <c r="E1136" s="92" t="s">
        <v>596</v>
      </c>
      <c r="F1136" t="s">
        <v>54</v>
      </c>
      <c r="G1136" s="35"/>
    </row>
    <row r="1137" spans="2:7">
      <c r="B1137" s="22">
        <v>346</v>
      </c>
      <c r="C1137" s="92" t="s">
        <v>682</v>
      </c>
      <c r="D1137" s="93">
        <v>10127119086</v>
      </c>
      <c r="E1137" s="92" t="s">
        <v>683</v>
      </c>
      <c r="F1137" t="s">
        <v>54</v>
      </c>
      <c r="G1137" s="35"/>
    </row>
    <row r="1138" spans="2:7">
      <c r="B1138" s="22">
        <v>347</v>
      </c>
      <c r="C1138" s="92" t="s">
        <v>684</v>
      </c>
      <c r="D1138" s="93">
        <v>10127318746</v>
      </c>
      <c r="E1138" s="93" t="s">
        <v>130</v>
      </c>
      <c r="F1138" t="s">
        <v>54</v>
      </c>
      <c r="G1138" s="35"/>
    </row>
    <row r="1139" spans="2:7">
      <c r="B1139" s="22">
        <v>348</v>
      </c>
      <c r="C1139" s="23" t="s">
        <v>685</v>
      </c>
      <c r="D1139" s="93">
        <v>10165439746</v>
      </c>
      <c r="E1139" s="93" t="s">
        <v>109</v>
      </c>
      <c r="F1139" t="s">
        <v>54</v>
      </c>
      <c r="G1139" s="35"/>
    </row>
    <row r="1140" spans="2:7">
      <c r="B1140" s="22"/>
      <c r="C1140" s="23"/>
      <c r="D1140" s="93"/>
      <c r="E1140" s="93"/>
      <c r="F1140" s="8"/>
      <c r="G1140" s="35"/>
    </row>
    <row r="1141" spans="2:7">
      <c r="B1141" s="22">
        <v>381</v>
      </c>
      <c r="C1141" s="92" t="s">
        <v>327</v>
      </c>
      <c r="D1141" s="93">
        <v>10125653679</v>
      </c>
      <c r="E1141" s="93" t="s">
        <v>100</v>
      </c>
      <c r="F1141" s="8" t="s">
        <v>55</v>
      </c>
      <c r="G1141" s="35"/>
    </row>
    <row r="1142" spans="2:7">
      <c r="B1142" s="22">
        <v>387</v>
      </c>
      <c r="C1142" s="92" t="s">
        <v>334</v>
      </c>
      <c r="D1142" s="93" t="s">
        <v>66</v>
      </c>
      <c r="E1142" s="93" t="s">
        <v>100</v>
      </c>
      <c r="F1142" s="8" t="s">
        <v>55</v>
      </c>
      <c r="G1142" s="35"/>
    </row>
    <row r="1143" spans="2:7">
      <c r="B1143" s="22">
        <v>386</v>
      </c>
      <c r="C1143" s="93" t="s">
        <v>686</v>
      </c>
      <c r="D1143" s="93">
        <v>10152378391</v>
      </c>
      <c r="E1143" s="92" t="s">
        <v>113</v>
      </c>
      <c r="F1143" s="8" t="s">
        <v>55</v>
      </c>
      <c r="G1143" s="35"/>
    </row>
    <row r="1144" spans="2:7">
      <c r="B1144" s="22">
        <v>382</v>
      </c>
      <c r="C1144" s="92" t="s">
        <v>328</v>
      </c>
      <c r="D1144" s="93">
        <v>10128546909</v>
      </c>
      <c r="E1144" s="92" t="s">
        <v>687</v>
      </c>
      <c r="F1144" s="8" t="s">
        <v>55</v>
      </c>
      <c r="G1144" s="35"/>
    </row>
    <row r="1145" spans="2:7">
      <c r="B1145" s="22">
        <v>385</v>
      </c>
      <c r="C1145" s="92" t="s">
        <v>688</v>
      </c>
      <c r="D1145" s="93">
        <v>10171339063</v>
      </c>
      <c r="E1145" s="93" t="s">
        <v>113</v>
      </c>
      <c r="F1145" s="8" t="s">
        <v>55</v>
      </c>
      <c r="G1145" s="35"/>
    </row>
    <row r="1146" spans="2:7">
      <c r="B1146" s="22">
        <v>388</v>
      </c>
      <c r="C1146" s="92" t="s">
        <v>689</v>
      </c>
      <c r="D1146" s="93">
        <v>10128284605</v>
      </c>
      <c r="E1146" s="92" t="s">
        <v>677</v>
      </c>
      <c r="F1146" s="8" t="s">
        <v>55</v>
      </c>
      <c r="G1146" s="35"/>
    </row>
    <row r="1147" spans="2:7">
      <c r="B1147" s="22">
        <v>383</v>
      </c>
      <c r="C1147" s="92" t="s">
        <v>690</v>
      </c>
      <c r="D1147" s="93">
        <v>10128827401</v>
      </c>
      <c r="E1147" s="92" t="s">
        <v>64</v>
      </c>
      <c r="F1147" s="8" t="s">
        <v>55</v>
      </c>
      <c r="G1147" s="35"/>
    </row>
    <row r="1148" spans="2:7">
      <c r="B1148" s="22">
        <v>384</v>
      </c>
      <c r="C1148" s="93" t="s">
        <v>691</v>
      </c>
      <c r="D1148" s="93">
        <v>10141538340</v>
      </c>
      <c r="E1148" s="92" t="s">
        <v>71</v>
      </c>
      <c r="F1148" s="8" t="s">
        <v>55</v>
      </c>
      <c r="G1148" s="35"/>
    </row>
    <row r="1149" spans="2:7">
      <c r="B1149" s="22">
        <v>390</v>
      </c>
      <c r="C1149" s="92" t="s">
        <v>692</v>
      </c>
      <c r="D1149" s="93">
        <v>10152964031</v>
      </c>
      <c r="E1149" s="93" t="s">
        <v>693</v>
      </c>
      <c r="F1149" s="8" t="s">
        <v>55</v>
      </c>
      <c r="G1149" s="35"/>
    </row>
    <row r="1150" spans="2:7">
      <c r="B1150" s="22"/>
      <c r="C1150" s="92"/>
      <c r="D1150" s="93"/>
      <c r="E1150" s="93"/>
      <c r="F1150" s="8"/>
      <c r="G1150" s="35"/>
    </row>
    <row r="1151" spans="2:7">
      <c r="B1151" s="22">
        <v>510</v>
      </c>
      <c r="C1151" s="92" t="s">
        <v>352</v>
      </c>
      <c r="D1151" s="93">
        <v>10126142218</v>
      </c>
      <c r="E1151" s="93" t="s">
        <v>130</v>
      </c>
      <c r="F1151" s="8" t="s">
        <v>56</v>
      </c>
      <c r="G1151" s="35"/>
    </row>
    <row r="1152" spans="2:7">
      <c r="B1152" s="22">
        <v>512</v>
      </c>
      <c r="C1152" s="92" t="s">
        <v>694</v>
      </c>
      <c r="D1152" s="93" t="s">
        <v>66</v>
      </c>
      <c r="E1152" s="93" t="s">
        <v>133</v>
      </c>
      <c r="F1152" s="8" t="s">
        <v>56</v>
      </c>
      <c r="G1152" s="35"/>
    </row>
    <row r="1153" spans="2:7">
      <c r="B1153" s="22">
        <v>518</v>
      </c>
      <c r="C1153" s="92" t="s">
        <v>361</v>
      </c>
      <c r="D1153" s="93">
        <v>10141584517</v>
      </c>
      <c r="E1153" s="92" t="s">
        <v>362</v>
      </c>
      <c r="F1153" s="8" t="s">
        <v>56</v>
      </c>
      <c r="G1153" s="35"/>
    </row>
    <row r="1154" spans="2:7">
      <c r="B1154" s="22">
        <v>505</v>
      </c>
      <c r="C1154" s="92" t="s">
        <v>695</v>
      </c>
      <c r="D1154" s="93">
        <v>10156807554</v>
      </c>
      <c r="E1154" s="93" t="s">
        <v>345</v>
      </c>
      <c r="F1154" s="8" t="s">
        <v>56</v>
      </c>
      <c r="G1154" s="35"/>
    </row>
    <row r="1155" spans="2:7">
      <c r="B1155" s="22">
        <v>502</v>
      </c>
      <c r="C1155" s="92" t="s">
        <v>696</v>
      </c>
      <c r="D1155" s="93">
        <v>10139359880</v>
      </c>
      <c r="E1155" s="92" t="s">
        <v>132</v>
      </c>
      <c r="F1155" s="8" t="s">
        <v>56</v>
      </c>
      <c r="G1155" s="35"/>
    </row>
    <row r="1156" spans="2:7">
      <c r="B1156" s="22">
        <v>501</v>
      </c>
      <c r="C1156" s="92" t="s">
        <v>697</v>
      </c>
      <c r="D1156" s="93">
        <v>13221</v>
      </c>
      <c r="E1156" s="93" t="s">
        <v>674</v>
      </c>
      <c r="F1156" s="8" t="s">
        <v>56</v>
      </c>
      <c r="G1156" s="35"/>
    </row>
    <row r="1157" spans="2:7">
      <c r="B1157" s="22">
        <v>521</v>
      </c>
      <c r="C1157" s="92" t="s">
        <v>698</v>
      </c>
      <c r="D1157" s="93">
        <v>10153425183</v>
      </c>
      <c r="E1157" s="92" t="s">
        <v>130</v>
      </c>
      <c r="F1157" s="8" t="s">
        <v>56</v>
      </c>
      <c r="G1157" s="35"/>
    </row>
    <row r="1158" spans="2:7">
      <c r="B1158" s="22">
        <v>524</v>
      </c>
      <c r="C1158" s="92" t="s">
        <v>699</v>
      </c>
      <c r="D1158" s="93">
        <v>1511</v>
      </c>
      <c r="E1158" s="93" t="s">
        <v>700</v>
      </c>
      <c r="F1158" s="8" t="s">
        <v>56</v>
      </c>
      <c r="G1158" s="35"/>
    </row>
    <row r="1159" spans="2:7">
      <c r="B1159" s="22">
        <v>507</v>
      </c>
      <c r="C1159" s="92" t="s">
        <v>701</v>
      </c>
      <c r="D1159" s="93">
        <v>10129054440</v>
      </c>
      <c r="E1159" s="92" t="s">
        <v>155</v>
      </c>
      <c r="F1159" s="8" t="s">
        <v>56</v>
      </c>
      <c r="G1159" s="35"/>
    </row>
    <row r="1160" spans="2:7">
      <c r="B1160" s="22">
        <v>514</v>
      </c>
      <c r="C1160" s="92" t="s">
        <v>356</v>
      </c>
      <c r="D1160" s="93">
        <v>10156979326</v>
      </c>
      <c r="E1160" s="93" t="s">
        <v>357</v>
      </c>
      <c r="F1160" s="8" t="s">
        <v>56</v>
      </c>
      <c r="G1160" s="35"/>
    </row>
    <row r="1161" spans="2:7">
      <c r="B1161" s="22">
        <v>503</v>
      </c>
      <c r="C1161" s="92" t="s">
        <v>702</v>
      </c>
      <c r="D1161" s="93">
        <v>10142567550</v>
      </c>
      <c r="E1161" s="93" t="s">
        <v>570</v>
      </c>
      <c r="F1161" s="8" t="s">
        <v>56</v>
      </c>
      <c r="G1161" s="35"/>
    </row>
    <row r="1162" spans="2:7">
      <c r="B1162" s="22">
        <v>520</v>
      </c>
      <c r="C1162" s="92" t="s">
        <v>703</v>
      </c>
      <c r="D1162" s="93" t="s">
        <v>66</v>
      </c>
      <c r="E1162" s="92" t="s">
        <v>704</v>
      </c>
      <c r="F1162" s="8" t="s">
        <v>56</v>
      </c>
      <c r="G1162" s="35"/>
    </row>
    <row r="1163" spans="2:7">
      <c r="B1163" s="22">
        <v>504</v>
      </c>
      <c r="C1163" s="92" t="s">
        <v>705</v>
      </c>
      <c r="D1163" s="93">
        <v>10154828350</v>
      </c>
      <c r="E1163" s="93" t="s">
        <v>129</v>
      </c>
      <c r="F1163" s="8" t="s">
        <v>56</v>
      </c>
      <c r="G1163" s="35"/>
    </row>
    <row r="1164" spans="2:7">
      <c r="B1164" s="22">
        <v>523</v>
      </c>
      <c r="C1164" s="92" t="s">
        <v>369</v>
      </c>
      <c r="D1164" s="93" t="s">
        <v>66</v>
      </c>
      <c r="E1164" s="93" t="s">
        <v>130</v>
      </c>
      <c r="F1164" s="8" t="s">
        <v>56</v>
      </c>
      <c r="G1164" s="35"/>
    </row>
    <row r="1165" spans="2:7">
      <c r="B1165" s="22">
        <v>522</v>
      </c>
      <c r="C1165" s="92" t="s">
        <v>706</v>
      </c>
      <c r="D1165" s="93">
        <v>10141592496</v>
      </c>
      <c r="E1165" s="92" t="s">
        <v>7</v>
      </c>
      <c r="F1165" s="8" t="s">
        <v>56</v>
      </c>
      <c r="G1165" s="35"/>
    </row>
    <row r="1166" spans="2:7">
      <c r="B1166" s="22">
        <v>513</v>
      </c>
      <c r="C1166" s="92" t="s">
        <v>707</v>
      </c>
      <c r="D1166" s="93">
        <v>9876</v>
      </c>
      <c r="E1166" s="93" t="s">
        <v>135</v>
      </c>
      <c r="F1166" s="8" t="s">
        <v>56</v>
      </c>
      <c r="G1166" s="35"/>
    </row>
    <row r="1167" spans="2:7">
      <c r="B1167" s="22">
        <v>516</v>
      </c>
      <c r="C1167" s="92" t="s">
        <v>708</v>
      </c>
      <c r="D1167" s="95" t="s">
        <v>66</v>
      </c>
      <c r="E1167" s="93" t="s">
        <v>84</v>
      </c>
      <c r="F1167" s="8" t="s">
        <v>56</v>
      </c>
      <c r="G1167" s="35"/>
    </row>
    <row r="1168" spans="2:7">
      <c r="B1168" s="22">
        <v>506</v>
      </c>
      <c r="C1168" s="92" t="s">
        <v>709</v>
      </c>
      <c r="D1168" s="95">
        <v>10171702512</v>
      </c>
      <c r="E1168" s="92" t="s">
        <v>113</v>
      </c>
      <c r="F1168" s="8" t="s">
        <v>56</v>
      </c>
      <c r="G1168" s="35"/>
    </row>
    <row r="1169" spans="2:7">
      <c r="B1169" s="22">
        <v>515</v>
      </c>
      <c r="C1169" s="92" t="s">
        <v>710</v>
      </c>
      <c r="D1169" s="93" t="s">
        <v>66</v>
      </c>
      <c r="E1169" s="93" t="s">
        <v>135</v>
      </c>
      <c r="F1169" s="8" t="s">
        <v>56</v>
      </c>
      <c r="G1169" s="35"/>
    </row>
    <row r="1170" spans="2:7">
      <c r="B1170" s="22">
        <v>517</v>
      </c>
      <c r="C1170" s="92" t="s">
        <v>711</v>
      </c>
      <c r="D1170" s="93">
        <v>10171431821</v>
      </c>
      <c r="E1170" s="93" t="s">
        <v>245</v>
      </c>
      <c r="F1170" s="8" t="s">
        <v>56</v>
      </c>
      <c r="G1170" s="35"/>
    </row>
    <row r="1171" spans="2:7">
      <c r="B1171" s="22">
        <v>508</v>
      </c>
      <c r="C1171" s="92" t="s">
        <v>712</v>
      </c>
      <c r="D1171" s="93">
        <v>10171656133</v>
      </c>
      <c r="E1171" s="93" t="s">
        <v>113</v>
      </c>
      <c r="F1171" s="8" t="s">
        <v>56</v>
      </c>
      <c r="G1171" s="35"/>
    </row>
    <row r="1172" spans="2:7">
      <c r="B1172" s="22">
        <v>509</v>
      </c>
      <c r="C1172" s="92" t="s">
        <v>713</v>
      </c>
      <c r="D1172" s="93">
        <v>605370547</v>
      </c>
      <c r="E1172" s="92" t="s">
        <v>71</v>
      </c>
      <c r="F1172" s="8" t="s">
        <v>56</v>
      </c>
      <c r="G1172" s="35"/>
    </row>
    <row r="1173" spans="2:7">
      <c r="B1173" s="22">
        <v>525</v>
      </c>
      <c r="C1173" s="92" t="s">
        <v>714</v>
      </c>
      <c r="D1173" s="93" t="s">
        <v>66</v>
      </c>
      <c r="E1173" s="93" t="s">
        <v>715</v>
      </c>
      <c r="F1173" s="8" t="s">
        <v>56</v>
      </c>
      <c r="G1173" s="35"/>
    </row>
    <row r="1174" spans="2:7">
      <c r="B1174" s="22">
        <v>526</v>
      </c>
      <c r="C1174" s="92" t="s">
        <v>716</v>
      </c>
      <c r="D1174" s="93" t="s">
        <v>66</v>
      </c>
      <c r="E1174" s="92" t="s">
        <v>717</v>
      </c>
      <c r="F1174" s="8" t="s">
        <v>56</v>
      </c>
      <c r="G1174" s="35"/>
    </row>
    <row r="1175" spans="2:7">
      <c r="B1175" s="22">
        <v>527</v>
      </c>
      <c r="C1175" s="92" t="s">
        <v>718</v>
      </c>
      <c r="D1175" s="93">
        <v>10162613309</v>
      </c>
      <c r="E1175" s="93" t="s">
        <v>719</v>
      </c>
      <c r="F1175" s="8" t="s">
        <v>56</v>
      </c>
      <c r="G1175" s="35"/>
    </row>
    <row r="1176" spans="2:7">
      <c r="B1176" s="22">
        <v>528</v>
      </c>
      <c r="C1176" s="92" t="s">
        <v>720</v>
      </c>
      <c r="D1176" s="93" t="s">
        <v>66</v>
      </c>
      <c r="E1176" s="93" t="s">
        <v>721</v>
      </c>
      <c r="F1176" s="8" t="s">
        <v>56</v>
      </c>
      <c r="G1176" s="35"/>
    </row>
    <row r="1177" spans="2:7">
      <c r="B1177" s="22">
        <v>529</v>
      </c>
      <c r="C1177" s="92" t="s">
        <v>722</v>
      </c>
      <c r="D1177" s="93">
        <v>10162504282</v>
      </c>
      <c r="E1177" s="92" t="s">
        <v>723</v>
      </c>
      <c r="F1177" s="8" t="s">
        <v>56</v>
      </c>
      <c r="G1177" s="35"/>
    </row>
    <row r="1178" spans="2:7">
      <c r="B1178" s="22">
        <v>530</v>
      </c>
      <c r="C1178" s="92" t="s">
        <v>724</v>
      </c>
      <c r="D1178" s="93">
        <v>13320</v>
      </c>
      <c r="E1178" s="92" t="s">
        <v>631</v>
      </c>
      <c r="F1178" s="8" t="s">
        <v>56</v>
      </c>
      <c r="G1178" s="35"/>
    </row>
    <row r="1179" spans="2:7">
      <c r="B1179" s="22">
        <v>531</v>
      </c>
      <c r="C1179" s="92" t="s">
        <v>725</v>
      </c>
      <c r="D1179" s="93" t="s">
        <v>66</v>
      </c>
      <c r="E1179" s="92" t="s">
        <v>726</v>
      </c>
      <c r="F1179" s="8" t="s">
        <v>56</v>
      </c>
      <c r="G1179" s="35"/>
    </row>
    <row r="1180" spans="2:7">
      <c r="B1180" s="22">
        <v>532</v>
      </c>
      <c r="C1180" s="92" t="s">
        <v>727</v>
      </c>
      <c r="D1180" s="93" t="s">
        <v>66</v>
      </c>
      <c r="E1180" s="92" t="s">
        <v>728</v>
      </c>
      <c r="F1180" s="8" t="s">
        <v>56</v>
      </c>
      <c r="G1180" s="35"/>
    </row>
    <row r="1181" spans="2:7">
      <c r="B1181" s="22">
        <v>533</v>
      </c>
      <c r="C1181" s="92" t="s">
        <v>729</v>
      </c>
      <c r="D1181" s="93" t="s">
        <v>730</v>
      </c>
      <c r="E1181" s="92" t="s">
        <v>726</v>
      </c>
      <c r="F1181" s="8" t="s">
        <v>56</v>
      </c>
      <c r="G1181" s="35"/>
    </row>
    <row r="1182" spans="2:7">
      <c r="B1182" s="22">
        <v>534</v>
      </c>
      <c r="C1182" s="92" t="s">
        <v>731</v>
      </c>
      <c r="D1182" s="93" t="s">
        <v>66</v>
      </c>
      <c r="E1182" s="92" t="s">
        <v>86</v>
      </c>
      <c r="F1182" s="8" t="s">
        <v>56</v>
      </c>
      <c r="G1182" s="35"/>
    </row>
    <row r="1183" spans="2:7">
      <c r="B1183" s="22"/>
      <c r="C1183" s="92"/>
      <c r="D1183" s="93"/>
      <c r="E1183" s="92"/>
      <c r="F1183" s="8"/>
      <c r="G1183" s="35"/>
    </row>
    <row r="1184" spans="2:7">
      <c r="B1184" s="7">
        <v>581</v>
      </c>
      <c r="C1184" s="8" t="s">
        <v>371</v>
      </c>
      <c r="D1184" s="17">
        <v>121480116</v>
      </c>
      <c r="E1184" s="17" t="s">
        <v>114</v>
      </c>
      <c r="F1184" s="8" t="s">
        <v>57</v>
      </c>
      <c r="G1184" s="35"/>
    </row>
    <row r="1185" spans="2:7">
      <c r="B1185" s="7">
        <v>584</v>
      </c>
      <c r="C1185" s="8" t="s">
        <v>374</v>
      </c>
      <c r="D1185" s="17">
        <v>10154309503</v>
      </c>
      <c r="E1185" s="17" t="s">
        <v>115</v>
      </c>
      <c r="F1185" s="8" t="s">
        <v>57</v>
      </c>
      <c r="G1185" s="35"/>
    </row>
    <row r="1186" spans="2:7">
      <c r="B1186" s="7">
        <v>583</v>
      </c>
      <c r="C1186" s="8" t="s">
        <v>732</v>
      </c>
      <c r="D1186" s="17">
        <v>10154228768</v>
      </c>
      <c r="E1186" s="17" t="s">
        <v>129</v>
      </c>
      <c r="F1186" s="8" t="s">
        <v>57</v>
      </c>
      <c r="G1186" s="35"/>
    </row>
    <row r="1187" spans="2:7">
      <c r="B1187" s="7">
        <v>586</v>
      </c>
      <c r="C1187" s="8" t="s">
        <v>733</v>
      </c>
      <c r="D1187" s="17" t="s">
        <v>66</v>
      </c>
      <c r="E1187" s="17" t="s">
        <v>155</v>
      </c>
      <c r="F1187" s="8" t="s">
        <v>57</v>
      </c>
      <c r="G1187" s="35"/>
    </row>
    <row r="1188" spans="2:7">
      <c r="B1188" s="7">
        <v>589</v>
      </c>
      <c r="C1188" s="8" t="s">
        <v>379</v>
      </c>
      <c r="D1188" s="17">
        <v>10164743366</v>
      </c>
      <c r="E1188" s="17" t="s">
        <v>155</v>
      </c>
      <c r="F1188" s="8" t="s">
        <v>57</v>
      </c>
      <c r="G1188" s="35"/>
    </row>
    <row r="1189" spans="2:7">
      <c r="B1189" s="7">
        <v>582</v>
      </c>
      <c r="C1189" s="8" t="s">
        <v>372</v>
      </c>
      <c r="D1189" s="17">
        <v>9879</v>
      </c>
      <c r="E1189" s="17" t="s">
        <v>135</v>
      </c>
      <c r="F1189" s="8" t="s">
        <v>57</v>
      </c>
      <c r="G1189" s="35"/>
    </row>
    <row r="1190" spans="2:7">
      <c r="B1190" s="7">
        <v>585</v>
      </c>
      <c r="C1190" s="8" t="s">
        <v>375</v>
      </c>
      <c r="D1190" s="17">
        <v>101323202009</v>
      </c>
      <c r="E1190" s="17" t="s">
        <v>139</v>
      </c>
      <c r="F1190" s="8" t="s">
        <v>57</v>
      </c>
      <c r="G1190" s="35"/>
    </row>
    <row r="1191" spans="2:7">
      <c r="B1191" s="7">
        <v>588</v>
      </c>
      <c r="C1191" s="8" t="s">
        <v>734</v>
      </c>
      <c r="D1191" s="17" t="s">
        <v>66</v>
      </c>
      <c r="E1191" s="17" t="s">
        <v>155</v>
      </c>
      <c r="F1191" s="8" t="s">
        <v>57</v>
      </c>
      <c r="G1191" s="35"/>
    </row>
    <row r="1192" spans="2:7">
      <c r="B1192" s="7">
        <v>590</v>
      </c>
      <c r="C1192" s="8" t="s">
        <v>735</v>
      </c>
      <c r="D1192" s="17">
        <v>1017221158</v>
      </c>
      <c r="E1192" s="17" t="s">
        <v>381</v>
      </c>
      <c r="F1192" s="8" t="s">
        <v>57</v>
      </c>
      <c r="G1192" s="35"/>
    </row>
    <row r="1193" spans="2:7">
      <c r="B1193" s="41">
        <v>591</v>
      </c>
      <c r="C1193" s="8" t="s">
        <v>736</v>
      </c>
      <c r="D1193" s="17">
        <v>10173195096</v>
      </c>
      <c r="E1193" s="17" t="s">
        <v>737</v>
      </c>
      <c r="F1193" s="8" t="s">
        <v>57</v>
      </c>
      <c r="G1193" s="35"/>
    </row>
    <row r="1194" spans="2:7">
      <c r="B1194" s="41">
        <v>592</v>
      </c>
      <c r="C1194" s="8" t="s">
        <v>738</v>
      </c>
      <c r="D1194" s="17">
        <v>10173194591</v>
      </c>
      <c r="E1194" s="17" t="s">
        <v>739</v>
      </c>
      <c r="F1194" s="8" t="s">
        <v>57</v>
      </c>
      <c r="G1194" s="35"/>
    </row>
    <row r="1195" spans="2:7">
      <c r="B1195" s="41">
        <v>593</v>
      </c>
      <c r="C1195" s="8" t="s">
        <v>740</v>
      </c>
      <c r="D1195" s="17" t="s">
        <v>66</v>
      </c>
      <c r="E1195" s="17" t="s">
        <v>741</v>
      </c>
      <c r="F1195" s="8" t="s">
        <v>57</v>
      </c>
      <c r="G1195" s="35"/>
    </row>
    <row r="1196" spans="2:7">
      <c r="B1196" s="41">
        <v>594</v>
      </c>
      <c r="C1196" s="8" t="s">
        <v>742</v>
      </c>
      <c r="D1196" s="17">
        <v>10156410359</v>
      </c>
      <c r="E1196" s="17" t="s">
        <v>63</v>
      </c>
      <c r="F1196" s="8" t="s">
        <v>57</v>
      </c>
      <c r="G1196" s="35"/>
    </row>
    <row r="1197" spans="2:7">
      <c r="B1197" s="41">
        <v>595</v>
      </c>
      <c r="C1197" s="8" t="s">
        <v>743</v>
      </c>
      <c r="D1197" s="17" t="s">
        <v>66</v>
      </c>
      <c r="E1197" s="17" t="s">
        <v>130</v>
      </c>
      <c r="F1197" s="8" t="s">
        <v>57</v>
      </c>
      <c r="G1197" s="35"/>
    </row>
    <row r="1198" spans="2:7">
      <c r="B1198" s="41">
        <v>596</v>
      </c>
      <c r="C1198" s="8" t="s">
        <v>744</v>
      </c>
      <c r="D1198" s="17" t="s">
        <v>66</v>
      </c>
      <c r="E1198" s="17" t="s">
        <v>130</v>
      </c>
      <c r="F1198" s="8" t="s">
        <v>57</v>
      </c>
      <c r="G1198" s="35"/>
    </row>
    <row r="1199" spans="2:7" ht="15.75">
      <c r="B1199" s="52"/>
      <c r="C1199" s="8"/>
      <c r="D1199" s="17"/>
      <c r="E1199" s="17"/>
      <c r="F1199" s="8"/>
      <c r="G1199" s="35"/>
    </row>
    <row r="1200" spans="2:7">
      <c r="B1200" s="7"/>
      <c r="C1200" s="8"/>
      <c r="D1200" s="17"/>
      <c r="E1200" s="17"/>
      <c r="F1200" s="8"/>
      <c r="G1200" s="35"/>
    </row>
    <row r="1201" spans="2:7">
      <c r="B1201" s="22">
        <v>405</v>
      </c>
      <c r="C1201" s="92" t="s">
        <v>745</v>
      </c>
      <c r="D1201" s="93">
        <v>10172048072</v>
      </c>
      <c r="E1201" s="93" t="s">
        <v>746</v>
      </c>
      <c r="F1201" s="8" t="s">
        <v>163</v>
      </c>
      <c r="G1201" s="35"/>
    </row>
    <row r="1202" spans="2:7">
      <c r="B1202" s="22">
        <v>406</v>
      </c>
      <c r="C1202" s="92" t="s">
        <v>747</v>
      </c>
      <c r="D1202" s="93">
        <v>10172211659</v>
      </c>
      <c r="E1202" s="93" t="s">
        <v>677</v>
      </c>
      <c r="F1202" s="8" t="s">
        <v>163</v>
      </c>
      <c r="G1202" s="35"/>
    </row>
    <row r="1203" spans="2:7">
      <c r="B1203" s="22">
        <v>401</v>
      </c>
      <c r="C1203" s="92" t="s">
        <v>748</v>
      </c>
      <c r="D1203" s="93">
        <v>10162383236</v>
      </c>
      <c r="E1203" s="93" t="s">
        <v>749</v>
      </c>
      <c r="F1203" s="8" t="s">
        <v>163</v>
      </c>
      <c r="G1203" s="35"/>
    </row>
    <row r="1204" spans="2:7">
      <c r="B1204" s="22">
        <v>403</v>
      </c>
      <c r="C1204" s="92" t="s">
        <v>384</v>
      </c>
      <c r="D1204" s="93" t="s">
        <v>66</v>
      </c>
      <c r="E1204" s="93" t="s">
        <v>101</v>
      </c>
      <c r="F1204" s="8" t="s">
        <v>163</v>
      </c>
      <c r="G1204" s="35"/>
    </row>
    <row r="1205" spans="2:7">
      <c r="B1205" s="22">
        <v>402</v>
      </c>
      <c r="C1205" s="92" t="s">
        <v>750</v>
      </c>
      <c r="D1205" s="93">
        <v>5600</v>
      </c>
      <c r="E1205" s="93" t="s">
        <v>65</v>
      </c>
      <c r="F1205" s="8" t="s">
        <v>163</v>
      </c>
      <c r="G1205" s="35"/>
    </row>
    <row r="1206" spans="2:7">
      <c r="B1206" s="22">
        <v>404</v>
      </c>
      <c r="C1206" s="92" t="s">
        <v>385</v>
      </c>
      <c r="D1206" s="93">
        <v>10130330796</v>
      </c>
      <c r="E1206" s="93" t="s">
        <v>65</v>
      </c>
      <c r="F1206" s="8" t="s">
        <v>163</v>
      </c>
      <c r="G1206" s="35"/>
    </row>
    <row r="1207" spans="2:7">
      <c r="B1207" s="22">
        <v>407</v>
      </c>
      <c r="C1207" s="92" t="s">
        <v>751</v>
      </c>
      <c r="D1207" s="93" t="s">
        <v>66</v>
      </c>
      <c r="E1207" s="93" t="s">
        <v>752</v>
      </c>
      <c r="F1207" s="8" t="s">
        <v>163</v>
      </c>
      <c r="G1207" s="35"/>
    </row>
    <row r="1208" spans="2:7">
      <c r="B1208" s="22">
        <v>408</v>
      </c>
      <c r="C1208" s="92" t="s">
        <v>753</v>
      </c>
      <c r="D1208" s="93">
        <v>10173413550</v>
      </c>
      <c r="E1208" s="93" t="s">
        <v>63</v>
      </c>
      <c r="F1208" s="8" t="s">
        <v>163</v>
      </c>
      <c r="G1208" s="35"/>
    </row>
    <row r="1209" spans="2:7">
      <c r="B1209" s="22">
        <v>409</v>
      </c>
      <c r="C1209" s="92" t="s">
        <v>754</v>
      </c>
      <c r="D1209" s="93">
        <v>10137506372</v>
      </c>
      <c r="E1209" s="93" t="s">
        <v>222</v>
      </c>
      <c r="F1209" s="8" t="s">
        <v>163</v>
      </c>
      <c r="G1209" s="35"/>
    </row>
    <row r="1210" spans="2:7">
      <c r="B1210" s="22">
        <v>410</v>
      </c>
      <c r="C1210" s="92" t="s">
        <v>755</v>
      </c>
      <c r="D1210" s="93">
        <v>10137506372</v>
      </c>
      <c r="E1210" s="93" t="s">
        <v>222</v>
      </c>
      <c r="F1210" s="8" t="s">
        <v>163</v>
      </c>
      <c r="G1210" s="35"/>
    </row>
    <row r="1211" spans="2:7">
      <c r="B1211" s="22"/>
      <c r="C1211" s="8"/>
      <c r="D1211" s="17"/>
      <c r="F1211" s="8"/>
      <c r="G1211" s="35"/>
    </row>
    <row r="1212" spans="2:7" ht="15.75">
      <c r="B1212" s="21"/>
      <c r="C1212" s="8"/>
      <c r="D1212" s="17"/>
      <c r="E1212" s="17"/>
      <c r="F1212" s="8"/>
      <c r="G1212" s="35"/>
    </row>
    <row r="1213" spans="2:7">
      <c r="B1213" s="22">
        <v>481</v>
      </c>
      <c r="C1213" s="92" t="s">
        <v>756</v>
      </c>
      <c r="D1213" s="93">
        <v>10162377172</v>
      </c>
      <c r="E1213" s="93" t="s">
        <v>757</v>
      </c>
      <c r="F1213" s="8" t="s">
        <v>164</v>
      </c>
      <c r="G1213" s="35"/>
    </row>
    <row r="1214" spans="2:7">
      <c r="B1214" s="22">
        <v>482</v>
      </c>
      <c r="C1214" s="92" t="s">
        <v>758</v>
      </c>
      <c r="D1214" s="93">
        <v>10171940261</v>
      </c>
      <c r="E1214" s="92" t="s">
        <v>759</v>
      </c>
      <c r="F1214" s="8" t="s">
        <v>164</v>
      </c>
      <c r="G1214" s="35"/>
    </row>
    <row r="1215" spans="2:7">
      <c r="B1215" s="22">
        <v>484</v>
      </c>
      <c r="C1215" s="92" t="s">
        <v>394</v>
      </c>
      <c r="D1215" s="93" t="s">
        <v>66</v>
      </c>
      <c r="E1215" s="93" t="s">
        <v>130</v>
      </c>
      <c r="F1215" s="8" t="s">
        <v>164</v>
      </c>
      <c r="G1215" s="35"/>
    </row>
    <row r="1216" spans="2:7">
      <c r="B1216" s="22">
        <v>483</v>
      </c>
      <c r="C1216" s="92" t="s">
        <v>760</v>
      </c>
      <c r="D1216" s="93" t="s">
        <v>66</v>
      </c>
      <c r="E1216" s="93" t="s">
        <v>71</v>
      </c>
      <c r="F1216" s="8" t="s">
        <v>164</v>
      </c>
      <c r="G1216" s="35"/>
    </row>
    <row r="1217" spans="2:7">
      <c r="B1217" s="22">
        <v>485</v>
      </c>
      <c r="C1217" s="92" t="s">
        <v>761</v>
      </c>
      <c r="D1217" s="93">
        <v>10173194793</v>
      </c>
      <c r="E1217" s="93" t="s">
        <v>737</v>
      </c>
      <c r="F1217" s="8" t="s">
        <v>164</v>
      </c>
      <c r="G1217" s="35"/>
    </row>
    <row r="1218" spans="2:7">
      <c r="B1218" s="22">
        <v>486</v>
      </c>
      <c r="C1218" s="92" t="s">
        <v>762</v>
      </c>
      <c r="D1218" s="93" t="s">
        <v>66</v>
      </c>
      <c r="E1218" s="93" t="s">
        <v>155</v>
      </c>
      <c r="F1218" s="8" t="s">
        <v>164</v>
      </c>
      <c r="G1218" s="35"/>
    </row>
    <row r="1219" spans="2:7">
      <c r="B1219" s="22">
        <v>487</v>
      </c>
      <c r="C1219" s="92" t="s">
        <v>763</v>
      </c>
      <c r="D1219" s="93">
        <v>10162095872</v>
      </c>
      <c r="E1219" s="93" t="s">
        <v>7</v>
      </c>
      <c r="F1219" s="8" t="s">
        <v>164</v>
      </c>
      <c r="G1219" s="35"/>
    </row>
    <row r="1220" spans="2:7">
      <c r="B1220" s="22">
        <v>488</v>
      </c>
      <c r="C1220" s="92" t="s">
        <v>764</v>
      </c>
      <c r="D1220" s="93" t="s">
        <v>66</v>
      </c>
      <c r="E1220" s="93" t="s">
        <v>130</v>
      </c>
      <c r="F1220" s="8" t="s">
        <v>164</v>
      </c>
      <c r="G1220" s="35"/>
    </row>
    <row r="1221" spans="2:7" ht="15.75">
      <c r="B1221" s="21"/>
      <c r="C1221" s="8"/>
      <c r="D1221" s="17"/>
      <c r="E1221" s="17"/>
      <c r="F1221" s="8" t="s">
        <v>164</v>
      </c>
      <c r="G1221" s="35"/>
    </row>
    <row r="1222" spans="2:7" ht="15.75">
      <c r="B1222" s="21"/>
      <c r="C1222" s="8"/>
      <c r="D1222" s="17"/>
      <c r="E1222" s="17"/>
      <c r="F1222" s="8"/>
      <c r="G1222" s="35"/>
    </row>
    <row r="1223" spans="2:7">
      <c r="B1223" s="22">
        <v>701</v>
      </c>
      <c r="C1223" s="92" t="s">
        <v>765</v>
      </c>
      <c r="D1223" s="93">
        <v>10079383568</v>
      </c>
      <c r="E1223" s="93" t="s">
        <v>156</v>
      </c>
      <c r="F1223" s="8" t="s">
        <v>58</v>
      </c>
      <c r="G1223" s="35"/>
    </row>
    <row r="1224" spans="2:7">
      <c r="B1224" s="22">
        <v>708</v>
      </c>
      <c r="C1224" s="92" t="s">
        <v>766</v>
      </c>
      <c r="D1224" s="93">
        <v>10056033143</v>
      </c>
      <c r="E1224" s="93" t="s">
        <v>570</v>
      </c>
      <c r="F1224" s="8" t="s">
        <v>58</v>
      </c>
      <c r="G1224" s="35"/>
    </row>
    <row r="1225" spans="2:7">
      <c r="B1225" s="22">
        <v>702</v>
      </c>
      <c r="C1225" s="93" t="s">
        <v>396</v>
      </c>
      <c r="D1225" s="93" t="s">
        <v>66</v>
      </c>
      <c r="E1225" s="93" t="s">
        <v>767</v>
      </c>
      <c r="F1225" s="8" t="s">
        <v>58</v>
      </c>
      <c r="G1225" s="35"/>
    </row>
    <row r="1226" spans="2:7">
      <c r="B1226" s="22">
        <v>704</v>
      </c>
      <c r="C1226" s="92" t="s">
        <v>768</v>
      </c>
      <c r="D1226" s="93">
        <v>10125323576</v>
      </c>
      <c r="E1226" s="93" t="s">
        <v>399</v>
      </c>
      <c r="F1226" s="8" t="s">
        <v>58</v>
      </c>
      <c r="G1226" s="35"/>
    </row>
    <row r="1227" spans="2:7">
      <c r="B1227" s="22">
        <v>709</v>
      </c>
      <c r="C1227" s="93" t="s">
        <v>769</v>
      </c>
      <c r="D1227" s="93">
        <v>10124844640</v>
      </c>
      <c r="E1227" s="93" t="s">
        <v>406</v>
      </c>
      <c r="F1227" s="8" t="s">
        <v>58</v>
      </c>
      <c r="G1227" s="35"/>
    </row>
    <row r="1228" spans="2:7">
      <c r="B1228" s="22">
        <v>712</v>
      </c>
      <c r="C1228" s="92" t="s">
        <v>770</v>
      </c>
      <c r="D1228" s="93" t="s">
        <v>66</v>
      </c>
      <c r="E1228" s="93" t="s">
        <v>70</v>
      </c>
      <c r="F1228" s="8" t="s">
        <v>58</v>
      </c>
      <c r="G1228" s="35"/>
    </row>
    <row r="1229" spans="2:7">
      <c r="B1229" s="22">
        <v>713</v>
      </c>
      <c r="C1229" s="92" t="s">
        <v>771</v>
      </c>
      <c r="D1229" s="93">
        <v>10006255268</v>
      </c>
      <c r="E1229" s="93" t="s">
        <v>100</v>
      </c>
      <c r="F1229" s="8" t="s">
        <v>58</v>
      </c>
      <c r="G1229" s="35"/>
    </row>
    <row r="1230" spans="2:7">
      <c r="B1230" s="22">
        <v>714</v>
      </c>
      <c r="C1230" s="93" t="s">
        <v>772</v>
      </c>
      <c r="D1230" s="93" t="s">
        <v>66</v>
      </c>
      <c r="E1230" s="93" t="s">
        <v>133</v>
      </c>
      <c r="F1230" s="8" t="s">
        <v>58</v>
      </c>
      <c r="G1230" s="35"/>
    </row>
    <row r="1231" spans="2:7">
      <c r="B1231" s="22"/>
      <c r="C1231" s="92"/>
      <c r="D1231" s="93"/>
      <c r="E1231" s="93"/>
      <c r="F1231" s="8" t="s">
        <v>58</v>
      </c>
      <c r="G1231" s="35"/>
    </row>
    <row r="1232" spans="2:7">
      <c r="B1232" s="22"/>
      <c r="C1232" s="92"/>
      <c r="D1232" s="93"/>
      <c r="E1232" s="93"/>
      <c r="F1232" s="8" t="s">
        <v>58</v>
      </c>
      <c r="G1232" s="35"/>
    </row>
    <row r="1233" spans="2:7">
      <c r="B1233" s="22"/>
      <c r="C1233" s="92"/>
      <c r="D1233" s="93"/>
      <c r="E1233" s="93"/>
      <c r="F1233" s="8" t="s">
        <v>58</v>
      </c>
      <c r="G1233" s="35"/>
    </row>
    <row r="1234" spans="2:7" ht="15.75">
      <c r="B1234" s="21"/>
      <c r="C1234" s="8"/>
      <c r="D1234" s="17"/>
      <c r="E1234" s="17"/>
      <c r="F1234" s="8"/>
      <c r="G1234" s="35"/>
    </row>
    <row r="1235" spans="2:7">
      <c r="B1235" s="22">
        <v>751</v>
      </c>
      <c r="C1235" s="92" t="s">
        <v>119</v>
      </c>
      <c r="D1235" s="93">
        <v>10127988349</v>
      </c>
      <c r="E1235" s="93" t="s">
        <v>100</v>
      </c>
      <c r="F1235" s="8" t="s">
        <v>59</v>
      </c>
      <c r="G1235" s="35"/>
    </row>
    <row r="1236" spans="2:7">
      <c r="B1236" s="22">
        <v>758</v>
      </c>
      <c r="C1236" s="92" t="s">
        <v>773</v>
      </c>
      <c r="D1236" s="93">
        <v>10140636745</v>
      </c>
      <c r="E1236" s="93" t="s">
        <v>129</v>
      </c>
      <c r="F1236" s="8" t="s">
        <v>59</v>
      </c>
      <c r="G1236" s="35"/>
    </row>
    <row r="1237" spans="2:7">
      <c r="B1237" s="22">
        <v>756</v>
      </c>
      <c r="C1237" s="92" t="s">
        <v>417</v>
      </c>
      <c r="D1237" s="93">
        <v>10137070781</v>
      </c>
      <c r="E1237" s="93" t="s">
        <v>6</v>
      </c>
      <c r="F1237" s="8" t="s">
        <v>59</v>
      </c>
      <c r="G1237" s="35"/>
    </row>
    <row r="1238" spans="2:7">
      <c r="B1238" s="22">
        <v>764</v>
      </c>
      <c r="C1238" s="92" t="s">
        <v>428</v>
      </c>
      <c r="D1238" s="93">
        <v>10090080749</v>
      </c>
      <c r="E1238" s="93" t="s">
        <v>429</v>
      </c>
      <c r="F1238" s="8" t="s">
        <v>59</v>
      </c>
      <c r="G1238" s="35"/>
    </row>
    <row r="1239" spans="2:7">
      <c r="B1239" s="22">
        <v>765</v>
      </c>
      <c r="C1239" s="92" t="s">
        <v>430</v>
      </c>
      <c r="D1239" s="93">
        <v>10170981880</v>
      </c>
      <c r="E1239" s="93" t="s">
        <v>774</v>
      </c>
      <c r="F1239" s="8" t="s">
        <v>59</v>
      </c>
      <c r="G1239" s="35"/>
    </row>
    <row r="1240" spans="2:7">
      <c r="B1240" s="22">
        <v>760</v>
      </c>
      <c r="C1240" s="92" t="s">
        <v>775</v>
      </c>
      <c r="D1240" s="93">
        <v>10112138246</v>
      </c>
      <c r="E1240" s="93" t="s">
        <v>776</v>
      </c>
      <c r="F1240" s="8" t="s">
        <v>59</v>
      </c>
      <c r="G1240" s="35"/>
    </row>
    <row r="1241" spans="2:7">
      <c r="B1241" s="22">
        <v>766</v>
      </c>
      <c r="C1241" s="92" t="s">
        <v>777</v>
      </c>
      <c r="D1241" s="93">
        <v>10082235671</v>
      </c>
      <c r="E1241" s="93" t="s">
        <v>778</v>
      </c>
      <c r="F1241" s="8" t="s">
        <v>59</v>
      </c>
      <c r="G1241" s="35"/>
    </row>
    <row r="1242" spans="2:7">
      <c r="B1242" s="22">
        <v>767</v>
      </c>
      <c r="C1242" s="92" t="s">
        <v>779</v>
      </c>
      <c r="D1242" s="93" t="s">
        <v>66</v>
      </c>
      <c r="E1242" s="93" t="s">
        <v>780</v>
      </c>
      <c r="F1242" s="8" t="s">
        <v>59</v>
      </c>
      <c r="G1242" s="35"/>
    </row>
    <row r="1243" spans="2:7">
      <c r="B1243" s="22">
        <v>768</v>
      </c>
      <c r="C1243" s="92" t="s">
        <v>781</v>
      </c>
      <c r="D1243" s="93">
        <v>10061819595</v>
      </c>
      <c r="E1243" s="93" t="s">
        <v>492</v>
      </c>
      <c r="F1243" s="8" t="s">
        <v>59</v>
      </c>
      <c r="G1243" s="35"/>
    </row>
    <row r="1244" spans="2:7">
      <c r="B1244" s="22">
        <v>769</v>
      </c>
      <c r="C1244" s="92" t="s">
        <v>782</v>
      </c>
      <c r="D1244" s="93">
        <v>10053119810</v>
      </c>
      <c r="E1244" s="93" t="s">
        <v>783</v>
      </c>
      <c r="F1244" s="8" t="s">
        <v>59</v>
      </c>
      <c r="G1244" s="35"/>
    </row>
    <row r="1245" spans="2:7">
      <c r="B1245" s="22">
        <v>770</v>
      </c>
      <c r="C1245" s="92" t="s">
        <v>784</v>
      </c>
      <c r="D1245" s="93" t="s">
        <v>66</v>
      </c>
      <c r="E1245" s="93" t="s">
        <v>6</v>
      </c>
      <c r="F1245" s="8" t="s">
        <v>59</v>
      </c>
      <c r="G1245" s="35"/>
    </row>
    <row r="1246" spans="2:7">
      <c r="B1246" s="22">
        <v>752</v>
      </c>
      <c r="C1246" s="92" t="s">
        <v>410</v>
      </c>
      <c r="D1246" s="93">
        <v>10001352223</v>
      </c>
      <c r="E1246" s="93" t="s">
        <v>411</v>
      </c>
      <c r="F1246" s="8" t="s">
        <v>59</v>
      </c>
      <c r="G1246" s="35"/>
    </row>
    <row r="1247" spans="2:7">
      <c r="B1247" s="22">
        <v>771</v>
      </c>
      <c r="C1247" s="92" t="s">
        <v>785</v>
      </c>
      <c r="D1247" s="93">
        <v>10111677902</v>
      </c>
      <c r="E1247" s="93" t="s">
        <v>786</v>
      </c>
      <c r="F1247" s="8" t="s">
        <v>59</v>
      </c>
      <c r="G1247" s="35"/>
    </row>
    <row r="1248" spans="2:7">
      <c r="B1248" s="22">
        <v>772</v>
      </c>
      <c r="C1248" s="92" t="s">
        <v>408</v>
      </c>
      <c r="D1248" s="93" t="s">
        <v>66</v>
      </c>
      <c r="E1248" s="93" t="s">
        <v>787</v>
      </c>
      <c r="F1248" s="8" t="s">
        <v>59</v>
      </c>
      <c r="G1248" s="35"/>
    </row>
    <row r="1249" spans="2:7">
      <c r="B1249" s="22"/>
      <c r="C1249" s="92"/>
      <c r="D1249" s="93"/>
      <c r="E1249" s="93"/>
      <c r="F1249" s="8" t="s">
        <v>59</v>
      </c>
      <c r="G1249" s="35"/>
    </row>
    <row r="1250" spans="2:7">
      <c r="B1250" s="104"/>
      <c r="C1250" s="8"/>
      <c r="D1250" s="17"/>
      <c r="E1250" s="17"/>
      <c r="F1250" s="8"/>
      <c r="G1250" s="35"/>
    </row>
    <row r="1251" spans="2:7">
      <c r="B1251" s="96">
        <v>810</v>
      </c>
      <c r="C1251" s="92" t="s">
        <v>788</v>
      </c>
      <c r="D1251" s="93">
        <v>10061985206</v>
      </c>
      <c r="E1251" s="93" t="s">
        <v>6</v>
      </c>
      <c r="F1251" s="8" t="s">
        <v>72</v>
      </c>
      <c r="G1251" s="35"/>
    </row>
    <row r="1252" spans="2:7">
      <c r="B1252" s="96">
        <v>801</v>
      </c>
      <c r="C1252" s="92" t="s">
        <v>120</v>
      </c>
      <c r="D1252" s="93">
        <v>10102979628</v>
      </c>
      <c r="E1252" s="93" t="s">
        <v>432</v>
      </c>
      <c r="F1252" s="8" t="s">
        <v>72</v>
      </c>
      <c r="G1252" s="35"/>
    </row>
    <row r="1253" spans="2:7">
      <c r="B1253" s="96">
        <v>811</v>
      </c>
      <c r="C1253" s="92" t="s">
        <v>443</v>
      </c>
      <c r="D1253" s="93">
        <v>10124200400</v>
      </c>
      <c r="E1253" s="93" t="s">
        <v>399</v>
      </c>
      <c r="F1253" s="8" t="s">
        <v>72</v>
      </c>
      <c r="G1253" s="35"/>
    </row>
    <row r="1254" spans="2:7">
      <c r="B1254" s="96">
        <v>813</v>
      </c>
      <c r="C1254" s="92" t="s">
        <v>789</v>
      </c>
      <c r="D1254" s="93">
        <v>10051209819</v>
      </c>
      <c r="E1254" s="93" t="s">
        <v>6</v>
      </c>
      <c r="F1254" s="8" t="s">
        <v>72</v>
      </c>
      <c r="G1254" s="35"/>
    </row>
    <row r="1255" spans="2:7">
      <c r="B1255" s="96">
        <v>805</v>
      </c>
      <c r="C1255" s="97" t="s">
        <v>790</v>
      </c>
      <c r="D1255" s="98">
        <v>10122661938</v>
      </c>
      <c r="E1255" s="98" t="s">
        <v>6</v>
      </c>
      <c r="F1255" s="8" t="s">
        <v>72</v>
      </c>
      <c r="G1255" s="35"/>
    </row>
    <row r="1256" spans="2:7">
      <c r="B1256" s="96">
        <v>814</v>
      </c>
      <c r="C1256" s="97" t="s">
        <v>88</v>
      </c>
      <c r="D1256" s="98">
        <v>10114540513</v>
      </c>
      <c r="E1256" s="98" t="s">
        <v>89</v>
      </c>
      <c r="F1256" s="8" t="s">
        <v>72</v>
      </c>
      <c r="G1256" s="35"/>
    </row>
    <row r="1257" spans="2:7">
      <c r="B1257" s="96">
        <v>809</v>
      </c>
      <c r="C1257" s="92" t="s">
        <v>440</v>
      </c>
      <c r="D1257" s="93">
        <v>10114420473</v>
      </c>
      <c r="E1257" s="93" t="s">
        <v>441</v>
      </c>
      <c r="F1257" s="8" t="s">
        <v>72</v>
      </c>
      <c r="G1257" s="35"/>
    </row>
    <row r="1258" spans="2:7">
      <c r="B1258" s="96">
        <v>808</v>
      </c>
      <c r="C1258" s="92" t="s">
        <v>118</v>
      </c>
      <c r="D1258" s="93">
        <v>10139092324</v>
      </c>
      <c r="E1258" s="93" t="s">
        <v>142</v>
      </c>
      <c r="F1258" s="8" t="s">
        <v>72</v>
      </c>
      <c r="G1258" s="35"/>
    </row>
    <row r="1259" spans="2:7">
      <c r="B1259" s="96">
        <v>815</v>
      </c>
      <c r="C1259" s="92" t="s">
        <v>791</v>
      </c>
      <c r="D1259" s="93">
        <v>10131791254</v>
      </c>
      <c r="E1259" s="93" t="s">
        <v>159</v>
      </c>
      <c r="F1259" s="8" t="s">
        <v>72</v>
      </c>
      <c r="G1259" s="35"/>
    </row>
    <row r="1260" spans="2:7">
      <c r="B1260" s="96">
        <v>817</v>
      </c>
      <c r="C1260" s="92" t="s">
        <v>792</v>
      </c>
      <c r="D1260" s="93">
        <v>10090082264</v>
      </c>
      <c r="E1260" s="93" t="s">
        <v>793</v>
      </c>
      <c r="F1260" s="8" t="s">
        <v>72</v>
      </c>
      <c r="G1260" s="35"/>
    </row>
    <row r="1261" spans="2:7">
      <c r="B1261" s="96">
        <v>818</v>
      </c>
      <c r="C1261" s="92" t="s">
        <v>794</v>
      </c>
      <c r="D1261" s="93">
        <v>10061991973</v>
      </c>
      <c r="E1261" s="93" t="s">
        <v>434</v>
      </c>
      <c r="F1261" s="8" t="s">
        <v>72</v>
      </c>
      <c r="G1261" s="35"/>
    </row>
    <row r="1262" spans="2:7">
      <c r="B1262" s="96">
        <v>819</v>
      </c>
      <c r="C1262" s="92" t="s">
        <v>795</v>
      </c>
      <c r="D1262" s="93">
        <v>10089829761</v>
      </c>
      <c r="E1262" s="93" t="s">
        <v>434</v>
      </c>
      <c r="F1262" s="8" t="s">
        <v>72</v>
      </c>
      <c r="G1262" s="35"/>
    </row>
    <row r="1263" spans="2:7">
      <c r="B1263" s="96">
        <v>820</v>
      </c>
      <c r="C1263" s="92" t="s">
        <v>796</v>
      </c>
      <c r="D1263" s="93">
        <v>10094103118</v>
      </c>
      <c r="E1263" s="93" t="s">
        <v>797</v>
      </c>
      <c r="F1263" s="8" t="s">
        <v>72</v>
      </c>
      <c r="G1263" s="35"/>
    </row>
    <row r="1264" spans="2:7">
      <c r="B1264" s="96">
        <v>821</v>
      </c>
      <c r="C1264" s="92" t="s">
        <v>798</v>
      </c>
      <c r="D1264" s="93">
        <v>10130945435</v>
      </c>
      <c r="E1264" s="93" t="s">
        <v>799</v>
      </c>
      <c r="F1264" s="8" t="s">
        <v>72</v>
      </c>
      <c r="G1264" s="35"/>
    </row>
    <row r="1265" spans="2:7">
      <c r="B1265" s="96"/>
      <c r="C1265" s="93"/>
      <c r="D1265" s="93"/>
      <c r="E1265" s="92"/>
      <c r="F1265" s="8"/>
      <c r="G1265" s="35"/>
    </row>
    <row r="1266" spans="2:7">
      <c r="B1266" s="96"/>
      <c r="C1266" s="97"/>
      <c r="D1266" s="98"/>
      <c r="E1266" s="98"/>
      <c r="F1266" s="8"/>
      <c r="G1266" s="35"/>
    </row>
    <row r="1267" spans="2:7">
      <c r="B1267" s="7"/>
      <c r="C1267" s="8"/>
      <c r="D1267" s="17"/>
      <c r="E1267" s="17"/>
      <c r="F1267" s="8"/>
      <c r="G1267" s="35"/>
    </row>
    <row r="1268" spans="2:7">
      <c r="B1268" s="22">
        <v>851</v>
      </c>
      <c r="C1268" s="92" t="s">
        <v>800</v>
      </c>
      <c r="D1268" s="93">
        <v>10060932451</v>
      </c>
      <c r="E1268" s="93" t="s">
        <v>121</v>
      </c>
      <c r="F1268" s="8" t="s">
        <v>90</v>
      </c>
      <c r="G1268" s="35"/>
    </row>
    <row r="1269" spans="2:7">
      <c r="B1269" s="22">
        <v>852</v>
      </c>
      <c r="C1269" s="92" t="s">
        <v>123</v>
      </c>
      <c r="D1269" s="93">
        <v>10007726234</v>
      </c>
      <c r="E1269" s="93" t="s">
        <v>124</v>
      </c>
      <c r="F1269" s="8" t="s">
        <v>90</v>
      </c>
      <c r="G1269" s="35"/>
    </row>
    <row r="1270" spans="2:7">
      <c r="B1270" s="22">
        <v>859</v>
      </c>
      <c r="C1270" s="92" t="s">
        <v>801</v>
      </c>
      <c r="D1270" s="93">
        <v>10051462726</v>
      </c>
      <c r="E1270" s="93" t="s">
        <v>464</v>
      </c>
      <c r="F1270" s="8" t="s">
        <v>90</v>
      </c>
      <c r="G1270" s="35"/>
    </row>
    <row r="1271" spans="2:7">
      <c r="B1271" s="22">
        <v>868</v>
      </c>
      <c r="C1271" s="92" t="s">
        <v>802</v>
      </c>
      <c r="D1271" s="93">
        <v>10074930662</v>
      </c>
      <c r="E1271" s="93" t="s">
        <v>434</v>
      </c>
      <c r="F1271" s="8" t="s">
        <v>90</v>
      </c>
      <c r="G1271" s="35"/>
    </row>
    <row r="1272" spans="2:7">
      <c r="B1272" s="22">
        <v>862</v>
      </c>
      <c r="C1272" s="92" t="s">
        <v>147</v>
      </c>
      <c r="D1272" s="93">
        <v>10120760132</v>
      </c>
      <c r="E1272" s="93" t="s">
        <v>122</v>
      </c>
      <c r="F1272" s="8" t="s">
        <v>90</v>
      </c>
      <c r="G1272" s="35"/>
    </row>
    <row r="1273" spans="2:7">
      <c r="B1273" s="22">
        <v>853</v>
      </c>
      <c r="C1273" s="92" t="s">
        <v>803</v>
      </c>
      <c r="D1273" s="93">
        <v>10122227054</v>
      </c>
      <c r="E1273" s="93" t="s">
        <v>100</v>
      </c>
      <c r="F1273" s="8" t="s">
        <v>90</v>
      </c>
      <c r="G1273" s="35"/>
    </row>
    <row r="1274" spans="2:7">
      <c r="B1274" s="22">
        <v>860</v>
      </c>
      <c r="C1274" s="92" t="s">
        <v>804</v>
      </c>
      <c r="D1274" s="93">
        <v>10061984903</v>
      </c>
      <c r="E1274" s="93" t="s">
        <v>429</v>
      </c>
      <c r="F1274" s="8" t="s">
        <v>90</v>
      </c>
      <c r="G1274" s="35"/>
    </row>
    <row r="1275" spans="2:7">
      <c r="B1275" s="22">
        <v>865</v>
      </c>
      <c r="C1275" s="92" t="s">
        <v>470</v>
      </c>
      <c r="D1275" s="93">
        <v>10138850531</v>
      </c>
      <c r="E1275" s="93" t="s">
        <v>805</v>
      </c>
      <c r="F1275" s="8" t="s">
        <v>90</v>
      </c>
      <c r="G1275" s="35"/>
    </row>
    <row r="1276" spans="2:7">
      <c r="B1276" s="22">
        <v>858</v>
      </c>
      <c r="C1276" s="92" t="s">
        <v>806</v>
      </c>
      <c r="D1276" s="93">
        <v>10172110114</v>
      </c>
      <c r="E1276" s="93" t="s">
        <v>807</v>
      </c>
      <c r="F1276" s="8" t="s">
        <v>90</v>
      </c>
      <c r="G1276" s="35"/>
    </row>
    <row r="1277" spans="2:7">
      <c r="B1277" s="22">
        <v>857</v>
      </c>
      <c r="C1277" s="92" t="s">
        <v>808</v>
      </c>
      <c r="D1277" s="93">
        <v>10101543725</v>
      </c>
      <c r="E1277" s="93" t="s">
        <v>459</v>
      </c>
      <c r="F1277" s="8" t="s">
        <v>90</v>
      </c>
      <c r="G1277" s="35"/>
    </row>
    <row r="1278" spans="2:7">
      <c r="B1278" s="22">
        <v>863</v>
      </c>
      <c r="C1278" s="92" t="s">
        <v>468</v>
      </c>
      <c r="D1278" s="93" t="s">
        <v>66</v>
      </c>
      <c r="E1278" s="93" t="s">
        <v>6</v>
      </c>
      <c r="F1278" s="8" t="s">
        <v>90</v>
      </c>
      <c r="G1278" s="35"/>
    </row>
    <row r="1279" spans="2:7">
      <c r="B1279" s="22">
        <v>861</v>
      </c>
      <c r="C1279" s="92" t="s">
        <v>809</v>
      </c>
      <c r="D1279" s="93">
        <v>10060624980</v>
      </c>
      <c r="E1279" s="93" t="s">
        <v>810</v>
      </c>
      <c r="F1279" s="8" t="s">
        <v>90</v>
      </c>
      <c r="G1279" s="35"/>
    </row>
    <row r="1280" spans="2:7">
      <c r="B1280" s="22">
        <v>864</v>
      </c>
      <c r="C1280" s="92" t="s">
        <v>469</v>
      </c>
      <c r="D1280" s="93">
        <v>10126882448</v>
      </c>
      <c r="E1280" s="93" t="s">
        <v>69</v>
      </c>
      <c r="F1280" s="8" t="s">
        <v>90</v>
      </c>
      <c r="G1280" s="35"/>
    </row>
    <row r="1281" spans="2:7">
      <c r="B1281" s="22"/>
      <c r="C1281" s="92"/>
      <c r="D1281" s="93"/>
      <c r="E1281" s="93"/>
      <c r="F1281" s="8" t="s">
        <v>90</v>
      </c>
      <c r="G1281" s="35"/>
    </row>
    <row r="1282" spans="2:7">
      <c r="B1282" s="22"/>
      <c r="C1282" s="92"/>
      <c r="D1282" s="93"/>
      <c r="E1282" s="93"/>
      <c r="F1282" s="8" t="s">
        <v>90</v>
      </c>
      <c r="G1282" s="35"/>
    </row>
    <row r="1283" spans="2:7">
      <c r="B1283" s="22"/>
      <c r="C1283" s="92"/>
      <c r="D1283" s="93"/>
      <c r="E1283" s="93"/>
      <c r="F1283" s="8" t="s">
        <v>90</v>
      </c>
      <c r="G1283" s="35"/>
    </row>
    <row r="1284" spans="2:7">
      <c r="B1284" s="22"/>
      <c r="C1284" s="92"/>
      <c r="D1284" s="93"/>
      <c r="E1284" s="93"/>
      <c r="F1284" s="8" t="s">
        <v>90</v>
      </c>
      <c r="G1284" s="35"/>
    </row>
    <row r="1285" spans="2:7">
      <c r="B1285" s="22"/>
      <c r="C1285" s="92"/>
      <c r="D1285" s="93"/>
      <c r="E1285" s="93"/>
      <c r="F1285" s="8" t="s">
        <v>90</v>
      </c>
      <c r="G1285" s="35"/>
    </row>
    <row r="1286" spans="2:7">
      <c r="B1286" s="22"/>
      <c r="C1286" s="92"/>
      <c r="D1286" s="93"/>
      <c r="E1286" s="93"/>
      <c r="F1286" s="8" t="s">
        <v>90</v>
      </c>
      <c r="G1286" s="35"/>
    </row>
    <row r="1287" spans="2:7" ht="15.75">
      <c r="B1287" s="48"/>
      <c r="C1287" s="8"/>
      <c r="D1287" s="2"/>
      <c r="E1287" s="17"/>
      <c r="F1287" s="8"/>
      <c r="G1287" s="35"/>
    </row>
    <row r="1288" spans="2:7">
      <c r="B1288" s="96">
        <v>906</v>
      </c>
      <c r="C1288" s="92" t="s">
        <v>481</v>
      </c>
      <c r="D1288" s="22">
        <v>10054780328</v>
      </c>
      <c r="E1288" s="93" t="s">
        <v>100</v>
      </c>
      <c r="F1288" s="8" t="s">
        <v>91</v>
      </c>
      <c r="G1288" s="35"/>
    </row>
    <row r="1289" spans="2:7">
      <c r="B1289" s="96">
        <v>911</v>
      </c>
      <c r="C1289" s="97" t="s">
        <v>811</v>
      </c>
      <c r="D1289" s="99">
        <v>10052413629</v>
      </c>
      <c r="E1289" s="98" t="s">
        <v>150</v>
      </c>
      <c r="F1289" s="8" t="s">
        <v>91</v>
      </c>
      <c r="G1289" s="35"/>
    </row>
    <row r="1290" spans="2:7">
      <c r="B1290" s="96">
        <v>908</v>
      </c>
      <c r="C1290" s="92" t="s">
        <v>812</v>
      </c>
      <c r="D1290" s="22">
        <v>10101986891</v>
      </c>
      <c r="E1290" s="93" t="s">
        <v>813</v>
      </c>
      <c r="F1290" s="8" t="s">
        <v>91</v>
      </c>
      <c r="G1290" s="35"/>
    </row>
    <row r="1291" spans="2:7">
      <c r="B1291" s="96">
        <v>904</v>
      </c>
      <c r="C1291" s="92" t="s">
        <v>151</v>
      </c>
      <c r="D1291" s="22">
        <v>10052228218</v>
      </c>
      <c r="E1291" s="92" t="s">
        <v>100</v>
      </c>
      <c r="F1291" s="8" t="s">
        <v>91</v>
      </c>
      <c r="G1291" s="35"/>
    </row>
    <row r="1292" spans="2:7">
      <c r="B1292" s="96">
        <v>903</v>
      </c>
      <c r="C1292" s="92" t="s">
        <v>73</v>
      </c>
      <c r="D1292" s="22">
        <v>10061997734</v>
      </c>
      <c r="E1292" s="93" t="s">
        <v>69</v>
      </c>
      <c r="F1292" s="8" t="s">
        <v>91</v>
      </c>
      <c r="G1292" s="35"/>
    </row>
    <row r="1293" spans="2:7">
      <c r="B1293" s="96">
        <v>909</v>
      </c>
      <c r="C1293" s="92" t="s">
        <v>814</v>
      </c>
      <c r="D1293" s="22" t="s">
        <v>66</v>
      </c>
      <c r="E1293" s="93" t="s">
        <v>485</v>
      </c>
      <c r="F1293" s="8" t="s">
        <v>91</v>
      </c>
      <c r="G1293" s="35"/>
    </row>
    <row r="1294" spans="2:7">
      <c r="B1294" s="96">
        <v>905</v>
      </c>
      <c r="C1294" s="92" t="s">
        <v>479</v>
      </c>
      <c r="D1294" s="22">
        <v>10061855668</v>
      </c>
      <c r="E1294" s="93" t="s">
        <v>815</v>
      </c>
      <c r="F1294" s="8" t="s">
        <v>91</v>
      </c>
      <c r="G1294" s="35"/>
    </row>
    <row r="1295" spans="2:7">
      <c r="B1295" s="96">
        <v>913</v>
      </c>
      <c r="C1295" s="92" t="s">
        <v>816</v>
      </c>
      <c r="D1295" s="22">
        <v>10172012306</v>
      </c>
      <c r="E1295" s="92" t="s">
        <v>492</v>
      </c>
      <c r="F1295" s="8" t="s">
        <v>91</v>
      </c>
      <c r="G1295" s="35"/>
    </row>
    <row r="1296" spans="2:7">
      <c r="B1296" s="96">
        <v>907</v>
      </c>
      <c r="C1296" s="92" t="s">
        <v>817</v>
      </c>
      <c r="D1296" s="22">
        <v>10075039079</v>
      </c>
      <c r="E1296" s="93" t="s">
        <v>818</v>
      </c>
      <c r="F1296" s="8" t="s">
        <v>91</v>
      </c>
      <c r="G1296" s="35"/>
    </row>
    <row r="1297" spans="2:7">
      <c r="B1297" s="96">
        <v>916</v>
      </c>
      <c r="C1297" s="92" t="s">
        <v>819</v>
      </c>
      <c r="D1297" s="22" t="s">
        <v>66</v>
      </c>
      <c r="E1297" s="93" t="s">
        <v>820</v>
      </c>
      <c r="F1297" s="8" t="s">
        <v>91</v>
      </c>
      <c r="G1297" s="35"/>
    </row>
    <row r="1298" spans="2:7">
      <c r="B1298" s="96">
        <v>917</v>
      </c>
      <c r="C1298" s="92" t="s">
        <v>821</v>
      </c>
      <c r="D1298" s="22">
        <v>10115730983</v>
      </c>
      <c r="E1298" s="93" t="s">
        <v>822</v>
      </c>
      <c r="F1298" s="8" t="s">
        <v>91</v>
      </c>
      <c r="G1298" s="35"/>
    </row>
    <row r="1299" spans="2:7">
      <c r="B1299" s="96">
        <v>918</v>
      </c>
      <c r="C1299" s="92" t="s">
        <v>823</v>
      </c>
      <c r="D1299" s="22">
        <v>10114832321</v>
      </c>
      <c r="E1299" s="93" t="s">
        <v>70</v>
      </c>
      <c r="F1299" s="8" t="s">
        <v>91</v>
      </c>
      <c r="G1299" s="35"/>
    </row>
    <row r="1300" spans="2:7">
      <c r="B1300" s="96">
        <v>919</v>
      </c>
      <c r="C1300" s="92" t="s">
        <v>824</v>
      </c>
      <c r="D1300" s="22">
        <v>10124529590</v>
      </c>
      <c r="E1300" s="93" t="s">
        <v>825</v>
      </c>
      <c r="F1300" s="8" t="s">
        <v>91</v>
      </c>
      <c r="G1300" s="35"/>
    </row>
    <row r="1301" spans="2:7">
      <c r="B1301" s="96"/>
      <c r="C1301" s="92"/>
      <c r="D1301" s="22"/>
      <c r="E1301" s="93"/>
      <c r="F1301" s="8" t="s">
        <v>91</v>
      </c>
      <c r="G1301" s="35"/>
    </row>
    <row r="1302" spans="2:7">
      <c r="B1302" s="96"/>
      <c r="C1302" s="92"/>
      <c r="D1302" s="22"/>
      <c r="E1302" s="93"/>
      <c r="F1302" s="8" t="s">
        <v>91</v>
      </c>
      <c r="G1302" s="35"/>
    </row>
    <row r="1303" spans="2:7">
      <c r="B1303" s="7"/>
      <c r="C1303" s="8"/>
      <c r="D1303" s="17"/>
      <c r="E1303" s="17"/>
      <c r="F1303" s="8" t="s">
        <v>91</v>
      </c>
      <c r="G1303" s="35"/>
    </row>
    <row r="1304" spans="2:7">
      <c r="B1304" s="41"/>
      <c r="C1304" s="8"/>
      <c r="D1304" s="17"/>
      <c r="F1304" s="8" t="s">
        <v>91</v>
      </c>
      <c r="G1304" s="35"/>
    </row>
    <row r="1305" spans="2:7">
      <c r="B1305" s="41"/>
      <c r="C1305" s="54"/>
      <c r="D1305" s="17"/>
      <c r="F1305" s="17"/>
      <c r="G1305" s="35"/>
    </row>
    <row r="1306" spans="2:7" ht="15.75">
      <c r="B1306" s="21"/>
      <c r="C1306" s="8"/>
      <c r="D1306" s="17"/>
      <c r="E1306" s="17"/>
      <c r="F1306" s="17"/>
      <c r="G1306" s="35"/>
    </row>
    <row r="1307" spans="2:7">
      <c r="B1307" s="22">
        <v>932</v>
      </c>
      <c r="C1307" s="92" t="s">
        <v>826</v>
      </c>
      <c r="D1307" s="93">
        <v>10121261300</v>
      </c>
      <c r="E1307" s="93" t="s">
        <v>827</v>
      </c>
      <c r="F1307" s="8" t="s">
        <v>165</v>
      </c>
      <c r="G1307" s="35"/>
    </row>
    <row r="1308" spans="2:7">
      <c r="B1308" s="22">
        <v>931</v>
      </c>
      <c r="C1308" s="93" t="s">
        <v>828</v>
      </c>
      <c r="D1308" s="93">
        <v>10115008234</v>
      </c>
      <c r="E1308" s="92" t="s">
        <v>829</v>
      </c>
      <c r="F1308" s="8" t="s">
        <v>165</v>
      </c>
      <c r="G1308" s="35"/>
    </row>
    <row r="1309" spans="2:7">
      <c r="B1309" s="22">
        <v>935</v>
      </c>
      <c r="C1309" s="92" t="s">
        <v>830</v>
      </c>
      <c r="D1309" s="93">
        <v>10083854965</v>
      </c>
      <c r="E1309" s="93" t="s">
        <v>797</v>
      </c>
      <c r="F1309" s="8" t="s">
        <v>165</v>
      </c>
      <c r="G1309" s="35"/>
    </row>
    <row r="1310" spans="2:7">
      <c r="B1310" s="22"/>
      <c r="C1310" s="93"/>
      <c r="D1310" s="93"/>
      <c r="E1310" s="93"/>
      <c r="F1310" s="8" t="s">
        <v>165</v>
      </c>
      <c r="G1310" s="35"/>
    </row>
    <row r="1311" spans="2:7">
      <c r="B1311" s="41"/>
      <c r="C1311" s="54"/>
      <c r="D1311" s="17"/>
      <c r="F1311" s="17"/>
      <c r="G1311" s="35"/>
    </row>
    <row r="1312" spans="2:7">
      <c r="B1312" s="22">
        <v>951</v>
      </c>
      <c r="C1312" s="93" t="s">
        <v>831</v>
      </c>
      <c r="D1312" s="93">
        <v>10101986689</v>
      </c>
      <c r="E1312" s="93" t="s">
        <v>832</v>
      </c>
      <c r="F1312" s="8" t="s">
        <v>166</v>
      </c>
      <c r="G1312" s="35"/>
    </row>
    <row r="1313" spans="2:7">
      <c r="B1313" s="3">
        <v>953</v>
      </c>
      <c r="C1313" s="93" t="s">
        <v>833</v>
      </c>
      <c r="D1313" s="93">
        <v>10138846992</v>
      </c>
      <c r="E1313" s="92" t="s">
        <v>834</v>
      </c>
      <c r="F1313" s="8" t="s">
        <v>166</v>
      </c>
      <c r="G1313" s="35"/>
    </row>
    <row r="1314" spans="2:7">
      <c r="B1314" s="3">
        <v>954</v>
      </c>
      <c r="C1314" s="93" t="s">
        <v>835</v>
      </c>
      <c r="D1314" s="93">
        <v>10061761496</v>
      </c>
      <c r="E1314" s="92" t="s">
        <v>139</v>
      </c>
      <c r="F1314" s="8" t="s">
        <v>166</v>
      </c>
      <c r="G1314" s="35"/>
    </row>
    <row r="1315" spans="2:7">
      <c r="B1315" s="3">
        <v>955</v>
      </c>
      <c r="C1315" s="93" t="s">
        <v>836</v>
      </c>
      <c r="D1315" s="93">
        <v>1015</v>
      </c>
      <c r="E1315" s="92" t="s">
        <v>700</v>
      </c>
      <c r="F1315" s="8" t="s">
        <v>166</v>
      </c>
      <c r="G1315" s="35"/>
    </row>
    <row r="1316" spans="2:7">
      <c r="B1316" s="3"/>
      <c r="C1316" s="93"/>
      <c r="D1316" s="93"/>
      <c r="E1316" s="92"/>
      <c r="F1316" s="8"/>
      <c r="G1316" s="35"/>
    </row>
    <row r="1317" spans="2:7">
      <c r="B1317" s="22">
        <v>614</v>
      </c>
      <c r="C1317" s="92" t="s">
        <v>162</v>
      </c>
      <c r="D1317" s="93">
        <v>10153041631</v>
      </c>
      <c r="E1317" s="93" t="s">
        <v>837</v>
      </c>
      <c r="F1317" s="8" t="s">
        <v>60</v>
      </c>
      <c r="G1317" s="35"/>
    </row>
    <row r="1318" spans="2:7">
      <c r="B1318" s="22">
        <v>609</v>
      </c>
      <c r="C1318" s="92" t="s">
        <v>838</v>
      </c>
      <c r="D1318" s="93">
        <v>10063635620</v>
      </c>
      <c r="E1318" s="93" t="s">
        <v>839</v>
      </c>
      <c r="F1318" s="8" t="s">
        <v>60</v>
      </c>
      <c r="G1318" s="35"/>
    </row>
    <row r="1319" spans="2:7">
      <c r="B1319" s="22">
        <v>603</v>
      </c>
      <c r="C1319" s="93" t="s">
        <v>840</v>
      </c>
      <c r="D1319" s="93">
        <v>10164876237</v>
      </c>
      <c r="E1319" s="92" t="s">
        <v>841</v>
      </c>
      <c r="F1319" s="8" t="s">
        <v>60</v>
      </c>
      <c r="G1319" s="35"/>
    </row>
    <row r="1320" spans="2:7">
      <c r="B1320" s="22">
        <v>608</v>
      </c>
      <c r="C1320" s="92" t="s">
        <v>516</v>
      </c>
      <c r="D1320" s="93" t="s">
        <v>66</v>
      </c>
      <c r="E1320" s="93" t="s">
        <v>517</v>
      </c>
      <c r="F1320" s="8" t="s">
        <v>60</v>
      </c>
      <c r="G1320" s="35"/>
    </row>
    <row r="1321" spans="2:7">
      <c r="B1321" s="22">
        <v>610</v>
      </c>
      <c r="C1321" s="92" t="s">
        <v>520</v>
      </c>
      <c r="D1321" s="93" t="s">
        <v>66</v>
      </c>
      <c r="E1321" s="93" t="s">
        <v>521</v>
      </c>
      <c r="F1321" s="8" t="s">
        <v>60</v>
      </c>
      <c r="G1321" s="35"/>
    </row>
    <row r="1322" spans="2:7">
      <c r="B1322" s="22">
        <v>606</v>
      </c>
      <c r="C1322" s="92" t="s">
        <v>842</v>
      </c>
      <c r="D1322" s="93" t="s">
        <v>66</v>
      </c>
      <c r="E1322" s="92" t="s">
        <v>843</v>
      </c>
      <c r="F1322" s="8" t="s">
        <v>60</v>
      </c>
      <c r="G1322" s="35"/>
    </row>
    <row r="1323" spans="2:7">
      <c r="B1323" s="22">
        <v>602</v>
      </c>
      <c r="C1323" s="92" t="s">
        <v>844</v>
      </c>
      <c r="D1323" s="93" t="s">
        <v>66</v>
      </c>
      <c r="E1323" s="93" t="s">
        <v>506</v>
      </c>
      <c r="F1323" s="8" t="s">
        <v>60</v>
      </c>
      <c r="G1323" s="35"/>
    </row>
    <row r="1324" spans="2:7">
      <c r="B1324" s="22">
        <v>611</v>
      </c>
      <c r="C1324" s="92" t="s">
        <v>845</v>
      </c>
      <c r="D1324" s="93" t="s">
        <v>66</v>
      </c>
      <c r="E1324" s="93" t="s">
        <v>381</v>
      </c>
      <c r="F1324" s="8" t="s">
        <v>60</v>
      </c>
      <c r="G1324" s="35"/>
    </row>
    <row r="1325" spans="2:7">
      <c r="B1325" s="22">
        <v>622</v>
      </c>
      <c r="C1325" s="92" t="s">
        <v>407</v>
      </c>
      <c r="D1325" s="93" t="s">
        <v>66</v>
      </c>
      <c r="E1325" s="93" t="s">
        <v>846</v>
      </c>
      <c r="F1325" s="8" t="s">
        <v>60</v>
      </c>
      <c r="G1325" s="35"/>
    </row>
    <row r="1326" spans="2:7">
      <c r="B1326" s="107">
        <v>623</v>
      </c>
      <c r="C1326" s="92" t="s">
        <v>587</v>
      </c>
      <c r="D1326" s="93">
        <v>10082024901</v>
      </c>
      <c r="E1326" s="92" t="s">
        <v>588</v>
      </c>
      <c r="F1326" s="8" t="s">
        <v>60</v>
      </c>
      <c r="G1326" s="35"/>
    </row>
    <row r="1327" spans="2:7">
      <c r="B1327" s="22">
        <v>624</v>
      </c>
      <c r="C1327" s="92" t="s">
        <v>847</v>
      </c>
      <c r="D1327" s="93" t="s">
        <v>66</v>
      </c>
      <c r="E1327" s="93" t="s">
        <v>848</v>
      </c>
      <c r="F1327" s="8" t="s">
        <v>60</v>
      </c>
      <c r="G1327" s="35"/>
    </row>
    <row r="1328" spans="2:7">
      <c r="B1328" s="22">
        <v>625</v>
      </c>
      <c r="C1328" s="92" t="s">
        <v>538</v>
      </c>
      <c r="D1328" s="93">
        <v>10172016144</v>
      </c>
      <c r="E1328" s="93" t="s">
        <v>125</v>
      </c>
      <c r="F1328" s="8" t="s">
        <v>60</v>
      </c>
      <c r="G1328" s="35"/>
    </row>
    <row r="1329" spans="2:7">
      <c r="B1329" s="22">
        <v>626</v>
      </c>
      <c r="C1329" s="92" t="s">
        <v>784</v>
      </c>
      <c r="D1329" s="93" t="s">
        <v>66</v>
      </c>
      <c r="E1329" s="93" t="s">
        <v>6</v>
      </c>
      <c r="F1329" s="8" t="s">
        <v>60</v>
      </c>
      <c r="G1329" s="35"/>
    </row>
    <row r="1330" spans="2:7">
      <c r="B1330" s="22"/>
      <c r="C1330" s="93"/>
      <c r="D1330" s="93"/>
      <c r="E1330" s="92"/>
      <c r="F1330" s="8" t="s">
        <v>60</v>
      </c>
      <c r="G1330" s="35"/>
    </row>
    <row r="1331" spans="2:7">
      <c r="B1331" s="22"/>
      <c r="C1331" s="93"/>
      <c r="D1331" s="93"/>
      <c r="E1331" s="92"/>
      <c r="F1331" s="8" t="s">
        <v>60</v>
      </c>
      <c r="G1331" s="35"/>
    </row>
    <row r="1332" spans="2:7">
      <c r="B1332" s="22"/>
      <c r="C1332" s="92"/>
      <c r="D1332" s="93"/>
      <c r="E1332" s="93"/>
      <c r="F1332" s="8" t="s">
        <v>60</v>
      </c>
      <c r="G1332" s="35"/>
    </row>
    <row r="1333" spans="2:7">
      <c r="B1333" s="22"/>
      <c r="C1333" s="92"/>
      <c r="D1333" s="93"/>
      <c r="E1333" s="93"/>
      <c r="F1333" s="8" t="s">
        <v>60</v>
      </c>
      <c r="G1333" s="35"/>
    </row>
    <row r="1334" spans="2:7">
      <c r="B1334" s="22"/>
      <c r="C1334" s="92"/>
      <c r="D1334" s="93"/>
      <c r="E1334" s="93"/>
      <c r="F1334" s="8" t="s">
        <v>60</v>
      </c>
      <c r="G1334" s="35"/>
    </row>
    <row r="1335" spans="2:7">
      <c r="B1335" s="22"/>
      <c r="C1335" s="92"/>
      <c r="D1335" s="93"/>
      <c r="E1335" s="93"/>
      <c r="F1335" s="8" t="s">
        <v>60</v>
      </c>
      <c r="G1335" s="35"/>
    </row>
    <row r="1336" spans="2:7">
      <c r="B1336" s="22"/>
      <c r="C1336" s="92"/>
      <c r="D1336" s="93"/>
      <c r="E1336" s="93"/>
      <c r="F1336" s="8" t="s">
        <v>60</v>
      </c>
      <c r="G1336" s="35"/>
    </row>
    <row r="1337" spans="2:7">
      <c r="B1337" s="7"/>
      <c r="C1337" s="8"/>
      <c r="D1337" s="17"/>
      <c r="E1337" s="17"/>
      <c r="F1337" s="17"/>
      <c r="G1337" s="35"/>
    </row>
    <row r="1338" spans="2:7">
      <c r="B1338" s="7"/>
      <c r="C1338" s="8"/>
      <c r="D1338" s="17"/>
      <c r="E1338" s="17"/>
      <c r="F1338" s="17"/>
      <c r="G1338" s="35"/>
    </row>
    <row r="1339" spans="2:7">
      <c r="B1339" s="22">
        <v>671</v>
      </c>
      <c r="C1339" s="92" t="s">
        <v>849</v>
      </c>
      <c r="D1339" s="93">
        <v>10136876074</v>
      </c>
      <c r="E1339" s="92" t="s">
        <v>399</v>
      </c>
      <c r="F1339" s="8" t="s">
        <v>92</v>
      </c>
      <c r="G1339" s="35"/>
    </row>
    <row r="1340" spans="2:7">
      <c r="B1340" s="22">
        <v>672</v>
      </c>
      <c r="C1340" s="92" t="s">
        <v>850</v>
      </c>
      <c r="D1340" s="93" t="s">
        <v>66</v>
      </c>
      <c r="E1340" s="92" t="s">
        <v>70</v>
      </c>
      <c r="F1340" s="8" t="s">
        <v>92</v>
      </c>
      <c r="G1340" s="35"/>
    </row>
    <row r="1341" spans="2:7">
      <c r="B1341" s="41"/>
      <c r="C1341" s="8"/>
      <c r="D1341" s="17"/>
      <c r="E1341" s="17"/>
      <c r="F1341" s="8"/>
      <c r="G1341" s="35"/>
    </row>
    <row r="1342" spans="2:7">
      <c r="B1342" s="22">
        <v>980</v>
      </c>
      <c r="C1342" s="92" t="s">
        <v>851</v>
      </c>
      <c r="D1342" s="93">
        <v>10172985235</v>
      </c>
      <c r="E1342" s="93" t="s">
        <v>308</v>
      </c>
      <c r="F1342" s="8" t="s">
        <v>167</v>
      </c>
      <c r="G1342" s="35"/>
    </row>
    <row r="1343" spans="2:7">
      <c r="B1343" s="22">
        <v>981</v>
      </c>
      <c r="C1343" s="92" t="s">
        <v>852</v>
      </c>
      <c r="D1343" s="93" t="s">
        <v>66</v>
      </c>
      <c r="E1343" s="93" t="s">
        <v>853</v>
      </c>
      <c r="F1343" s="8" t="s">
        <v>167</v>
      </c>
      <c r="G1343" s="35"/>
    </row>
    <row r="1344" spans="2:7">
      <c r="B1344" s="22">
        <v>982</v>
      </c>
      <c r="C1344" s="92" t="s">
        <v>854</v>
      </c>
      <c r="D1344" s="93">
        <v>10050347327</v>
      </c>
      <c r="E1344" s="92" t="s">
        <v>855</v>
      </c>
      <c r="F1344" s="8" t="s">
        <v>167</v>
      </c>
      <c r="G1344" s="35"/>
    </row>
    <row r="1345" spans="2:7">
      <c r="B1345" s="22"/>
      <c r="C1345" s="92"/>
      <c r="D1345" s="93"/>
      <c r="E1345" s="93"/>
      <c r="F1345" s="8" t="s">
        <v>167</v>
      </c>
      <c r="G1345" s="35"/>
    </row>
    <row r="1346" spans="2:7">
      <c r="B1346" s="8"/>
      <c r="C1346" s="8"/>
      <c r="D1346" s="54"/>
      <c r="E1346" s="8"/>
      <c r="F1346" s="8" t="s">
        <v>167</v>
      </c>
      <c r="G1346" s="35"/>
    </row>
    <row r="1347" spans="2:7">
      <c r="B1347" s="8"/>
      <c r="C1347" s="8"/>
      <c r="D1347" s="54"/>
      <c r="E1347" s="8"/>
      <c r="F1347" s="8" t="s">
        <v>167</v>
      </c>
      <c r="G1347" s="35"/>
    </row>
    <row r="1348" spans="2:7">
      <c r="B1348" s="8"/>
      <c r="C1348" s="8"/>
      <c r="D1348" s="54"/>
      <c r="E1348" s="8"/>
      <c r="F1348" s="8" t="s">
        <v>167</v>
      </c>
      <c r="G1348" s="35"/>
    </row>
    <row r="1349" spans="2:7">
      <c r="B1349" s="8"/>
      <c r="C1349" s="8"/>
      <c r="D1349" s="54"/>
      <c r="E1349" s="8"/>
      <c r="F1349" s="8" t="s">
        <v>167</v>
      </c>
      <c r="G1349" s="35"/>
    </row>
    <row r="1350" spans="2:7">
      <c r="B1350" s="8"/>
      <c r="C1350" s="8"/>
      <c r="D1350" s="54"/>
      <c r="E1350" s="8"/>
      <c r="F1350" s="8" t="s">
        <v>167</v>
      </c>
      <c r="G1350" s="35"/>
    </row>
    <row r="1351" spans="2:7">
      <c r="B1351" s="8"/>
      <c r="C1351" s="8"/>
      <c r="D1351" s="54"/>
      <c r="E1351" s="8"/>
      <c r="F1351" s="8" t="s">
        <v>167</v>
      </c>
      <c r="G1351" s="35"/>
    </row>
    <row r="1352" spans="2:7">
      <c r="B1352" s="8"/>
      <c r="C1352" s="8"/>
      <c r="D1352" s="54"/>
      <c r="E1352" s="8"/>
      <c r="F1352" s="8" t="s">
        <v>167</v>
      </c>
      <c r="G1352" s="35"/>
    </row>
    <row r="1353" spans="2:7">
      <c r="B1353" s="8"/>
      <c r="C1353" s="8"/>
      <c r="D1353" s="54"/>
      <c r="E1353" s="8"/>
      <c r="F1353" s="8" t="s">
        <v>167</v>
      </c>
      <c r="G1353" s="35"/>
    </row>
    <row r="1354" spans="2:7">
      <c r="B1354" s="8"/>
      <c r="C1354" s="8"/>
      <c r="D1354" s="54"/>
      <c r="E1354" s="8"/>
      <c r="F1354" s="8" t="s">
        <v>167</v>
      </c>
      <c r="G1354" s="35"/>
    </row>
    <row r="1355" spans="2:7">
      <c r="B1355" s="8"/>
      <c r="C1355" s="8"/>
      <c r="D1355" s="54"/>
      <c r="E1355" s="8"/>
      <c r="F1355" s="8" t="s">
        <v>167</v>
      </c>
      <c r="G1355" s="35"/>
    </row>
    <row r="1356" spans="2:7">
      <c r="B1356" s="8"/>
      <c r="C1356" s="8"/>
      <c r="D1356" s="54"/>
      <c r="E1356" s="8"/>
      <c r="F1356" s="8" t="s">
        <v>167</v>
      </c>
      <c r="G1356" s="35"/>
    </row>
    <row r="1357" spans="2:7">
      <c r="B1357" s="8"/>
      <c r="C1357" s="8"/>
      <c r="D1357" s="54"/>
      <c r="E1357" s="8"/>
      <c r="F1357" s="8"/>
      <c r="G1357" s="35"/>
    </row>
    <row r="1358" spans="2:7">
      <c r="B1358" s="22">
        <v>962</v>
      </c>
      <c r="C1358" s="92" t="s">
        <v>856</v>
      </c>
      <c r="D1358" s="93">
        <v>10136994700</v>
      </c>
      <c r="E1358" s="93" t="s">
        <v>116</v>
      </c>
      <c r="F1358" s="8" t="s">
        <v>102</v>
      </c>
      <c r="G1358" s="35"/>
    </row>
    <row r="1359" spans="2:7">
      <c r="B1359" s="22">
        <v>961</v>
      </c>
      <c r="C1359" s="92" t="s">
        <v>545</v>
      </c>
      <c r="D1359" s="93">
        <v>10129943002</v>
      </c>
      <c r="E1359" s="93" t="s">
        <v>116</v>
      </c>
      <c r="F1359" s="8" t="s">
        <v>102</v>
      </c>
      <c r="G1359" s="35"/>
    </row>
    <row r="1360" spans="2:7">
      <c r="B1360" s="22">
        <v>963</v>
      </c>
      <c r="C1360" s="92" t="s">
        <v>811</v>
      </c>
      <c r="D1360" s="93">
        <v>10052413629</v>
      </c>
      <c r="E1360" s="93" t="s">
        <v>150</v>
      </c>
      <c r="F1360" s="8" t="s">
        <v>102</v>
      </c>
      <c r="G1360" s="35"/>
    </row>
    <row r="1361" spans="2:7">
      <c r="B1361" s="22">
        <v>964</v>
      </c>
      <c r="C1361" s="92" t="s">
        <v>857</v>
      </c>
      <c r="D1361" s="93">
        <v>10061982172</v>
      </c>
      <c r="E1361" s="93" t="s">
        <v>454</v>
      </c>
      <c r="F1361" s="8" t="s">
        <v>102</v>
      </c>
      <c r="G1361" s="35"/>
    </row>
    <row r="1362" spans="2:7">
      <c r="B1362" s="8"/>
      <c r="C1362" s="8"/>
      <c r="D1362" s="54"/>
      <c r="E1362" s="8"/>
      <c r="F1362" s="8" t="s">
        <v>102</v>
      </c>
      <c r="G1362" s="35"/>
    </row>
    <row r="1363" spans="2:7">
      <c r="B1363" s="8"/>
      <c r="C1363" s="8"/>
      <c r="D1363" s="54"/>
      <c r="E1363" s="8"/>
      <c r="F1363" s="17"/>
      <c r="G1363" s="35"/>
    </row>
    <row r="1364" spans="2:7">
      <c r="B1364" s="8"/>
      <c r="C1364" s="8"/>
      <c r="D1364" s="54"/>
      <c r="E1364" s="8"/>
      <c r="F1364" s="17"/>
      <c r="G1364" s="35"/>
    </row>
    <row r="1365" spans="2:7">
      <c r="B1365" s="8"/>
      <c r="C1365" s="8"/>
      <c r="D1365" s="54"/>
      <c r="E1365" s="8"/>
      <c r="F1365" s="8" t="s">
        <v>858</v>
      </c>
      <c r="G1365" s="35"/>
    </row>
    <row r="1366" spans="2:7">
      <c r="B1366" s="8"/>
      <c r="C1366" s="8"/>
      <c r="D1366" s="54"/>
      <c r="E1366" s="8"/>
      <c r="F1366" s="17"/>
      <c r="G1366" s="35"/>
    </row>
    <row r="1367" spans="2:7">
      <c r="B1367" s="8"/>
      <c r="C1367" s="8"/>
      <c r="D1367" s="54"/>
      <c r="E1367" s="8"/>
      <c r="F1367" s="17"/>
      <c r="G1367" s="35"/>
    </row>
    <row r="1368" spans="2:7">
      <c r="B1368" s="22">
        <v>1010</v>
      </c>
      <c r="C1368" s="92" t="s">
        <v>481</v>
      </c>
      <c r="D1368" s="93">
        <v>10054780328</v>
      </c>
      <c r="E1368" s="93" t="s">
        <v>100</v>
      </c>
      <c r="F1368" s="54" t="s">
        <v>547</v>
      </c>
      <c r="G1368" s="35"/>
    </row>
    <row r="1369" spans="2:7">
      <c r="B1369" s="22">
        <v>1009</v>
      </c>
      <c r="C1369" s="92" t="s">
        <v>123</v>
      </c>
      <c r="D1369" s="93">
        <v>10007726234</v>
      </c>
      <c r="E1369" s="93" t="s">
        <v>124</v>
      </c>
      <c r="F1369" s="54" t="s">
        <v>547</v>
      </c>
      <c r="G1369" s="35"/>
    </row>
    <row r="1370" spans="2:7">
      <c r="B1370" s="22">
        <v>1011</v>
      </c>
      <c r="C1370" s="92" t="s">
        <v>552</v>
      </c>
      <c r="D1370" s="93">
        <v>10089437115</v>
      </c>
      <c r="E1370" s="93" t="s">
        <v>519</v>
      </c>
      <c r="F1370" s="54" t="s">
        <v>547</v>
      </c>
      <c r="G1370" s="35"/>
    </row>
    <row r="1371" spans="2:7">
      <c r="B1371" s="22">
        <v>1018</v>
      </c>
      <c r="C1371" s="92" t="s">
        <v>559</v>
      </c>
      <c r="D1371" s="93">
        <v>10089540377</v>
      </c>
      <c r="E1371" s="93" t="s">
        <v>560</v>
      </c>
      <c r="F1371" s="54" t="s">
        <v>547</v>
      </c>
      <c r="G1371" s="35"/>
    </row>
    <row r="1372" spans="2:7">
      <c r="B1372" s="22">
        <v>1002</v>
      </c>
      <c r="C1372" s="92" t="s">
        <v>859</v>
      </c>
      <c r="D1372" s="93">
        <v>10132574934</v>
      </c>
      <c r="E1372" s="93" t="s">
        <v>860</v>
      </c>
      <c r="F1372" s="54" t="s">
        <v>547</v>
      </c>
      <c r="G1372" s="35"/>
    </row>
    <row r="1373" spans="2:7">
      <c r="B1373" s="3">
        <v>1019</v>
      </c>
      <c r="C1373" s="92" t="s">
        <v>861</v>
      </c>
      <c r="D1373" s="93">
        <v>10082031971</v>
      </c>
      <c r="E1373" s="93" t="s">
        <v>124</v>
      </c>
      <c r="F1373" s="54" t="s">
        <v>547</v>
      </c>
      <c r="G1373" s="35"/>
    </row>
    <row r="1374" spans="2:7">
      <c r="B1374" s="3">
        <v>1020</v>
      </c>
      <c r="C1374" s="92" t="s">
        <v>862</v>
      </c>
      <c r="D1374" s="93">
        <v>10060999644</v>
      </c>
      <c r="E1374" s="92" t="s">
        <v>863</v>
      </c>
      <c r="F1374" s="54" t="s">
        <v>547</v>
      </c>
      <c r="G1374" s="35"/>
    </row>
    <row r="1375" spans="2:7">
      <c r="B1375" s="3">
        <v>1021</v>
      </c>
      <c r="C1375" s="92" t="s">
        <v>864</v>
      </c>
      <c r="D1375" s="93">
        <v>10086437185</v>
      </c>
      <c r="E1375" s="93" t="s">
        <v>865</v>
      </c>
      <c r="F1375" s="54" t="s">
        <v>547</v>
      </c>
      <c r="G1375" s="35"/>
    </row>
    <row r="1376" spans="2:7">
      <c r="B1376" s="3">
        <v>1022</v>
      </c>
      <c r="C1376" s="92" t="s">
        <v>469</v>
      </c>
      <c r="D1376" s="93">
        <v>10126882448</v>
      </c>
      <c r="E1376" s="93" t="s">
        <v>69</v>
      </c>
      <c r="F1376" s="54" t="s">
        <v>547</v>
      </c>
      <c r="G1376" s="35"/>
    </row>
    <row r="1377" spans="2:7">
      <c r="B1377" s="18"/>
      <c r="C1377" s="19"/>
      <c r="D1377" s="19"/>
      <c r="E1377" s="19"/>
      <c r="F1377" s="19"/>
      <c r="G1377" s="35"/>
    </row>
    <row r="1378" spans="2:7">
      <c r="B1378" s="18"/>
      <c r="C1378" s="19"/>
      <c r="D1378" s="19"/>
      <c r="E1378" s="19"/>
      <c r="F1378" s="19"/>
      <c r="G1378" s="35"/>
    </row>
    <row r="1379" spans="2:7">
      <c r="B1379" s="18"/>
      <c r="C1379" s="19"/>
      <c r="D1379" s="19"/>
      <c r="E1379" s="19"/>
      <c r="F1379" s="19"/>
      <c r="G1379" s="35"/>
    </row>
    <row r="1380" spans="2:7">
      <c r="B1380" s="18"/>
      <c r="C1380" s="19" t="s">
        <v>563</v>
      </c>
      <c r="D1380" s="19"/>
      <c r="E1380" s="19"/>
      <c r="F1380" s="19"/>
      <c r="G1380" s="35"/>
    </row>
    <row r="1381" spans="2:7">
      <c r="B1381" s="18"/>
      <c r="C1381" s="19"/>
      <c r="D1381" s="19"/>
      <c r="E1381" s="19"/>
      <c r="F1381" s="19"/>
      <c r="G1381" s="35"/>
    </row>
    <row r="1382" spans="2:7">
      <c r="B1382" s="3">
        <v>1</v>
      </c>
      <c r="C1382" s="92" t="s">
        <v>169</v>
      </c>
      <c r="D1382" s="93">
        <v>10009200331</v>
      </c>
      <c r="E1382" s="93" t="s">
        <v>170</v>
      </c>
      <c r="F1382" t="s">
        <v>50</v>
      </c>
    </row>
    <row r="1383" spans="2:7">
      <c r="B1383" s="3">
        <v>2</v>
      </c>
      <c r="C1383" s="92" t="s">
        <v>171</v>
      </c>
      <c r="D1383" s="93">
        <v>10092456037</v>
      </c>
      <c r="E1383" s="93" t="s">
        <v>100</v>
      </c>
      <c r="F1383" t="s">
        <v>50</v>
      </c>
    </row>
    <row r="1384" spans="2:7">
      <c r="B1384" s="3">
        <v>3</v>
      </c>
      <c r="C1384" s="92" t="s">
        <v>111</v>
      </c>
      <c r="D1384" s="93">
        <v>10105198201</v>
      </c>
      <c r="E1384" s="93" t="s">
        <v>172</v>
      </c>
      <c r="F1384" t="s">
        <v>50</v>
      </c>
    </row>
    <row r="1385" spans="2:7">
      <c r="B1385" s="3">
        <v>4</v>
      </c>
      <c r="C1385" s="92" t="s">
        <v>173</v>
      </c>
      <c r="D1385" s="93">
        <v>10076890971</v>
      </c>
      <c r="E1385" s="93" t="s">
        <v>114</v>
      </c>
      <c r="F1385" t="s">
        <v>50</v>
      </c>
    </row>
    <row r="1386" spans="2:7">
      <c r="B1386" s="3">
        <v>5</v>
      </c>
      <c r="C1386" s="92" t="s">
        <v>174</v>
      </c>
      <c r="D1386" s="93">
        <v>10075992208</v>
      </c>
      <c r="E1386" s="93" t="s">
        <v>115</v>
      </c>
      <c r="F1386" t="s">
        <v>50</v>
      </c>
    </row>
    <row r="1387" spans="2:7">
      <c r="B1387" s="3">
        <v>6</v>
      </c>
      <c r="C1387" s="92" t="s">
        <v>143</v>
      </c>
      <c r="D1387" s="93">
        <v>10051220327</v>
      </c>
      <c r="E1387" s="93" t="s">
        <v>175</v>
      </c>
      <c r="F1387" t="s">
        <v>50</v>
      </c>
    </row>
    <row r="1388" spans="2:7">
      <c r="B1388" s="3">
        <v>7</v>
      </c>
      <c r="C1388" s="92" t="s">
        <v>176</v>
      </c>
      <c r="D1388" s="93">
        <v>10140483767</v>
      </c>
      <c r="E1388" s="93" t="s">
        <v>177</v>
      </c>
      <c r="F1388" t="s">
        <v>50</v>
      </c>
    </row>
    <row r="1389" spans="2:7">
      <c r="B1389" s="3">
        <v>8</v>
      </c>
      <c r="C1389" s="93" t="s">
        <v>154</v>
      </c>
      <c r="D1389" s="93">
        <v>10112939407</v>
      </c>
      <c r="E1389" s="92" t="s">
        <v>178</v>
      </c>
      <c r="F1389" t="s">
        <v>50</v>
      </c>
    </row>
    <row r="1390" spans="2:7">
      <c r="B1390" s="3">
        <v>9</v>
      </c>
      <c r="C1390" s="93" t="s">
        <v>179</v>
      </c>
      <c r="D1390" s="93">
        <v>10131191672</v>
      </c>
      <c r="E1390" s="92" t="s">
        <v>113</v>
      </c>
      <c r="F1390" t="s">
        <v>50</v>
      </c>
    </row>
    <row r="1391" spans="2:7">
      <c r="B1391" s="3">
        <v>10</v>
      </c>
      <c r="C1391" s="92" t="s">
        <v>180</v>
      </c>
      <c r="D1391" s="93">
        <v>10103820090</v>
      </c>
      <c r="E1391" s="93" t="s">
        <v>114</v>
      </c>
      <c r="F1391" t="s">
        <v>50</v>
      </c>
    </row>
    <row r="1392" spans="2:7">
      <c r="B1392" s="3">
        <v>11</v>
      </c>
      <c r="C1392" s="92" t="s">
        <v>181</v>
      </c>
      <c r="D1392" s="93">
        <v>10121754380</v>
      </c>
      <c r="E1392" s="93" t="s">
        <v>113</v>
      </c>
      <c r="F1392" t="s">
        <v>50</v>
      </c>
    </row>
    <row r="1393" spans="2:6">
      <c r="B1393" s="3">
        <v>12</v>
      </c>
      <c r="C1393" s="92" t="s">
        <v>182</v>
      </c>
      <c r="D1393" s="93">
        <v>10101989521</v>
      </c>
      <c r="E1393" s="93" t="s">
        <v>109</v>
      </c>
      <c r="F1393" t="s">
        <v>50</v>
      </c>
    </row>
    <row r="1394" spans="2:6">
      <c r="B1394" s="3">
        <v>13</v>
      </c>
      <c r="C1394" s="92" t="s">
        <v>183</v>
      </c>
      <c r="D1394" s="93" t="s">
        <v>66</v>
      </c>
      <c r="E1394" s="93" t="s">
        <v>86</v>
      </c>
      <c r="F1394" t="s">
        <v>50</v>
      </c>
    </row>
    <row r="1395" spans="2:6">
      <c r="B1395" s="3">
        <v>14</v>
      </c>
      <c r="C1395" s="92" t="s">
        <v>184</v>
      </c>
      <c r="D1395" s="93">
        <v>10097019178</v>
      </c>
      <c r="E1395" s="93" t="s">
        <v>185</v>
      </c>
      <c r="F1395" t="s">
        <v>50</v>
      </c>
    </row>
    <row r="1396" spans="2:6">
      <c r="B1396" s="3">
        <v>15</v>
      </c>
      <c r="C1396" s="92" t="s">
        <v>186</v>
      </c>
      <c r="D1396" s="93">
        <v>10120369001</v>
      </c>
      <c r="E1396" s="93" t="s">
        <v>187</v>
      </c>
      <c r="F1396" t="s">
        <v>50</v>
      </c>
    </row>
    <row r="1397" spans="2:6">
      <c r="B1397" s="3">
        <v>16</v>
      </c>
      <c r="C1397" s="92" t="s">
        <v>188</v>
      </c>
      <c r="D1397" s="93" t="s">
        <v>66</v>
      </c>
      <c r="E1397" s="93" t="s">
        <v>189</v>
      </c>
      <c r="F1397" t="s">
        <v>50</v>
      </c>
    </row>
    <row r="1398" spans="2:6">
      <c r="B1398" s="3">
        <v>17</v>
      </c>
      <c r="C1398" s="92" t="s">
        <v>190</v>
      </c>
      <c r="D1398" s="93">
        <v>10121518449</v>
      </c>
      <c r="E1398" s="93" t="s">
        <v>191</v>
      </c>
      <c r="F1398" t="s">
        <v>50</v>
      </c>
    </row>
    <row r="1399" spans="2:6">
      <c r="B1399" s="3">
        <v>18</v>
      </c>
      <c r="C1399" s="92" t="s">
        <v>192</v>
      </c>
      <c r="D1399" s="93">
        <v>10120252500</v>
      </c>
      <c r="E1399" s="93" t="s">
        <v>117</v>
      </c>
      <c r="F1399" t="s">
        <v>50</v>
      </c>
    </row>
    <row r="1400" spans="2:6">
      <c r="B1400" s="22">
        <v>19</v>
      </c>
      <c r="C1400" s="93" t="s">
        <v>193</v>
      </c>
      <c r="D1400" s="93">
        <v>10116527902</v>
      </c>
      <c r="E1400" s="92" t="s">
        <v>194</v>
      </c>
      <c r="F1400" t="s">
        <v>50</v>
      </c>
    </row>
    <row r="1401" spans="2:6" ht="15.75">
      <c r="B1401" s="40"/>
      <c r="C1401" s="8"/>
      <c r="D1401" s="54"/>
      <c r="E1401" s="54"/>
      <c r="F1401" s="8"/>
    </row>
    <row r="1402" spans="2:6">
      <c r="B1402" s="22">
        <v>81</v>
      </c>
      <c r="C1402" s="94" t="s">
        <v>195</v>
      </c>
      <c r="D1402" s="93">
        <v>10052898528</v>
      </c>
      <c r="E1402" s="93" t="s">
        <v>196</v>
      </c>
      <c r="F1402" s="8" t="s">
        <v>51</v>
      </c>
    </row>
    <row r="1403" spans="2:6">
      <c r="B1403" s="3">
        <v>82</v>
      </c>
      <c r="C1403" s="94" t="s">
        <v>153</v>
      </c>
      <c r="D1403" s="93">
        <v>10059847263</v>
      </c>
      <c r="E1403" s="93" t="s">
        <v>197</v>
      </c>
      <c r="F1403" s="8" t="s">
        <v>51</v>
      </c>
    </row>
    <row r="1404" spans="2:6">
      <c r="B1404" s="22">
        <v>83</v>
      </c>
      <c r="C1404" s="94" t="s">
        <v>198</v>
      </c>
      <c r="D1404" s="93">
        <v>10052925305</v>
      </c>
      <c r="E1404" s="93" t="s">
        <v>114</v>
      </c>
      <c r="F1404" s="8" t="s">
        <v>51</v>
      </c>
    </row>
    <row r="1405" spans="2:6">
      <c r="B1405" s="3">
        <v>84</v>
      </c>
      <c r="C1405" s="94" t="s">
        <v>199</v>
      </c>
      <c r="D1405" s="93">
        <v>10076118308</v>
      </c>
      <c r="E1405" s="93" t="s">
        <v>200</v>
      </c>
      <c r="F1405" s="8" t="s">
        <v>51</v>
      </c>
    </row>
    <row r="1406" spans="2:6">
      <c r="B1406" s="22">
        <v>85</v>
      </c>
      <c r="C1406" s="92" t="s">
        <v>201</v>
      </c>
      <c r="D1406" s="93">
        <v>10101990228</v>
      </c>
      <c r="E1406" s="93" t="s">
        <v>100</v>
      </c>
      <c r="F1406" s="8" t="s">
        <v>51</v>
      </c>
    </row>
    <row r="1407" spans="2:6">
      <c r="B1407" s="3">
        <v>86</v>
      </c>
      <c r="C1407" s="94" t="s">
        <v>202</v>
      </c>
      <c r="D1407" s="93">
        <v>10104199505</v>
      </c>
      <c r="E1407" s="93" t="s">
        <v>133</v>
      </c>
      <c r="F1407" s="8" t="s">
        <v>51</v>
      </c>
    </row>
    <row r="1408" spans="2:6">
      <c r="B1408" s="22">
        <v>87</v>
      </c>
      <c r="C1408" s="92" t="s">
        <v>203</v>
      </c>
      <c r="D1408" s="93">
        <v>10120014242</v>
      </c>
      <c r="E1408" s="93" t="s">
        <v>204</v>
      </c>
      <c r="F1408" s="8" t="s">
        <v>51</v>
      </c>
    </row>
    <row r="1409" spans="2:6">
      <c r="B1409" s="3">
        <v>88</v>
      </c>
      <c r="C1409" s="94" t="s">
        <v>205</v>
      </c>
      <c r="D1409" s="93">
        <v>10091238382</v>
      </c>
      <c r="E1409" s="93" t="s">
        <v>200</v>
      </c>
      <c r="F1409" s="8" t="s">
        <v>51</v>
      </c>
    </row>
    <row r="1410" spans="2:6">
      <c r="B1410" s="22">
        <v>89</v>
      </c>
      <c r="C1410" s="94" t="s">
        <v>206</v>
      </c>
      <c r="D1410" s="93">
        <v>10076571982</v>
      </c>
      <c r="E1410" s="93" t="s">
        <v>139</v>
      </c>
      <c r="F1410" s="8" t="s">
        <v>51</v>
      </c>
    </row>
    <row r="1411" spans="2:6">
      <c r="B1411" s="3">
        <v>90</v>
      </c>
      <c r="C1411" s="94" t="s">
        <v>207</v>
      </c>
      <c r="D1411" s="93">
        <v>10104125238</v>
      </c>
      <c r="E1411" s="93" t="s">
        <v>100</v>
      </c>
      <c r="F1411" s="8" t="s">
        <v>51</v>
      </c>
    </row>
    <row r="1412" spans="2:6">
      <c r="B1412" s="22">
        <v>91</v>
      </c>
      <c r="C1412" s="94" t="s">
        <v>208</v>
      </c>
      <c r="D1412" s="93">
        <v>10114220817</v>
      </c>
      <c r="E1412" s="93" t="s">
        <v>200</v>
      </c>
      <c r="F1412" s="8" t="s">
        <v>51</v>
      </c>
    </row>
    <row r="1413" spans="2:6">
      <c r="B1413" s="10"/>
      <c r="D1413" s="17"/>
      <c r="E1413" s="17"/>
    </row>
    <row r="1414" spans="2:6">
      <c r="B1414" s="3">
        <v>101</v>
      </c>
      <c r="C1414" s="92" t="s">
        <v>209</v>
      </c>
      <c r="D1414" s="93">
        <v>10089728923</v>
      </c>
      <c r="E1414" s="93" t="s">
        <v>110</v>
      </c>
      <c r="F1414" t="s">
        <v>52</v>
      </c>
    </row>
    <row r="1415" spans="2:6">
      <c r="B1415" s="3">
        <v>102</v>
      </c>
      <c r="C1415" s="92" t="s">
        <v>210</v>
      </c>
      <c r="D1415" s="93">
        <v>10116215680</v>
      </c>
      <c r="E1415" s="93" t="s">
        <v>65</v>
      </c>
      <c r="F1415" t="s">
        <v>52</v>
      </c>
    </row>
    <row r="1416" spans="2:6">
      <c r="B1416" s="3">
        <v>103</v>
      </c>
      <c r="C1416" s="92" t="s">
        <v>211</v>
      </c>
      <c r="D1416" s="93">
        <v>10154951521</v>
      </c>
      <c r="E1416" s="93" t="s">
        <v>212</v>
      </c>
      <c r="F1416" t="s">
        <v>52</v>
      </c>
    </row>
    <row r="1417" spans="2:6">
      <c r="B1417" s="3">
        <v>104</v>
      </c>
      <c r="C1417" s="92" t="s">
        <v>213</v>
      </c>
      <c r="D1417" s="93">
        <v>10141533185</v>
      </c>
      <c r="E1417" s="93" t="s">
        <v>214</v>
      </c>
      <c r="F1417" t="s">
        <v>52</v>
      </c>
    </row>
    <row r="1418" spans="2:6">
      <c r="B1418" s="3">
        <v>105</v>
      </c>
      <c r="C1418" s="92" t="s">
        <v>215</v>
      </c>
      <c r="D1418" s="93">
        <v>10104387138</v>
      </c>
      <c r="E1418" s="93" t="s">
        <v>115</v>
      </c>
      <c r="F1418" t="s">
        <v>52</v>
      </c>
    </row>
    <row r="1419" spans="2:6">
      <c r="B1419" s="3">
        <v>106</v>
      </c>
      <c r="C1419" s="92" t="s">
        <v>216</v>
      </c>
      <c r="D1419" s="93">
        <v>10164874621</v>
      </c>
      <c r="E1419" s="93" t="s">
        <v>113</v>
      </c>
      <c r="F1419" t="s">
        <v>52</v>
      </c>
    </row>
    <row r="1420" spans="2:6">
      <c r="B1420" s="3">
        <v>107</v>
      </c>
      <c r="C1420" s="92" t="s">
        <v>217</v>
      </c>
      <c r="D1420" s="93">
        <v>10165016683</v>
      </c>
      <c r="E1420" s="93" t="s">
        <v>113</v>
      </c>
      <c r="F1420" t="s">
        <v>52</v>
      </c>
    </row>
    <row r="1421" spans="2:6">
      <c r="B1421" s="3">
        <v>108</v>
      </c>
      <c r="C1421" s="92" t="s">
        <v>218</v>
      </c>
      <c r="D1421" s="93">
        <v>10171656234</v>
      </c>
      <c r="E1421" s="93" t="s">
        <v>113</v>
      </c>
      <c r="F1421" t="s">
        <v>52</v>
      </c>
    </row>
    <row r="1422" spans="2:6">
      <c r="B1422" s="3">
        <v>109</v>
      </c>
      <c r="C1422" s="92" t="s">
        <v>219</v>
      </c>
      <c r="D1422" s="93">
        <v>10170820014</v>
      </c>
      <c r="E1422" s="93" t="s">
        <v>113</v>
      </c>
      <c r="F1422" t="s">
        <v>52</v>
      </c>
    </row>
    <row r="1423" spans="2:6">
      <c r="B1423" s="3">
        <v>110</v>
      </c>
      <c r="C1423" s="92" t="s">
        <v>220</v>
      </c>
      <c r="D1423" s="93">
        <v>1015245883</v>
      </c>
      <c r="E1423" s="93" t="s">
        <v>85</v>
      </c>
      <c r="F1423" t="s">
        <v>52</v>
      </c>
    </row>
    <row r="1424" spans="2:6">
      <c r="B1424" s="3">
        <v>111</v>
      </c>
      <c r="C1424" s="92" t="s">
        <v>221</v>
      </c>
      <c r="D1424" s="93">
        <v>10137506372</v>
      </c>
      <c r="E1424" s="93" t="s">
        <v>222</v>
      </c>
      <c r="F1424" t="s">
        <v>52</v>
      </c>
    </row>
    <row r="1425" spans="2:6">
      <c r="B1425" s="3">
        <v>112</v>
      </c>
      <c r="C1425" s="92" t="s">
        <v>223</v>
      </c>
      <c r="D1425" s="93">
        <v>10152284728</v>
      </c>
      <c r="E1425" s="93" t="s">
        <v>177</v>
      </c>
      <c r="F1425" t="s">
        <v>52</v>
      </c>
    </row>
    <row r="1426" spans="2:6">
      <c r="B1426" s="3">
        <v>113</v>
      </c>
      <c r="C1426" s="92" t="s">
        <v>224</v>
      </c>
      <c r="D1426" s="93">
        <v>10161366554</v>
      </c>
      <c r="E1426" s="93" t="s">
        <v>85</v>
      </c>
      <c r="F1426" t="s">
        <v>52</v>
      </c>
    </row>
    <row r="1427" spans="2:6">
      <c r="B1427" s="3">
        <v>114</v>
      </c>
      <c r="C1427" s="92" t="s">
        <v>225</v>
      </c>
      <c r="D1427" s="93">
        <v>10142353645</v>
      </c>
      <c r="E1427" s="93" t="s">
        <v>226</v>
      </c>
      <c r="F1427" t="s">
        <v>52</v>
      </c>
    </row>
    <row r="1428" spans="2:6">
      <c r="B1428" s="3">
        <v>115</v>
      </c>
      <c r="C1428" s="92" t="s">
        <v>227</v>
      </c>
      <c r="D1428" s="93">
        <v>10114172014</v>
      </c>
      <c r="E1428" s="93" t="s">
        <v>228</v>
      </c>
      <c r="F1428" t="s">
        <v>52</v>
      </c>
    </row>
    <row r="1429" spans="2:6">
      <c r="B1429" s="3">
        <v>116</v>
      </c>
      <c r="C1429" s="92" t="s">
        <v>229</v>
      </c>
      <c r="D1429" s="93">
        <v>10127011982</v>
      </c>
      <c r="E1429" s="93" t="s">
        <v>177</v>
      </c>
      <c r="F1429" t="s">
        <v>52</v>
      </c>
    </row>
    <row r="1430" spans="2:6">
      <c r="B1430" s="3">
        <v>117</v>
      </c>
      <c r="C1430" s="92" t="s">
        <v>230</v>
      </c>
      <c r="D1430" s="93" t="s">
        <v>66</v>
      </c>
      <c r="E1430" s="93" t="s">
        <v>84</v>
      </c>
      <c r="F1430" t="s">
        <v>52</v>
      </c>
    </row>
    <row r="1431" spans="2:6">
      <c r="B1431" s="3">
        <v>118</v>
      </c>
      <c r="C1431" s="92" t="s">
        <v>231</v>
      </c>
      <c r="D1431" s="93">
        <v>10131783170</v>
      </c>
      <c r="E1431" s="93" t="s">
        <v>84</v>
      </c>
      <c r="F1431" t="s">
        <v>52</v>
      </c>
    </row>
    <row r="1432" spans="2:6">
      <c r="B1432" s="3">
        <v>119</v>
      </c>
      <c r="C1432" s="92" t="s">
        <v>232</v>
      </c>
      <c r="D1432" s="93" t="s">
        <v>66</v>
      </c>
      <c r="E1432" s="93" t="s">
        <v>84</v>
      </c>
      <c r="F1432" t="s">
        <v>52</v>
      </c>
    </row>
    <row r="1433" spans="2:6">
      <c r="B1433" s="3">
        <v>120</v>
      </c>
      <c r="C1433" s="92" t="s">
        <v>233</v>
      </c>
      <c r="D1433" s="93">
        <v>10131783069</v>
      </c>
      <c r="E1433" s="93" t="s">
        <v>84</v>
      </c>
      <c r="F1433" t="s">
        <v>52</v>
      </c>
    </row>
    <row r="1434" spans="2:6">
      <c r="B1434" s="3">
        <v>121</v>
      </c>
      <c r="C1434" s="92" t="s">
        <v>234</v>
      </c>
      <c r="D1434" s="93">
        <v>10161111728</v>
      </c>
      <c r="E1434" s="93" t="s">
        <v>135</v>
      </c>
      <c r="F1434" t="s">
        <v>52</v>
      </c>
    </row>
    <row r="1435" spans="2:6">
      <c r="B1435" s="3">
        <v>122</v>
      </c>
      <c r="C1435" s="92" t="s">
        <v>235</v>
      </c>
      <c r="D1435" s="93">
        <v>10127124544</v>
      </c>
      <c r="E1435" s="93" t="s">
        <v>236</v>
      </c>
      <c r="F1435" t="s">
        <v>52</v>
      </c>
    </row>
    <row r="1436" spans="2:6">
      <c r="B1436" s="3">
        <v>123</v>
      </c>
      <c r="C1436" s="92" t="s">
        <v>237</v>
      </c>
      <c r="D1436" s="93">
        <v>10171946426</v>
      </c>
      <c r="E1436" s="93" t="s">
        <v>6</v>
      </c>
      <c r="F1436" t="s">
        <v>52</v>
      </c>
    </row>
    <row r="1437" spans="2:6">
      <c r="B1437" s="3">
        <v>124</v>
      </c>
      <c r="C1437" s="92" t="s">
        <v>238</v>
      </c>
      <c r="D1437" s="93">
        <v>10168944678</v>
      </c>
      <c r="E1437" s="93" t="s">
        <v>239</v>
      </c>
      <c r="F1437" t="s">
        <v>52</v>
      </c>
    </row>
    <row r="1438" spans="2:6">
      <c r="B1438" s="3">
        <v>125</v>
      </c>
      <c r="C1438" s="92" t="s">
        <v>240</v>
      </c>
      <c r="D1438" s="93">
        <v>10119593506</v>
      </c>
      <c r="E1438" s="93" t="s">
        <v>133</v>
      </c>
      <c r="F1438" t="s">
        <v>52</v>
      </c>
    </row>
    <row r="1439" spans="2:6">
      <c r="B1439" s="3">
        <v>126</v>
      </c>
      <c r="C1439" s="92" t="s">
        <v>241</v>
      </c>
      <c r="D1439" s="93" t="s">
        <v>66</v>
      </c>
      <c r="E1439" s="93" t="s">
        <v>242</v>
      </c>
      <c r="F1439" t="s">
        <v>52</v>
      </c>
    </row>
    <row r="1440" spans="2:6">
      <c r="B1440" s="3">
        <v>127</v>
      </c>
      <c r="C1440" s="92" t="s">
        <v>243</v>
      </c>
      <c r="D1440" s="93" t="s">
        <v>66</v>
      </c>
      <c r="E1440" s="93" t="s">
        <v>84</v>
      </c>
      <c r="F1440" t="s">
        <v>52</v>
      </c>
    </row>
    <row r="1441" spans="2:6">
      <c r="B1441" s="3">
        <v>128</v>
      </c>
      <c r="C1441" s="92" t="s">
        <v>244</v>
      </c>
      <c r="D1441" s="93">
        <v>10161160935</v>
      </c>
      <c r="E1441" s="93" t="s">
        <v>245</v>
      </c>
      <c r="F1441" t="s">
        <v>52</v>
      </c>
    </row>
    <row r="1442" spans="2:6">
      <c r="B1442" s="3">
        <v>129</v>
      </c>
      <c r="C1442" s="92" t="s">
        <v>246</v>
      </c>
      <c r="D1442" s="93">
        <v>10164035670</v>
      </c>
      <c r="E1442" s="93" t="s">
        <v>155</v>
      </c>
      <c r="F1442" t="s">
        <v>52</v>
      </c>
    </row>
    <row r="1443" spans="2:6">
      <c r="B1443" s="3">
        <v>130</v>
      </c>
      <c r="C1443" s="92" t="s">
        <v>247</v>
      </c>
      <c r="D1443" s="93">
        <v>10141535512</v>
      </c>
      <c r="E1443" s="93" t="s">
        <v>132</v>
      </c>
      <c r="F1443" t="s">
        <v>52</v>
      </c>
    </row>
    <row r="1444" spans="2:6">
      <c r="B1444" s="3">
        <v>131</v>
      </c>
      <c r="C1444" s="92" t="s">
        <v>248</v>
      </c>
      <c r="D1444" s="93">
        <v>12248</v>
      </c>
      <c r="E1444" s="93" t="s">
        <v>132</v>
      </c>
      <c r="F1444" t="s">
        <v>52</v>
      </c>
    </row>
    <row r="1445" spans="2:6">
      <c r="B1445" s="3">
        <v>132</v>
      </c>
      <c r="C1445" s="92" t="s">
        <v>249</v>
      </c>
      <c r="D1445" s="93">
        <v>12249</v>
      </c>
      <c r="E1445" s="93" t="s">
        <v>132</v>
      </c>
      <c r="F1445" t="s">
        <v>52</v>
      </c>
    </row>
    <row r="1446" spans="2:6">
      <c r="B1446" s="3">
        <v>133</v>
      </c>
      <c r="C1446" s="92" t="s">
        <v>250</v>
      </c>
      <c r="D1446" s="93">
        <v>10131930286</v>
      </c>
      <c r="E1446" s="93" t="s">
        <v>251</v>
      </c>
      <c r="F1446" t="s">
        <v>52</v>
      </c>
    </row>
    <row r="1447" spans="2:6">
      <c r="B1447" s="3">
        <v>134</v>
      </c>
      <c r="C1447" s="92" t="s">
        <v>252</v>
      </c>
      <c r="D1447" s="93">
        <v>10164774385</v>
      </c>
      <c r="E1447" s="93" t="s">
        <v>253</v>
      </c>
      <c r="F1447" t="s">
        <v>52</v>
      </c>
    </row>
    <row r="1448" spans="2:6">
      <c r="B1448" s="3">
        <v>135</v>
      </c>
      <c r="C1448" s="92" t="s">
        <v>254</v>
      </c>
      <c r="D1448" s="93">
        <v>10132702145</v>
      </c>
      <c r="E1448" s="93" t="s">
        <v>255</v>
      </c>
      <c r="F1448" t="s">
        <v>52</v>
      </c>
    </row>
    <row r="1449" spans="2:6">
      <c r="B1449" s="3">
        <v>136</v>
      </c>
      <c r="C1449" s="92" t="s">
        <v>256</v>
      </c>
      <c r="D1449" s="93">
        <v>10152456092</v>
      </c>
      <c r="E1449" s="93" t="s">
        <v>152</v>
      </c>
      <c r="F1449" t="s">
        <v>52</v>
      </c>
    </row>
    <row r="1450" spans="2:6">
      <c r="B1450" s="3">
        <v>137</v>
      </c>
      <c r="C1450" s="92" t="s">
        <v>257</v>
      </c>
      <c r="D1450" s="93" t="s">
        <v>66</v>
      </c>
      <c r="E1450" s="93" t="s">
        <v>258</v>
      </c>
      <c r="F1450" t="s">
        <v>52</v>
      </c>
    </row>
    <row r="1451" spans="2:6">
      <c r="B1451" s="3">
        <v>138</v>
      </c>
      <c r="C1451" s="92" t="s">
        <v>259</v>
      </c>
      <c r="D1451" s="93">
        <v>10161463756</v>
      </c>
      <c r="E1451" s="93" t="s">
        <v>7</v>
      </c>
      <c r="F1451" t="s">
        <v>52</v>
      </c>
    </row>
    <row r="1452" spans="2:6">
      <c r="B1452" s="3">
        <v>139</v>
      </c>
      <c r="C1452" s="92" t="s">
        <v>260</v>
      </c>
      <c r="D1452" s="93">
        <v>120250873</v>
      </c>
      <c r="E1452" s="93" t="s">
        <v>71</v>
      </c>
      <c r="F1452" t="s">
        <v>52</v>
      </c>
    </row>
    <row r="1453" spans="2:6">
      <c r="B1453" s="3">
        <v>140</v>
      </c>
      <c r="C1453" s="92" t="s">
        <v>261</v>
      </c>
      <c r="D1453" s="93">
        <v>10133141372</v>
      </c>
      <c r="E1453" s="93" t="s">
        <v>262</v>
      </c>
      <c r="F1453" t="s">
        <v>52</v>
      </c>
    </row>
    <row r="1454" spans="2:6">
      <c r="B1454" s="3">
        <v>141</v>
      </c>
      <c r="C1454" s="92" t="s">
        <v>263</v>
      </c>
      <c r="D1454" s="93" t="s">
        <v>66</v>
      </c>
      <c r="E1454" s="93" t="s">
        <v>155</v>
      </c>
      <c r="F1454" t="s">
        <v>52</v>
      </c>
    </row>
    <row r="1455" spans="2:6">
      <c r="B1455" s="3">
        <v>142</v>
      </c>
      <c r="C1455" s="92" t="s">
        <v>264</v>
      </c>
      <c r="D1455" s="93">
        <v>10126142117</v>
      </c>
      <c r="E1455" s="93" t="s">
        <v>6</v>
      </c>
      <c r="F1455" t="s">
        <v>52</v>
      </c>
    </row>
    <row r="1456" spans="2:6">
      <c r="B1456" s="3">
        <v>143</v>
      </c>
      <c r="C1456" s="92" t="s">
        <v>265</v>
      </c>
      <c r="D1456" s="93">
        <v>10166647596</v>
      </c>
      <c r="E1456" s="93" t="s">
        <v>131</v>
      </c>
      <c r="F1456" t="s">
        <v>52</v>
      </c>
    </row>
    <row r="1457" spans="2:6">
      <c r="B1457" s="3">
        <v>144</v>
      </c>
      <c r="C1457" s="92" t="s">
        <v>266</v>
      </c>
      <c r="D1457" s="93" t="s">
        <v>66</v>
      </c>
      <c r="E1457" s="93" t="s">
        <v>115</v>
      </c>
      <c r="F1457" t="s">
        <v>52</v>
      </c>
    </row>
    <row r="1458" spans="2:6" ht="15.75">
      <c r="B1458" s="40"/>
      <c r="D1458" s="17"/>
      <c r="E1458" s="17"/>
      <c r="F1458" s="8"/>
    </row>
    <row r="1459" spans="2:6">
      <c r="B1459" s="3">
        <v>261</v>
      </c>
      <c r="C1459" s="92" t="s">
        <v>267</v>
      </c>
      <c r="D1459" s="93">
        <v>10122460056</v>
      </c>
      <c r="E1459" s="93" t="s">
        <v>212</v>
      </c>
      <c r="F1459" s="8" t="s">
        <v>53</v>
      </c>
    </row>
    <row r="1460" spans="2:6">
      <c r="B1460" s="3">
        <v>262</v>
      </c>
      <c r="C1460" s="92" t="s">
        <v>268</v>
      </c>
      <c r="D1460" s="93">
        <v>10128546505</v>
      </c>
      <c r="E1460" s="93" t="s">
        <v>113</v>
      </c>
      <c r="F1460" s="8" t="s">
        <v>53</v>
      </c>
    </row>
    <row r="1461" spans="2:6">
      <c r="B1461" s="3">
        <v>263</v>
      </c>
      <c r="C1461" s="92" t="s">
        <v>269</v>
      </c>
      <c r="D1461" s="93">
        <v>10141535916</v>
      </c>
      <c r="E1461" s="93" t="s">
        <v>270</v>
      </c>
      <c r="F1461" s="8" t="s">
        <v>53</v>
      </c>
    </row>
    <row r="1462" spans="2:6">
      <c r="B1462" s="3">
        <v>264</v>
      </c>
      <c r="C1462" s="92" t="s">
        <v>271</v>
      </c>
      <c r="D1462" s="93">
        <v>10103913858</v>
      </c>
      <c r="E1462" s="93" t="s">
        <v>137</v>
      </c>
      <c r="F1462" s="8" t="s">
        <v>53</v>
      </c>
    </row>
    <row r="1463" spans="2:6">
      <c r="B1463" s="22"/>
      <c r="D1463" s="17"/>
      <c r="E1463" s="17"/>
    </row>
    <row r="1464" spans="2:6">
      <c r="B1464" s="22">
        <v>301</v>
      </c>
      <c r="C1464" s="92" t="s">
        <v>272</v>
      </c>
      <c r="D1464" s="93">
        <v>120760930</v>
      </c>
      <c r="E1464" s="93" t="s">
        <v>114</v>
      </c>
      <c r="F1464" t="s">
        <v>54</v>
      </c>
    </row>
    <row r="1465" spans="2:6">
      <c r="B1465" s="22">
        <v>302</v>
      </c>
      <c r="C1465" s="92" t="s">
        <v>273</v>
      </c>
      <c r="D1465" s="93">
        <v>10128933895</v>
      </c>
      <c r="E1465" s="93" t="s">
        <v>212</v>
      </c>
      <c r="F1465" t="s">
        <v>54</v>
      </c>
    </row>
    <row r="1466" spans="2:6">
      <c r="B1466" s="22">
        <v>303</v>
      </c>
      <c r="C1466" s="92" t="s">
        <v>274</v>
      </c>
      <c r="D1466" s="93">
        <v>10152378694</v>
      </c>
      <c r="E1466" s="93" t="s">
        <v>115</v>
      </c>
      <c r="F1466" t="s">
        <v>54</v>
      </c>
    </row>
    <row r="1467" spans="2:6">
      <c r="B1467" s="22">
        <v>304</v>
      </c>
      <c r="C1467" s="92" t="s">
        <v>275</v>
      </c>
      <c r="D1467" s="93">
        <v>10156150681</v>
      </c>
      <c r="E1467" s="93" t="s">
        <v>276</v>
      </c>
      <c r="F1467" t="s">
        <v>54</v>
      </c>
    </row>
    <row r="1468" spans="2:6">
      <c r="B1468" s="22">
        <v>305</v>
      </c>
      <c r="C1468" s="92" t="s">
        <v>277</v>
      </c>
      <c r="D1468" s="93">
        <v>10152909669</v>
      </c>
      <c r="E1468" s="93" t="s">
        <v>278</v>
      </c>
      <c r="F1468" t="s">
        <v>54</v>
      </c>
    </row>
    <row r="1469" spans="2:6">
      <c r="B1469" s="22">
        <v>306</v>
      </c>
      <c r="C1469" s="92" t="s">
        <v>279</v>
      </c>
      <c r="D1469" s="93">
        <v>10170771312</v>
      </c>
      <c r="E1469" s="93" t="s">
        <v>113</v>
      </c>
      <c r="F1469" t="s">
        <v>54</v>
      </c>
    </row>
    <row r="1470" spans="2:6">
      <c r="B1470" s="22">
        <v>307</v>
      </c>
      <c r="C1470" s="92" t="s">
        <v>280</v>
      </c>
      <c r="D1470" s="93">
        <v>10153824200</v>
      </c>
      <c r="E1470" s="93" t="s">
        <v>113</v>
      </c>
      <c r="F1470" t="s">
        <v>54</v>
      </c>
    </row>
    <row r="1471" spans="2:6">
      <c r="B1471" s="22">
        <v>308</v>
      </c>
      <c r="C1471" s="92" t="s">
        <v>281</v>
      </c>
      <c r="D1471" s="93">
        <v>10164592614</v>
      </c>
      <c r="E1471" s="93" t="s">
        <v>113</v>
      </c>
      <c r="F1471" t="s">
        <v>54</v>
      </c>
    </row>
    <row r="1472" spans="2:6">
      <c r="B1472" s="22">
        <v>309</v>
      </c>
      <c r="C1472" s="92" t="s">
        <v>282</v>
      </c>
      <c r="D1472" s="93">
        <v>10171656840</v>
      </c>
      <c r="E1472" s="92" t="s">
        <v>113</v>
      </c>
      <c r="F1472" t="s">
        <v>54</v>
      </c>
    </row>
    <row r="1473" spans="2:6">
      <c r="B1473" s="22">
        <v>310</v>
      </c>
      <c r="C1473" s="92" t="s">
        <v>283</v>
      </c>
      <c r="D1473" s="93">
        <v>10140942495</v>
      </c>
      <c r="E1473" s="93" t="s">
        <v>113</v>
      </c>
      <c r="F1473" t="s">
        <v>54</v>
      </c>
    </row>
    <row r="1474" spans="2:6">
      <c r="B1474" s="22">
        <v>311</v>
      </c>
      <c r="C1474" s="92" t="s">
        <v>284</v>
      </c>
      <c r="D1474" s="93">
        <v>10128424344</v>
      </c>
      <c r="E1474" s="93" t="s">
        <v>285</v>
      </c>
      <c r="F1474" t="s">
        <v>54</v>
      </c>
    </row>
    <row r="1475" spans="2:6">
      <c r="B1475" s="22">
        <v>312</v>
      </c>
      <c r="C1475" s="92" t="s">
        <v>286</v>
      </c>
      <c r="D1475" s="93">
        <v>10162918251</v>
      </c>
      <c r="E1475" s="93" t="s">
        <v>113</v>
      </c>
      <c r="F1475" t="s">
        <v>54</v>
      </c>
    </row>
    <row r="1476" spans="2:6">
      <c r="B1476" s="22">
        <v>313</v>
      </c>
      <c r="C1476" s="92" t="s">
        <v>287</v>
      </c>
      <c r="D1476" s="93">
        <v>10153824200</v>
      </c>
      <c r="E1476" s="93" t="s">
        <v>113</v>
      </c>
      <c r="F1476" t="s">
        <v>54</v>
      </c>
    </row>
    <row r="1477" spans="2:6">
      <c r="B1477" s="22">
        <v>314</v>
      </c>
      <c r="C1477" s="92" t="s">
        <v>288</v>
      </c>
      <c r="D1477" s="93">
        <v>10164592614</v>
      </c>
      <c r="E1477" s="92" t="s">
        <v>285</v>
      </c>
      <c r="F1477" t="s">
        <v>54</v>
      </c>
    </row>
    <row r="1478" spans="2:6">
      <c r="B1478" s="22">
        <v>315</v>
      </c>
      <c r="C1478" s="92" t="s">
        <v>289</v>
      </c>
      <c r="D1478" s="93">
        <v>10155740655</v>
      </c>
      <c r="E1478" s="93" t="s">
        <v>86</v>
      </c>
      <c r="F1478" t="s">
        <v>54</v>
      </c>
    </row>
    <row r="1479" spans="2:6">
      <c r="B1479" s="22">
        <v>316</v>
      </c>
      <c r="C1479" s="92" t="s">
        <v>290</v>
      </c>
      <c r="D1479" s="93" t="s">
        <v>66</v>
      </c>
      <c r="E1479" s="93" t="s">
        <v>84</v>
      </c>
      <c r="F1479" t="s">
        <v>54</v>
      </c>
    </row>
    <row r="1480" spans="2:6">
      <c r="B1480" s="22">
        <v>317</v>
      </c>
      <c r="C1480" s="92" t="s">
        <v>291</v>
      </c>
      <c r="D1480" s="93" t="s">
        <v>66</v>
      </c>
      <c r="E1480" s="92" t="s">
        <v>84</v>
      </c>
      <c r="F1480" t="s">
        <v>54</v>
      </c>
    </row>
    <row r="1481" spans="2:6">
      <c r="B1481" s="22">
        <v>318</v>
      </c>
      <c r="C1481" s="92" t="s">
        <v>292</v>
      </c>
      <c r="D1481" s="93" t="s">
        <v>66</v>
      </c>
      <c r="E1481" s="93" t="s">
        <v>84</v>
      </c>
      <c r="F1481" t="s">
        <v>54</v>
      </c>
    </row>
    <row r="1482" spans="2:6">
      <c r="B1482" s="22">
        <v>319</v>
      </c>
      <c r="C1482" s="92" t="s">
        <v>293</v>
      </c>
      <c r="D1482" s="93">
        <v>10155992956</v>
      </c>
      <c r="E1482" s="92" t="s">
        <v>294</v>
      </c>
      <c r="F1482" t="s">
        <v>54</v>
      </c>
    </row>
    <row r="1483" spans="2:6">
      <c r="B1483" s="22">
        <v>320</v>
      </c>
      <c r="C1483" s="92" t="s">
        <v>295</v>
      </c>
      <c r="D1483" s="93">
        <v>10136994902</v>
      </c>
      <c r="E1483" s="93" t="s">
        <v>112</v>
      </c>
      <c r="F1483" t="s">
        <v>54</v>
      </c>
    </row>
    <row r="1484" spans="2:6">
      <c r="B1484" s="22">
        <v>321</v>
      </c>
      <c r="C1484" s="92" t="s">
        <v>296</v>
      </c>
      <c r="D1484" s="93">
        <v>10153036577</v>
      </c>
      <c r="E1484" s="93" t="s">
        <v>297</v>
      </c>
      <c r="F1484" t="s">
        <v>54</v>
      </c>
    </row>
    <row r="1485" spans="2:6">
      <c r="B1485" s="22">
        <v>322</v>
      </c>
      <c r="C1485" s="92" t="s">
        <v>298</v>
      </c>
      <c r="D1485" s="93">
        <v>10141584820</v>
      </c>
      <c r="E1485" s="93" t="s">
        <v>299</v>
      </c>
      <c r="F1485" t="s">
        <v>54</v>
      </c>
    </row>
    <row r="1486" spans="2:6">
      <c r="B1486" s="22">
        <v>323</v>
      </c>
      <c r="C1486" s="23" t="s">
        <v>300</v>
      </c>
      <c r="D1486" s="93">
        <v>10111930102</v>
      </c>
      <c r="E1486" s="93" t="s">
        <v>301</v>
      </c>
      <c r="F1486" t="s">
        <v>54</v>
      </c>
    </row>
    <row r="1487" spans="2:6">
      <c r="B1487" s="22">
        <v>324</v>
      </c>
      <c r="C1487" s="92" t="s">
        <v>302</v>
      </c>
      <c r="D1487" s="93">
        <v>10161110819</v>
      </c>
      <c r="E1487" s="93" t="s">
        <v>303</v>
      </c>
      <c r="F1487" t="s">
        <v>54</v>
      </c>
    </row>
    <row r="1488" spans="2:6">
      <c r="B1488" s="22">
        <v>325</v>
      </c>
      <c r="C1488" s="92" t="s">
        <v>304</v>
      </c>
      <c r="D1488" s="93">
        <v>10152418609</v>
      </c>
      <c r="E1488" s="93" t="s">
        <v>6</v>
      </c>
      <c r="F1488" t="s">
        <v>54</v>
      </c>
    </row>
    <row r="1489" spans="2:6">
      <c r="B1489" s="22">
        <v>326</v>
      </c>
      <c r="C1489" s="23" t="s">
        <v>305</v>
      </c>
      <c r="D1489" s="93">
        <v>10120480953</v>
      </c>
      <c r="E1489" s="93" t="s">
        <v>133</v>
      </c>
      <c r="F1489" t="s">
        <v>54</v>
      </c>
    </row>
    <row r="1490" spans="2:6">
      <c r="B1490" s="22">
        <v>327</v>
      </c>
      <c r="C1490" s="23" t="s">
        <v>306</v>
      </c>
      <c r="D1490" s="60" t="s">
        <v>66</v>
      </c>
      <c r="E1490" s="93" t="s">
        <v>245</v>
      </c>
      <c r="F1490" t="s">
        <v>54</v>
      </c>
    </row>
    <row r="1491" spans="2:6">
      <c r="B1491" s="22">
        <v>328</v>
      </c>
      <c r="C1491" s="92" t="s">
        <v>307</v>
      </c>
      <c r="D1491" s="93">
        <v>10162461543</v>
      </c>
      <c r="E1491" s="93" t="s">
        <v>308</v>
      </c>
      <c r="F1491" t="s">
        <v>54</v>
      </c>
    </row>
    <row r="1492" spans="2:6">
      <c r="B1492" s="22">
        <v>329</v>
      </c>
      <c r="C1492" s="92" t="s">
        <v>309</v>
      </c>
      <c r="D1492" s="93">
        <v>10144442579</v>
      </c>
      <c r="E1492" s="93" t="s">
        <v>130</v>
      </c>
      <c r="F1492" t="s">
        <v>54</v>
      </c>
    </row>
    <row r="1493" spans="2:6">
      <c r="B1493" s="22">
        <v>330</v>
      </c>
      <c r="C1493" s="92" t="s">
        <v>310</v>
      </c>
      <c r="D1493" s="93">
        <v>10144520785</v>
      </c>
      <c r="E1493" s="93" t="s">
        <v>6</v>
      </c>
      <c r="F1493" t="s">
        <v>54</v>
      </c>
    </row>
    <row r="1494" spans="2:6">
      <c r="B1494" s="22">
        <v>331</v>
      </c>
      <c r="C1494" s="92" t="s">
        <v>311</v>
      </c>
      <c r="D1494" s="93">
        <v>305900561</v>
      </c>
      <c r="E1494" s="92" t="s">
        <v>312</v>
      </c>
      <c r="F1494" t="s">
        <v>54</v>
      </c>
    </row>
    <row r="1495" spans="2:6">
      <c r="B1495" s="22">
        <v>332</v>
      </c>
      <c r="C1495" s="23" t="s">
        <v>313</v>
      </c>
      <c r="D1495" s="60">
        <v>121280045</v>
      </c>
      <c r="E1495" s="93" t="s">
        <v>65</v>
      </c>
      <c r="F1495" t="s">
        <v>54</v>
      </c>
    </row>
    <row r="1496" spans="2:6">
      <c r="B1496" s="22">
        <v>333</v>
      </c>
      <c r="C1496" s="92" t="s">
        <v>314</v>
      </c>
      <c r="D1496" s="93">
        <v>504930380</v>
      </c>
      <c r="E1496" s="92" t="s">
        <v>315</v>
      </c>
      <c r="F1496" t="s">
        <v>54</v>
      </c>
    </row>
    <row r="1497" spans="2:6">
      <c r="B1497" s="22">
        <v>334</v>
      </c>
      <c r="C1497" s="23" t="s">
        <v>316</v>
      </c>
      <c r="D1497" s="60">
        <v>10162499737</v>
      </c>
      <c r="E1497" s="93" t="s">
        <v>317</v>
      </c>
      <c r="F1497" t="s">
        <v>54</v>
      </c>
    </row>
    <row r="1498" spans="2:6">
      <c r="B1498" s="22">
        <v>335</v>
      </c>
      <c r="C1498" s="92" t="s">
        <v>318</v>
      </c>
      <c r="D1498" s="93">
        <v>10154135004</v>
      </c>
      <c r="E1498" s="92" t="s">
        <v>319</v>
      </c>
      <c r="F1498" t="s">
        <v>54</v>
      </c>
    </row>
    <row r="1499" spans="2:6">
      <c r="B1499" s="22">
        <v>336</v>
      </c>
      <c r="C1499" s="92" t="s">
        <v>320</v>
      </c>
      <c r="D1499" s="93" t="s">
        <v>66</v>
      </c>
      <c r="E1499" s="92" t="s">
        <v>321</v>
      </c>
      <c r="F1499" t="s">
        <v>54</v>
      </c>
    </row>
    <row r="1500" spans="2:6">
      <c r="B1500" s="22">
        <v>337</v>
      </c>
      <c r="C1500" s="92" t="s">
        <v>322</v>
      </c>
      <c r="D1500" s="93">
        <v>1000000000</v>
      </c>
      <c r="E1500" s="92" t="s">
        <v>138</v>
      </c>
      <c r="F1500" t="s">
        <v>54</v>
      </c>
    </row>
    <row r="1501" spans="2:6">
      <c r="B1501" s="22">
        <v>338</v>
      </c>
      <c r="C1501" s="92" t="s">
        <v>323</v>
      </c>
      <c r="D1501" s="93" t="s">
        <v>66</v>
      </c>
      <c r="E1501" s="93" t="s">
        <v>324</v>
      </c>
      <c r="F1501" t="s">
        <v>54</v>
      </c>
    </row>
    <row r="1502" spans="2:6">
      <c r="B1502" s="22">
        <v>339</v>
      </c>
      <c r="C1502" s="92" t="s">
        <v>325</v>
      </c>
      <c r="D1502" s="93" t="s">
        <v>66</v>
      </c>
      <c r="E1502" s="93" t="s">
        <v>63</v>
      </c>
      <c r="F1502" t="s">
        <v>54</v>
      </c>
    </row>
    <row r="1503" spans="2:6">
      <c r="B1503" s="22">
        <v>340</v>
      </c>
      <c r="C1503" s="92" t="s">
        <v>326</v>
      </c>
      <c r="D1503" s="93">
        <v>10166711557</v>
      </c>
      <c r="E1503" s="92" t="s">
        <v>131</v>
      </c>
      <c r="F1503" t="s">
        <v>54</v>
      </c>
    </row>
    <row r="1504" spans="2:6" ht="15.75">
      <c r="B1504" s="21"/>
      <c r="D1504" s="17"/>
      <c r="E1504" s="17"/>
      <c r="F1504" s="8"/>
    </row>
    <row r="1505" spans="2:6">
      <c r="B1505" s="22">
        <v>381</v>
      </c>
      <c r="C1505" s="92" t="s">
        <v>327</v>
      </c>
      <c r="D1505" s="93">
        <v>10125653679</v>
      </c>
      <c r="E1505" s="93" t="s">
        <v>100</v>
      </c>
      <c r="F1505" s="8" t="s">
        <v>55</v>
      </c>
    </row>
    <row r="1506" spans="2:6">
      <c r="B1506" s="22">
        <v>382</v>
      </c>
      <c r="C1506" s="93" t="s">
        <v>328</v>
      </c>
      <c r="D1506" s="93">
        <v>10128546909</v>
      </c>
      <c r="E1506" s="92" t="s">
        <v>64</v>
      </c>
      <c r="F1506" s="8" t="s">
        <v>55</v>
      </c>
    </row>
    <row r="1507" spans="2:6">
      <c r="B1507" s="22">
        <v>383</v>
      </c>
      <c r="C1507" s="92" t="s">
        <v>329</v>
      </c>
      <c r="D1507" s="93">
        <v>10128827401</v>
      </c>
      <c r="E1507" s="92" t="s">
        <v>64</v>
      </c>
      <c r="F1507" s="8" t="s">
        <v>55</v>
      </c>
    </row>
    <row r="1508" spans="2:6">
      <c r="B1508" s="22">
        <v>384</v>
      </c>
      <c r="C1508" s="92" t="s">
        <v>330</v>
      </c>
      <c r="D1508" s="93">
        <v>10141538340</v>
      </c>
      <c r="E1508" s="92" t="s">
        <v>331</v>
      </c>
      <c r="F1508" s="8" t="s">
        <v>55</v>
      </c>
    </row>
    <row r="1509" spans="2:6">
      <c r="B1509" s="22">
        <v>385</v>
      </c>
      <c r="C1509" s="93" t="s">
        <v>332</v>
      </c>
      <c r="D1509" s="93">
        <v>10171339063</v>
      </c>
      <c r="E1509" s="92" t="s">
        <v>113</v>
      </c>
      <c r="F1509" s="8" t="s">
        <v>55</v>
      </c>
    </row>
    <row r="1510" spans="2:6">
      <c r="B1510" s="22">
        <v>386</v>
      </c>
      <c r="C1510" s="92" t="s">
        <v>333</v>
      </c>
      <c r="D1510" s="93">
        <v>10152378391</v>
      </c>
      <c r="E1510" s="93" t="s">
        <v>113</v>
      </c>
      <c r="F1510" s="8" t="s">
        <v>55</v>
      </c>
    </row>
    <row r="1511" spans="2:6">
      <c r="B1511" s="22">
        <v>387</v>
      </c>
      <c r="C1511" s="92" t="s">
        <v>334</v>
      </c>
      <c r="D1511" s="93" t="s">
        <v>66</v>
      </c>
      <c r="E1511" s="93" t="s">
        <v>100</v>
      </c>
      <c r="F1511" s="8" t="s">
        <v>55</v>
      </c>
    </row>
    <row r="1512" spans="2:6">
      <c r="B1512" s="22">
        <v>388</v>
      </c>
      <c r="C1512" s="92" t="s">
        <v>335</v>
      </c>
      <c r="D1512" s="93">
        <v>10128284605</v>
      </c>
      <c r="E1512" s="93" t="s">
        <v>336</v>
      </c>
      <c r="F1512" s="8" t="s">
        <v>55</v>
      </c>
    </row>
    <row r="1513" spans="2:6">
      <c r="B1513" s="22">
        <v>389</v>
      </c>
      <c r="C1513" s="92" t="s">
        <v>337</v>
      </c>
      <c r="D1513" s="93" t="s">
        <v>66</v>
      </c>
      <c r="E1513" s="92" t="s">
        <v>338</v>
      </c>
      <c r="F1513" s="8" t="s">
        <v>55</v>
      </c>
    </row>
    <row r="1514" spans="2:6">
      <c r="B1514" s="22"/>
      <c r="D1514" s="17"/>
      <c r="E1514" s="17"/>
      <c r="F1514" s="8"/>
    </row>
    <row r="1515" spans="2:6">
      <c r="B1515" s="22">
        <v>501</v>
      </c>
      <c r="C1515" s="92" t="s">
        <v>339</v>
      </c>
      <c r="D1515" s="93" t="s">
        <v>340</v>
      </c>
      <c r="E1515" s="92" t="s">
        <v>317</v>
      </c>
      <c r="F1515" s="8" t="s">
        <v>56</v>
      </c>
    </row>
    <row r="1516" spans="2:6">
      <c r="B1516" s="22">
        <v>502</v>
      </c>
      <c r="C1516" s="92" t="s">
        <v>341</v>
      </c>
      <c r="D1516" s="93">
        <v>10139359880</v>
      </c>
      <c r="E1516" s="93" t="s">
        <v>132</v>
      </c>
      <c r="F1516" s="8" t="s">
        <v>56</v>
      </c>
    </row>
    <row r="1517" spans="2:6">
      <c r="B1517" s="22">
        <v>503</v>
      </c>
      <c r="C1517" s="92" t="s">
        <v>342</v>
      </c>
      <c r="D1517" s="93">
        <v>10142567550</v>
      </c>
      <c r="E1517" s="92" t="s">
        <v>152</v>
      </c>
      <c r="F1517" s="8" t="s">
        <v>56</v>
      </c>
    </row>
    <row r="1518" spans="2:6">
      <c r="B1518" s="22">
        <v>504</v>
      </c>
      <c r="C1518" s="92" t="s">
        <v>343</v>
      </c>
      <c r="D1518" s="93">
        <v>10154828350</v>
      </c>
      <c r="E1518" s="93" t="s">
        <v>129</v>
      </c>
      <c r="F1518" s="8" t="s">
        <v>56</v>
      </c>
    </row>
    <row r="1519" spans="2:6">
      <c r="B1519" s="22">
        <v>505</v>
      </c>
      <c r="C1519" s="92" t="s">
        <v>344</v>
      </c>
      <c r="D1519" s="93">
        <v>10156807554</v>
      </c>
      <c r="E1519" s="93" t="s">
        <v>345</v>
      </c>
      <c r="F1519" s="8" t="s">
        <v>56</v>
      </c>
    </row>
    <row r="1520" spans="2:6">
      <c r="B1520" s="22">
        <v>506</v>
      </c>
      <c r="C1520" s="92" t="s">
        <v>346</v>
      </c>
      <c r="D1520" s="95" t="s">
        <v>347</v>
      </c>
      <c r="E1520" s="92" t="s">
        <v>113</v>
      </c>
      <c r="F1520" s="8" t="s">
        <v>56</v>
      </c>
    </row>
    <row r="1521" spans="2:6">
      <c r="B1521" s="22">
        <v>507</v>
      </c>
      <c r="C1521" s="92" t="s">
        <v>348</v>
      </c>
      <c r="D1521" s="93">
        <v>10129054440</v>
      </c>
      <c r="E1521" s="92" t="s">
        <v>116</v>
      </c>
      <c r="F1521" s="8" t="s">
        <v>56</v>
      </c>
    </row>
    <row r="1522" spans="2:6">
      <c r="B1522" s="22">
        <v>508</v>
      </c>
      <c r="C1522" s="92" t="s">
        <v>349</v>
      </c>
      <c r="D1522" s="95" t="s">
        <v>350</v>
      </c>
      <c r="E1522" s="93" t="s">
        <v>113</v>
      </c>
      <c r="F1522" s="8" t="s">
        <v>56</v>
      </c>
    </row>
    <row r="1523" spans="2:6">
      <c r="B1523" s="22">
        <v>509</v>
      </c>
      <c r="C1523" s="92" t="s">
        <v>351</v>
      </c>
      <c r="D1523" s="93">
        <v>605370547</v>
      </c>
      <c r="E1523" s="93" t="s">
        <v>65</v>
      </c>
      <c r="F1523" s="8" t="s">
        <v>56</v>
      </c>
    </row>
    <row r="1524" spans="2:6">
      <c r="B1524" s="22">
        <v>510</v>
      </c>
      <c r="C1524" s="92" t="s">
        <v>352</v>
      </c>
      <c r="D1524" s="93">
        <v>10126142218</v>
      </c>
      <c r="E1524" s="93" t="s">
        <v>130</v>
      </c>
      <c r="F1524" s="8" t="s">
        <v>56</v>
      </c>
    </row>
    <row r="1525" spans="2:6">
      <c r="B1525" s="22">
        <v>511</v>
      </c>
      <c r="C1525" s="92" t="s">
        <v>353</v>
      </c>
      <c r="D1525" s="93" t="s">
        <v>66</v>
      </c>
      <c r="E1525" s="93" t="s">
        <v>84</v>
      </c>
      <c r="F1525" s="8" t="s">
        <v>56</v>
      </c>
    </row>
    <row r="1526" spans="2:6">
      <c r="B1526" s="22">
        <v>512</v>
      </c>
      <c r="C1526" s="92" t="s">
        <v>354</v>
      </c>
      <c r="D1526" s="93">
        <v>10131905735</v>
      </c>
      <c r="E1526" s="93" t="s">
        <v>133</v>
      </c>
      <c r="F1526" s="8" t="s">
        <v>56</v>
      </c>
    </row>
    <row r="1527" spans="2:6">
      <c r="B1527" s="22">
        <v>513</v>
      </c>
      <c r="C1527" s="92" t="s">
        <v>355</v>
      </c>
      <c r="D1527" s="93">
        <v>10131905331</v>
      </c>
      <c r="E1527" s="93" t="s">
        <v>135</v>
      </c>
      <c r="F1527" s="8" t="s">
        <v>56</v>
      </c>
    </row>
    <row r="1528" spans="2:6">
      <c r="B1528" s="22">
        <v>514</v>
      </c>
      <c r="C1528" s="92" t="s">
        <v>356</v>
      </c>
      <c r="D1528" s="93">
        <v>10156979326</v>
      </c>
      <c r="E1528" s="93" t="s">
        <v>357</v>
      </c>
      <c r="F1528" s="8" t="s">
        <v>56</v>
      </c>
    </row>
    <row r="1529" spans="2:6">
      <c r="B1529" s="22">
        <v>515</v>
      </c>
      <c r="C1529" s="92" t="s">
        <v>358</v>
      </c>
      <c r="D1529" s="93" t="s">
        <v>66</v>
      </c>
      <c r="E1529" s="93" t="s">
        <v>135</v>
      </c>
      <c r="F1529" s="8" t="s">
        <v>56</v>
      </c>
    </row>
    <row r="1530" spans="2:6">
      <c r="B1530" s="22">
        <v>516</v>
      </c>
      <c r="C1530" s="92" t="s">
        <v>359</v>
      </c>
      <c r="D1530" s="93" t="s">
        <v>66</v>
      </c>
      <c r="E1530" s="93" t="s">
        <v>84</v>
      </c>
      <c r="F1530" s="8" t="s">
        <v>56</v>
      </c>
    </row>
    <row r="1531" spans="2:6">
      <c r="B1531" s="22">
        <v>517</v>
      </c>
      <c r="C1531" s="92" t="s">
        <v>360</v>
      </c>
      <c r="D1531" s="93" t="s">
        <v>66</v>
      </c>
      <c r="E1531" s="93" t="s">
        <v>245</v>
      </c>
      <c r="F1531" s="8" t="s">
        <v>56</v>
      </c>
    </row>
    <row r="1532" spans="2:6">
      <c r="B1532" s="22">
        <v>518</v>
      </c>
      <c r="C1532" s="92" t="s">
        <v>361</v>
      </c>
      <c r="D1532" s="93">
        <v>10141584517</v>
      </c>
      <c r="E1532" s="93" t="s">
        <v>362</v>
      </c>
      <c r="F1532" s="8" t="s">
        <v>56</v>
      </c>
    </row>
    <row r="1533" spans="2:6">
      <c r="B1533" s="22">
        <v>519</v>
      </c>
      <c r="C1533" s="92" t="s">
        <v>363</v>
      </c>
      <c r="D1533" s="93">
        <v>10132818848</v>
      </c>
      <c r="E1533" s="92" t="s">
        <v>364</v>
      </c>
      <c r="F1533" s="8" t="s">
        <v>56</v>
      </c>
    </row>
    <row r="1534" spans="2:6">
      <c r="B1534" s="22">
        <v>520</v>
      </c>
      <c r="C1534" s="92" t="s">
        <v>365</v>
      </c>
      <c r="D1534" s="93" t="s">
        <v>366</v>
      </c>
      <c r="E1534" s="93" t="s">
        <v>134</v>
      </c>
      <c r="F1534" s="8" t="s">
        <v>56</v>
      </c>
    </row>
    <row r="1535" spans="2:6">
      <c r="B1535" s="22">
        <v>521</v>
      </c>
      <c r="C1535" s="92" t="s">
        <v>367</v>
      </c>
      <c r="D1535" s="93">
        <v>10153425183</v>
      </c>
      <c r="E1535" s="93" t="s">
        <v>130</v>
      </c>
      <c r="F1535" s="8" t="s">
        <v>56</v>
      </c>
    </row>
    <row r="1536" spans="2:6">
      <c r="B1536" s="22">
        <v>522</v>
      </c>
      <c r="C1536" s="92" t="s">
        <v>368</v>
      </c>
      <c r="D1536" s="93">
        <v>10141592496</v>
      </c>
      <c r="E1536" s="93" t="s">
        <v>7</v>
      </c>
      <c r="F1536" s="8" t="s">
        <v>56</v>
      </c>
    </row>
    <row r="1537" spans="2:6">
      <c r="B1537" s="22">
        <v>523</v>
      </c>
      <c r="C1537" s="92" t="s">
        <v>369</v>
      </c>
      <c r="D1537" s="93" t="s">
        <v>66</v>
      </c>
      <c r="E1537" s="92" t="s">
        <v>130</v>
      </c>
      <c r="F1537" s="8" t="s">
        <v>56</v>
      </c>
    </row>
    <row r="1538" spans="2:6">
      <c r="B1538" s="22">
        <v>524</v>
      </c>
      <c r="C1538" s="92" t="s">
        <v>370</v>
      </c>
      <c r="D1538" s="93" t="s">
        <v>340</v>
      </c>
      <c r="E1538" s="92" t="s">
        <v>317</v>
      </c>
      <c r="F1538" s="8" t="s">
        <v>56</v>
      </c>
    </row>
    <row r="1539" spans="2:6" ht="15.75">
      <c r="B1539" s="21"/>
      <c r="D1539" s="17"/>
      <c r="E1539" s="17"/>
      <c r="F1539" s="8"/>
    </row>
    <row r="1540" spans="2:6">
      <c r="B1540" s="22">
        <v>581</v>
      </c>
      <c r="C1540" s="93" t="s">
        <v>371</v>
      </c>
      <c r="D1540" s="93">
        <v>121480116</v>
      </c>
      <c r="E1540" s="92" t="s">
        <v>114</v>
      </c>
      <c r="F1540" s="8" t="s">
        <v>57</v>
      </c>
    </row>
    <row r="1541" spans="2:6">
      <c r="B1541" s="22">
        <v>582</v>
      </c>
      <c r="C1541" s="92" t="s">
        <v>372</v>
      </c>
      <c r="D1541" s="93">
        <v>10131906139</v>
      </c>
      <c r="E1541" s="93" t="s">
        <v>135</v>
      </c>
      <c r="F1541" s="8" t="s">
        <v>57</v>
      </c>
    </row>
    <row r="1542" spans="2:6">
      <c r="B1542" s="22">
        <v>583</v>
      </c>
      <c r="C1542" s="92" t="s">
        <v>373</v>
      </c>
      <c r="D1542" s="93">
        <v>10154228768</v>
      </c>
      <c r="E1542" s="93" t="s">
        <v>135</v>
      </c>
      <c r="F1542" s="8" t="s">
        <v>57</v>
      </c>
    </row>
    <row r="1543" spans="2:6">
      <c r="B1543" s="22">
        <v>584</v>
      </c>
      <c r="C1543" s="93" t="s">
        <v>374</v>
      </c>
      <c r="D1543" s="93">
        <v>10154309503</v>
      </c>
      <c r="E1543" s="92" t="s">
        <v>115</v>
      </c>
      <c r="F1543" s="8" t="s">
        <v>57</v>
      </c>
    </row>
    <row r="1544" spans="2:6">
      <c r="B1544" s="22">
        <v>585</v>
      </c>
      <c r="C1544" s="92" t="s">
        <v>375</v>
      </c>
      <c r="D1544" s="93">
        <v>9957</v>
      </c>
      <c r="E1544" s="93" t="s">
        <v>139</v>
      </c>
      <c r="F1544" s="8" t="s">
        <v>57</v>
      </c>
    </row>
    <row r="1545" spans="2:6">
      <c r="B1545" s="22">
        <v>586</v>
      </c>
      <c r="C1545" s="92" t="s">
        <v>376</v>
      </c>
      <c r="D1545" s="93" t="s">
        <v>66</v>
      </c>
      <c r="E1545" s="92" t="s">
        <v>155</v>
      </c>
      <c r="F1545" s="8" t="s">
        <v>57</v>
      </c>
    </row>
    <row r="1546" spans="2:6">
      <c r="B1546" s="22">
        <v>587</v>
      </c>
      <c r="C1546" s="92" t="s">
        <v>377</v>
      </c>
      <c r="D1546" s="93" t="s">
        <v>66</v>
      </c>
      <c r="E1546" s="93" t="s">
        <v>155</v>
      </c>
      <c r="F1546" s="8" t="s">
        <v>57</v>
      </c>
    </row>
    <row r="1547" spans="2:6">
      <c r="B1547" s="22">
        <v>588</v>
      </c>
      <c r="C1547" s="92" t="s">
        <v>378</v>
      </c>
      <c r="D1547" s="93" t="s">
        <v>66</v>
      </c>
      <c r="E1547" s="93" t="s">
        <v>116</v>
      </c>
      <c r="F1547" s="8" t="s">
        <v>57</v>
      </c>
    </row>
    <row r="1548" spans="2:6">
      <c r="B1548" s="22">
        <v>589</v>
      </c>
      <c r="C1548" s="92" t="s">
        <v>379</v>
      </c>
      <c r="D1548" s="93">
        <v>10164743366</v>
      </c>
      <c r="E1548" s="93" t="s">
        <v>112</v>
      </c>
      <c r="F1548" s="8" t="s">
        <v>57</v>
      </c>
    </row>
    <row r="1549" spans="2:6">
      <c r="B1549" s="22">
        <v>590</v>
      </c>
      <c r="C1549" s="92" t="s">
        <v>380</v>
      </c>
      <c r="D1549" s="93" t="s">
        <v>66</v>
      </c>
      <c r="E1549" s="93" t="s">
        <v>381</v>
      </c>
      <c r="F1549" s="8" t="s">
        <v>57</v>
      </c>
    </row>
    <row r="1550" spans="2:6">
      <c r="B1550" s="2"/>
      <c r="D1550" s="17"/>
      <c r="E1550" s="17"/>
      <c r="F1550" s="8"/>
    </row>
    <row r="1551" spans="2:6">
      <c r="B1551" s="22">
        <v>401</v>
      </c>
      <c r="C1551" s="92" t="s">
        <v>382</v>
      </c>
      <c r="D1551" s="93">
        <v>12162383236</v>
      </c>
      <c r="E1551" s="93" t="s">
        <v>131</v>
      </c>
      <c r="F1551" s="8" t="s">
        <v>163</v>
      </c>
    </row>
    <row r="1552" spans="2:6">
      <c r="B1552" s="22">
        <v>402</v>
      </c>
      <c r="C1552" s="92" t="s">
        <v>383</v>
      </c>
      <c r="D1552" s="93" t="s">
        <v>66</v>
      </c>
      <c r="E1552" s="93" t="s">
        <v>65</v>
      </c>
      <c r="F1552" s="8" t="s">
        <v>163</v>
      </c>
    </row>
    <row r="1553" spans="2:6">
      <c r="B1553" s="22">
        <v>403</v>
      </c>
      <c r="C1553" s="92" t="s">
        <v>384</v>
      </c>
      <c r="D1553" s="93" t="s">
        <v>66</v>
      </c>
      <c r="E1553" s="93" t="s">
        <v>101</v>
      </c>
      <c r="F1553" s="8" t="s">
        <v>163</v>
      </c>
    </row>
    <row r="1554" spans="2:6">
      <c r="B1554" s="22">
        <v>404</v>
      </c>
      <c r="C1554" s="92" t="s">
        <v>385</v>
      </c>
      <c r="D1554" s="93">
        <v>10130330796</v>
      </c>
      <c r="E1554" s="93" t="s">
        <v>65</v>
      </c>
      <c r="F1554" s="8" t="s">
        <v>163</v>
      </c>
    </row>
    <row r="1555" spans="2:6">
      <c r="B1555" s="22">
        <v>405</v>
      </c>
      <c r="C1555" s="92" t="s">
        <v>386</v>
      </c>
      <c r="D1555" s="93">
        <v>10172048072</v>
      </c>
      <c r="E1555" s="93" t="s">
        <v>387</v>
      </c>
      <c r="F1555" s="8" t="s">
        <v>163</v>
      </c>
    </row>
    <row r="1556" spans="2:6">
      <c r="B1556" s="22">
        <v>406</v>
      </c>
      <c r="C1556" s="92" t="s">
        <v>388</v>
      </c>
      <c r="D1556" s="93" t="s">
        <v>66</v>
      </c>
      <c r="E1556" s="93" t="s">
        <v>336</v>
      </c>
      <c r="F1556" s="8" t="s">
        <v>163</v>
      </c>
    </row>
    <row r="1557" spans="2:6" ht="15.75">
      <c r="B1557" s="42"/>
      <c r="D1557" s="17"/>
      <c r="E1557" s="17"/>
      <c r="F1557" s="8"/>
    </row>
    <row r="1558" spans="2:6">
      <c r="B1558" s="22">
        <v>481</v>
      </c>
      <c r="C1558" s="92" t="s">
        <v>389</v>
      </c>
      <c r="D1558" s="93">
        <v>10162377172</v>
      </c>
      <c r="E1558" s="93" t="s">
        <v>390</v>
      </c>
      <c r="F1558" s="8" t="s">
        <v>164</v>
      </c>
    </row>
    <row r="1559" spans="2:6">
      <c r="B1559" s="22">
        <v>482</v>
      </c>
      <c r="C1559" s="92" t="s">
        <v>391</v>
      </c>
      <c r="D1559" s="93" t="s">
        <v>66</v>
      </c>
      <c r="E1559" s="92" t="s">
        <v>392</v>
      </c>
      <c r="F1559" s="8" t="s">
        <v>164</v>
      </c>
    </row>
    <row r="1560" spans="2:6">
      <c r="B1560" s="22">
        <v>483</v>
      </c>
      <c r="C1560" s="92" t="s">
        <v>393</v>
      </c>
      <c r="D1560" s="93" t="s">
        <v>66</v>
      </c>
      <c r="E1560" s="93" t="s">
        <v>65</v>
      </c>
      <c r="F1560" s="8" t="s">
        <v>164</v>
      </c>
    </row>
    <row r="1561" spans="2:6">
      <c r="B1561" s="22">
        <v>484</v>
      </c>
      <c r="C1561" s="92" t="s">
        <v>394</v>
      </c>
      <c r="D1561" s="93" t="s">
        <v>66</v>
      </c>
      <c r="E1561" s="93" t="s">
        <v>6</v>
      </c>
      <c r="F1561" s="8" t="s">
        <v>164</v>
      </c>
    </row>
    <row r="1562" spans="2:6" ht="15.75">
      <c r="B1562" s="21"/>
      <c r="D1562" s="17"/>
      <c r="E1562" s="17"/>
      <c r="F1562" s="8"/>
    </row>
    <row r="1563" spans="2:6">
      <c r="B1563" s="22">
        <v>701</v>
      </c>
      <c r="C1563" s="92" t="s">
        <v>395</v>
      </c>
      <c r="D1563" s="93">
        <v>10079383568</v>
      </c>
      <c r="E1563" s="93" t="s">
        <v>156</v>
      </c>
      <c r="F1563" s="8" t="s">
        <v>58</v>
      </c>
    </row>
    <row r="1564" spans="2:6">
      <c r="B1564" s="22">
        <v>702</v>
      </c>
      <c r="C1564" s="93" t="s">
        <v>396</v>
      </c>
      <c r="D1564" s="93" t="s">
        <v>66</v>
      </c>
      <c r="E1564" s="93" t="s">
        <v>397</v>
      </c>
      <c r="F1564" s="8" t="s">
        <v>58</v>
      </c>
    </row>
    <row r="1565" spans="2:6">
      <c r="B1565" s="22">
        <v>703</v>
      </c>
      <c r="C1565" s="92" t="s">
        <v>398</v>
      </c>
      <c r="D1565" s="93">
        <v>10132019812</v>
      </c>
      <c r="E1565" s="93" t="s">
        <v>128</v>
      </c>
      <c r="F1565" s="8" t="s">
        <v>58</v>
      </c>
    </row>
    <row r="1566" spans="2:6">
      <c r="B1566" s="22">
        <v>704</v>
      </c>
      <c r="C1566" s="92" t="s">
        <v>108</v>
      </c>
      <c r="D1566" s="93">
        <v>10125323576</v>
      </c>
      <c r="E1566" s="93" t="s">
        <v>399</v>
      </c>
      <c r="F1566" s="8" t="s">
        <v>58</v>
      </c>
    </row>
    <row r="1567" spans="2:6">
      <c r="B1567" s="22">
        <v>705</v>
      </c>
      <c r="C1567" s="92" t="s">
        <v>400</v>
      </c>
      <c r="D1567" s="93">
        <v>10016062372</v>
      </c>
      <c r="E1567" s="93" t="s">
        <v>115</v>
      </c>
      <c r="F1567" s="8" t="s">
        <v>58</v>
      </c>
    </row>
    <row r="1568" spans="2:6">
      <c r="B1568" s="22">
        <v>706</v>
      </c>
      <c r="C1568" s="93" t="s">
        <v>401</v>
      </c>
      <c r="D1568" s="93" t="s">
        <v>66</v>
      </c>
      <c r="E1568" s="93" t="s">
        <v>402</v>
      </c>
      <c r="F1568" s="8" t="s">
        <v>58</v>
      </c>
    </row>
    <row r="1569" spans="2:6">
      <c r="B1569" s="22">
        <v>707</v>
      </c>
      <c r="C1569" s="93" t="s">
        <v>140</v>
      </c>
      <c r="D1569" s="93" t="s">
        <v>66</v>
      </c>
      <c r="E1569" s="93" t="s">
        <v>403</v>
      </c>
      <c r="F1569" s="8" t="s">
        <v>58</v>
      </c>
    </row>
    <row r="1570" spans="2:6">
      <c r="B1570" s="22">
        <v>708</v>
      </c>
      <c r="C1570" s="92" t="s">
        <v>404</v>
      </c>
      <c r="D1570" s="93">
        <v>10056033143</v>
      </c>
      <c r="E1570" s="93" t="s">
        <v>405</v>
      </c>
      <c r="F1570" s="8" t="s">
        <v>58</v>
      </c>
    </row>
    <row r="1571" spans="2:6">
      <c r="B1571" s="22">
        <v>709</v>
      </c>
      <c r="C1571" s="92" t="s">
        <v>158</v>
      </c>
      <c r="D1571" s="93">
        <v>10124844640</v>
      </c>
      <c r="E1571" s="93" t="s">
        <v>406</v>
      </c>
      <c r="F1571" s="8" t="s">
        <v>58</v>
      </c>
    </row>
    <row r="1572" spans="2:6">
      <c r="B1572" s="22">
        <v>710</v>
      </c>
      <c r="C1572" s="92" t="s">
        <v>407</v>
      </c>
      <c r="D1572" s="93" t="s">
        <v>66</v>
      </c>
      <c r="E1572" s="93" t="s">
        <v>136</v>
      </c>
      <c r="F1572" s="8" t="s">
        <v>58</v>
      </c>
    </row>
    <row r="1573" spans="2:6">
      <c r="B1573" s="22">
        <v>711</v>
      </c>
      <c r="C1573" s="92" t="s">
        <v>408</v>
      </c>
      <c r="D1573" s="93" t="s">
        <v>66</v>
      </c>
      <c r="E1573" s="93" t="s">
        <v>409</v>
      </c>
      <c r="F1573" s="8" t="s">
        <v>58</v>
      </c>
    </row>
    <row r="1574" spans="2:6" ht="15.75">
      <c r="B1574" s="21"/>
      <c r="D1574" s="17"/>
      <c r="E1574" s="17"/>
      <c r="F1574" s="8"/>
    </row>
    <row r="1575" spans="2:6">
      <c r="B1575" s="22">
        <v>751</v>
      </c>
      <c r="C1575" s="92" t="s">
        <v>119</v>
      </c>
      <c r="D1575" s="93">
        <v>10127988349</v>
      </c>
      <c r="E1575" s="93" t="s">
        <v>100</v>
      </c>
      <c r="F1575" s="8" t="s">
        <v>59</v>
      </c>
    </row>
    <row r="1576" spans="2:6">
      <c r="B1576" s="22">
        <v>752</v>
      </c>
      <c r="C1576" s="92" t="s">
        <v>410</v>
      </c>
      <c r="D1576" s="93">
        <v>10001352223</v>
      </c>
      <c r="E1576" s="93" t="s">
        <v>411</v>
      </c>
      <c r="F1576" s="8" t="s">
        <v>59</v>
      </c>
    </row>
    <row r="1577" spans="2:6">
      <c r="B1577" s="22">
        <v>753</v>
      </c>
      <c r="C1577" s="92" t="s">
        <v>412</v>
      </c>
      <c r="D1577" s="93" t="s">
        <v>66</v>
      </c>
      <c r="E1577" s="93" t="s">
        <v>413</v>
      </c>
      <c r="F1577" s="8" t="s">
        <v>59</v>
      </c>
    </row>
    <row r="1578" spans="2:6">
      <c r="B1578" s="22">
        <v>754</v>
      </c>
      <c r="C1578" s="92" t="s">
        <v>144</v>
      </c>
      <c r="D1578" s="93">
        <v>10055096788</v>
      </c>
      <c r="E1578" s="93" t="s">
        <v>414</v>
      </c>
      <c r="F1578" s="8" t="s">
        <v>59</v>
      </c>
    </row>
    <row r="1579" spans="2:6">
      <c r="B1579" s="22">
        <v>755</v>
      </c>
      <c r="C1579" s="92" t="s">
        <v>415</v>
      </c>
      <c r="D1579" s="93">
        <v>10076558444</v>
      </c>
      <c r="E1579" s="93" t="s">
        <v>416</v>
      </c>
      <c r="F1579" s="8" t="s">
        <v>59</v>
      </c>
    </row>
    <row r="1580" spans="2:6">
      <c r="B1580" s="22">
        <v>756</v>
      </c>
      <c r="C1580" s="92" t="s">
        <v>417</v>
      </c>
      <c r="D1580" s="93">
        <v>10137070781</v>
      </c>
      <c r="E1580" s="93" t="s">
        <v>6</v>
      </c>
      <c r="F1580" s="8" t="s">
        <v>59</v>
      </c>
    </row>
    <row r="1581" spans="2:6">
      <c r="B1581" s="22">
        <v>757</v>
      </c>
      <c r="C1581" s="92" t="s">
        <v>141</v>
      </c>
      <c r="D1581" s="93">
        <v>10111671939</v>
      </c>
      <c r="E1581" s="93" t="s">
        <v>418</v>
      </c>
      <c r="F1581" s="8" t="s">
        <v>59</v>
      </c>
    </row>
    <row r="1582" spans="2:6">
      <c r="B1582" s="22">
        <v>758</v>
      </c>
      <c r="C1582" s="92" t="s">
        <v>419</v>
      </c>
      <c r="D1582" s="93">
        <v>10140636745</v>
      </c>
      <c r="E1582" s="93" t="s">
        <v>129</v>
      </c>
      <c r="F1582" s="8" t="s">
        <v>59</v>
      </c>
    </row>
    <row r="1583" spans="2:6">
      <c r="B1583" s="22">
        <v>759</v>
      </c>
      <c r="C1583" s="92" t="s">
        <v>420</v>
      </c>
      <c r="D1583" s="93" t="s">
        <v>66</v>
      </c>
      <c r="E1583" s="93" t="s">
        <v>421</v>
      </c>
      <c r="F1583" s="8" t="s">
        <v>59</v>
      </c>
    </row>
    <row r="1584" spans="2:6">
      <c r="B1584" s="22">
        <v>760</v>
      </c>
      <c r="C1584" s="92" t="s">
        <v>422</v>
      </c>
      <c r="D1584" s="93">
        <v>10112138246</v>
      </c>
      <c r="E1584" s="93" t="s">
        <v>423</v>
      </c>
      <c r="F1584" s="8" t="s">
        <v>59</v>
      </c>
    </row>
    <row r="1585" spans="2:6">
      <c r="B1585" s="22">
        <v>761</v>
      </c>
      <c r="C1585" s="92" t="s">
        <v>87</v>
      </c>
      <c r="D1585" s="93">
        <v>10126504047</v>
      </c>
      <c r="E1585" s="93" t="s">
        <v>424</v>
      </c>
      <c r="F1585" s="8" t="s">
        <v>59</v>
      </c>
    </row>
    <row r="1586" spans="2:6">
      <c r="B1586" s="22">
        <v>762</v>
      </c>
      <c r="C1586" s="92" t="s">
        <v>425</v>
      </c>
      <c r="D1586" s="93">
        <v>10122223115</v>
      </c>
      <c r="E1586" s="93" t="s">
        <v>70</v>
      </c>
      <c r="F1586" s="8" t="s">
        <v>59</v>
      </c>
    </row>
    <row r="1587" spans="2:6">
      <c r="B1587" s="22">
        <v>763</v>
      </c>
      <c r="C1587" s="92" t="s">
        <v>426</v>
      </c>
      <c r="D1587" s="93">
        <v>10103825447</v>
      </c>
      <c r="E1587" s="93" t="s">
        <v>427</v>
      </c>
      <c r="F1587" s="8" t="s">
        <v>59</v>
      </c>
    </row>
    <row r="1588" spans="2:6">
      <c r="B1588" s="22">
        <v>764</v>
      </c>
      <c r="C1588" s="92" t="s">
        <v>428</v>
      </c>
      <c r="D1588" s="93">
        <v>10090080749</v>
      </c>
      <c r="E1588" s="93" t="s">
        <v>429</v>
      </c>
      <c r="F1588" s="8" t="s">
        <v>59</v>
      </c>
    </row>
    <row r="1589" spans="2:6">
      <c r="B1589" s="22">
        <v>765</v>
      </c>
      <c r="C1589" s="92" t="s">
        <v>430</v>
      </c>
      <c r="D1589" s="93">
        <v>10170981880</v>
      </c>
      <c r="E1589" s="93" t="s">
        <v>431</v>
      </c>
      <c r="F1589" s="8" t="s">
        <v>59</v>
      </c>
    </row>
    <row r="1590" spans="2:6">
      <c r="B1590" s="77"/>
      <c r="D1590" s="17"/>
      <c r="E1590" s="17"/>
      <c r="F1590" s="8"/>
    </row>
    <row r="1591" spans="2:6">
      <c r="B1591" s="96">
        <v>801</v>
      </c>
      <c r="C1591" s="92" t="s">
        <v>120</v>
      </c>
      <c r="D1591" s="93">
        <v>10102979628</v>
      </c>
      <c r="E1591" s="93" t="s">
        <v>432</v>
      </c>
      <c r="F1591" s="8" t="s">
        <v>72</v>
      </c>
    </row>
    <row r="1592" spans="2:6">
      <c r="B1592" s="96">
        <v>802</v>
      </c>
      <c r="C1592" s="97" t="s">
        <v>433</v>
      </c>
      <c r="D1592" s="98">
        <v>10075677966</v>
      </c>
      <c r="E1592" s="98" t="s">
        <v>434</v>
      </c>
      <c r="F1592" s="8" t="s">
        <v>72</v>
      </c>
    </row>
    <row r="1593" spans="2:6">
      <c r="B1593" s="96">
        <v>803</v>
      </c>
      <c r="C1593" s="92" t="s">
        <v>146</v>
      </c>
      <c r="D1593" s="93">
        <v>10097275725</v>
      </c>
      <c r="E1593" s="93" t="s">
        <v>6</v>
      </c>
      <c r="F1593" s="8" t="s">
        <v>72</v>
      </c>
    </row>
    <row r="1594" spans="2:6">
      <c r="B1594" s="96">
        <v>804</v>
      </c>
      <c r="C1594" s="92" t="s">
        <v>435</v>
      </c>
      <c r="D1594" s="93">
        <v>10057935252</v>
      </c>
      <c r="E1594" s="93" t="s">
        <v>436</v>
      </c>
      <c r="F1594" s="8" t="s">
        <v>72</v>
      </c>
    </row>
    <row r="1595" spans="2:6">
      <c r="B1595" s="96">
        <v>805</v>
      </c>
      <c r="C1595" s="97" t="s">
        <v>437</v>
      </c>
      <c r="D1595" s="98">
        <v>10122661938</v>
      </c>
      <c r="E1595" s="98" t="s">
        <v>6</v>
      </c>
      <c r="F1595" s="8" t="s">
        <v>72</v>
      </c>
    </row>
    <row r="1596" spans="2:6">
      <c r="B1596" s="96">
        <v>806</v>
      </c>
      <c r="C1596" s="92" t="s">
        <v>145</v>
      </c>
      <c r="D1596" s="93">
        <v>10074956126</v>
      </c>
      <c r="E1596" s="93" t="s">
        <v>438</v>
      </c>
      <c r="F1596" s="8" t="s">
        <v>72</v>
      </c>
    </row>
    <row r="1597" spans="2:6">
      <c r="B1597" s="96">
        <v>807</v>
      </c>
      <c r="C1597" s="92" t="s">
        <v>439</v>
      </c>
      <c r="D1597" s="93">
        <v>10165483293</v>
      </c>
      <c r="E1597" s="93" t="s">
        <v>245</v>
      </c>
      <c r="F1597" s="8" t="s">
        <v>72</v>
      </c>
    </row>
    <row r="1598" spans="2:6">
      <c r="B1598" s="96">
        <v>808</v>
      </c>
      <c r="C1598" s="92" t="s">
        <v>118</v>
      </c>
      <c r="D1598" s="93">
        <v>10139092324</v>
      </c>
      <c r="E1598" s="93" t="s">
        <v>142</v>
      </c>
      <c r="F1598" s="8" t="s">
        <v>72</v>
      </c>
    </row>
    <row r="1599" spans="2:6">
      <c r="B1599" s="96">
        <v>809</v>
      </c>
      <c r="C1599" s="92" t="s">
        <v>440</v>
      </c>
      <c r="D1599" s="93">
        <v>10114420473</v>
      </c>
      <c r="E1599" s="93" t="s">
        <v>441</v>
      </c>
      <c r="F1599" s="8" t="s">
        <v>72</v>
      </c>
    </row>
    <row r="1600" spans="2:6">
      <c r="B1600" s="96">
        <v>810</v>
      </c>
      <c r="C1600" s="92" t="s">
        <v>442</v>
      </c>
      <c r="D1600" s="93">
        <v>10061985206</v>
      </c>
      <c r="E1600" s="93" t="s">
        <v>100</v>
      </c>
      <c r="F1600" s="8" t="s">
        <v>72</v>
      </c>
    </row>
    <row r="1601" spans="2:6">
      <c r="B1601" s="96">
        <v>811</v>
      </c>
      <c r="C1601" s="92" t="s">
        <v>443</v>
      </c>
      <c r="D1601" s="93">
        <v>10124200400</v>
      </c>
      <c r="E1601" s="93" t="s">
        <v>399</v>
      </c>
      <c r="F1601" s="8" t="s">
        <v>72</v>
      </c>
    </row>
    <row r="1602" spans="2:6">
      <c r="B1602" s="96">
        <v>812</v>
      </c>
      <c r="C1602" s="92" t="s">
        <v>444</v>
      </c>
      <c r="D1602" s="93">
        <v>10061845463</v>
      </c>
      <c r="E1602" s="93" t="s">
        <v>445</v>
      </c>
      <c r="F1602" s="8" t="s">
        <v>72</v>
      </c>
    </row>
    <row r="1603" spans="2:6">
      <c r="B1603" s="96">
        <v>813</v>
      </c>
      <c r="C1603" s="92" t="s">
        <v>446</v>
      </c>
      <c r="D1603" s="93">
        <v>10051209819</v>
      </c>
      <c r="E1603" s="93" t="s">
        <v>447</v>
      </c>
      <c r="F1603" s="8" t="s">
        <v>72</v>
      </c>
    </row>
    <row r="1604" spans="2:6">
      <c r="B1604" s="96">
        <v>814</v>
      </c>
      <c r="C1604" s="92" t="s">
        <v>88</v>
      </c>
      <c r="D1604" s="93">
        <v>10114540513</v>
      </c>
      <c r="E1604" s="93" t="s">
        <v>89</v>
      </c>
      <c r="F1604" s="8" t="s">
        <v>72</v>
      </c>
    </row>
    <row r="1605" spans="2:6">
      <c r="B1605" s="96">
        <v>815</v>
      </c>
      <c r="C1605" s="93" t="s">
        <v>448</v>
      </c>
      <c r="D1605" s="93">
        <v>10131791254</v>
      </c>
      <c r="E1605" s="92" t="s">
        <v>159</v>
      </c>
      <c r="F1605" s="8" t="s">
        <v>72</v>
      </c>
    </row>
    <row r="1606" spans="2:6">
      <c r="B1606" s="96">
        <v>816</v>
      </c>
      <c r="C1606" s="97" t="s">
        <v>449</v>
      </c>
      <c r="D1606" s="98" t="s">
        <v>66</v>
      </c>
      <c r="E1606" s="98" t="s">
        <v>450</v>
      </c>
      <c r="F1606" s="8" t="s">
        <v>72</v>
      </c>
    </row>
    <row r="1607" spans="2:6">
      <c r="B1607" s="2"/>
      <c r="D1607" s="17"/>
      <c r="E1607" s="17"/>
      <c r="F1607" s="8"/>
    </row>
    <row r="1608" spans="2:6">
      <c r="B1608" s="22">
        <v>851</v>
      </c>
      <c r="C1608" s="92" t="s">
        <v>451</v>
      </c>
      <c r="D1608" s="93">
        <v>10060932451</v>
      </c>
      <c r="E1608" s="93" t="s">
        <v>121</v>
      </c>
      <c r="F1608" s="8" t="s">
        <v>90</v>
      </c>
    </row>
    <row r="1609" spans="2:6">
      <c r="B1609" s="22">
        <v>852</v>
      </c>
      <c r="C1609" s="92" t="s">
        <v>123</v>
      </c>
      <c r="D1609" s="93">
        <v>10007726234</v>
      </c>
      <c r="E1609" s="93" t="s">
        <v>124</v>
      </c>
      <c r="F1609" s="8" t="s">
        <v>90</v>
      </c>
    </row>
    <row r="1610" spans="2:6">
      <c r="B1610" s="22">
        <v>853</v>
      </c>
      <c r="C1610" s="92" t="s">
        <v>452</v>
      </c>
      <c r="D1610" s="93">
        <v>10122227054</v>
      </c>
      <c r="E1610" s="93" t="s">
        <v>100</v>
      </c>
      <c r="F1610" s="8" t="s">
        <v>90</v>
      </c>
    </row>
    <row r="1611" spans="2:6">
      <c r="B1611" s="22">
        <v>854</v>
      </c>
      <c r="C1611" s="92" t="s">
        <v>453</v>
      </c>
      <c r="D1611" s="93">
        <v>10061982172</v>
      </c>
      <c r="E1611" s="93" t="s">
        <v>454</v>
      </c>
      <c r="F1611" s="8" t="s">
        <v>90</v>
      </c>
    </row>
    <row r="1612" spans="2:6">
      <c r="B1612" s="22">
        <v>855</v>
      </c>
      <c r="C1612" s="92" t="s">
        <v>455</v>
      </c>
      <c r="D1612" s="93">
        <v>10059069243</v>
      </c>
      <c r="E1612" s="93" t="s">
        <v>115</v>
      </c>
      <c r="F1612" s="8" t="s">
        <v>90</v>
      </c>
    </row>
    <row r="1613" spans="2:6">
      <c r="B1613" s="22">
        <v>856</v>
      </c>
      <c r="C1613" s="92" t="s">
        <v>456</v>
      </c>
      <c r="D1613" s="93">
        <v>10075672815</v>
      </c>
      <c r="E1613" s="93" t="s">
        <v>457</v>
      </c>
      <c r="F1613" s="8" t="s">
        <v>90</v>
      </c>
    </row>
    <row r="1614" spans="2:6">
      <c r="B1614" s="22">
        <v>857</v>
      </c>
      <c r="C1614" s="92" t="s">
        <v>458</v>
      </c>
      <c r="D1614" s="93">
        <v>10101543725</v>
      </c>
      <c r="E1614" s="93" t="s">
        <v>459</v>
      </c>
      <c r="F1614" s="8" t="s">
        <v>90</v>
      </c>
    </row>
    <row r="1615" spans="2:6">
      <c r="B1615" s="22">
        <v>858</v>
      </c>
      <c r="C1615" s="92" t="s">
        <v>460</v>
      </c>
      <c r="D1615" s="93" t="s">
        <v>461</v>
      </c>
      <c r="E1615" s="93" t="s">
        <v>462</v>
      </c>
      <c r="F1615" s="8" t="s">
        <v>90</v>
      </c>
    </row>
    <row r="1616" spans="2:6">
      <c r="B1616" s="22">
        <v>859</v>
      </c>
      <c r="C1616" s="92" t="s">
        <v>463</v>
      </c>
      <c r="D1616" s="93">
        <v>10051462726</v>
      </c>
      <c r="E1616" s="93" t="s">
        <v>464</v>
      </c>
      <c r="F1616" s="8" t="s">
        <v>90</v>
      </c>
    </row>
    <row r="1617" spans="2:6">
      <c r="B1617" s="22">
        <v>860</v>
      </c>
      <c r="C1617" s="92" t="s">
        <v>465</v>
      </c>
      <c r="D1617" s="93">
        <v>10061984903</v>
      </c>
      <c r="E1617" s="93" t="s">
        <v>429</v>
      </c>
      <c r="F1617" s="8" t="s">
        <v>90</v>
      </c>
    </row>
    <row r="1618" spans="2:6">
      <c r="B1618" s="22">
        <v>861</v>
      </c>
      <c r="C1618" s="92" t="s">
        <v>466</v>
      </c>
      <c r="D1618" s="93" t="s">
        <v>66</v>
      </c>
      <c r="E1618" s="93" t="s">
        <v>467</v>
      </c>
      <c r="F1618" s="8" t="s">
        <v>90</v>
      </c>
    </row>
    <row r="1619" spans="2:6">
      <c r="B1619" s="22">
        <v>862</v>
      </c>
      <c r="C1619" s="92" t="s">
        <v>147</v>
      </c>
      <c r="D1619" s="93">
        <v>10120760132</v>
      </c>
      <c r="E1619" s="93" t="s">
        <v>122</v>
      </c>
      <c r="F1619" s="8" t="s">
        <v>90</v>
      </c>
    </row>
    <row r="1620" spans="2:6">
      <c r="B1620" s="22">
        <v>863</v>
      </c>
      <c r="C1620" s="92" t="s">
        <v>468</v>
      </c>
      <c r="D1620" s="93" t="s">
        <v>66</v>
      </c>
      <c r="E1620" s="93" t="s">
        <v>136</v>
      </c>
      <c r="F1620" s="8" t="s">
        <v>90</v>
      </c>
    </row>
    <row r="1621" spans="2:6">
      <c r="B1621" s="22">
        <v>864</v>
      </c>
      <c r="C1621" s="92" t="s">
        <v>469</v>
      </c>
      <c r="D1621" s="93">
        <v>10126882448</v>
      </c>
      <c r="E1621" s="93" t="s">
        <v>69</v>
      </c>
      <c r="F1621" s="8" t="s">
        <v>90</v>
      </c>
    </row>
    <row r="1622" spans="2:6">
      <c r="B1622" s="22">
        <v>865</v>
      </c>
      <c r="C1622" s="92" t="s">
        <v>470</v>
      </c>
      <c r="D1622" s="93">
        <v>10138850531</v>
      </c>
      <c r="E1622" s="93" t="s">
        <v>471</v>
      </c>
      <c r="F1622" s="8" t="s">
        <v>90</v>
      </c>
    </row>
    <row r="1623" spans="2:6">
      <c r="B1623" s="22">
        <v>866</v>
      </c>
      <c r="C1623" s="92" t="s">
        <v>472</v>
      </c>
      <c r="D1623" s="93">
        <v>10079385386</v>
      </c>
      <c r="E1623" s="93" t="s">
        <v>6</v>
      </c>
      <c r="F1623" s="8" t="s">
        <v>90</v>
      </c>
    </row>
    <row r="1624" spans="2:6">
      <c r="B1624" s="22">
        <v>867</v>
      </c>
      <c r="C1624" s="92" t="s">
        <v>473</v>
      </c>
      <c r="D1624" s="93">
        <v>10104387239</v>
      </c>
      <c r="E1624" s="93" t="s">
        <v>70</v>
      </c>
      <c r="F1624" s="8" t="s">
        <v>90</v>
      </c>
    </row>
    <row r="1625" spans="2:6">
      <c r="B1625" s="22">
        <v>868</v>
      </c>
      <c r="C1625" s="92" t="s">
        <v>474</v>
      </c>
      <c r="D1625" s="93">
        <v>10074930662</v>
      </c>
      <c r="E1625" s="93" t="s">
        <v>397</v>
      </c>
      <c r="F1625" s="8" t="s">
        <v>90</v>
      </c>
    </row>
    <row r="1626" spans="2:6">
      <c r="B1626" s="22">
        <v>869</v>
      </c>
      <c r="C1626" s="92" t="s">
        <v>475</v>
      </c>
      <c r="D1626" s="93" t="s">
        <v>66</v>
      </c>
      <c r="E1626" s="93" t="s">
        <v>476</v>
      </c>
      <c r="F1626" s="8" t="s">
        <v>90</v>
      </c>
    </row>
    <row r="1627" spans="2:6" ht="15.75">
      <c r="B1627" s="48"/>
      <c r="D1627" s="2"/>
      <c r="E1627" s="17"/>
      <c r="F1627" s="8"/>
    </row>
    <row r="1628" spans="2:6">
      <c r="B1628" s="96">
        <v>901</v>
      </c>
      <c r="C1628" s="92" t="s">
        <v>477</v>
      </c>
      <c r="D1628" s="22" t="s">
        <v>66</v>
      </c>
      <c r="E1628" s="92" t="s">
        <v>160</v>
      </c>
      <c r="F1628" s="8" t="s">
        <v>91</v>
      </c>
    </row>
    <row r="1629" spans="2:6">
      <c r="B1629" s="96">
        <v>902</v>
      </c>
      <c r="C1629" s="92" t="s">
        <v>478</v>
      </c>
      <c r="D1629" s="22">
        <v>10061990660</v>
      </c>
      <c r="E1629" s="93" t="s">
        <v>149</v>
      </c>
      <c r="F1629" s="8" t="s">
        <v>91</v>
      </c>
    </row>
    <row r="1630" spans="2:6">
      <c r="B1630" s="96">
        <v>903</v>
      </c>
      <c r="C1630" s="97" t="s">
        <v>73</v>
      </c>
      <c r="D1630" s="99">
        <v>10061997734</v>
      </c>
      <c r="E1630" s="98" t="s">
        <v>69</v>
      </c>
      <c r="F1630" s="8" t="s">
        <v>91</v>
      </c>
    </row>
    <row r="1631" spans="2:6">
      <c r="B1631" s="96">
        <v>904</v>
      </c>
      <c r="C1631" s="92" t="s">
        <v>151</v>
      </c>
      <c r="D1631" s="22">
        <v>10052228218</v>
      </c>
      <c r="E1631" s="93" t="s">
        <v>100</v>
      </c>
      <c r="F1631" s="8" t="s">
        <v>91</v>
      </c>
    </row>
    <row r="1632" spans="2:6">
      <c r="B1632" s="96">
        <v>905</v>
      </c>
      <c r="C1632" s="92" t="s">
        <v>479</v>
      </c>
      <c r="D1632" s="22">
        <v>10061855668</v>
      </c>
      <c r="E1632" s="93" t="s">
        <v>480</v>
      </c>
      <c r="F1632" s="8" t="s">
        <v>91</v>
      </c>
    </row>
    <row r="1633" spans="2:6">
      <c r="B1633" s="96">
        <v>906</v>
      </c>
      <c r="C1633" s="92" t="s">
        <v>481</v>
      </c>
      <c r="D1633" s="22">
        <v>10054780328</v>
      </c>
      <c r="E1633" s="93" t="s">
        <v>100</v>
      </c>
      <c r="F1633" s="8" t="s">
        <v>91</v>
      </c>
    </row>
    <row r="1634" spans="2:6">
      <c r="B1634" s="96">
        <v>907</v>
      </c>
      <c r="C1634" s="92" t="s">
        <v>482</v>
      </c>
      <c r="D1634" s="22">
        <v>10075039079</v>
      </c>
      <c r="E1634" s="93" t="s">
        <v>483</v>
      </c>
      <c r="F1634" s="8" t="s">
        <v>91</v>
      </c>
    </row>
    <row r="1635" spans="2:6">
      <c r="B1635" s="96">
        <v>908</v>
      </c>
      <c r="C1635" s="92" t="s">
        <v>126</v>
      </c>
      <c r="D1635" s="22">
        <v>10101986891</v>
      </c>
      <c r="E1635" s="92" t="s">
        <v>484</v>
      </c>
      <c r="F1635" s="8" t="s">
        <v>91</v>
      </c>
    </row>
    <row r="1636" spans="2:6">
      <c r="B1636" s="96">
        <v>909</v>
      </c>
      <c r="C1636" s="92" t="s">
        <v>127</v>
      </c>
      <c r="D1636" s="22" t="s">
        <v>66</v>
      </c>
      <c r="E1636" s="93" t="s">
        <v>485</v>
      </c>
      <c r="F1636" s="8" t="s">
        <v>91</v>
      </c>
    </row>
    <row r="1637" spans="2:6">
      <c r="B1637" s="96">
        <v>910</v>
      </c>
      <c r="C1637" s="92" t="s">
        <v>486</v>
      </c>
      <c r="D1637" s="22">
        <v>10112076915</v>
      </c>
      <c r="E1637" s="93" t="s">
        <v>487</v>
      </c>
      <c r="F1637" s="8" t="s">
        <v>91</v>
      </c>
    </row>
    <row r="1638" spans="2:6">
      <c r="B1638" s="96">
        <v>911</v>
      </c>
      <c r="C1638" s="92" t="s">
        <v>488</v>
      </c>
      <c r="D1638" s="22">
        <v>10052413629</v>
      </c>
      <c r="E1638" s="93" t="s">
        <v>150</v>
      </c>
      <c r="F1638" s="8" t="s">
        <v>91</v>
      </c>
    </row>
    <row r="1639" spans="2:6">
      <c r="B1639" s="96">
        <v>912</v>
      </c>
      <c r="C1639" s="92" t="s">
        <v>489</v>
      </c>
      <c r="D1639" s="22">
        <v>10089608580</v>
      </c>
      <c r="E1639" s="93" t="s">
        <v>490</v>
      </c>
      <c r="F1639" s="8" t="s">
        <v>91</v>
      </c>
    </row>
    <row r="1640" spans="2:6">
      <c r="B1640" s="96">
        <v>913</v>
      </c>
      <c r="C1640" s="92" t="s">
        <v>491</v>
      </c>
      <c r="D1640" s="22">
        <v>13276</v>
      </c>
      <c r="E1640" s="93" t="s">
        <v>492</v>
      </c>
      <c r="F1640" s="8" t="s">
        <v>91</v>
      </c>
    </row>
    <row r="1641" spans="2:6">
      <c r="B1641" s="96">
        <v>914</v>
      </c>
      <c r="C1641" s="92" t="s">
        <v>148</v>
      </c>
      <c r="D1641" s="22">
        <v>10109809842</v>
      </c>
      <c r="E1641" s="93" t="s">
        <v>493</v>
      </c>
      <c r="F1641" s="8" t="s">
        <v>91</v>
      </c>
    </row>
    <row r="1642" spans="2:6">
      <c r="B1642" s="96">
        <v>915</v>
      </c>
      <c r="C1642" s="92" t="s">
        <v>494</v>
      </c>
      <c r="D1642" s="22">
        <v>10090675378</v>
      </c>
      <c r="E1642" s="93" t="s">
        <v>495</v>
      </c>
      <c r="F1642" s="8" t="s">
        <v>91</v>
      </c>
    </row>
    <row r="1643" spans="2:6" ht="15.75">
      <c r="B1643" s="42"/>
      <c r="D1643" s="17"/>
      <c r="E1643" s="17"/>
      <c r="F1643" s="17"/>
    </row>
    <row r="1644" spans="2:6">
      <c r="B1644" s="22">
        <v>931</v>
      </c>
      <c r="C1644" s="93" t="s">
        <v>496</v>
      </c>
      <c r="D1644" s="93">
        <v>10115008234</v>
      </c>
      <c r="E1644" s="92" t="s">
        <v>399</v>
      </c>
      <c r="F1644" s="8" t="s">
        <v>165</v>
      </c>
    </row>
    <row r="1645" spans="2:6">
      <c r="B1645" s="22">
        <v>932</v>
      </c>
      <c r="C1645" s="92" t="s">
        <v>497</v>
      </c>
      <c r="D1645" s="93">
        <v>10121261300</v>
      </c>
      <c r="E1645" s="93" t="s">
        <v>498</v>
      </c>
      <c r="F1645" s="8" t="s">
        <v>165</v>
      </c>
    </row>
    <row r="1646" spans="2:6">
      <c r="B1646" s="22">
        <v>933</v>
      </c>
      <c r="C1646" s="92" t="s">
        <v>499</v>
      </c>
      <c r="D1646" s="93">
        <v>10128036546</v>
      </c>
      <c r="E1646" s="93" t="s">
        <v>500</v>
      </c>
      <c r="F1646" s="8" t="s">
        <v>165</v>
      </c>
    </row>
    <row r="1647" spans="2:6">
      <c r="B1647" s="22">
        <v>934</v>
      </c>
      <c r="C1647" s="93" t="s">
        <v>501</v>
      </c>
      <c r="D1647" s="93">
        <v>10133198663</v>
      </c>
      <c r="E1647" s="93" t="s">
        <v>502</v>
      </c>
      <c r="F1647" s="8" t="s">
        <v>165</v>
      </c>
    </row>
    <row r="1648" spans="2:6">
      <c r="B1648" s="18"/>
      <c r="C1648" s="17"/>
      <c r="D1648" s="17"/>
      <c r="F1648" s="17"/>
    </row>
    <row r="1649" spans="2:6">
      <c r="B1649" s="22">
        <v>951</v>
      </c>
      <c r="C1649" s="93" t="s">
        <v>161</v>
      </c>
      <c r="D1649" s="93">
        <v>10101986689</v>
      </c>
      <c r="E1649" s="92" t="s">
        <v>503</v>
      </c>
      <c r="F1649" s="8" t="s">
        <v>166</v>
      </c>
    </row>
    <row r="1650" spans="2:6">
      <c r="B1650" s="22">
        <v>952</v>
      </c>
      <c r="C1650" s="93" t="s">
        <v>504</v>
      </c>
      <c r="D1650" s="93">
        <v>10051455652</v>
      </c>
      <c r="E1650" s="92" t="s">
        <v>115</v>
      </c>
      <c r="F1650" s="8" t="s">
        <v>166</v>
      </c>
    </row>
    <row r="1651" spans="2:6">
      <c r="B1651" s="2"/>
      <c r="C1651" s="17"/>
      <c r="D1651" s="17"/>
      <c r="F1651" s="8"/>
    </row>
    <row r="1652" spans="2:6">
      <c r="B1652" s="22">
        <v>601</v>
      </c>
      <c r="C1652" s="92" t="s">
        <v>505</v>
      </c>
      <c r="D1652" s="93" t="s">
        <v>66</v>
      </c>
      <c r="E1652" s="92" t="s">
        <v>125</v>
      </c>
      <c r="F1652" s="8" t="s">
        <v>60</v>
      </c>
    </row>
    <row r="1653" spans="2:6">
      <c r="B1653" s="22">
        <v>602</v>
      </c>
      <c r="C1653" s="92" t="s">
        <v>157</v>
      </c>
      <c r="D1653" s="93" t="s">
        <v>66</v>
      </c>
      <c r="E1653" s="93" t="s">
        <v>506</v>
      </c>
      <c r="F1653" s="8" t="s">
        <v>60</v>
      </c>
    </row>
    <row r="1654" spans="2:6">
      <c r="B1654" s="22">
        <v>603</v>
      </c>
      <c r="C1654" s="92" t="s">
        <v>507</v>
      </c>
      <c r="D1654" s="93">
        <v>10164876237</v>
      </c>
      <c r="E1654" s="93" t="s">
        <v>508</v>
      </c>
      <c r="F1654" s="8" t="s">
        <v>60</v>
      </c>
    </row>
    <row r="1655" spans="2:6">
      <c r="B1655" s="22">
        <v>604</v>
      </c>
      <c r="C1655" s="93" t="s">
        <v>509</v>
      </c>
      <c r="D1655" s="93">
        <v>10079599594</v>
      </c>
      <c r="E1655" s="92" t="s">
        <v>115</v>
      </c>
      <c r="F1655" s="8" t="s">
        <v>60</v>
      </c>
    </row>
    <row r="1656" spans="2:6">
      <c r="B1656" s="22">
        <v>605</v>
      </c>
      <c r="C1656" s="92" t="s">
        <v>510</v>
      </c>
      <c r="D1656" s="93" t="s">
        <v>511</v>
      </c>
      <c r="E1656" s="92" t="s">
        <v>512</v>
      </c>
      <c r="F1656" s="8" t="s">
        <v>60</v>
      </c>
    </row>
    <row r="1657" spans="2:6">
      <c r="B1657" s="22">
        <v>606</v>
      </c>
      <c r="C1657" s="92" t="s">
        <v>513</v>
      </c>
      <c r="D1657" s="93" t="s">
        <v>66</v>
      </c>
      <c r="E1657" s="93" t="s">
        <v>406</v>
      </c>
      <c r="F1657" s="8" t="s">
        <v>60</v>
      </c>
    </row>
    <row r="1658" spans="2:6">
      <c r="B1658" s="22">
        <v>607</v>
      </c>
      <c r="C1658" s="92" t="s">
        <v>514</v>
      </c>
      <c r="D1658" s="93">
        <v>10159628335</v>
      </c>
      <c r="E1658" s="93" t="s">
        <v>515</v>
      </c>
      <c r="F1658" s="8" t="s">
        <v>60</v>
      </c>
    </row>
    <row r="1659" spans="2:6">
      <c r="B1659" s="22">
        <v>608</v>
      </c>
      <c r="C1659" s="92" t="s">
        <v>516</v>
      </c>
      <c r="D1659" s="93">
        <v>10143091047</v>
      </c>
      <c r="E1659" s="93" t="s">
        <v>517</v>
      </c>
      <c r="F1659" s="8" t="s">
        <v>60</v>
      </c>
    </row>
    <row r="1660" spans="2:6">
      <c r="B1660" s="22">
        <v>609</v>
      </c>
      <c r="C1660" s="92" t="s">
        <v>518</v>
      </c>
      <c r="D1660" s="93">
        <v>10063635620</v>
      </c>
      <c r="E1660" s="93" t="s">
        <v>519</v>
      </c>
      <c r="F1660" s="8" t="s">
        <v>60</v>
      </c>
    </row>
    <row r="1661" spans="2:6">
      <c r="B1661" s="22">
        <v>610</v>
      </c>
      <c r="C1661" s="92" t="s">
        <v>520</v>
      </c>
      <c r="D1661" s="93" t="s">
        <v>66</v>
      </c>
      <c r="E1661" s="93" t="s">
        <v>521</v>
      </c>
      <c r="F1661" s="8" t="s">
        <v>60</v>
      </c>
    </row>
    <row r="1662" spans="2:6">
      <c r="B1662" s="22">
        <v>611</v>
      </c>
      <c r="C1662" s="92" t="s">
        <v>522</v>
      </c>
      <c r="D1662" s="93" t="s">
        <v>66</v>
      </c>
      <c r="E1662" s="93" t="s">
        <v>116</v>
      </c>
      <c r="F1662" s="8" t="s">
        <v>60</v>
      </c>
    </row>
    <row r="1663" spans="2:6">
      <c r="B1663" s="22">
        <v>612</v>
      </c>
      <c r="C1663" s="92" t="s">
        <v>523</v>
      </c>
      <c r="D1663" s="93">
        <v>10082235671</v>
      </c>
      <c r="E1663" s="93" t="s">
        <v>524</v>
      </c>
      <c r="F1663" s="8" t="s">
        <v>60</v>
      </c>
    </row>
    <row r="1664" spans="2:6">
      <c r="B1664" s="22">
        <v>613</v>
      </c>
      <c r="C1664" s="92" t="s">
        <v>525</v>
      </c>
      <c r="D1664" s="93" t="s">
        <v>66</v>
      </c>
      <c r="E1664" s="93" t="s">
        <v>6</v>
      </c>
      <c r="F1664" s="8" t="s">
        <v>60</v>
      </c>
    </row>
    <row r="1665" spans="2:6">
      <c r="B1665" s="22">
        <v>614</v>
      </c>
      <c r="C1665" s="93" t="s">
        <v>162</v>
      </c>
      <c r="D1665" s="93">
        <v>10153041631</v>
      </c>
      <c r="E1665" s="92" t="s">
        <v>526</v>
      </c>
      <c r="F1665" s="8" t="s">
        <v>60</v>
      </c>
    </row>
    <row r="1666" spans="2:6">
      <c r="B1666" s="22">
        <v>615</v>
      </c>
      <c r="C1666" s="93" t="s">
        <v>527</v>
      </c>
      <c r="D1666" s="93" t="s">
        <v>66</v>
      </c>
      <c r="E1666" s="92" t="s">
        <v>528</v>
      </c>
      <c r="F1666" s="8" t="s">
        <v>60</v>
      </c>
    </row>
    <row r="1667" spans="2:6">
      <c r="B1667" s="22">
        <v>616</v>
      </c>
      <c r="C1667" s="92" t="s">
        <v>529</v>
      </c>
      <c r="D1667" s="93">
        <v>10126140804</v>
      </c>
      <c r="E1667" s="93" t="s">
        <v>530</v>
      </c>
      <c r="F1667" s="8" t="s">
        <v>60</v>
      </c>
    </row>
    <row r="1668" spans="2:6">
      <c r="B1668" s="22">
        <v>617</v>
      </c>
      <c r="C1668" s="92" t="s">
        <v>531</v>
      </c>
      <c r="D1668" s="93">
        <v>10096302287</v>
      </c>
      <c r="E1668" s="93" t="s">
        <v>454</v>
      </c>
      <c r="F1668" s="8" t="s">
        <v>60</v>
      </c>
    </row>
    <row r="1669" spans="2:6">
      <c r="B1669" s="22">
        <v>618</v>
      </c>
      <c r="C1669" s="92" t="s">
        <v>532</v>
      </c>
      <c r="D1669" s="93">
        <v>10127815668</v>
      </c>
      <c r="E1669" s="93" t="s">
        <v>6</v>
      </c>
      <c r="F1669" s="8" t="s">
        <v>60</v>
      </c>
    </row>
    <row r="1670" spans="2:6">
      <c r="B1670" s="22">
        <v>619</v>
      </c>
      <c r="C1670" s="92" t="s">
        <v>533</v>
      </c>
      <c r="D1670" s="93" t="s">
        <v>66</v>
      </c>
      <c r="E1670" s="93" t="s">
        <v>109</v>
      </c>
      <c r="F1670" s="8" t="s">
        <v>60</v>
      </c>
    </row>
    <row r="1671" spans="2:6">
      <c r="B1671" s="22">
        <v>620</v>
      </c>
      <c r="C1671" s="92" t="s">
        <v>534</v>
      </c>
      <c r="D1671" s="93">
        <v>10114420978</v>
      </c>
      <c r="E1671" s="93" t="s">
        <v>399</v>
      </c>
      <c r="F1671" s="8" t="s">
        <v>60</v>
      </c>
    </row>
    <row r="1672" spans="2:6">
      <c r="B1672" s="22">
        <v>621</v>
      </c>
      <c r="C1672" s="92" t="s">
        <v>535</v>
      </c>
      <c r="D1672" s="93" t="s">
        <v>66</v>
      </c>
      <c r="E1672" s="93" t="s">
        <v>536</v>
      </c>
      <c r="F1672" s="8" t="s">
        <v>60</v>
      </c>
    </row>
    <row r="1673" spans="2:6">
      <c r="B1673" s="2"/>
      <c r="D1673" s="17"/>
      <c r="E1673" s="17"/>
      <c r="F1673" s="17"/>
    </row>
    <row r="1674" spans="2:6">
      <c r="B1674" s="22">
        <v>671</v>
      </c>
      <c r="C1674" s="92" t="s">
        <v>537</v>
      </c>
      <c r="D1674" s="93">
        <v>10136876074</v>
      </c>
      <c r="E1674" s="92" t="s">
        <v>399</v>
      </c>
      <c r="F1674" s="8" t="s">
        <v>92</v>
      </c>
    </row>
    <row r="1675" spans="2:6">
      <c r="B1675" s="2"/>
      <c r="D1675" s="17"/>
      <c r="E1675" s="17"/>
      <c r="F1675" s="8" t="s">
        <v>92</v>
      </c>
    </row>
    <row r="1676" spans="2:6">
      <c r="B1676" s="18"/>
      <c r="D1676" s="17"/>
      <c r="E1676" s="17"/>
      <c r="F1676" s="8"/>
    </row>
    <row r="1677" spans="2:6">
      <c r="B1677" s="22">
        <v>976</v>
      </c>
      <c r="C1677" s="92" t="s">
        <v>538</v>
      </c>
      <c r="D1677" s="93" t="s">
        <v>66</v>
      </c>
      <c r="E1677" s="93" t="s">
        <v>6</v>
      </c>
      <c r="F1677" s="8" t="s">
        <v>167</v>
      </c>
    </row>
    <row r="1678" spans="2:6">
      <c r="B1678" s="22">
        <v>977</v>
      </c>
      <c r="C1678" s="92" t="s">
        <v>539</v>
      </c>
      <c r="D1678" s="93">
        <v>10171986438</v>
      </c>
      <c r="E1678" s="93" t="s">
        <v>540</v>
      </c>
      <c r="F1678" s="8" t="s">
        <v>167</v>
      </c>
    </row>
    <row r="1679" spans="2:6">
      <c r="B1679" s="22">
        <v>978</v>
      </c>
      <c r="C1679" s="92" t="s">
        <v>541</v>
      </c>
      <c r="D1679" s="93" t="s">
        <v>66</v>
      </c>
      <c r="E1679" s="92" t="s">
        <v>542</v>
      </c>
      <c r="F1679" s="8" t="s">
        <v>167</v>
      </c>
    </row>
    <row r="1680" spans="2:6">
      <c r="B1680" s="22">
        <v>979</v>
      </c>
      <c r="C1680" s="92" t="s">
        <v>543</v>
      </c>
      <c r="D1680" s="93" t="s">
        <v>66</v>
      </c>
      <c r="E1680" s="93" t="s">
        <v>544</v>
      </c>
      <c r="F1680" s="8" t="s">
        <v>167</v>
      </c>
    </row>
    <row r="1681" spans="2:6">
      <c r="B1681" s="8"/>
      <c r="C1681" s="8"/>
      <c r="D1681" s="54"/>
      <c r="E1681" s="8"/>
      <c r="F1681" s="8"/>
    </row>
    <row r="1682" spans="2:6">
      <c r="B1682" s="22">
        <v>961</v>
      </c>
      <c r="C1682" s="92" t="s">
        <v>545</v>
      </c>
      <c r="D1682" s="93">
        <v>10129943002</v>
      </c>
      <c r="E1682" s="93" t="s">
        <v>116</v>
      </c>
      <c r="F1682" s="8" t="s">
        <v>102</v>
      </c>
    </row>
    <row r="1683" spans="2:6">
      <c r="B1683" s="22">
        <v>962</v>
      </c>
      <c r="C1683" s="92" t="s">
        <v>546</v>
      </c>
      <c r="D1683" s="93">
        <v>10136994700</v>
      </c>
      <c r="E1683" s="93" t="s">
        <v>116</v>
      </c>
      <c r="F1683" s="8" t="s">
        <v>102</v>
      </c>
    </row>
    <row r="1684" spans="2:6">
      <c r="B1684" s="8"/>
      <c r="C1684" s="8"/>
      <c r="D1684" s="54"/>
      <c r="E1684" s="8"/>
      <c r="F1684" s="17"/>
    </row>
    <row r="1685" spans="2:6">
      <c r="B1685" s="22">
        <v>1001</v>
      </c>
      <c r="C1685" s="92" t="s">
        <v>453</v>
      </c>
      <c r="D1685" s="93">
        <v>10061982172</v>
      </c>
      <c r="E1685" s="93" t="s">
        <v>454</v>
      </c>
      <c r="F1685" s="54" t="s">
        <v>547</v>
      </c>
    </row>
    <row r="1686" spans="2:6">
      <c r="B1686" s="22">
        <v>1002</v>
      </c>
      <c r="C1686" s="92" t="s">
        <v>548</v>
      </c>
      <c r="D1686" s="93">
        <v>10132574934</v>
      </c>
      <c r="E1686" s="93" t="s">
        <v>549</v>
      </c>
      <c r="F1686" s="54" t="s">
        <v>547</v>
      </c>
    </row>
    <row r="1687" spans="2:6">
      <c r="B1687" s="22">
        <v>1003</v>
      </c>
      <c r="C1687" s="92" t="s">
        <v>550</v>
      </c>
      <c r="D1687" s="93" t="s">
        <v>66</v>
      </c>
      <c r="E1687" s="92" t="s">
        <v>551</v>
      </c>
      <c r="F1687" s="54" t="s">
        <v>547</v>
      </c>
    </row>
    <row r="1688" spans="2:6">
      <c r="B1688" s="22">
        <v>1004</v>
      </c>
      <c r="C1688" s="92" t="s">
        <v>412</v>
      </c>
      <c r="D1688" s="93" t="s">
        <v>66</v>
      </c>
      <c r="E1688" s="93" t="s">
        <v>413</v>
      </c>
      <c r="F1688" s="54" t="s">
        <v>547</v>
      </c>
    </row>
    <row r="1689" spans="2:6">
      <c r="B1689" s="22">
        <v>1005</v>
      </c>
      <c r="C1689" s="92" t="s">
        <v>546</v>
      </c>
      <c r="D1689" s="93">
        <v>10136994700</v>
      </c>
      <c r="E1689" s="93" t="s">
        <v>116</v>
      </c>
      <c r="F1689" s="54" t="s">
        <v>547</v>
      </c>
    </row>
    <row r="1690" spans="2:6">
      <c r="B1690" s="22">
        <v>1006</v>
      </c>
      <c r="C1690" s="92" t="s">
        <v>455</v>
      </c>
      <c r="D1690" s="93">
        <v>10059069243</v>
      </c>
      <c r="E1690" s="93" t="s">
        <v>115</v>
      </c>
      <c r="F1690" s="54" t="s">
        <v>547</v>
      </c>
    </row>
    <row r="1691" spans="2:6">
      <c r="B1691" s="22">
        <v>1007</v>
      </c>
      <c r="C1691" s="92" t="s">
        <v>513</v>
      </c>
      <c r="D1691" s="93" t="s">
        <v>66</v>
      </c>
      <c r="E1691" s="93" t="s">
        <v>406</v>
      </c>
      <c r="F1691" s="54" t="s">
        <v>547</v>
      </c>
    </row>
    <row r="1692" spans="2:6">
      <c r="B1692" s="22">
        <v>1008</v>
      </c>
      <c r="C1692" s="92" t="s">
        <v>250</v>
      </c>
      <c r="D1692" s="93">
        <v>10131930286</v>
      </c>
      <c r="E1692" s="93" t="s">
        <v>251</v>
      </c>
      <c r="F1692" s="54" t="s">
        <v>547</v>
      </c>
    </row>
    <row r="1693" spans="2:6">
      <c r="B1693" s="22">
        <v>1009</v>
      </c>
      <c r="C1693" s="92" t="s">
        <v>123</v>
      </c>
      <c r="D1693" s="93">
        <v>10007726234</v>
      </c>
      <c r="E1693" s="93" t="s">
        <v>124</v>
      </c>
      <c r="F1693" s="54" t="s">
        <v>547</v>
      </c>
    </row>
    <row r="1694" spans="2:6">
      <c r="B1694" s="22">
        <v>1010</v>
      </c>
      <c r="C1694" s="92" t="s">
        <v>481</v>
      </c>
      <c r="D1694" s="93">
        <v>10054780328</v>
      </c>
      <c r="E1694" s="93" t="s">
        <v>100</v>
      </c>
      <c r="F1694" s="54" t="s">
        <v>547</v>
      </c>
    </row>
    <row r="1695" spans="2:6">
      <c r="B1695" s="22">
        <v>1011</v>
      </c>
      <c r="C1695" s="92" t="s">
        <v>552</v>
      </c>
      <c r="D1695" s="93">
        <v>10089437115</v>
      </c>
      <c r="E1695" s="93" t="s">
        <v>519</v>
      </c>
      <c r="F1695" s="54" t="s">
        <v>547</v>
      </c>
    </row>
    <row r="1696" spans="2:6">
      <c r="B1696" s="22">
        <v>1012</v>
      </c>
      <c r="C1696" s="92" t="s">
        <v>553</v>
      </c>
      <c r="D1696" s="93" t="s">
        <v>66</v>
      </c>
      <c r="E1696" s="93" t="s">
        <v>554</v>
      </c>
      <c r="F1696" s="54" t="s">
        <v>547</v>
      </c>
    </row>
    <row r="1697" spans="2:6">
      <c r="B1697" s="22">
        <v>1013</v>
      </c>
      <c r="C1697" s="92" t="s">
        <v>435</v>
      </c>
      <c r="D1697" s="93">
        <v>10057935252</v>
      </c>
      <c r="E1697" s="93" t="s">
        <v>436</v>
      </c>
      <c r="F1697" s="54" t="s">
        <v>547</v>
      </c>
    </row>
    <row r="1698" spans="2:6">
      <c r="B1698" s="22">
        <v>1014</v>
      </c>
      <c r="C1698" s="92" t="s">
        <v>144</v>
      </c>
      <c r="D1698" s="93">
        <v>10055096788</v>
      </c>
      <c r="E1698" s="93" t="s">
        <v>414</v>
      </c>
      <c r="F1698" s="54" t="s">
        <v>547</v>
      </c>
    </row>
    <row r="1699" spans="2:6">
      <c r="B1699" s="22">
        <v>1015</v>
      </c>
      <c r="C1699" s="92" t="s">
        <v>555</v>
      </c>
      <c r="D1699" s="93" t="s">
        <v>66</v>
      </c>
      <c r="E1699" s="93" t="s">
        <v>556</v>
      </c>
      <c r="F1699" s="54" t="s">
        <v>547</v>
      </c>
    </row>
    <row r="1700" spans="2:6">
      <c r="B1700" s="22">
        <v>1016</v>
      </c>
      <c r="C1700" s="92" t="s">
        <v>557</v>
      </c>
      <c r="D1700" s="93">
        <v>10128869837</v>
      </c>
      <c r="E1700" s="93" t="s">
        <v>558</v>
      </c>
      <c r="F1700" s="54" t="s">
        <v>547</v>
      </c>
    </row>
    <row r="1701" spans="2:6">
      <c r="B1701" s="22">
        <v>1017</v>
      </c>
      <c r="C1701" s="92" t="s">
        <v>535</v>
      </c>
      <c r="D1701" s="93" t="s">
        <v>66</v>
      </c>
      <c r="E1701" s="93" t="s">
        <v>536</v>
      </c>
      <c r="F1701" s="54" t="s">
        <v>547</v>
      </c>
    </row>
    <row r="1702" spans="2:6">
      <c r="B1702" s="22">
        <v>1018</v>
      </c>
      <c r="C1702" s="92" t="s">
        <v>559</v>
      </c>
      <c r="D1702" s="93">
        <v>10089540377</v>
      </c>
      <c r="E1702" s="93" t="s">
        <v>560</v>
      </c>
      <c r="F1702" s="54" t="s">
        <v>547</v>
      </c>
    </row>
    <row r="1703" spans="2:6">
      <c r="B1703" s="8"/>
      <c r="C1703" s="8"/>
      <c r="D1703" s="54"/>
      <c r="E1703" s="8"/>
      <c r="F1703" s="8"/>
    </row>
    <row r="1704" spans="2:6">
      <c r="B1704" s="8"/>
      <c r="C1704" s="8"/>
      <c r="D1704" s="54"/>
      <c r="E1704" s="8"/>
      <c r="F1704" s="8"/>
    </row>
    <row r="1705" spans="2:6">
      <c r="B1705" s="8"/>
      <c r="C1705" s="8"/>
      <c r="D1705" s="54"/>
      <c r="E1705" s="8"/>
      <c r="F1705" s="8"/>
    </row>
    <row r="1706" spans="2:6">
      <c r="B1706" s="8"/>
      <c r="C1706" s="8"/>
      <c r="D1706" s="54"/>
      <c r="E1706" s="8"/>
      <c r="F1706" s="8"/>
    </row>
    <row r="1707" spans="2:6">
      <c r="B1707" s="8"/>
      <c r="C1707" s="8"/>
      <c r="D1707" s="54"/>
      <c r="E1707" s="8"/>
      <c r="F1707" s="8"/>
    </row>
    <row r="1708" spans="2:6">
      <c r="D1708" s="17"/>
      <c r="E1708" s="17"/>
    </row>
    <row r="1709" spans="2:6">
      <c r="D1709" s="17"/>
      <c r="E1709" s="17"/>
    </row>
    <row r="1710" spans="2:6">
      <c r="D1710" s="17"/>
      <c r="E1710" s="17"/>
    </row>
    <row r="1711" spans="2:6">
      <c r="D1711" s="17"/>
      <c r="E1711" s="17"/>
    </row>
    <row r="1712" spans="2:6">
      <c r="D1712" s="17"/>
      <c r="E1712" s="17"/>
    </row>
    <row r="1713" spans="2:6">
      <c r="D1713" s="17"/>
    </row>
    <row r="1714" spans="2:6">
      <c r="D1714" s="17"/>
      <c r="E1714" s="17"/>
    </row>
    <row r="1715" spans="2:6">
      <c r="D1715" s="17"/>
      <c r="E1715" s="17"/>
    </row>
    <row r="1716" spans="2:6">
      <c r="D1716" s="17"/>
      <c r="E1716" s="17"/>
    </row>
    <row r="1717" spans="2:6">
      <c r="D1717" s="17"/>
      <c r="E1717" s="17"/>
    </row>
    <row r="1718" spans="2:6">
      <c r="D1718" s="17"/>
      <c r="E1718" s="17"/>
    </row>
    <row r="1719" spans="2:6">
      <c r="D1719" s="17"/>
      <c r="E1719" s="17"/>
    </row>
    <row r="1720" spans="2:6">
      <c r="D1720" s="17"/>
      <c r="E1720" s="17"/>
    </row>
    <row r="1721" spans="2:6">
      <c r="D1721" s="17"/>
      <c r="E1721" s="17"/>
    </row>
    <row r="1722" spans="2:6">
      <c r="D1722" s="17"/>
      <c r="E1722" s="17"/>
    </row>
    <row r="1723" spans="2:6">
      <c r="D1723" s="17"/>
    </row>
    <row r="1724" spans="2:6">
      <c r="D1724" s="17"/>
      <c r="E1724" s="17"/>
    </row>
    <row r="1725" spans="2:6">
      <c r="D1725" s="17"/>
      <c r="E1725" s="17"/>
    </row>
    <row r="1726" spans="2:6" ht="15.75">
      <c r="B1726" s="21"/>
      <c r="D1726" s="17"/>
      <c r="E1726" s="17"/>
      <c r="F1726" s="8"/>
    </row>
    <row r="1727" spans="2:6" ht="15.75">
      <c r="B1727" s="21"/>
      <c r="D1727" s="17"/>
      <c r="E1727" s="17"/>
      <c r="F1727" s="8"/>
    </row>
    <row r="1728" spans="2:6" ht="15.75">
      <c r="B1728" s="21"/>
      <c r="D1728" s="17"/>
      <c r="E1728" s="17"/>
      <c r="F1728" s="8"/>
    </row>
    <row r="1729" spans="2:6" ht="15.75">
      <c r="B1729" s="21"/>
      <c r="D1729" s="17"/>
      <c r="E1729" s="17"/>
      <c r="F1729" s="8"/>
    </row>
    <row r="1730" spans="2:6" ht="15.75">
      <c r="B1730" s="21"/>
      <c r="D1730" s="17"/>
      <c r="E1730" s="17"/>
      <c r="F1730" s="8"/>
    </row>
    <row r="1731" spans="2:6" ht="15.75">
      <c r="B1731" s="21"/>
      <c r="D1731" s="17"/>
      <c r="E1731" s="17"/>
      <c r="F1731" s="8"/>
    </row>
    <row r="1732" spans="2:6" ht="15.75">
      <c r="B1732" s="21"/>
      <c r="D1732" s="17"/>
      <c r="E1732" s="17"/>
      <c r="F1732" s="8"/>
    </row>
    <row r="1733" spans="2:6" ht="15.75">
      <c r="B1733" s="21"/>
      <c r="D1733" s="17"/>
      <c r="E1733" s="17"/>
      <c r="F1733" s="8"/>
    </row>
    <row r="1734" spans="2:6" ht="15.75">
      <c r="B1734" s="21"/>
      <c r="D1734" s="17"/>
      <c r="E1734" s="17"/>
      <c r="F1734" s="8"/>
    </row>
    <row r="1735" spans="2:6" ht="15.75">
      <c r="B1735" s="21"/>
      <c r="D1735" s="17"/>
      <c r="E1735" s="17"/>
      <c r="F1735" s="8"/>
    </row>
    <row r="1736" spans="2:6" ht="15.75">
      <c r="B1736" s="21"/>
      <c r="D1736" s="17"/>
      <c r="E1736" s="17"/>
      <c r="F1736" s="8"/>
    </row>
    <row r="1737" spans="2:6" ht="15.75">
      <c r="B1737" s="21"/>
      <c r="D1737" s="17"/>
      <c r="E1737" s="17"/>
      <c r="F1737" s="8"/>
    </row>
    <row r="1738" spans="2:6" ht="15.75">
      <c r="B1738" s="21"/>
      <c r="D1738" s="17"/>
      <c r="E1738" s="17"/>
      <c r="F1738" s="8"/>
    </row>
    <row r="1739" spans="2:6" ht="15.75">
      <c r="B1739" s="21"/>
      <c r="D1739" s="17"/>
      <c r="E1739" s="17"/>
    </row>
    <row r="1740" spans="2:6" ht="15.75">
      <c r="B1740" s="21"/>
      <c r="D1740" s="17"/>
      <c r="E1740" s="17"/>
    </row>
    <row r="1741" spans="2:6" ht="15.75">
      <c r="B1741" s="21"/>
      <c r="D1741" s="17"/>
      <c r="E1741" s="17"/>
    </row>
    <row r="1742" spans="2:6" ht="15.75">
      <c r="B1742" s="21"/>
      <c r="D1742" s="17"/>
      <c r="E1742" s="17"/>
    </row>
    <row r="1743" spans="2:6" ht="15.75">
      <c r="B1743" s="21"/>
      <c r="D1743" s="17"/>
      <c r="E1743" s="17"/>
    </row>
    <row r="1744" spans="2:6" ht="15.75">
      <c r="B1744" s="21"/>
      <c r="D1744" s="17"/>
      <c r="E1744" s="17"/>
    </row>
    <row r="1745" spans="2:5" ht="15.75">
      <c r="B1745" s="21"/>
      <c r="D1745" s="17"/>
      <c r="E1745" s="17"/>
    </row>
    <row r="1746" spans="2:5" ht="15.75">
      <c r="B1746" s="21"/>
      <c r="D1746" s="17"/>
      <c r="E1746" s="17"/>
    </row>
    <row r="1747" spans="2:5" ht="15.75">
      <c r="B1747" s="21"/>
      <c r="D1747" s="17"/>
      <c r="E1747" s="17"/>
    </row>
    <row r="1748" spans="2:5" ht="15.75">
      <c r="B1748" s="21"/>
      <c r="D1748" s="17"/>
      <c r="E1748" s="17"/>
    </row>
    <row r="1749" spans="2:5" ht="15.75">
      <c r="B1749" s="21"/>
      <c r="D1749" s="17"/>
      <c r="E1749" s="17"/>
    </row>
    <row r="1750" spans="2:5" ht="15.75">
      <c r="B1750" s="21"/>
      <c r="D1750" s="17"/>
      <c r="E1750" s="17"/>
    </row>
    <row r="1751" spans="2:5" ht="15.75">
      <c r="B1751" s="21"/>
      <c r="D1751" s="17"/>
      <c r="E1751" s="17"/>
    </row>
    <row r="1752" spans="2:5" ht="15.75">
      <c r="B1752" s="21"/>
      <c r="D1752" s="17"/>
      <c r="E1752" s="17"/>
    </row>
    <row r="1753" spans="2:5" ht="15.75">
      <c r="B1753" s="21"/>
      <c r="D1753" s="17"/>
      <c r="E1753" s="17"/>
    </row>
    <row r="1754" spans="2:5" ht="15.75">
      <c r="B1754" s="21"/>
      <c r="D1754" s="17"/>
      <c r="E1754" s="17"/>
    </row>
    <row r="1755" spans="2:5" ht="15.75">
      <c r="B1755" s="21"/>
      <c r="D1755" s="17"/>
      <c r="E1755" s="17"/>
    </row>
    <row r="1756" spans="2:5" ht="15.75">
      <c r="B1756" s="21"/>
      <c r="D1756" s="17"/>
      <c r="E1756" s="17"/>
    </row>
    <row r="1757" spans="2:5" ht="15.75">
      <c r="B1757" s="21"/>
      <c r="D1757" s="17"/>
      <c r="E1757" s="17"/>
    </row>
    <row r="1758" spans="2:5" ht="15.75">
      <c r="B1758" s="21"/>
      <c r="D1758" s="17"/>
      <c r="E1758" s="17"/>
    </row>
    <row r="1759" spans="2:5" ht="15.75">
      <c r="B1759" s="21"/>
      <c r="D1759" s="17"/>
      <c r="E1759" s="17"/>
    </row>
    <row r="1760" spans="2:5">
      <c r="D1760" s="17"/>
    </row>
    <row r="1761" spans="2:5" ht="15.75">
      <c r="B1761" s="21"/>
      <c r="D1761" s="17"/>
      <c r="E1761" s="17"/>
    </row>
    <row r="1762" spans="2:5" ht="15.75">
      <c r="B1762" s="21"/>
      <c r="D1762" s="17"/>
      <c r="E1762" s="17"/>
    </row>
    <row r="1763" spans="2:5" ht="15.75">
      <c r="B1763" s="21"/>
      <c r="D1763" s="17"/>
      <c r="E1763" s="17"/>
    </row>
    <row r="1764" spans="2:5" ht="15.75">
      <c r="B1764" s="21"/>
      <c r="D1764" s="17"/>
      <c r="E1764" s="17"/>
    </row>
    <row r="1765" spans="2:5" ht="15.75">
      <c r="B1765" s="21"/>
      <c r="D1765" s="17"/>
      <c r="E1765" s="17"/>
    </row>
    <row r="1766" spans="2:5" ht="15.75">
      <c r="B1766" s="21"/>
      <c r="D1766" s="17"/>
      <c r="E1766" s="17"/>
    </row>
    <row r="1767" spans="2:5" ht="15.75">
      <c r="B1767" s="21"/>
      <c r="D1767" s="17"/>
      <c r="E1767" s="17"/>
    </row>
    <row r="1768" spans="2:5" ht="15.75">
      <c r="B1768" s="21"/>
      <c r="D1768" s="17"/>
      <c r="E1768" s="17"/>
    </row>
    <row r="1769" spans="2:5" ht="15.75">
      <c r="B1769" s="21"/>
      <c r="D1769" s="17"/>
      <c r="E1769" s="17"/>
    </row>
    <row r="1770" spans="2:5" ht="15.75">
      <c r="B1770" s="21"/>
      <c r="D1770" s="17"/>
      <c r="E1770" s="17"/>
    </row>
    <row r="1771" spans="2:5" ht="15.75">
      <c r="B1771" s="21"/>
      <c r="D1771" s="17"/>
      <c r="E1771" s="17"/>
    </row>
    <row r="1772" spans="2:5" ht="15.75">
      <c r="B1772" s="21"/>
      <c r="D1772" s="17"/>
      <c r="E1772" s="17"/>
    </row>
    <row r="1773" spans="2:5" ht="15.75">
      <c r="B1773" s="21"/>
      <c r="D1773" s="17"/>
      <c r="E1773" s="17"/>
    </row>
    <row r="1774" spans="2:5" ht="15.75">
      <c r="B1774" s="21"/>
      <c r="D1774" s="17"/>
      <c r="E1774" s="17"/>
    </row>
    <row r="1775" spans="2:5" ht="15.75">
      <c r="B1775" s="21"/>
      <c r="D1775" s="17"/>
      <c r="E1775" s="17"/>
    </row>
    <row r="1776" spans="2:5" ht="15.75">
      <c r="B1776" s="21"/>
      <c r="D1776" s="17"/>
      <c r="E1776" s="17"/>
    </row>
    <row r="1777" spans="2:5" ht="15.75">
      <c r="B1777" s="21"/>
      <c r="D1777" s="17"/>
      <c r="E1777" s="17"/>
    </row>
    <row r="1778" spans="2:5" ht="15.75">
      <c r="B1778" s="21"/>
      <c r="D1778" s="17"/>
      <c r="E1778" s="17"/>
    </row>
    <row r="1779" spans="2:5" ht="15.75">
      <c r="B1779" s="21"/>
      <c r="D1779" s="17"/>
      <c r="E1779" s="17"/>
    </row>
    <row r="1780" spans="2:5" ht="15.75">
      <c r="B1780" s="21"/>
      <c r="D1780" s="17"/>
      <c r="E1780" s="17"/>
    </row>
    <row r="1781" spans="2:5" ht="15.75">
      <c r="B1781" s="21"/>
      <c r="D1781" s="17"/>
      <c r="E1781" s="17"/>
    </row>
    <row r="1782" spans="2:5" ht="15.75">
      <c r="B1782" s="21"/>
      <c r="D1782" s="17"/>
      <c r="E1782" s="17"/>
    </row>
    <row r="1783" spans="2:5" ht="15.75">
      <c r="B1783" s="21"/>
      <c r="D1783" s="17"/>
      <c r="E1783" s="17"/>
    </row>
    <row r="1784" spans="2:5" ht="15.75">
      <c r="B1784" s="21"/>
      <c r="D1784" s="17"/>
      <c r="E1784" s="17"/>
    </row>
    <row r="1785" spans="2:5" ht="15.75">
      <c r="B1785" s="21"/>
      <c r="D1785" s="17"/>
      <c r="E1785" s="17"/>
    </row>
    <row r="1786" spans="2:5" ht="15.75">
      <c r="B1786" s="21"/>
      <c r="D1786" s="17"/>
      <c r="E1786" s="17"/>
    </row>
    <row r="1787" spans="2:5" ht="15.75">
      <c r="B1787" s="21"/>
      <c r="D1787" s="17"/>
      <c r="E1787" s="17"/>
    </row>
    <row r="1788" spans="2:5" ht="15.75">
      <c r="B1788" s="21"/>
      <c r="D1788" s="17"/>
      <c r="E1788" s="17"/>
    </row>
    <row r="1789" spans="2:5" ht="15.75">
      <c r="B1789" s="21"/>
      <c r="D1789" s="17"/>
      <c r="E1789" s="17"/>
    </row>
    <row r="1790" spans="2:5" ht="15.75">
      <c r="B1790" s="21"/>
      <c r="D1790" s="17"/>
      <c r="E1790" s="17"/>
    </row>
    <row r="1791" spans="2:5" ht="15.75">
      <c r="B1791" s="21"/>
      <c r="D1791" s="17"/>
      <c r="E1791" s="17"/>
    </row>
    <row r="1792" spans="2:5" ht="15.75">
      <c r="B1792" s="21"/>
      <c r="D1792" s="17"/>
      <c r="E1792" s="17"/>
    </row>
    <row r="1793" spans="2:6" ht="15.75">
      <c r="B1793" s="21"/>
      <c r="D1793" s="17"/>
      <c r="E1793" s="17"/>
    </row>
    <row r="1794" spans="2:6" ht="15.75">
      <c r="B1794" s="21"/>
      <c r="D1794" s="17"/>
      <c r="E1794" s="17"/>
    </row>
    <row r="1795" spans="2:6" ht="15.75">
      <c r="B1795" s="21"/>
      <c r="D1795" s="17"/>
      <c r="E1795" s="17"/>
    </row>
    <row r="1796" spans="2:6" ht="15.75">
      <c r="B1796" s="21"/>
      <c r="D1796" s="17"/>
      <c r="E1796" s="17"/>
    </row>
    <row r="1797" spans="2:6" ht="15.75">
      <c r="B1797" s="21"/>
      <c r="D1797" s="17"/>
      <c r="E1797" s="17"/>
    </row>
    <row r="1798" spans="2:6" ht="15.75">
      <c r="B1798" s="21"/>
      <c r="D1798" s="17"/>
      <c r="E1798" s="17"/>
    </row>
    <row r="1799" spans="2:6" ht="15.75">
      <c r="B1799" s="21"/>
      <c r="D1799" s="17"/>
      <c r="E1799" s="17"/>
    </row>
    <row r="1800" spans="2:6" ht="15.75">
      <c r="B1800" s="21"/>
      <c r="D1800" s="17"/>
      <c r="E1800" s="17"/>
    </row>
    <row r="1801" spans="2:6" ht="15.75">
      <c r="B1801" s="21"/>
      <c r="D1801" s="17"/>
      <c r="E1801" s="17"/>
    </row>
    <row r="1802" spans="2:6" ht="15.75">
      <c r="B1802" s="21"/>
      <c r="D1802" s="17"/>
      <c r="E1802" s="17"/>
    </row>
    <row r="1803" spans="2:6" ht="15.75">
      <c r="B1803" s="21"/>
      <c r="D1803" s="17"/>
      <c r="E1803" s="17"/>
    </row>
    <row r="1804" spans="2:6" ht="15.75">
      <c r="B1804" s="21"/>
      <c r="D1804" s="17"/>
      <c r="E1804" s="17"/>
    </row>
    <row r="1805" spans="2:6" ht="15.75">
      <c r="B1805" s="21"/>
      <c r="D1805" s="17"/>
      <c r="E1805" s="17"/>
      <c r="F1805" s="8"/>
    </row>
    <row r="1806" spans="2:6" ht="15.75">
      <c r="B1806" s="21"/>
      <c r="D1806" s="17"/>
      <c r="E1806" s="17"/>
      <c r="F1806" s="8"/>
    </row>
    <row r="1807" spans="2:6" ht="15.75">
      <c r="B1807" s="21"/>
      <c r="D1807" s="17"/>
      <c r="E1807" s="17"/>
      <c r="F1807" s="8"/>
    </row>
    <row r="1808" spans="2:6" ht="15.75">
      <c r="B1808" s="21"/>
      <c r="D1808" s="17"/>
      <c r="E1808" s="17"/>
      <c r="F1808" s="8"/>
    </row>
    <row r="1809" spans="2:6" ht="15.75">
      <c r="B1809" s="21"/>
      <c r="D1809" s="17"/>
      <c r="E1809" s="17"/>
      <c r="F1809" s="8"/>
    </row>
    <row r="1810" spans="2:6" ht="15.75">
      <c r="B1810" s="21"/>
      <c r="D1810" s="17"/>
      <c r="E1810" s="17"/>
      <c r="F1810" s="8"/>
    </row>
    <row r="1811" spans="2:6" ht="15.75">
      <c r="B1811" s="21"/>
      <c r="D1811" s="17"/>
      <c r="E1811" s="17"/>
      <c r="F1811" s="8"/>
    </row>
    <row r="1812" spans="2:6" ht="15.75">
      <c r="B1812" s="21"/>
      <c r="D1812" s="17"/>
      <c r="E1812" s="17"/>
      <c r="F1812" s="8"/>
    </row>
    <row r="1813" spans="2:6" ht="15.75">
      <c r="B1813" s="21"/>
      <c r="D1813" s="17"/>
      <c r="E1813" s="17"/>
      <c r="F1813" s="8"/>
    </row>
    <row r="1814" spans="2:6" ht="15.75">
      <c r="B1814" s="21"/>
      <c r="D1814" s="17"/>
      <c r="E1814" s="17"/>
      <c r="F1814" s="8"/>
    </row>
    <row r="1815" spans="2:6">
      <c r="C1815" s="17"/>
      <c r="D1815" s="17"/>
      <c r="F1815" s="8"/>
    </row>
    <row r="1816" spans="2:6" ht="15.75">
      <c r="B1816" s="21"/>
      <c r="D1816" s="17"/>
      <c r="E1816" s="17"/>
      <c r="F1816" s="8"/>
    </row>
    <row r="1817" spans="2:6" ht="15.75">
      <c r="B1817" s="21"/>
      <c r="D1817" s="17"/>
      <c r="E1817" s="17"/>
      <c r="F1817" s="8"/>
    </row>
    <row r="1818" spans="2:6" ht="15.75">
      <c r="B1818" s="21"/>
      <c r="D1818" s="17"/>
      <c r="E1818" s="17"/>
      <c r="F1818" s="8"/>
    </row>
    <row r="1819" spans="2:6" ht="15.75">
      <c r="B1819" s="21"/>
      <c r="D1819" s="17"/>
      <c r="E1819" s="17"/>
      <c r="F1819" s="8"/>
    </row>
    <row r="1820" spans="2:6" ht="15.75">
      <c r="B1820" s="21"/>
      <c r="D1820" s="17"/>
      <c r="E1820" s="17"/>
      <c r="F1820" s="8"/>
    </row>
    <row r="1821" spans="2:6" ht="15.75">
      <c r="B1821" s="21"/>
      <c r="D1821" s="17"/>
      <c r="E1821" s="17"/>
      <c r="F1821" s="8"/>
    </row>
    <row r="1822" spans="2:6" ht="15.75">
      <c r="B1822" s="21"/>
      <c r="D1822" s="17"/>
      <c r="E1822" s="17"/>
      <c r="F1822" s="8"/>
    </row>
    <row r="1823" spans="2:6" ht="15.75">
      <c r="B1823" s="21"/>
      <c r="D1823" s="17"/>
      <c r="E1823" s="17"/>
      <c r="F1823" s="8"/>
    </row>
    <row r="1824" spans="2:6" ht="15.75">
      <c r="B1824" s="21"/>
      <c r="D1824" s="17"/>
      <c r="E1824" s="17"/>
      <c r="F1824" s="8"/>
    </row>
    <row r="1825" spans="2:6" ht="15.75">
      <c r="B1825" s="21"/>
      <c r="D1825" s="17"/>
      <c r="E1825" s="17"/>
      <c r="F1825" s="8"/>
    </row>
    <row r="1826" spans="2:6" ht="15.75">
      <c r="B1826" s="21"/>
      <c r="D1826" s="17"/>
      <c r="E1826" s="17"/>
      <c r="F1826" s="8"/>
    </row>
    <row r="1827" spans="2:6" ht="15.75">
      <c r="B1827" s="21"/>
      <c r="D1827" s="17"/>
      <c r="E1827" s="17"/>
      <c r="F1827" s="8"/>
    </row>
    <row r="1828" spans="2:6" ht="15.75">
      <c r="B1828" s="21"/>
      <c r="D1828" s="17"/>
      <c r="E1828" s="17"/>
      <c r="F1828" s="8"/>
    </row>
    <row r="1829" spans="2:6" ht="15.75">
      <c r="B1829" s="21"/>
      <c r="D1829" s="17"/>
      <c r="E1829" s="17"/>
      <c r="F1829" s="8"/>
    </row>
    <row r="1830" spans="2:6" ht="15.75">
      <c r="B1830" s="21"/>
      <c r="D1830" s="17"/>
      <c r="E1830" s="17"/>
      <c r="F1830" s="8"/>
    </row>
    <row r="1831" spans="2:6" ht="15.75">
      <c r="B1831" s="21"/>
      <c r="D1831" s="17"/>
      <c r="E1831" s="17"/>
      <c r="F1831" s="8"/>
    </row>
    <row r="1832" spans="2:6" ht="15.75">
      <c r="B1832" s="21"/>
      <c r="D1832" s="17"/>
      <c r="E1832" s="17"/>
      <c r="F1832" s="8"/>
    </row>
    <row r="1833" spans="2:6" ht="15.75">
      <c r="B1833" s="21"/>
      <c r="D1833" s="17"/>
      <c r="E1833" s="17"/>
      <c r="F1833" s="8"/>
    </row>
    <row r="1834" spans="2:6" ht="15.75">
      <c r="B1834" s="21"/>
      <c r="D1834" s="17"/>
      <c r="E1834" s="17"/>
      <c r="F1834" s="8"/>
    </row>
    <row r="1835" spans="2:6" ht="15.75">
      <c r="B1835" s="21"/>
      <c r="D1835" s="17"/>
      <c r="E1835" s="17"/>
      <c r="F1835" s="8"/>
    </row>
    <row r="1836" spans="2:6" ht="15.75">
      <c r="B1836" s="21"/>
      <c r="D1836" s="17"/>
      <c r="E1836" s="17"/>
      <c r="F1836" s="8"/>
    </row>
    <row r="1837" spans="2:6" ht="15.75">
      <c r="B1837" s="21"/>
      <c r="D1837" s="17"/>
      <c r="E1837" s="17"/>
      <c r="F1837" s="8"/>
    </row>
    <row r="1838" spans="2:6" ht="15.75">
      <c r="B1838" s="21"/>
      <c r="D1838" s="17"/>
      <c r="E1838" s="17"/>
      <c r="F1838" s="8"/>
    </row>
    <row r="1839" spans="2:6" ht="15.75">
      <c r="B1839" s="21"/>
      <c r="D1839" s="17"/>
      <c r="E1839" s="17"/>
      <c r="F1839" s="8"/>
    </row>
    <row r="1840" spans="2:6" ht="15.75">
      <c r="B1840" s="21"/>
      <c r="D1840" s="17"/>
      <c r="E1840" s="17"/>
      <c r="F1840" s="8"/>
    </row>
    <row r="1841" spans="2:6" ht="15.75">
      <c r="B1841" s="21"/>
      <c r="D1841" s="17"/>
      <c r="E1841" s="17"/>
      <c r="F1841" s="8"/>
    </row>
    <row r="1842" spans="2:6" ht="15.75">
      <c r="B1842" s="21"/>
      <c r="D1842" s="17"/>
      <c r="F1842" s="8"/>
    </row>
    <row r="1843" spans="2:6" ht="15.75">
      <c r="B1843" s="21"/>
      <c r="D1843" s="17"/>
      <c r="E1843" s="17"/>
      <c r="F1843" s="8"/>
    </row>
    <row r="1844" spans="2:6" ht="15.75">
      <c r="B1844" s="21"/>
      <c r="D1844" s="17"/>
      <c r="E1844" s="17"/>
      <c r="F1844" s="8"/>
    </row>
    <row r="1845" spans="2:6" ht="15.75">
      <c r="B1845" s="21"/>
      <c r="D1845" s="17"/>
      <c r="E1845" s="17"/>
      <c r="F1845" s="8"/>
    </row>
    <row r="1846" spans="2:6" ht="15.75">
      <c r="B1846" s="21"/>
      <c r="D1846" s="17"/>
      <c r="E1846" s="17"/>
      <c r="F1846" s="8"/>
    </row>
    <row r="1847" spans="2:6" ht="15.75">
      <c r="B1847" s="21"/>
      <c r="D1847" s="17"/>
      <c r="E1847" s="17"/>
      <c r="F1847" s="8"/>
    </row>
    <row r="1848" spans="2:6" ht="15.75">
      <c r="B1848" s="21"/>
      <c r="D1848" s="17"/>
      <c r="E1848" s="17"/>
      <c r="F1848" s="8"/>
    </row>
    <row r="1849" spans="2:6" ht="15.75">
      <c r="B1849" s="21"/>
      <c r="D1849" s="17"/>
      <c r="E1849" s="17"/>
      <c r="F1849" s="8"/>
    </row>
    <row r="1850" spans="2:6" ht="15.75">
      <c r="B1850" s="21"/>
      <c r="D1850" s="17"/>
      <c r="E1850" s="17"/>
      <c r="F1850" s="8"/>
    </row>
    <row r="1851" spans="2:6" ht="15.75">
      <c r="B1851" s="21"/>
      <c r="D1851" s="17"/>
      <c r="E1851" s="17"/>
      <c r="F1851" s="8"/>
    </row>
    <row r="1852" spans="2:6" ht="15.75">
      <c r="B1852" s="21"/>
      <c r="D1852" s="17"/>
      <c r="E1852" s="17"/>
      <c r="F1852" s="8"/>
    </row>
    <row r="1853" spans="2:6" ht="15.75">
      <c r="B1853" s="21"/>
      <c r="D1853" s="17"/>
      <c r="E1853" s="17"/>
      <c r="F1853" s="8"/>
    </row>
    <row r="1854" spans="2:6" ht="15.75">
      <c r="B1854" s="21"/>
      <c r="D1854" s="17"/>
      <c r="E1854" s="17"/>
      <c r="F1854" s="8"/>
    </row>
    <row r="1855" spans="2:6" ht="15.75">
      <c r="B1855" s="21"/>
      <c r="D1855" s="17"/>
      <c r="E1855" s="17"/>
      <c r="F1855" s="8"/>
    </row>
    <row r="1856" spans="2:6">
      <c r="B1856" s="59"/>
      <c r="C1856" s="46"/>
      <c r="D1856" s="47"/>
      <c r="E1856" s="55"/>
      <c r="F1856" s="8"/>
    </row>
    <row r="1857" spans="2:6" ht="15.75">
      <c r="B1857" s="21"/>
      <c r="D1857" s="17"/>
      <c r="E1857" s="17"/>
      <c r="F1857" s="8"/>
    </row>
    <row r="1858" spans="2:6" ht="15.75">
      <c r="B1858" s="21"/>
      <c r="C1858" s="46"/>
      <c r="D1858" s="17"/>
      <c r="E1858" s="47"/>
      <c r="F1858" s="8"/>
    </row>
    <row r="1859" spans="2:6" ht="15.75">
      <c r="B1859" s="21"/>
      <c r="D1859" s="17"/>
      <c r="E1859" s="17"/>
      <c r="F1859" s="8"/>
    </row>
    <row r="1860" spans="2:6" ht="15.75">
      <c r="B1860" s="21"/>
      <c r="D1860" s="17"/>
      <c r="E1860" s="17"/>
      <c r="F1860" s="8"/>
    </row>
    <row r="1861" spans="2:6" ht="15.75">
      <c r="B1861" s="21"/>
      <c r="D1861" s="17"/>
      <c r="E1861" s="17"/>
      <c r="F1861" s="8"/>
    </row>
    <row r="1862" spans="2:6" ht="15.75">
      <c r="B1862" s="21"/>
      <c r="D1862" s="17"/>
      <c r="E1862" s="17"/>
      <c r="F1862" s="8"/>
    </row>
    <row r="1863" spans="2:6" ht="15.75">
      <c r="B1863" s="21"/>
      <c r="D1863" s="17"/>
      <c r="E1863" s="17"/>
      <c r="F1863" s="8"/>
    </row>
    <row r="1864" spans="2:6">
      <c r="C1864" s="17"/>
      <c r="D1864" s="17"/>
      <c r="E1864" s="17"/>
      <c r="F1864" s="8"/>
    </row>
    <row r="1865" spans="2:6" ht="15.75">
      <c r="B1865" s="21"/>
      <c r="D1865" s="17"/>
      <c r="E1865" s="17"/>
      <c r="F1865" s="8"/>
    </row>
    <row r="1866" spans="2:6" ht="15.75">
      <c r="B1866" s="21"/>
      <c r="D1866" s="17"/>
      <c r="E1866" s="17"/>
      <c r="F1866" s="8"/>
    </row>
    <row r="1867" spans="2:6" ht="15.75">
      <c r="B1867" s="21"/>
      <c r="D1867" s="17"/>
      <c r="E1867" s="17"/>
      <c r="F1867" s="8"/>
    </row>
    <row r="1868" spans="2:6">
      <c r="D1868" s="17"/>
      <c r="E1868" s="17"/>
      <c r="F1868" s="8"/>
    </row>
    <row r="1869" spans="2:6" ht="15.75">
      <c r="B1869" s="48"/>
      <c r="C1869" s="46"/>
      <c r="D1869" s="47"/>
      <c r="E1869" s="55"/>
      <c r="F1869" s="8"/>
    </row>
    <row r="1870" spans="2:6" ht="15.75">
      <c r="B1870" s="21"/>
      <c r="D1870" s="17"/>
      <c r="E1870" s="17"/>
      <c r="F1870" s="8"/>
    </row>
    <row r="1871" spans="2:6" ht="15.75">
      <c r="B1871" s="21"/>
      <c r="D1871" s="17"/>
      <c r="E1871" s="17"/>
      <c r="F1871" s="8"/>
    </row>
    <row r="1872" spans="2:6" ht="15.75">
      <c r="B1872" s="21"/>
      <c r="D1872" s="17"/>
      <c r="E1872" s="17"/>
      <c r="F1872" s="8"/>
    </row>
    <row r="1873" spans="2:6" ht="15.75">
      <c r="B1873" s="21"/>
      <c r="D1873" s="17"/>
      <c r="E1873" s="17"/>
      <c r="F1873" s="8"/>
    </row>
    <row r="1874" spans="2:6" ht="15.75">
      <c r="B1874" s="21"/>
      <c r="D1874" s="17"/>
      <c r="E1874" s="17"/>
      <c r="F1874" s="8"/>
    </row>
    <row r="1875" spans="2:6" ht="15.75">
      <c r="B1875" s="21"/>
      <c r="D1875" s="17"/>
      <c r="E1875" s="17"/>
      <c r="F1875" s="8"/>
    </row>
    <row r="1876" spans="2:6" ht="15.75">
      <c r="B1876" s="21"/>
      <c r="D1876" s="17"/>
      <c r="E1876" s="17"/>
      <c r="F1876" s="8"/>
    </row>
    <row r="1877" spans="2:6" ht="15.75">
      <c r="B1877" s="21"/>
      <c r="D1877" s="17"/>
      <c r="E1877" s="17"/>
      <c r="F1877" s="8"/>
    </row>
    <row r="1878" spans="2:6" ht="15.75">
      <c r="B1878" s="21"/>
      <c r="D1878" s="17"/>
      <c r="E1878" s="17"/>
      <c r="F1878" s="8"/>
    </row>
    <row r="1879" spans="2:6" ht="15.75">
      <c r="B1879" s="21"/>
      <c r="D1879" s="17"/>
      <c r="E1879" s="17"/>
      <c r="F1879" s="8"/>
    </row>
    <row r="1880" spans="2:6" ht="15.75">
      <c r="B1880" s="21"/>
      <c r="D1880" s="17"/>
      <c r="E1880" s="17"/>
      <c r="F1880" s="8"/>
    </row>
    <row r="1881" spans="2:6">
      <c r="B1881" s="59"/>
      <c r="C1881" s="46"/>
      <c r="D1881" s="47"/>
      <c r="E1881" s="55"/>
      <c r="F1881" s="8"/>
    </row>
    <row r="1882" spans="2:6" ht="15.75">
      <c r="B1882" s="21"/>
      <c r="D1882" s="17"/>
      <c r="E1882" s="17"/>
      <c r="F1882" s="8"/>
    </row>
    <row r="1883" spans="2:6">
      <c r="B1883" s="59"/>
      <c r="D1883" s="17"/>
      <c r="E1883" s="17"/>
      <c r="F1883" s="8"/>
    </row>
    <row r="1884" spans="2:6" ht="15.75">
      <c r="B1884" s="21"/>
      <c r="D1884" s="17"/>
      <c r="E1884" s="17"/>
      <c r="F1884" s="8"/>
    </row>
    <row r="1885" spans="2:6">
      <c r="B1885" s="59"/>
      <c r="D1885" s="17"/>
      <c r="E1885" s="17"/>
      <c r="F1885" s="8"/>
    </row>
    <row r="1886" spans="2:6" ht="15.75">
      <c r="B1886" s="21"/>
      <c r="D1886" s="17"/>
      <c r="E1886" s="17"/>
      <c r="F1886" s="8"/>
    </row>
    <row r="1887" spans="2:6" ht="15.75">
      <c r="B1887" s="48"/>
      <c r="D1887" s="17"/>
      <c r="E1887" s="17"/>
      <c r="F1887" s="8"/>
    </row>
    <row r="1888" spans="2:6" ht="15.75">
      <c r="B1888" s="21"/>
      <c r="E1888" s="17"/>
      <c r="F1888" s="8"/>
    </row>
    <row r="1889" spans="2:6" ht="15.75">
      <c r="B1889" s="21"/>
      <c r="E1889" s="17"/>
      <c r="F1889" s="8"/>
    </row>
    <row r="1890" spans="2:6" ht="15.75">
      <c r="B1890" s="21"/>
      <c r="E1890" s="17"/>
      <c r="F1890" s="8"/>
    </row>
    <row r="1891" spans="2:6" ht="15.75">
      <c r="B1891" s="21"/>
      <c r="E1891" s="17"/>
      <c r="F1891" s="8"/>
    </row>
    <row r="1892" spans="2:6" ht="15.75">
      <c r="B1892" s="21"/>
      <c r="E1892" s="17"/>
      <c r="F1892" s="8"/>
    </row>
    <row r="1893" spans="2:6" ht="15.75">
      <c r="B1893" s="21"/>
      <c r="E1893" s="17"/>
      <c r="F1893" s="8"/>
    </row>
    <row r="1894" spans="2:6" ht="15.75">
      <c r="B1894" s="21"/>
      <c r="E1894" s="17"/>
      <c r="F1894" s="8"/>
    </row>
    <row r="1895" spans="2:6" ht="15.75">
      <c r="B1895" s="21"/>
      <c r="E1895" s="17"/>
      <c r="F1895" s="8"/>
    </row>
    <row r="1896" spans="2:6" ht="15.75">
      <c r="B1896" s="21"/>
      <c r="E1896" s="17"/>
      <c r="F1896" s="8"/>
    </row>
    <row r="1897" spans="2:6" ht="15.75">
      <c r="B1897" s="21"/>
      <c r="E1897" s="17"/>
      <c r="F1897" s="8"/>
    </row>
    <row r="1898" spans="2:6" ht="15.75">
      <c r="B1898" s="48"/>
      <c r="D1898" s="2"/>
      <c r="F1898" s="8"/>
    </row>
    <row r="1899" spans="2:6" ht="15.75">
      <c r="B1899" s="21"/>
      <c r="E1899" s="17"/>
      <c r="F1899" s="8"/>
    </row>
    <row r="1900" spans="2:6" ht="15.75">
      <c r="B1900" s="21"/>
      <c r="E1900" s="17"/>
      <c r="F1900" s="8"/>
    </row>
    <row r="1901" spans="2:6" ht="15.75">
      <c r="B1901" s="21"/>
      <c r="E1901" s="17"/>
      <c r="F1901" s="8"/>
    </row>
    <row r="1902" spans="2:6" ht="15.75">
      <c r="B1902" s="21"/>
      <c r="E1902" s="17"/>
      <c r="F1902" s="8"/>
    </row>
    <row r="1903" spans="2:6" ht="15.75">
      <c r="B1903" s="21"/>
      <c r="E1903" s="17"/>
      <c r="F1903" s="8"/>
    </row>
    <row r="1904" spans="2:6" ht="15.75">
      <c r="B1904" s="21"/>
      <c r="E1904" s="17"/>
      <c r="F1904" s="8"/>
    </row>
    <row r="1905" spans="2:6" ht="15.75">
      <c r="B1905" s="21"/>
      <c r="E1905" s="17"/>
      <c r="F1905" s="8"/>
    </row>
    <row r="1906" spans="2:6" ht="15.75">
      <c r="B1906" s="48"/>
      <c r="D1906" s="2"/>
      <c r="F1906" s="8"/>
    </row>
    <row r="1907" spans="2:6" ht="15.75">
      <c r="B1907" s="48"/>
      <c r="D1907" s="17"/>
      <c r="E1907" s="17"/>
      <c r="F1907" s="8"/>
    </row>
    <row r="1908" spans="2:6" ht="15.75">
      <c r="B1908" s="48"/>
      <c r="D1908" s="17"/>
      <c r="E1908" s="17"/>
      <c r="F1908" s="8"/>
    </row>
    <row r="1909" spans="2:6" ht="15.75">
      <c r="B1909" s="48"/>
      <c r="D1909" s="17"/>
      <c r="E1909" s="17"/>
      <c r="F1909" s="8"/>
    </row>
    <row r="1910" spans="2:6" ht="15.75">
      <c r="B1910" s="48"/>
      <c r="D1910" s="17"/>
      <c r="E1910" s="17"/>
      <c r="F1910" s="8"/>
    </row>
    <row r="1911" spans="2:6" ht="15.75">
      <c r="B1911" s="48"/>
      <c r="D1911" s="17"/>
      <c r="E1911" s="17"/>
      <c r="F1911" s="8"/>
    </row>
    <row r="1912" spans="2:6" ht="15.75">
      <c r="B1912" s="48"/>
      <c r="D1912" s="17"/>
      <c r="E1912" s="17"/>
      <c r="F1912" s="8"/>
    </row>
    <row r="1913" spans="2:6" ht="15.75">
      <c r="B1913" s="48"/>
      <c r="D1913" s="17"/>
      <c r="E1913" s="17"/>
      <c r="F1913" s="8"/>
    </row>
    <row r="1914" spans="2:6" ht="15.75">
      <c r="B1914" s="48"/>
      <c r="D1914" s="17"/>
      <c r="E1914" s="17"/>
      <c r="F1914" s="8"/>
    </row>
    <row r="1915" spans="2:6" ht="15.75">
      <c r="B1915" s="48"/>
      <c r="D1915" s="17"/>
      <c r="E1915" s="17"/>
      <c r="F1915" s="8"/>
    </row>
    <row r="1916" spans="2:6" ht="15.75">
      <c r="B1916" s="48"/>
      <c r="D1916" s="17"/>
      <c r="E1916" s="17"/>
      <c r="F1916" s="8"/>
    </row>
    <row r="1917" spans="2:6" ht="15.75">
      <c r="B1917" s="48"/>
      <c r="D1917" s="17"/>
      <c r="E1917" s="17"/>
      <c r="F1917" s="8"/>
    </row>
    <row r="1918" spans="2:6" ht="15.75">
      <c r="B1918" s="48"/>
      <c r="D1918" s="17"/>
      <c r="E1918" s="17"/>
      <c r="F1918" s="8"/>
    </row>
    <row r="1919" spans="2:6" ht="15.75">
      <c r="B1919" s="48"/>
      <c r="C1919" s="46"/>
      <c r="D1919" s="47"/>
      <c r="E1919" s="47"/>
      <c r="F1919" s="8"/>
    </row>
    <row r="1920" spans="2:6" ht="15.75">
      <c r="B1920" s="48"/>
      <c r="D1920" s="17"/>
      <c r="E1920" s="17"/>
      <c r="F1920" s="8"/>
    </row>
    <row r="1921" spans="2:6" ht="15.75">
      <c r="B1921" s="48"/>
      <c r="D1921" s="17"/>
      <c r="E1921" s="17"/>
      <c r="F1921" s="8"/>
    </row>
    <row r="1922" spans="2:6" ht="15.75">
      <c r="B1922" s="21"/>
      <c r="E1922" s="17"/>
      <c r="F1922" s="8"/>
    </row>
    <row r="1923" spans="2:6">
      <c r="D1923" s="17"/>
      <c r="E1923" s="17"/>
      <c r="F1923" s="8"/>
    </row>
    <row r="1924" spans="2:6" ht="15.75">
      <c r="B1924" s="48"/>
      <c r="D1924" s="2"/>
      <c r="E1924" s="17"/>
      <c r="F1924" s="8"/>
    </row>
    <row r="1925" spans="2:6" ht="15.75">
      <c r="B1925" s="48"/>
      <c r="D1925" s="2"/>
      <c r="F1925" s="8"/>
    </row>
    <row r="1926" spans="2:6" ht="15.75">
      <c r="B1926" s="48"/>
      <c r="D1926" s="2"/>
      <c r="E1926" s="17"/>
      <c r="F1926" s="8"/>
    </row>
    <row r="1927" spans="2:6" ht="15.75">
      <c r="B1927" s="48"/>
      <c r="D1927" s="2"/>
      <c r="E1927" s="17"/>
      <c r="F1927" s="8"/>
    </row>
    <row r="1928" spans="2:6" ht="15.75">
      <c r="B1928" s="48"/>
      <c r="D1928" s="2"/>
      <c r="F1928" s="8"/>
    </row>
    <row r="1929" spans="2:6" ht="15.75">
      <c r="B1929" s="48"/>
      <c r="D1929" s="2"/>
      <c r="E1929" s="17"/>
      <c r="F1929" s="8"/>
    </row>
    <row r="1930" spans="2:6" ht="15.75">
      <c r="B1930" s="48"/>
      <c r="D1930" s="2"/>
      <c r="F1930" s="8"/>
    </row>
    <row r="1931" spans="2:6">
      <c r="D1931" s="17"/>
      <c r="E1931" s="17"/>
      <c r="F1931" s="8"/>
    </row>
    <row r="1932" spans="2:6" ht="15.75">
      <c r="B1932" s="21"/>
      <c r="D1932" s="17"/>
      <c r="E1932" s="17"/>
      <c r="F1932" s="8"/>
    </row>
    <row r="1933" spans="2:6" ht="15.75">
      <c r="B1933" s="21"/>
      <c r="D1933" s="17"/>
      <c r="E1933" s="17"/>
      <c r="F1933" s="8"/>
    </row>
    <row r="1934" spans="2:6" ht="15.75">
      <c r="B1934" s="21"/>
      <c r="D1934" s="17"/>
      <c r="E1934" s="17"/>
      <c r="F1934" s="8"/>
    </row>
    <row r="1935" spans="2:6" ht="15.75">
      <c r="B1935" s="21"/>
      <c r="D1935" s="17"/>
      <c r="E1935" s="17"/>
      <c r="F1935" s="8"/>
    </row>
    <row r="1936" spans="2:6" ht="15.75">
      <c r="B1936" s="21"/>
      <c r="D1936" s="17"/>
      <c r="E1936" s="17"/>
      <c r="F1936" s="8"/>
    </row>
    <row r="1937" spans="2:6" ht="15.75">
      <c r="B1937" s="21"/>
      <c r="D1937" s="17"/>
      <c r="E1937" s="17"/>
      <c r="F1937" s="8"/>
    </row>
    <row r="1938" spans="2:6">
      <c r="D1938" s="17"/>
      <c r="E1938" s="17"/>
      <c r="F1938" s="8"/>
    </row>
    <row r="1939" spans="2:6">
      <c r="D1939" s="17"/>
      <c r="E1939" s="17"/>
      <c r="F1939" s="8"/>
    </row>
    <row r="1940" spans="2:6">
      <c r="B1940" s="59"/>
      <c r="C1940" s="46"/>
      <c r="D1940" s="56"/>
      <c r="E1940" s="57"/>
      <c r="F1940" s="8"/>
    </row>
    <row r="1941" spans="2:6">
      <c r="D1941" s="17"/>
      <c r="E1941" s="17"/>
      <c r="F1941" s="8"/>
    </row>
    <row r="1942" spans="2:6" ht="15.75">
      <c r="B1942" s="21"/>
      <c r="D1942" s="17"/>
      <c r="E1942" s="17"/>
      <c r="F1942" s="8"/>
    </row>
    <row r="1943" spans="2:6">
      <c r="D1943" s="17"/>
      <c r="E1943" s="17"/>
      <c r="F1943" s="8"/>
    </row>
    <row r="1944" spans="2:6">
      <c r="D1944" s="17"/>
      <c r="E1944" s="17"/>
      <c r="F1944" s="8"/>
    </row>
    <row r="1945" spans="2:6">
      <c r="D1945" s="17"/>
      <c r="E1945" s="17"/>
      <c r="F1945" s="8"/>
    </row>
    <row r="1946" spans="2:6">
      <c r="D1946" s="17"/>
      <c r="E1946" s="17"/>
      <c r="F1946" s="8"/>
    </row>
    <row r="1947" spans="2:6">
      <c r="C1947" s="17"/>
      <c r="D1947" s="17"/>
      <c r="F1947" s="8"/>
    </row>
    <row r="1948" spans="2:6">
      <c r="E1948" s="17"/>
      <c r="F1948" s="8"/>
    </row>
    <row r="1949" spans="2:6">
      <c r="D1949" s="17"/>
      <c r="E1949" s="17"/>
      <c r="F1949" s="8"/>
    </row>
    <row r="1950" spans="2:6">
      <c r="D1950" s="17"/>
      <c r="E1950" s="17"/>
      <c r="F1950" s="8"/>
    </row>
    <row r="1951" spans="2:6">
      <c r="D1951" s="17"/>
      <c r="E1951" s="17"/>
      <c r="F1951" s="8"/>
    </row>
    <row r="1952" spans="2:6">
      <c r="D1952" s="17"/>
      <c r="E1952" s="17"/>
      <c r="F1952" s="8"/>
    </row>
    <row r="1953" spans="2:6">
      <c r="D1953" s="17"/>
      <c r="E1953" s="17"/>
      <c r="F1953" s="8"/>
    </row>
    <row r="1954" spans="2:6">
      <c r="D1954" s="17"/>
      <c r="E1954" s="17"/>
      <c r="F1954" s="8"/>
    </row>
    <row r="1955" spans="2:6">
      <c r="D1955" s="17"/>
      <c r="E1955" s="17"/>
      <c r="F1955" s="8"/>
    </row>
    <row r="1956" spans="2:6">
      <c r="D1956" s="17"/>
      <c r="E1956" s="17"/>
      <c r="F1956" s="8"/>
    </row>
    <row r="1957" spans="2:6">
      <c r="D1957" s="17"/>
      <c r="E1957" s="17"/>
      <c r="F1957" s="8"/>
    </row>
    <row r="1958" spans="2:6">
      <c r="D1958" s="17"/>
      <c r="E1958" s="17"/>
      <c r="F1958" s="8"/>
    </row>
    <row r="1959" spans="2:6">
      <c r="C1959" s="17"/>
      <c r="D1959" s="17"/>
      <c r="F1959" s="8"/>
    </row>
    <row r="1960" spans="2:6">
      <c r="D1960" s="17"/>
      <c r="E1960" s="17"/>
      <c r="F1960" s="8"/>
    </row>
    <row r="1961" spans="2:6">
      <c r="D1961" s="17"/>
      <c r="E1961" s="17"/>
      <c r="F1961" s="8"/>
    </row>
    <row r="1962" spans="2:6">
      <c r="D1962" s="17"/>
      <c r="E1962" s="17"/>
      <c r="F1962" s="8"/>
    </row>
    <row r="1963" spans="2:6">
      <c r="D1963" s="17"/>
      <c r="E1963" s="17"/>
      <c r="F1963" s="8"/>
    </row>
    <row r="1964" spans="2:6" ht="15.75">
      <c r="B1964" s="21"/>
      <c r="D1964" s="17"/>
      <c r="E1964" s="17"/>
      <c r="F1964" s="8"/>
    </row>
    <row r="1965" spans="2:6" ht="15.75">
      <c r="B1965" s="21"/>
      <c r="D1965" s="17"/>
      <c r="E1965" s="17"/>
      <c r="F1965" s="8"/>
    </row>
    <row r="1966" spans="2:6" ht="15.75">
      <c r="B1966" s="21"/>
      <c r="D1966" s="17"/>
      <c r="E1966" s="17"/>
      <c r="F1966" s="8"/>
    </row>
    <row r="1967" spans="2:6" ht="15.75">
      <c r="B1967" s="21"/>
      <c r="D1967" s="17"/>
      <c r="E1967" s="17"/>
      <c r="F1967" s="8"/>
    </row>
    <row r="1968" spans="2:6" ht="15.75">
      <c r="B1968" s="21"/>
      <c r="D1968" s="17"/>
      <c r="E1968" s="17"/>
      <c r="F1968" s="8"/>
    </row>
    <row r="1969" spans="1:6" ht="15.75">
      <c r="B1969" s="21"/>
      <c r="C1969" s="17"/>
      <c r="D1969" s="17"/>
      <c r="F1969" s="8"/>
    </row>
    <row r="1970" spans="1:6" ht="15.75">
      <c r="B1970" s="21"/>
      <c r="D1970" s="17"/>
      <c r="E1970" s="17"/>
      <c r="F1970" s="8"/>
    </row>
    <row r="1971" spans="1:6">
      <c r="E1971" s="17"/>
      <c r="F1971" s="8"/>
    </row>
    <row r="1972" spans="1:6">
      <c r="E1972" s="17"/>
      <c r="F1972" s="8"/>
    </row>
    <row r="1973" spans="1:6">
      <c r="D1973" s="17"/>
      <c r="E1973" s="17"/>
      <c r="F1973" s="8"/>
    </row>
    <row r="1974" spans="1:6">
      <c r="D1974" s="17"/>
      <c r="E1974" s="17"/>
      <c r="F1974" s="8"/>
    </row>
    <row r="1975" spans="1:6">
      <c r="C1975" s="8"/>
      <c r="D1975" s="17"/>
      <c r="E1975" s="17"/>
      <c r="F1975" s="8"/>
    </row>
    <row r="1976" spans="1:6">
      <c r="C1976" s="8"/>
      <c r="D1976" s="17"/>
      <c r="E1976" s="17"/>
      <c r="F1976" s="8"/>
    </row>
    <row r="1977" spans="1:6">
      <c r="D1977" s="17"/>
      <c r="E1977" s="17"/>
      <c r="F1977" s="8"/>
    </row>
    <row r="1978" spans="1:6">
      <c r="E1978" s="17"/>
    </row>
    <row r="1979" spans="1:6">
      <c r="E1979" s="17"/>
    </row>
    <row r="1980" spans="1:6">
      <c r="A1980" t="s">
        <v>99</v>
      </c>
      <c r="E1980" s="17"/>
    </row>
    <row r="1981" spans="1:6">
      <c r="E1981" s="17"/>
    </row>
    <row r="1982" spans="1:6">
      <c r="D1982" s="2"/>
      <c r="E1982" s="17"/>
    </row>
    <row r="1983" spans="1:6">
      <c r="D1983" s="2"/>
      <c r="E1983" s="17"/>
    </row>
    <row r="1984" spans="1:6">
      <c r="D1984" s="2"/>
      <c r="E1984" s="17"/>
    </row>
    <row r="1985" spans="4:5">
      <c r="D1985" s="2"/>
      <c r="E1985" s="17"/>
    </row>
    <row r="1986" spans="4:5">
      <c r="D1986" s="2"/>
      <c r="E1986" s="17"/>
    </row>
    <row r="1987" spans="4:5">
      <c r="D1987" s="2"/>
      <c r="E1987" s="17"/>
    </row>
    <row r="1988" spans="4:5">
      <c r="D1988" s="2"/>
      <c r="E1988" s="17"/>
    </row>
    <row r="1989" spans="4:5">
      <c r="D1989" s="2"/>
      <c r="E1989" s="17"/>
    </row>
    <row r="1990" spans="4:5">
      <c r="D1990" s="2"/>
      <c r="E1990" s="17"/>
    </row>
    <row r="1991" spans="4:5">
      <c r="D1991" s="2"/>
      <c r="E1991" s="17"/>
    </row>
    <row r="1992" spans="4:5">
      <c r="D1992" s="2"/>
      <c r="E1992" s="17"/>
    </row>
    <row r="1993" spans="4:5">
      <c r="D1993" s="2"/>
      <c r="E1993" s="17"/>
    </row>
    <row r="1994" spans="4:5">
      <c r="D1994" s="2"/>
      <c r="E1994" s="17"/>
    </row>
    <row r="1995" spans="4:5">
      <c r="D1995" s="2"/>
      <c r="E1995" s="17"/>
    </row>
    <row r="1996" spans="4:5">
      <c r="D1996" s="2"/>
      <c r="E1996" s="17"/>
    </row>
    <row r="1997" spans="4:5">
      <c r="D1997" s="2"/>
      <c r="E1997" s="17"/>
    </row>
    <row r="1998" spans="4:5">
      <c r="D1998" s="2"/>
      <c r="E1998" s="17"/>
    </row>
    <row r="1999" spans="4:5">
      <c r="D1999" s="2"/>
      <c r="E1999" s="17"/>
    </row>
    <row r="2000" spans="4:5">
      <c r="D2000" s="2"/>
      <c r="E2000" s="17"/>
    </row>
    <row r="2001" spans="2:6">
      <c r="D2001" s="2"/>
      <c r="E2001" s="17"/>
    </row>
    <row r="2002" spans="2:6">
      <c r="D2002" s="2"/>
      <c r="E2002" s="17"/>
    </row>
    <row r="2003" spans="2:6">
      <c r="D2003" s="2"/>
      <c r="E2003" s="17"/>
    </row>
    <row r="2004" spans="2:6">
      <c r="D2004" s="2"/>
      <c r="E2004" s="17"/>
    </row>
    <row r="2005" spans="2:6" ht="15.75">
      <c r="B2005" s="21"/>
      <c r="D2005" s="17"/>
      <c r="E2005" s="17"/>
      <c r="F2005" s="8"/>
    </row>
    <row r="2006" spans="2:6" ht="15.75">
      <c r="B2006" s="21"/>
      <c r="D2006" s="17"/>
      <c r="E2006" s="17"/>
      <c r="F2006" s="8"/>
    </row>
    <row r="2007" spans="2:6" ht="15.75">
      <c r="B2007" s="21"/>
      <c r="C2007" s="51"/>
      <c r="D2007" s="17"/>
      <c r="E2007" s="17"/>
      <c r="F2007" s="8"/>
    </row>
    <row r="2008" spans="2:6" ht="15.75">
      <c r="B2008" s="21"/>
      <c r="D2008" s="17"/>
      <c r="E2008" s="17"/>
      <c r="F2008" s="8"/>
    </row>
    <row r="2009" spans="2:6" ht="15.75">
      <c r="B2009" s="21"/>
      <c r="D2009" s="17"/>
      <c r="E2009" s="17"/>
      <c r="F2009" s="8"/>
    </row>
    <row r="2010" spans="2:6" ht="15.75">
      <c r="B2010" s="21"/>
      <c r="D2010" s="17"/>
      <c r="E2010" s="17"/>
      <c r="F2010" s="8"/>
    </row>
    <row r="2011" spans="2:6">
      <c r="D2011" s="2"/>
      <c r="E2011" s="17"/>
    </row>
    <row r="2012" spans="2:6">
      <c r="D2012" s="17"/>
      <c r="E2012" s="17"/>
    </row>
    <row r="2013" spans="2:6">
      <c r="D2013" s="17"/>
      <c r="E2013" s="17"/>
    </row>
    <row r="2014" spans="2:6">
      <c r="D2014" s="17"/>
      <c r="E2014" s="17"/>
    </row>
    <row r="2015" spans="2:6">
      <c r="D2015" s="17"/>
      <c r="E2015" s="17"/>
    </row>
    <row r="2016" spans="2:6">
      <c r="D2016" s="17"/>
      <c r="E2016" s="17"/>
    </row>
    <row r="2017" spans="3:5">
      <c r="D2017" s="17"/>
      <c r="E2017" s="17"/>
    </row>
    <row r="2018" spans="3:5">
      <c r="D2018" s="17"/>
      <c r="E2018" s="17"/>
    </row>
    <row r="2019" spans="3:5">
      <c r="D2019" s="17"/>
    </row>
    <row r="2020" spans="3:5">
      <c r="D2020" s="17"/>
      <c r="E2020" s="17"/>
    </row>
    <row r="2021" spans="3:5">
      <c r="D2021" s="17"/>
      <c r="E2021" s="17"/>
    </row>
    <row r="2022" spans="3:5">
      <c r="D2022" s="17"/>
      <c r="E2022" s="17"/>
    </row>
    <row r="2023" spans="3:5">
      <c r="D2023" s="17"/>
      <c r="E2023" s="17"/>
    </row>
    <row r="2024" spans="3:5">
      <c r="D2024" s="17"/>
      <c r="E2024" s="17"/>
    </row>
    <row r="2025" spans="3:5">
      <c r="D2025" s="17"/>
      <c r="E2025" s="17"/>
    </row>
    <row r="2026" spans="3:5">
      <c r="D2026" s="17"/>
      <c r="E2026" s="17"/>
    </row>
    <row r="2027" spans="3:5">
      <c r="D2027" s="17"/>
      <c r="E2027" s="17"/>
    </row>
    <row r="2028" spans="3:5">
      <c r="D2028" s="17"/>
      <c r="E2028" s="17"/>
    </row>
    <row r="2029" spans="3:5">
      <c r="D2029" s="17"/>
      <c r="E2029" s="17"/>
    </row>
    <row r="2030" spans="3:5">
      <c r="D2030" s="17"/>
      <c r="E2030" s="17"/>
    </row>
    <row r="2031" spans="3:5">
      <c r="D2031" s="17"/>
      <c r="E2031" s="17"/>
    </row>
    <row r="2032" spans="3:5">
      <c r="C2032" s="38"/>
      <c r="D2032" s="45"/>
      <c r="E2032" s="45"/>
    </row>
    <row r="2033" spans="4:5">
      <c r="D2033" s="17"/>
      <c r="E2033" s="17"/>
    </row>
    <row r="2034" spans="4:5">
      <c r="D2034" s="17"/>
      <c r="E2034" s="17"/>
    </row>
    <row r="2035" spans="4:5">
      <c r="D2035" s="17"/>
      <c r="E2035" s="17"/>
    </row>
    <row r="2036" spans="4:5">
      <c r="D2036" s="17"/>
      <c r="E2036" s="17"/>
    </row>
    <row r="2037" spans="4:5">
      <c r="D2037" s="17"/>
      <c r="E2037" s="17"/>
    </row>
    <row r="2038" spans="4:5">
      <c r="D2038" s="17"/>
      <c r="E2038" s="17"/>
    </row>
    <row r="2039" spans="4:5">
      <c r="D2039" s="17"/>
      <c r="E2039" s="17"/>
    </row>
    <row r="2040" spans="4:5">
      <c r="D2040" s="17"/>
      <c r="E2040" s="17"/>
    </row>
    <row r="2041" spans="4:5">
      <c r="D2041" s="17"/>
      <c r="E2041" s="17"/>
    </row>
    <row r="2042" spans="4:5">
      <c r="D2042" s="17"/>
      <c r="E2042" s="17"/>
    </row>
    <row r="2043" spans="4:5">
      <c r="D2043" s="17"/>
      <c r="E2043" s="17"/>
    </row>
    <row r="2044" spans="4:5">
      <c r="D2044" s="17"/>
      <c r="E2044" s="17"/>
    </row>
    <row r="2045" spans="4:5">
      <c r="D2045" s="17"/>
      <c r="E2045" s="17"/>
    </row>
    <row r="2046" spans="4:5">
      <c r="D2046" s="17"/>
      <c r="E2046" s="17"/>
    </row>
    <row r="2047" spans="4:5">
      <c r="D2047" s="17"/>
      <c r="E2047" s="17"/>
    </row>
    <row r="2048" spans="4:5">
      <c r="D2048" s="17"/>
      <c r="E2048" s="17"/>
    </row>
    <row r="2049" spans="2:6">
      <c r="D2049" s="17"/>
      <c r="E2049" s="17"/>
    </row>
    <row r="2050" spans="2:6">
      <c r="D2050" s="17"/>
      <c r="E2050" s="17"/>
    </row>
    <row r="2051" spans="2:6">
      <c r="D2051" s="17"/>
      <c r="E2051" s="17"/>
    </row>
    <row r="2052" spans="2:6">
      <c r="D2052" s="17"/>
      <c r="E2052" s="17"/>
    </row>
    <row r="2053" spans="2:6">
      <c r="D2053" s="17"/>
      <c r="E2053" s="17"/>
    </row>
    <row r="2054" spans="2:6">
      <c r="D2054" s="17"/>
      <c r="E2054" s="17"/>
    </row>
    <row r="2055" spans="2:6">
      <c r="D2055" s="17"/>
      <c r="E2055" s="17"/>
    </row>
    <row r="2056" spans="2:6">
      <c r="D2056" s="17"/>
      <c r="E2056" s="17"/>
    </row>
    <row r="2057" spans="2:6">
      <c r="D2057" s="17"/>
      <c r="E2057" s="17"/>
    </row>
    <row r="2058" spans="2:6">
      <c r="D2058" s="17"/>
      <c r="E2058" s="17"/>
    </row>
    <row r="2059" spans="2:6">
      <c r="D2059" s="17"/>
      <c r="E2059" s="17"/>
    </row>
    <row r="2060" spans="2:6">
      <c r="D2060" s="17"/>
    </row>
    <row r="2061" spans="2:6">
      <c r="D2061" s="17"/>
      <c r="E2061" s="17"/>
    </row>
    <row r="2062" spans="2:6" ht="15.75">
      <c r="B2062" s="21"/>
      <c r="D2062" s="17"/>
      <c r="E2062" s="17"/>
      <c r="F2062" s="8"/>
    </row>
    <row r="2063" spans="2:6" ht="15.75">
      <c r="B2063" s="21"/>
      <c r="D2063" s="17"/>
      <c r="E2063" s="17"/>
      <c r="F2063" s="8"/>
    </row>
    <row r="2064" spans="2:6" ht="15.75">
      <c r="B2064" s="21"/>
      <c r="D2064" s="17"/>
      <c r="E2064" s="17"/>
      <c r="F2064" s="8"/>
    </row>
    <row r="2065" spans="2:6" ht="15.75">
      <c r="B2065" s="21"/>
      <c r="D2065" s="17"/>
      <c r="E2065" s="17"/>
      <c r="F2065" s="8"/>
    </row>
    <row r="2066" spans="2:6" ht="15.75">
      <c r="B2066" s="21"/>
      <c r="D2066" s="17"/>
      <c r="E2066" s="17"/>
      <c r="F2066" s="8"/>
    </row>
    <row r="2067" spans="2:6" ht="15.75">
      <c r="B2067" s="21"/>
      <c r="D2067" s="17"/>
      <c r="E2067" s="17"/>
      <c r="F2067" s="8"/>
    </row>
    <row r="2068" spans="2:6" ht="15.75">
      <c r="B2068" s="21"/>
      <c r="D2068" s="17"/>
      <c r="E2068" s="17"/>
      <c r="F2068" s="8"/>
    </row>
    <row r="2069" spans="2:6" ht="15.75">
      <c r="B2069" s="21"/>
      <c r="D2069" s="17"/>
      <c r="E2069" s="17"/>
      <c r="F2069" s="8"/>
    </row>
    <row r="2070" spans="2:6" ht="15.75">
      <c r="B2070" s="21"/>
      <c r="D2070" s="17"/>
      <c r="E2070" s="17"/>
      <c r="F2070" s="8"/>
    </row>
    <row r="2071" spans="2:6">
      <c r="D2071" s="17"/>
      <c r="E2071" s="17"/>
      <c r="F2071" s="8"/>
    </row>
    <row r="2072" spans="2:6" ht="15.75">
      <c r="B2072" s="21"/>
      <c r="D2072" s="17"/>
      <c r="E2072" s="17"/>
    </row>
    <row r="2073" spans="2:6" ht="15.75">
      <c r="B2073" s="21"/>
      <c r="D2073" s="17"/>
      <c r="E2073" s="17"/>
    </row>
    <row r="2074" spans="2:6" ht="15.75">
      <c r="B2074" s="21"/>
      <c r="D2074" s="17"/>
      <c r="E2074" s="17"/>
    </row>
    <row r="2075" spans="2:6" ht="15.75">
      <c r="B2075" s="21"/>
      <c r="D2075" s="17"/>
      <c r="E2075" s="17"/>
    </row>
    <row r="2076" spans="2:6" ht="15.75">
      <c r="B2076" s="21"/>
      <c r="D2076" s="17"/>
      <c r="E2076" s="17"/>
    </row>
    <row r="2077" spans="2:6" ht="15.75">
      <c r="B2077" s="21"/>
      <c r="D2077" s="17"/>
      <c r="E2077" s="17"/>
    </row>
    <row r="2078" spans="2:6" ht="15.75">
      <c r="B2078" s="21"/>
      <c r="D2078" s="17"/>
      <c r="E2078" s="17"/>
    </row>
    <row r="2079" spans="2:6" ht="15.75">
      <c r="B2079" s="21"/>
      <c r="D2079" s="17"/>
      <c r="E2079" s="17"/>
    </row>
    <row r="2080" spans="2:6" ht="15.75">
      <c r="B2080" s="21"/>
      <c r="D2080" s="17"/>
      <c r="E2080" s="17"/>
    </row>
    <row r="2081" spans="2:5" ht="15.75">
      <c r="B2081" s="21"/>
      <c r="D2081" s="17"/>
      <c r="E2081" s="17"/>
    </row>
    <row r="2082" spans="2:5" ht="15.75">
      <c r="B2082" s="21"/>
      <c r="D2082" s="17"/>
      <c r="E2082" s="17"/>
    </row>
    <row r="2083" spans="2:5" ht="15.75">
      <c r="B2083" s="21"/>
      <c r="D2083" s="17"/>
      <c r="E2083" s="17"/>
    </row>
    <row r="2084" spans="2:5" ht="15.75">
      <c r="B2084" s="21"/>
      <c r="D2084" s="17"/>
      <c r="E2084" s="17"/>
    </row>
    <row r="2085" spans="2:5" ht="15.75">
      <c r="B2085" s="21"/>
      <c r="D2085" s="17"/>
      <c r="E2085" s="17"/>
    </row>
    <row r="2086" spans="2:5" ht="15.75">
      <c r="B2086" s="21"/>
      <c r="D2086" s="17"/>
      <c r="E2086" s="17"/>
    </row>
    <row r="2087" spans="2:5" ht="15.75">
      <c r="B2087" s="21"/>
      <c r="D2087" s="17"/>
      <c r="E2087" s="17"/>
    </row>
    <row r="2088" spans="2:5" ht="15.75">
      <c r="B2088" s="21"/>
      <c r="D2088" s="17"/>
      <c r="E2088" s="17"/>
    </row>
    <row r="2089" spans="2:5" ht="15.75">
      <c r="B2089" s="21"/>
      <c r="D2089" s="17"/>
      <c r="E2089" s="17"/>
    </row>
    <row r="2090" spans="2:5" ht="15.75">
      <c r="B2090" s="21"/>
      <c r="D2090" s="17"/>
      <c r="E2090" s="17"/>
    </row>
    <row r="2091" spans="2:5" ht="15.75">
      <c r="B2091" s="21"/>
      <c r="D2091" s="17"/>
      <c r="E2091" s="17"/>
    </row>
    <row r="2092" spans="2:5" ht="15.75">
      <c r="B2092" s="21"/>
      <c r="D2092" s="17"/>
      <c r="E2092" s="17"/>
    </row>
    <row r="2093" spans="2:5" ht="15.75">
      <c r="B2093" s="21"/>
      <c r="D2093" s="17"/>
      <c r="E2093" s="17"/>
    </row>
    <row r="2094" spans="2:5" ht="15.75">
      <c r="B2094" s="21"/>
      <c r="D2094" s="17"/>
      <c r="E2094" s="17"/>
    </row>
    <row r="2095" spans="2:5" ht="15.75">
      <c r="B2095" s="21"/>
      <c r="D2095" s="17"/>
      <c r="E2095" s="17"/>
    </row>
    <row r="2096" spans="2:5" ht="15.75">
      <c r="B2096" s="21"/>
      <c r="D2096" s="17"/>
      <c r="E2096" s="17"/>
    </row>
    <row r="2097" spans="2:5" ht="15.75">
      <c r="B2097" s="21"/>
      <c r="D2097" s="17"/>
      <c r="E2097" s="17"/>
    </row>
    <row r="2098" spans="2:5" ht="15.75">
      <c r="B2098" s="21"/>
      <c r="D2098" s="17"/>
      <c r="E2098" s="17"/>
    </row>
    <row r="2099" spans="2:5" ht="15.75">
      <c r="B2099" s="21"/>
      <c r="D2099" s="17"/>
      <c r="E2099" s="17"/>
    </row>
    <row r="2100" spans="2:5" ht="15.75">
      <c r="B2100" s="21"/>
      <c r="D2100" s="17"/>
      <c r="E2100" s="17"/>
    </row>
    <row r="2101" spans="2:5" ht="15.75">
      <c r="B2101" s="21"/>
      <c r="D2101" s="17"/>
      <c r="E2101" s="17"/>
    </row>
    <row r="2102" spans="2:5" ht="15.75">
      <c r="B2102" s="21"/>
      <c r="D2102" s="17"/>
      <c r="E2102" s="17"/>
    </row>
    <row r="2103" spans="2:5" ht="15.75">
      <c r="B2103" s="21"/>
      <c r="D2103" s="17"/>
      <c r="E2103" s="17"/>
    </row>
    <row r="2104" spans="2:5" ht="15.75">
      <c r="B2104" s="21"/>
      <c r="D2104" s="17"/>
      <c r="E2104" s="17"/>
    </row>
    <row r="2105" spans="2:5" ht="15.75">
      <c r="B2105" s="21"/>
      <c r="D2105" s="17"/>
      <c r="E2105" s="17"/>
    </row>
    <row r="2106" spans="2:5" ht="15.75">
      <c r="B2106" s="21"/>
      <c r="D2106" s="17"/>
      <c r="E2106" s="17"/>
    </row>
    <row r="2107" spans="2:5" ht="15.75">
      <c r="B2107" s="21"/>
      <c r="D2107" s="17"/>
      <c r="E2107" s="17"/>
    </row>
    <row r="2108" spans="2:5" ht="15.75">
      <c r="B2108" s="21"/>
      <c r="D2108" s="17"/>
      <c r="E2108" s="17"/>
    </row>
    <row r="2109" spans="2:5" ht="15.75">
      <c r="B2109" s="21"/>
      <c r="D2109" s="17"/>
      <c r="E2109" s="17"/>
    </row>
    <row r="2110" spans="2:5" ht="15.75">
      <c r="B2110" s="21"/>
      <c r="D2110" s="17"/>
      <c r="E2110" s="17"/>
    </row>
    <row r="2111" spans="2:5" ht="15.75">
      <c r="B2111" s="21"/>
      <c r="D2111" s="17"/>
      <c r="E2111" s="17"/>
    </row>
    <row r="2112" spans="2:5" ht="15.75">
      <c r="B2112" s="21"/>
      <c r="D2112" s="17"/>
      <c r="E2112" s="17"/>
    </row>
    <row r="2113" spans="2:5" ht="15.75">
      <c r="B2113" s="21"/>
      <c r="D2113" s="17"/>
      <c r="E2113" s="17"/>
    </row>
    <row r="2114" spans="2:5" ht="15.75">
      <c r="B2114" s="21"/>
      <c r="D2114" s="17"/>
      <c r="E2114" s="17"/>
    </row>
    <row r="2115" spans="2:5" ht="15.75">
      <c r="B2115" s="21"/>
      <c r="D2115" s="17"/>
      <c r="E2115" s="17"/>
    </row>
    <row r="2116" spans="2:5" ht="15.75">
      <c r="B2116" s="21"/>
      <c r="D2116" s="17"/>
      <c r="E2116" s="17"/>
    </row>
    <row r="2117" spans="2:5" ht="15.75">
      <c r="B2117" s="21"/>
      <c r="D2117" s="17"/>
      <c r="E2117" s="17"/>
    </row>
    <row r="2118" spans="2:5">
      <c r="D2118" s="17"/>
    </row>
    <row r="2119" spans="2:5" ht="15.75">
      <c r="B2119" s="21"/>
      <c r="D2119" s="17"/>
      <c r="E2119" s="17"/>
    </row>
    <row r="2120" spans="2:5" ht="15.75">
      <c r="B2120" s="21"/>
      <c r="D2120" s="17"/>
      <c r="E2120" s="17"/>
    </row>
    <row r="2121" spans="2:5" ht="15.75">
      <c r="B2121" s="21"/>
      <c r="D2121" s="17"/>
      <c r="E2121" s="17"/>
    </row>
    <row r="2122" spans="2:5" ht="15.75">
      <c r="B2122" s="21"/>
      <c r="D2122" s="17"/>
      <c r="E2122" s="17"/>
    </row>
    <row r="2123" spans="2:5" ht="15.75">
      <c r="B2123" s="21"/>
      <c r="D2123" s="17"/>
      <c r="E2123" s="17"/>
    </row>
    <row r="2124" spans="2:5" ht="15.75">
      <c r="B2124" s="21"/>
      <c r="D2124" s="17"/>
      <c r="E2124" s="17"/>
    </row>
    <row r="2125" spans="2:5" ht="15.75">
      <c r="B2125" s="21"/>
      <c r="D2125" s="17"/>
      <c r="E2125" s="17"/>
    </row>
    <row r="2126" spans="2:5" ht="15.75">
      <c r="B2126" s="21"/>
      <c r="D2126" s="17"/>
      <c r="E2126" s="17"/>
    </row>
    <row r="2127" spans="2:5" ht="15.75">
      <c r="B2127" s="21"/>
      <c r="D2127" s="17"/>
      <c r="E2127" s="17"/>
    </row>
    <row r="2128" spans="2:5" ht="15.75">
      <c r="B2128" s="21"/>
      <c r="D2128" s="17"/>
      <c r="E2128" s="17"/>
    </row>
    <row r="2129" spans="2:6" ht="15.75">
      <c r="B2129" s="21"/>
      <c r="D2129" s="17"/>
      <c r="E2129" s="17"/>
    </row>
    <row r="2130" spans="2:6" ht="15.75">
      <c r="B2130" s="21"/>
      <c r="D2130" s="17"/>
      <c r="E2130" s="17"/>
    </row>
    <row r="2131" spans="2:6" ht="15.75">
      <c r="B2131" s="21"/>
      <c r="C2131" s="8"/>
      <c r="D2131" s="17"/>
      <c r="E2131" s="54"/>
    </row>
    <row r="2132" spans="2:6" ht="15.75">
      <c r="B2132" s="21"/>
      <c r="D2132" s="17"/>
      <c r="E2132" s="17"/>
    </row>
    <row r="2133" spans="2:6" ht="15.75">
      <c r="B2133" s="21"/>
      <c r="D2133" s="17"/>
      <c r="E2133" s="17"/>
      <c r="F2133" s="8"/>
    </row>
    <row r="2134" spans="2:6">
      <c r="C2134" s="17"/>
      <c r="D2134" s="17"/>
      <c r="F2134" s="8"/>
    </row>
    <row r="2135" spans="2:6" ht="15.75">
      <c r="B2135" s="21"/>
      <c r="D2135" s="17"/>
      <c r="E2135" s="17"/>
      <c r="F2135" s="8"/>
    </row>
    <row r="2136" spans="2:6" ht="15.75">
      <c r="B2136" s="21"/>
      <c r="D2136" s="17"/>
      <c r="E2136" s="17"/>
      <c r="F2136" s="8"/>
    </row>
    <row r="2137" spans="2:6" ht="15.75">
      <c r="B2137" s="21"/>
      <c r="D2137" s="17"/>
      <c r="E2137" s="17"/>
      <c r="F2137" s="8"/>
    </row>
    <row r="2138" spans="2:6" ht="15.75">
      <c r="B2138" s="21"/>
      <c r="D2138" s="17"/>
      <c r="E2138" s="17"/>
      <c r="F2138" s="8"/>
    </row>
    <row r="2139" spans="2:6" ht="15.75">
      <c r="B2139" s="21"/>
      <c r="D2139" s="17"/>
      <c r="E2139" s="17"/>
      <c r="F2139" s="8"/>
    </row>
    <row r="2140" spans="2:6" ht="15.75">
      <c r="B2140" s="21"/>
      <c r="D2140" s="17"/>
      <c r="E2140" s="17"/>
      <c r="F2140" s="8"/>
    </row>
    <row r="2141" spans="2:6" ht="15.75">
      <c r="B2141" s="21"/>
      <c r="D2141" s="17"/>
      <c r="E2141" s="17"/>
    </row>
    <row r="2142" spans="2:6" ht="15.75">
      <c r="B2142" s="21"/>
      <c r="D2142" s="17"/>
      <c r="E2142" s="17"/>
      <c r="F2142" s="8"/>
    </row>
    <row r="2143" spans="2:6" ht="15.75">
      <c r="B2143" s="21"/>
      <c r="D2143" s="17"/>
      <c r="E2143" s="17"/>
      <c r="F2143" s="8"/>
    </row>
    <row r="2144" spans="2:6" ht="15.75">
      <c r="B2144" s="21"/>
      <c r="D2144" s="17"/>
      <c r="E2144" s="17"/>
      <c r="F2144" s="8"/>
    </row>
    <row r="2145" spans="2:6" ht="15.75">
      <c r="B2145" s="21"/>
      <c r="D2145" s="17"/>
      <c r="E2145" s="17"/>
      <c r="F2145" s="8"/>
    </row>
    <row r="2146" spans="2:6" ht="15.75">
      <c r="B2146" s="21"/>
      <c r="D2146" s="17"/>
      <c r="E2146" s="17"/>
      <c r="F2146" s="8"/>
    </row>
    <row r="2147" spans="2:6" ht="15.75">
      <c r="B2147" s="21"/>
      <c r="D2147" s="17"/>
      <c r="E2147" s="17"/>
      <c r="F2147" s="8"/>
    </row>
    <row r="2148" spans="2:6" ht="15.75">
      <c r="B2148" s="21"/>
      <c r="D2148" s="17"/>
      <c r="E2148" s="17"/>
      <c r="F2148" s="8"/>
    </row>
    <row r="2149" spans="2:6" ht="15.75">
      <c r="B2149" s="21"/>
      <c r="D2149" s="17"/>
      <c r="E2149" s="17"/>
      <c r="F2149" s="8"/>
    </row>
    <row r="2150" spans="2:6" ht="15.75">
      <c r="B2150" s="21"/>
      <c r="D2150" s="17"/>
      <c r="E2150" s="17"/>
      <c r="F2150" s="8"/>
    </row>
    <row r="2151" spans="2:6" ht="15.75">
      <c r="B2151" s="21"/>
      <c r="D2151" s="17"/>
      <c r="E2151" s="17"/>
      <c r="F2151" s="8"/>
    </row>
    <row r="2152" spans="2:6" ht="15.75">
      <c r="B2152" s="21"/>
      <c r="D2152" s="17"/>
      <c r="E2152" s="17"/>
      <c r="F2152" s="8"/>
    </row>
    <row r="2153" spans="2:6" ht="15.75">
      <c r="B2153" s="21"/>
      <c r="D2153" s="17"/>
      <c r="E2153" s="17"/>
      <c r="F2153" s="8"/>
    </row>
    <row r="2154" spans="2:6" ht="15.75">
      <c r="B2154" s="21"/>
      <c r="D2154" s="17"/>
      <c r="E2154" s="17"/>
      <c r="F2154" s="8"/>
    </row>
    <row r="2155" spans="2:6" ht="15.75">
      <c r="B2155" s="21"/>
      <c r="D2155" s="17"/>
      <c r="E2155" s="17"/>
      <c r="F2155" s="8"/>
    </row>
    <row r="2156" spans="2:6" ht="15.75">
      <c r="B2156" s="21"/>
      <c r="D2156" s="17"/>
      <c r="E2156" s="17"/>
      <c r="F2156" s="8"/>
    </row>
    <row r="2157" spans="2:6" ht="15.75">
      <c r="B2157" s="21"/>
      <c r="D2157" s="17"/>
      <c r="F2157" s="8"/>
    </row>
    <row r="2158" spans="2:6" ht="15.75">
      <c r="B2158" s="21"/>
      <c r="D2158" s="17"/>
      <c r="E2158" s="17"/>
      <c r="F2158" s="8"/>
    </row>
    <row r="2159" spans="2:6" ht="15.75">
      <c r="B2159" s="21"/>
      <c r="D2159" s="17"/>
      <c r="E2159" s="17"/>
      <c r="F2159" s="8"/>
    </row>
    <row r="2160" spans="2:6" ht="15.75">
      <c r="B2160" s="21"/>
      <c r="D2160" s="17"/>
      <c r="E2160" s="17"/>
      <c r="F2160" s="8"/>
    </row>
    <row r="2161" spans="2:6" ht="15.75">
      <c r="B2161" s="21"/>
      <c r="D2161" s="17"/>
      <c r="E2161" s="17"/>
      <c r="F2161" s="8"/>
    </row>
    <row r="2162" spans="2:6" ht="15.75">
      <c r="B2162" s="21"/>
      <c r="D2162" s="17"/>
      <c r="E2162" s="17"/>
      <c r="F2162" s="8"/>
    </row>
    <row r="2163" spans="2:6" ht="15.75">
      <c r="B2163" s="21"/>
      <c r="D2163" s="17"/>
      <c r="E2163" s="17"/>
      <c r="F2163" s="8"/>
    </row>
    <row r="2164" spans="2:6" ht="15.75">
      <c r="B2164" s="21"/>
      <c r="D2164" s="17"/>
      <c r="E2164" s="17"/>
      <c r="F2164" s="8"/>
    </row>
    <row r="2165" spans="2:6" ht="15.75">
      <c r="B2165" s="21"/>
      <c r="D2165" s="17"/>
      <c r="E2165" s="17"/>
      <c r="F2165" s="8"/>
    </row>
    <row r="2166" spans="2:6" ht="15.75">
      <c r="B2166" s="21"/>
      <c r="D2166" s="17"/>
      <c r="E2166" s="17"/>
      <c r="F2166" s="8"/>
    </row>
    <row r="2167" spans="2:6" ht="15.75">
      <c r="B2167" s="21"/>
      <c r="D2167" s="17"/>
      <c r="E2167" s="17"/>
      <c r="F2167" s="8"/>
    </row>
    <row r="2168" spans="2:6" ht="15.75">
      <c r="B2168" s="21"/>
      <c r="D2168" s="17"/>
      <c r="E2168" s="17"/>
      <c r="F2168" s="8"/>
    </row>
    <row r="2169" spans="2:6" ht="15.75">
      <c r="B2169" s="21"/>
      <c r="D2169" s="17"/>
      <c r="E2169" s="17"/>
      <c r="F2169" s="8"/>
    </row>
    <row r="2170" spans="2:6" ht="15.75">
      <c r="B2170" s="21"/>
      <c r="D2170" s="17"/>
      <c r="E2170" s="17"/>
    </row>
    <row r="2171" spans="2:6" ht="15.75">
      <c r="B2171" s="21"/>
      <c r="D2171" s="17"/>
      <c r="E2171" s="17"/>
      <c r="F2171" s="8"/>
    </row>
    <row r="2172" spans="2:6" ht="15.75">
      <c r="B2172" s="21"/>
      <c r="D2172" s="17"/>
      <c r="E2172" s="17"/>
      <c r="F2172" s="8"/>
    </row>
    <row r="2173" spans="2:6" ht="15.75">
      <c r="B2173" s="21"/>
      <c r="D2173" s="17"/>
      <c r="E2173" s="17"/>
      <c r="F2173" s="8"/>
    </row>
    <row r="2174" spans="2:6" ht="15.75">
      <c r="B2174" s="21"/>
      <c r="D2174" s="17"/>
      <c r="E2174" s="17"/>
      <c r="F2174" s="8"/>
    </row>
    <row r="2175" spans="2:6" ht="15.75">
      <c r="B2175" s="21"/>
      <c r="D2175" s="17"/>
      <c r="E2175" s="17"/>
      <c r="F2175" s="8"/>
    </row>
    <row r="2176" spans="2:6" ht="15.75">
      <c r="B2176" s="21"/>
      <c r="D2176" s="17"/>
      <c r="E2176" s="17"/>
      <c r="F2176" s="8"/>
    </row>
    <row r="2177" spans="2:6" ht="15.75">
      <c r="B2177" s="21"/>
      <c r="D2177" s="17"/>
      <c r="E2177" s="17"/>
    </row>
    <row r="2178" spans="2:6" ht="15.75">
      <c r="B2178" s="21"/>
      <c r="D2178" s="17"/>
      <c r="E2178" s="17"/>
      <c r="F2178" s="8"/>
    </row>
    <row r="2179" spans="2:6" ht="15.75">
      <c r="B2179" s="21"/>
      <c r="D2179" s="17"/>
      <c r="E2179" s="17"/>
      <c r="F2179" s="8"/>
    </row>
    <row r="2180" spans="2:6" ht="15.75">
      <c r="B2180" s="21"/>
      <c r="D2180" s="17"/>
      <c r="E2180" s="17"/>
      <c r="F2180" s="8"/>
    </row>
    <row r="2181" spans="2:6" ht="15.75">
      <c r="B2181" s="21"/>
      <c r="D2181" s="17"/>
      <c r="E2181" s="17"/>
      <c r="F2181" s="8"/>
    </row>
    <row r="2182" spans="2:6" ht="15.75">
      <c r="B2182" s="21"/>
      <c r="D2182" s="17"/>
      <c r="E2182" s="17"/>
      <c r="F2182" s="8"/>
    </row>
    <row r="2183" spans="2:6">
      <c r="C2183" s="17"/>
      <c r="D2183" s="17"/>
      <c r="E2183" s="17"/>
      <c r="F2183" s="8"/>
    </row>
    <row r="2184" spans="2:6" ht="15.75">
      <c r="B2184" s="21"/>
      <c r="D2184" s="17"/>
      <c r="E2184" s="17"/>
      <c r="F2184" s="8"/>
    </row>
    <row r="2185" spans="2:6" ht="15.75">
      <c r="B2185" s="21"/>
      <c r="C2185" s="46"/>
      <c r="D2185" s="17"/>
      <c r="E2185" s="47"/>
      <c r="F2185" s="8"/>
    </row>
    <row r="2186" spans="2:6" ht="15.75">
      <c r="B2186" s="21"/>
      <c r="D2186" s="17"/>
      <c r="E2186" s="17"/>
      <c r="F2186" s="8"/>
    </row>
    <row r="2187" spans="2:6" ht="15.75">
      <c r="B2187" s="21"/>
      <c r="D2187" s="17"/>
      <c r="E2187" s="17"/>
      <c r="F2187" s="8"/>
    </row>
    <row r="2188" spans="2:6" ht="15.75">
      <c r="B2188" s="21"/>
      <c r="D2188" s="17"/>
      <c r="E2188" s="17"/>
      <c r="F2188" s="8"/>
    </row>
    <row r="2189" spans="2:6" ht="15.75">
      <c r="B2189" s="21"/>
      <c r="D2189" s="17"/>
      <c r="E2189" s="17"/>
      <c r="F2189" s="8"/>
    </row>
    <row r="2190" spans="2:6" ht="15.75">
      <c r="B2190" s="21"/>
      <c r="D2190" s="17"/>
      <c r="E2190" s="17"/>
      <c r="F2190" s="8"/>
    </row>
    <row r="2191" spans="2:6" ht="15.75">
      <c r="B2191" s="21"/>
      <c r="D2191" s="17"/>
      <c r="E2191" s="17"/>
    </row>
    <row r="2192" spans="2:6" ht="15.75">
      <c r="B2192" s="21"/>
      <c r="D2192" s="17"/>
      <c r="E2192" s="17"/>
      <c r="F2192" s="8"/>
    </row>
    <row r="2193" spans="2:6">
      <c r="B2193" s="59"/>
      <c r="C2193" s="46"/>
      <c r="D2193" s="47"/>
      <c r="E2193" s="55"/>
      <c r="F2193" s="8"/>
    </row>
    <row r="2194" spans="2:6" ht="15.75">
      <c r="B2194" s="21"/>
      <c r="D2194" s="17"/>
      <c r="E2194" s="17"/>
      <c r="F2194" s="8"/>
    </row>
    <row r="2195" spans="2:6" ht="15.75">
      <c r="B2195" s="21"/>
      <c r="D2195" s="17"/>
      <c r="E2195" s="17"/>
      <c r="F2195" s="8"/>
    </row>
    <row r="2196" spans="2:6" ht="15.75">
      <c r="B2196" s="21"/>
      <c r="D2196" s="17"/>
      <c r="E2196" s="17"/>
      <c r="F2196" s="8"/>
    </row>
    <row r="2197" spans="2:6" ht="15.75">
      <c r="B2197" s="21"/>
      <c r="D2197" s="17"/>
      <c r="E2197" s="17"/>
      <c r="F2197" s="8"/>
    </row>
    <row r="2198" spans="2:6" ht="15.75">
      <c r="B2198" s="21"/>
      <c r="D2198" s="17"/>
      <c r="E2198" s="17"/>
      <c r="F2198" s="8"/>
    </row>
    <row r="2199" spans="2:6">
      <c r="B2199" s="59"/>
      <c r="C2199" s="46"/>
      <c r="D2199" s="47"/>
      <c r="E2199" s="55"/>
      <c r="F2199" s="8"/>
    </row>
    <row r="2200" spans="2:6" ht="15.75">
      <c r="B2200" s="21"/>
      <c r="D2200" s="17"/>
      <c r="E2200" s="17"/>
      <c r="F2200" s="8"/>
    </row>
    <row r="2201" spans="2:6" ht="15.75">
      <c r="B2201" s="21"/>
      <c r="D2201" s="17"/>
      <c r="E2201" s="17"/>
      <c r="F2201" s="8"/>
    </row>
    <row r="2202" spans="2:6" ht="15.75">
      <c r="B2202" s="21"/>
      <c r="D2202" s="17"/>
      <c r="E2202" s="17"/>
      <c r="F2202" s="8"/>
    </row>
    <row r="2203" spans="2:6" ht="15.75">
      <c r="B2203" s="21"/>
      <c r="D2203" s="17"/>
      <c r="E2203" s="17"/>
      <c r="F2203" s="8"/>
    </row>
    <row r="2204" spans="2:6" ht="15.75">
      <c r="B2204" s="21"/>
      <c r="D2204" s="17"/>
      <c r="E2204" s="17"/>
      <c r="F2204" s="8"/>
    </row>
    <row r="2205" spans="2:6" ht="15.75">
      <c r="B2205" s="21"/>
      <c r="D2205" s="17"/>
      <c r="E2205" s="17"/>
      <c r="F2205" s="8"/>
    </row>
    <row r="2206" spans="2:6">
      <c r="D2206" s="17"/>
      <c r="E2206" s="17"/>
      <c r="F2206" s="8"/>
    </row>
    <row r="2207" spans="2:6" ht="15.75">
      <c r="B2207" s="21"/>
      <c r="D2207" s="17"/>
      <c r="E2207" s="17"/>
      <c r="F2207" s="8"/>
    </row>
    <row r="2208" spans="2:6">
      <c r="D2208" s="17"/>
      <c r="E2208" s="17"/>
      <c r="F2208" s="8"/>
    </row>
    <row r="2209" spans="2:6" ht="15.75">
      <c r="B2209" s="21"/>
      <c r="D2209" s="17"/>
      <c r="E2209" s="17"/>
      <c r="F2209" s="8"/>
    </row>
    <row r="2210" spans="2:6">
      <c r="D2210" s="17"/>
      <c r="E2210" s="17"/>
      <c r="F2210" s="8"/>
    </row>
    <row r="2211" spans="2:6">
      <c r="D2211" s="17"/>
      <c r="E2211" s="17"/>
      <c r="F2211" s="8"/>
    </row>
    <row r="2212" spans="2:6" ht="15.75">
      <c r="B2212" s="21"/>
      <c r="D2212" s="17"/>
      <c r="E2212" s="17"/>
      <c r="F2212" s="8"/>
    </row>
    <row r="2213" spans="2:6" ht="15.75">
      <c r="B2213" s="21"/>
      <c r="E2213" s="17"/>
      <c r="F2213" s="8"/>
    </row>
    <row r="2214" spans="2:6" ht="15.75">
      <c r="B2214" s="21"/>
      <c r="E2214" s="17"/>
      <c r="F2214" s="8"/>
    </row>
    <row r="2215" spans="2:6" ht="15.75">
      <c r="B2215" s="21"/>
      <c r="E2215" s="17"/>
      <c r="F2215" s="8"/>
    </row>
    <row r="2216" spans="2:6" ht="15.75">
      <c r="B2216" s="21"/>
      <c r="E2216" s="17"/>
      <c r="F2216" s="8"/>
    </row>
    <row r="2217" spans="2:6" ht="15.75">
      <c r="B2217" s="21"/>
      <c r="E2217" s="17"/>
      <c r="F2217" s="8"/>
    </row>
    <row r="2218" spans="2:6" ht="15.75">
      <c r="B2218" s="21"/>
      <c r="E2218" s="17"/>
      <c r="F2218" s="8"/>
    </row>
    <row r="2219" spans="2:6" ht="15.75">
      <c r="B2219" s="21"/>
      <c r="E2219" s="17"/>
      <c r="F2219" s="8"/>
    </row>
    <row r="2220" spans="2:6" ht="15.75">
      <c r="B2220" s="21"/>
      <c r="E2220" s="17"/>
      <c r="F2220" s="8"/>
    </row>
    <row r="2221" spans="2:6" ht="15.75">
      <c r="B2221" s="21"/>
      <c r="E2221" s="17"/>
      <c r="F2221" s="8"/>
    </row>
    <row r="2222" spans="2:6" ht="15.75">
      <c r="B2222" s="21"/>
      <c r="E2222" s="17"/>
      <c r="F2222" s="8"/>
    </row>
    <row r="2223" spans="2:6" ht="15.75">
      <c r="B2223" s="21"/>
      <c r="E2223" s="17"/>
      <c r="F2223" s="8"/>
    </row>
    <row r="2224" spans="2:6" ht="15.75">
      <c r="B2224" s="21"/>
      <c r="E2224" s="17"/>
      <c r="F2224" s="8"/>
    </row>
    <row r="2225" spans="2:6" ht="15.75">
      <c r="B2225" s="21"/>
      <c r="E2225" s="17"/>
      <c r="F2225" s="8"/>
    </row>
    <row r="2226" spans="2:6" ht="15.75">
      <c r="B2226" s="21"/>
      <c r="D2226" s="17"/>
      <c r="E2226" s="17"/>
      <c r="F2226" s="8"/>
    </row>
    <row r="2227" spans="2:6" ht="15.75">
      <c r="B2227" s="48"/>
      <c r="C2227" s="46"/>
      <c r="D2227" s="47"/>
      <c r="E2227" s="47"/>
      <c r="F2227" s="8"/>
    </row>
    <row r="2228" spans="2:6" ht="15.75">
      <c r="B2228" s="48"/>
      <c r="D2228" s="17"/>
      <c r="E2228" s="17"/>
      <c r="F2228" s="8"/>
    </row>
    <row r="2229" spans="2:6" ht="15.75">
      <c r="B2229" s="48"/>
      <c r="D2229" s="17"/>
      <c r="E2229" s="17"/>
      <c r="F2229" s="8"/>
    </row>
    <row r="2230" spans="2:6" ht="15.75">
      <c r="B2230" s="48"/>
      <c r="D2230" s="17"/>
      <c r="E2230" s="17"/>
      <c r="F2230" s="8"/>
    </row>
    <row r="2231" spans="2:6" ht="15.75">
      <c r="B2231" s="48"/>
      <c r="D2231" s="17"/>
      <c r="E2231" s="17"/>
      <c r="F2231" s="8"/>
    </row>
    <row r="2232" spans="2:6" ht="15.75">
      <c r="B2232" s="48"/>
      <c r="D2232" s="17"/>
      <c r="E2232" s="17"/>
      <c r="F2232" s="8"/>
    </row>
    <row r="2233" spans="2:6" ht="15.75">
      <c r="B2233" s="48"/>
      <c r="D2233" s="17"/>
      <c r="E2233" s="17"/>
      <c r="F2233" s="8"/>
    </row>
    <row r="2234" spans="2:6" ht="15.75">
      <c r="B2234" s="48"/>
      <c r="D2234" s="17"/>
      <c r="E2234" s="17"/>
      <c r="F2234" s="8"/>
    </row>
    <row r="2235" spans="2:6" ht="15.75">
      <c r="B2235" s="48"/>
      <c r="D2235" s="17"/>
      <c r="E2235" s="17"/>
      <c r="F2235" s="8"/>
    </row>
    <row r="2236" spans="2:6" ht="15.75">
      <c r="B2236" s="48"/>
      <c r="D2236" s="17"/>
      <c r="E2236" s="17"/>
      <c r="F2236" s="8"/>
    </row>
    <row r="2237" spans="2:6" ht="15.75">
      <c r="B2237" s="48"/>
      <c r="D2237" s="17"/>
      <c r="E2237" s="17"/>
      <c r="F2237" s="8"/>
    </row>
    <row r="2238" spans="2:6" ht="15.75">
      <c r="B2238" s="48"/>
      <c r="D2238" s="17"/>
      <c r="E2238" s="17"/>
      <c r="F2238" s="8"/>
    </row>
    <row r="2239" spans="2:6" ht="15.75">
      <c r="B2239" s="48"/>
      <c r="D2239" s="17"/>
      <c r="E2239" s="17"/>
      <c r="F2239" s="8"/>
    </row>
    <row r="2240" spans="2:6" ht="15.75">
      <c r="B2240" s="48"/>
      <c r="D2240" s="17"/>
      <c r="E2240" s="17"/>
      <c r="F2240" s="8"/>
    </row>
    <row r="2241" spans="2:6" ht="15.75">
      <c r="B2241" s="48"/>
      <c r="D2241" s="17"/>
      <c r="E2241" s="17"/>
      <c r="F2241" s="8"/>
    </row>
    <row r="2242" spans="2:6" ht="15.75">
      <c r="B2242" s="48"/>
      <c r="D2242" s="17"/>
      <c r="E2242" s="17"/>
      <c r="F2242" s="8"/>
    </row>
    <row r="2243" spans="2:6" ht="15.75">
      <c r="B2243" s="21"/>
      <c r="D2243" s="17"/>
      <c r="E2243" s="17"/>
      <c r="F2243" s="8"/>
    </row>
    <row r="2244" spans="2:6" ht="15.75">
      <c r="B2244" s="21"/>
      <c r="D2244" s="17"/>
      <c r="E2244" s="17"/>
      <c r="F2244" s="8"/>
    </row>
    <row r="2245" spans="2:6" ht="15.75">
      <c r="B2245" s="48"/>
      <c r="D2245" s="2"/>
      <c r="E2245" s="17"/>
      <c r="F2245" s="8"/>
    </row>
    <row r="2246" spans="2:6" ht="15.75">
      <c r="B2246" s="48"/>
      <c r="D2246" s="2"/>
      <c r="E2246" s="17"/>
      <c r="F2246" s="8"/>
    </row>
    <row r="2247" spans="2:6" ht="15.75">
      <c r="B2247" s="48"/>
      <c r="D2247" s="2"/>
      <c r="E2247" s="17"/>
      <c r="F2247" s="8"/>
    </row>
    <row r="2248" spans="2:6" ht="15.75">
      <c r="B2248" s="48"/>
      <c r="D2248" s="2"/>
      <c r="E2248" s="17"/>
      <c r="F2248" s="8"/>
    </row>
    <row r="2249" spans="2:6" ht="15.75">
      <c r="B2249" s="48"/>
      <c r="D2249" s="2"/>
      <c r="F2249" s="8"/>
    </row>
    <row r="2250" spans="2:6" ht="15.75">
      <c r="B2250" s="21"/>
      <c r="D2250" s="17"/>
      <c r="E2250" s="17"/>
      <c r="F2250" s="8"/>
    </row>
    <row r="2251" spans="2:6" ht="15.75">
      <c r="B2251" s="21"/>
      <c r="D2251" s="17"/>
      <c r="E2251" s="17"/>
      <c r="F2251" s="8"/>
    </row>
    <row r="2252" spans="2:6" ht="15.75">
      <c r="B2252" s="21"/>
      <c r="D2252" s="17"/>
      <c r="E2252" s="17"/>
      <c r="F2252" s="8"/>
    </row>
    <row r="2253" spans="2:6" ht="15.75">
      <c r="B2253" s="21"/>
      <c r="D2253" s="17"/>
      <c r="E2253" s="17"/>
      <c r="F2253" s="8"/>
    </row>
    <row r="2254" spans="2:6" ht="15.75">
      <c r="B2254" s="21"/>
      <c r="D2254" s="17"/>
      <c r="E2254" s="17"/>
      <c r="F2254" s="8"/>
    </row>
    <row r="2255" spans="2:6" ht="15.75">
      <c r="B2255" s="21"/>
      <c r="D2255" s="17"/>
      <c r="E2255" s="17"/>
      <c r="F2255" s="8"/>
    </row>
    <row r="2256" spans="2:6" ht="15.75">
      <c r="B2256" s="21"/>
      <c r="D2256" s="17"/>
      <c r="E2256" s="17"/>
      <c r="F2256" s="8"/>
    </row>
    <row r="2257" spans="2:6">
      <c r="D2257" s="17"/>
      <c r="E2257" s="17"/>
      <c r="F2257" s="8"/>
    </row>
    <row r="2258" spans="2:6">
      <c r="D2258" s="17"/>
      <c r="E2258" s="17"/>
      <c r="F2258" s="8"/>
    </row>
    <row r="2259" spans="2:6">
      <c r="D2259" s="17"/>
      <c r="E2259" s="17"/>
      <c r="F2259" s="8"/>
    </row>
    <row r="2260" spans="2:6">
      <c r="D2260" s="17"/>
      <c r="E2260" s="17"/>
      <c r="F2260" s="8"/>
    </row>
    <row r="2261" spans="2:6">
      <c r="D2261" s="17"/>
      <c r="E2261" s="17"/>
      <c r="F2261" s="8"/>
    </row>
    <row r="2262" spans="2:6">
      <c r="C2262" s="17"/>
      <c r="D2262" s="17"/>
      <c r="F2262" s="8"/>
    </row>
    <row r="2263" spans="2:6">
      <c r="C2263" s="17"/>
      <c r="D2263" s="17"/>
      <c r="F2263" s="8"/>
    </row>
    <row r="2264" spans="2:6">
      <c r="D2264" s="17"/>
      <c r="E2264" s="17"/>
      <c r="F2264" s="8"/>
    </row>
    <row r="2265" spans="2:6">
      <c r="D2265" s="17"/>
      <c r="E2265" s="17"/>
      <c r="F2265" s="8"/>
    </row>
    <row r="2266" spans="2:6">
      <c r="D2266" s="17"/>
      <c r="E2266" s="17"/>
      <c r="F2266" s="8"/>
    </row>
    <row r="2267" spans="2:6">
      <c r="D2267" s="17"/>
      <c r="E2267" s="17"/>
      <c r="F2267" s="8"/>
    </row>
    <row r="2268" spans="2:6">
      <c r="D2268" s="17"/>
      <c r="E2268" s="17"/>
      <c r="F2268" s="8"/>
    </row>
    <row r="2269" spans="2:6">
      <c r="D2269" s="17"/>
      <c r="E2269" s="17"/>
      <c r="F2269" s="8"/>
    </row>
    <row r="2270" spans="2:6">
      <c r="D2270" s="17"/>
      <c r="E2270" s="17"/>
      <c r="F2270" s="8"/>
    </row>
    <row r="2271" spans="2:6">
      <c r="D2271" s="17"/>
      <c r="E2271" s="17"/>
      <c r="F2271" s="8"/>
    </row>
    <row r="2272" spans="2:6">
      <c r="B2272" s="59"/>
      <c r="C2272" s="46"/>
      <c r="D2272" s="56"/>
      <c r="E2272" s="57"/>
      <c r="F2272" s="8"/>
    </row>
    <row r="2273" spans="3:6">
      <c r="D2273" s="17"/>
      <c r="E2273" s="17"/>
      <c r="F2273" s="8"/>
    </row>
    <row r="2274" spans="3:6">
      <c r="D2274" s="17"/>
      <c r="E2274" s="17"/>
      <c r="F2274" s="8"/>
    </row>
    <row r="2275" spans="3:6">
      <c r="D2275" s="17"/>
      <c r="E2275" s="17"/>
      <c r="F2275" s="8"/>
    </row>
    <row r="2276" spans="3:6">
      <c r="D2276" s="17"/>
      <c r="E2276" s="17"/>
      <c r="F2276" s="8"/>
    </row>
    <row r="2277" spans="3:6">
      <c r="D2277" s="17"/>
      <c r="E2277" s="17"/>
      <c r="F2277" s="8"/>
    </row>
    <row r="2278" spans="3:6">
      <c r="D2278" s="17"/>
      <c r="E2278" s="17"/>
      <c r="F2278" s="8"/>
    </row>
    <row r="2279" spans="3:6">
      <c r="C2279" s="17"/>
      <c r="D2279" s="17"/>
      <c r="F2279" s="8"/>
    </row>
    <row r="2280" spans="3:6">
      <c r="D2280" s="17"/>
      <c r="E2280" s="17"/>
      <c r="F2280" s="8"/>
    </row>
    <row r="2281" spans="3:6">
      <c r="D2281" s="17"/>
      <c r="E2281" s="17"/>
      <c r="F2281" s="8"/>
    </row>
    <row r="2282" spans="3:6">
      <c r="D2282" s="17"/>
      <c r="E2282" s="17"/>
      <c r="F2282" s="8"/>
    </row>
    <row r="2283" spans="3:6">
      <c r="D2283" s="17"/>
      <c r="E2283" s="17"/>
      <c r="F2283" s="8"/>
    </row>
    <row r="2284" spans="3:6">
      <c r="E2284" s="17"/>
      <c r="F2284" s="8"/>
    </row>
    <row r="2285" spans="3:6">
      <c r="D2285" s="17"/>
      <c r="E2285" s="17"/>
      <c r="F2285" s="8"/>
    </row>
    <row r="2286" spans="3:6">
      <c r="D2286" s="17"/>
      <c r="E2286" s="17"/>
      <c r="F2286" s="8"/>
    </row>
    <row r="2287" spans="3:6">
      <c r="D2287" s="17"/>
      <c r="E2287" s="17"/>
      <c r="F2287" s="8"/>
    </row>
    <row r="2288" spans="3:6">
      <c r="D2288" s="17"/>
      <c r="E2288" s="17"/>
      <c r="F2288" s="8"/>
    </row>
    <row r="2289" spans="2:6">
      <c r="D2289" s="17"/>
      <c r="E2289" s="17"/>
      <c r="F2289" s="8"/>
    </row>
    <row r="2290" spans="2:6">
      <c r="D2290" s="17"/>
      <c r="E2290" s="17"/>
      <c r="F2290" s="8"/>
    </row>
    <row r="2291" spans="2:6">
      <c r="D2291" s="17"/>
      <c r="E2291" s="17"/>
      <c r="F2291" s="8"/>
    </row>
    <row r="2292" spans="2:6">
      <c r="D2292" s="17"/>
      <c r="E2292" s="17"/>
      <c r="F2292" s="8"/>
    </row>
    <row r="2293" spans="2:6">
      <c r="D2293" s="17"/>
      <c r="E2293" s="17"/>
      <c r="F2293" s="8"/>
    </row>
    <row r="2294" spans="2:6">
      <c r="D2294" s="17"/>
      <c r="E2294" s="17"/>
      <c r="F2294" s="8"/>
    </row>
    <row r="2295" spans="2:6">
      <c r="D2295" s="17"/>
      <c r="E2295" s="17"/>
      <c r="F2295" s="8"/>
    </row>
    <row r="2296" spans="2:6">
      <c r="D2296" s="17"/>
      <c r="E2296" s="17"/>
      <c r="F2296" s="8"/>
    </row>
    <row r="2297" spans="2:6">
      <c r="D2297" s="17"/>
      <c r="E2297" s="17"/>
      <c r="F2297" s="8"/>
    </row>
    <row r="2298" spans="2:6">
      <c r="D2298" s="17"/>
      <c r="E2298" s="17"/>
      <c r="F2298" s="8"/>
    </row>
    <row r="2299" spans="2:6">
      <c r="D2299" s="17"/>
      <c r="E2299" s="17"/>
      <c r="F2299" s="8"/>
    </row>
    <row r="2300" spans="2:6">
      <c r="D2300" s="17"/>
      <c r="E2300" s="17"/>
      <c r="F2300" s="8"/>
    </row>
    <row r="2301" spans="2:6">
      <c r="D2301" s="17"/>
      <c r="E2301" s="17"/>
      <c r="F2301" s="8"/>
    </row>
    <row r="2302" spans="2:6" ht="15.75">
      <c r="B2302" s="48"/>
      <c r="D2302" s="17"/>
      <c r="E2302" s="17"/>
      <c r="F2302" s="8"/>
    </row>
    <row r="2303" spans="2:6">
      <c r="E2303" s="17"/>
      <c r="F2303" s="8"/>
    </row>
    <row r="2304" spans="2:6">
      <c r="E2304" s="17"/>
      <c r="F2304" s="8"/>
    </row>
    <row r="2305" spans="1:6">
      <c r="E2305" s="17"/>
      <c r="F2305" s="8"/>
    </row>
    <row r="2306" spans="1:6">
      <c r="E2306" s="17"/>
    </row>
    <row r="2307" spans="1:6">
      <c r="E2307" s="17"/>
    </row>
    <row r="2308" spans="1:6">
      <c r="E2308" s="17"/>
    </row>
    <row r="2309" spans="1:6">
      <c r="A2309" t="s">
        <v>97</v>
      </c>
      <c r="E2309" s="17"/>
    </row>
    <row r="2310" spans="1:6">
      <c r="E2310" s="17"/>
    </row>
    <row r="2311" spans="1:6">
      <c r="E2311" s="17"/>
    </row>
    <row r="2312" spans="1:6">
      <c r="E2312" s="17"/>
    </row>
    <row r="2313" spans="1:6">
      <c r="E2313" s="17"/>
    </row>
    <row r="2314" spans="1:6">
      <c r="E2314" s="17"/>
    </row>
    <row r="2315" spans="1:6">
      <c r="E2315" s="17"/>
    </row>
    <row r="2316" spans="1:6">
      <c r="E2316" s="17"/>
    </row>
    <row r="2317" spans="1:6">
      <c r="E2317" s="17"/>
    </row>
    <row r="2318" spans="1:6">
      <c r="E2318" s="17"/>
    </row>
    <row r="2319" spans="1:6">
      <c r="E2319" s="17"/>
    </row>
    <row r="2320" spans="1:6">
      <c r="E2320" s="17"/>
    </row>
    <row r="2321" spans="5:5">
      <c r="E2321" s="17"/>
    </row>
    <row r="2322" spans="5:5">
      <c r="E2322" s="17"/>
    </row>
    <row r="2323" spans="5:5">
      <c r="E2323" s="17"/>
    </row>
    <row r="2324" spans="5:5">
      <c r="E2324" s="17"/>
    </row>
    <row r="2325" spans="5:5">
      <c r="E2325" s="17"/>
    </row>
    <row r="2326" spans="5:5">
      <c r="E2326" s="17"/>
    </row>
    <row r="2327" spans="5:5">
      <c r="E2327" s="17"/>
    </row>
    <row r="2328" spans="5:5">
      <c r="E2328" s="17"/>
    </row>
    <row r="2329" spans="5:5">
      <c r="E2329" s="17"/>
    </row>
    <row r="2330" spans="5:5">
      <c r="E2330" s="17"/>
    </row>
    <row r="2331" spans="5:5">
      <c r="E2331" s="17"/>
    </row>
    <row r="2332" spans="5:5">
      <c r="E2332" s="17"/>
    </row>
    <row r="2333" spans="5:5">
      <c r="E2333" s="17"/>
    </row>
    <row r="2334" spans="5:5">
      <c r="E2334" s="17"/>
    </row>
    <row r="2335" spans="5:5">
      <c r="E2335" s="17"/>
    </row>
    <row r="2336" spans="5:5">
      <c r="E2336" s="17"/>
    </row>
    <row r="2337" spans="5:5">
      <c r="E2337" s="17"/>
    </row>
    <row r="2338" spans="5:5">
      <c r="E2338" s="17"/>
    </row>
    <row r="2339" spans="5:5">
      <c r="E2339" s="17"/>
    </row>
    <row r="2340" spans="5:5">
      <c r="E2340" s="17"/>
    </row>
    <row r="2341" spans="5:5">
      <c r="E2341" s="17"/>
    </row>
    <row r="2342" spans="5:5">
      <c r="E2342" s="17"/>
    </row>
    <row r="2343" spans="5:5">
      <c r="E2343" s="17"/>
    </row>
    <row r="2344" spans="5:5">
      <c r="E2344" s="17"/>
    </row>
    <row r="2345" spans="5:5">
      <c r="E2345" s="17"/>
    </row>
    <row r="2346" spans="5:5">
      <c r="E2346" s="17"/>
    </row>
    <row r="2347" spans="5:5">
      <c r="E2347" s="17"/>
    </row>
    <row r="2348" spans="5:5">
      <c r="E2348" s="17"/>
    </row>
    <row r="2349" spans="5:5">
      <c r="E2349" s="17"/>
    </row>
    <row r="2350" spans="5:5">
      <c r="E2350" s="17"/>
    </row>
    <row r="2351" spans="5:5">
      <c r="E2351" s="17"/>
    </row>
    <row r="2352" spans="5:5">
      <c r="E2352" s="17"/>
    </row>
    <row r="2353" spans="5:5">
      <c r="E2353" s="17"/>
    </row>
    <row r="2354" spans="5:5">
      <c r="E2354" s="17"/>
    </row>
    <row r="2355" spans="5:5">
      <c r="E2355" s="17"/>
    </row>
    <row r="2356" spans="5:5">
      <c r="E2356" s="17"/>
    </row>
    <row r="2357" spans="5:5">
      <c r="E2357" s="17"/>
    </row>
    <row r="2358" spans="5:5">
      <c r="E2358" s="17"/>
    </row>
    <row r="2359" spans="5:5">
      <c r="E2359" s="17"/>
    </row>
    <row r="2360" spans="5:5">
      <c r="E2360" s="17"/>
    </row>
    <row r="2361" spans="5:5">
      <c r="E2361" s="17"/>
    </row>
    <row r="2362" spans="5:5">
      <c r="E2362" s="17"/>
    </row>
    <row r="2363" spans="5:5">
      <c r="E2363" s="17"/>
    </row>
    <row r="2364" spans="5:5">
      <c r="E2364" s="17"/>
    </row>
    <row r="2365" spans="5:5">
      <c r="E2365" s="17"/>
    </row>
    <row r="2366" spans="5:5">
      <c r="E2366" s="17"/>
    </row>
    <row r="2367" spans="5:5">
      <c r="E2367" s="17"/>
    </row>
    <row r="2368" spans="5:5">
      <c r="E2368" s="17"/>
    </row>
    <row r="2369" spans="5:5">
      <c r="E2369" s="17"/>
    </row>
    <row r="2370" spans="5:5">
      <c r="E2370" s="17"/>
    </row>
    <row r="2371" spans="5:5">
      <c r="E2371" s="17"/>
    </row>
    <row r="2372" spans="5:5">
      <c r="E2372" s="17"/>
    </row>
    <row r="2373" spans="5:5">
      <c r="E2373" s="17"/>
    </row>
    <row r="2374" spans="5:5">
      <c r="E2374" s="17"/>
    </row>
    <row r="2375" spans="5:5">
      <c r="E2375" s="17"/>
    </row>
    <row r="2376" spans="5:5">
      <c r="E2376" s="17"/>
    </row>
    <row r="2377" spans="5:5">
      <c r="E2377" s="17"/>
    </row>
    <row r="2378" spans="5:5">
      <c r="E2378" s="17"/>
    </row>
    <row r="2379" spans="5:5">
      <c r="E2379" s="17"/>
    </row>
    <row r="2380" spans="5:5">
      <c r="E2380" s="17"/>
    </row>
    <row r="2381" spans="5:5">
      <c r="E2381" s="17"/>
    </row>
    <row r="2382" spans="5:5">
      <c r="E2382" s="17"/>
    </row>
    <row r="2383" spans="5:5">
      <c r="E2383" s="17"/>
    </row>
    <row r="2384" spans="5:5">
      <c r="E2384" s="17"/>
    </row>
    <row r="2385" spans="5:5">
      <c r="E2385" s="17"/>
    </row>
    <row r="2386" spans="5:5">
      <c r="E2386" s="17"/>
    </row>
    <row r="2387" spans="5:5">
      <c r="E2387" s="17"/>
    </row>
    <row r="2388" spans="5:5">
      <c r="E2388" s="17"/>
    </row>
    <row r="2389" spans="5:5">
      <c r="E2389" s="17"/>
    </row>
    <row r="2390" spans="5:5">
      <c r="E2390" s="17"/>
    </row>
    <row r="2391" spans="5:5">
      <c r="E2391" s="17"/>
    </row>
    <row r="2392" spans="5:5">
      <c r="E2392" s="17"/>
    </row>
    <row r="2393" spans="5:5">
      <c r="E2393" s="17"/>
    </row>
    <row r="2394" spans="5:5">
      <c r="E2394" s="17"/>
    </row>
    <row r="2395" spans="5:5">
      <c r="E2395" s="17"/>
    </row>
    <row r="2396" spans="5:5">
      <c r="E2396" s="17"/>
    </row>
    <row r="2397" spans="5:5">
      <c r="E2397" s="17"/>
    </row>
    <row r="2398" spans="5:5">
      <c r="E2398" s="17"/>
    </row>
    <row r="2399" spans="5:5">
      <c r="E2399" s="17"/>
    </row>
    <row r="2400" spans="5:5">
      <c r="E2400" s="17"/>
    </row>
    <row r="2401" spans="5:5">
      <c r="E2401" s="17"/>
    </row>
    <row r="2402" spans="5:5">
      <c r="E2402" s="17"/>
    </row>
    <row r="2403" spans="5:5">
      <c r="E2403" s="17"/>
    </row>
    <row r="2404" spans="5:5">
      <c r="E2404" s="17"/>
    </row>
    <row r="2405" spans="5:5">
      <c r="E2405" s="17"/>
    </row>
    <row r="2406" spans="5:5">
      <c r="E2406" s="17"/>
    </row>
    <row r="2407" spans="5:5">
      <c r="E2407" s="17"/>
    </row>
    <row r="2408" spans="5:5">
      <c r="E2408" s="17"/>
    </row>
    <row r="2409" spans="5:5">
      <c r="E2409" s="17"/>
    </row>
    <row r="2410" spans="5:5">
      <c r="E2410" s="17"/>
    </row>
    <row r="2411" spans="5:5">
      <c r="E2411" s="17"/>
    </row>
    <row r="2412" spans="5:5">
      <c r="E2412" s="17"/>
    </row>
    <row r="2413" spans="5:5">
      <c r="E2413" s="17"/>
    </row>
    <row r="2414" spans="5:5">
      <c r="E2414" s="17"/>
    </row>
    <row r="2415" spans="5:5">
      <c r="E2415" s="17"/>
    </row>
    <row r="2416" spans="5:5">
      <c r="E2416" s="17"/>
    </row>
    <row r="2417" spans="5:5">
      <c r="E2417" s="17"/>
    </row>
    <row r="2418" spans="5:5">
      <c r="E2418" s="17"/>
    </row>
    <row r="2419" spans="5:5">
      <c r="E2419" s="17"/>
    </row>
    <row r="2420" spans="5:5">
      <c r="E2420" s="17"/>
    </row>
    <row r="2421" spans="5:5">
      <c r="E2421" s="17"/>
    </row>
    <row r="2422" spans="5:5">
      <c r="E2422" s="17"/>
    </row>
    <row r="2423" spans="5:5">
      <c r="E2423" s="17"/>
    </row>
    <row r="2424" spans="5:5">
      <c r="E2424" s="17"/>
    </row>
    <row r="2425" spans="5:5">
      <c r="E2425" s="17"/>
    </row>
    <row r="2426" spans="5:5">
      <c r="E2426" s="17"/>
    </row>
    <row r="2427" spans="5:5">
      <c r="E2427" s="17"/>
    </row>
    <row r="2428" spans="5:5">
      <c r="E2428" s="17"/>
    </row>
    <row r="2429" spans="5:5">
      <c r="E2429" s="17"/>
    </row>
    <row r="2430" spans="5:5">
      <c r="E2430" s="17"/>
    </row>
    <row r="2431" spans="5:5">
      <c r="E2431" s="17"/>
    </row>
    <row r="2432" spans="5:5">
      <c r="E2432" s="17"/>
    </row>
    <row r="2433" spans="5:5">
      <c r="E2433" s="17"/>
    </row>
    <row r="2434" spans="5:5">
      <c r="E2434" s="17"/>
    </row>
    <row r="2435" spans="5:5">
      <c r="E2435" s="17"/>
    </row>
    <row r="2436" spans="5:5">
      <c r="E2436" s="17"/>
    </row>
    <row r="2437" spans="5:5">
      <c r="E2437" s="17"/>
    </row>
    <row r="2438" spans="5:5">
      <c r="E2438" s="17"/>
    </row>
    <row r="2439" spans="5:5">
      <c r="E2439" s="17"/>
    </row>
    <row r="2440" spans="5:5">
      <c r="E2440" s="17"/>
    </row>
    <row r="2441" spans="5:5">
      <c r="E2441" s="17"/>
    </row>
    <row r="2442" spans="5:5">
      <c r="E2442" s="17"/>
    </row>
    <row r="2443" spans="5:5">
      <c r="E2443" s="17"/>
    </row>
    <row r="2444" spans="5:5">
      <c r="E2444" s="17"/>
    </row>
    <row r="2445" spans="5:5">
      <c r="E2445" s="17"/>
    </row>
    <row r="2446" spans="5:5">
      <c r="E2446" s="17"/>
    </row>
    <row r="2447" spans="5:5">
      <c r="E2447" s="17"/>
    </row>
    <row r="2448" spans="5:5">
      <c r="E2448" s="17"/>
    </row>
    <row r="2449" spans="5:5">
      <c r="E2449" s="17"/>
    </row>
    <row r="2450" spans="5:5">
      <c r="E2450" s="17"/>
    </row>
    <row r="2451" spans="5:5">
      <c r="E2451" s="17"/>
    </row>
    <row r="2452" spans="5:5">
      <c r="E2452" s="17"/>
    </row>
    <row r="2453" spans="5:5">
      <c r="E2453" s="17"/>
    </row>
    <row r="2454" spans="5:5">
      <c r="E2454" s="17"/>
    </row>
    <row r="2455" spans="5:5">
      <c r="E2455" s="17"/>
    </row>
    <row r="2456" spans="5:5">
      <c r="E2456" s="17"/>
    </row>
    <row r="2457" spans="5:5">
      <c r="E2457" s="17"/>
    </row>
    <row r="2458" spans="5:5">
      <c r="E2458" s="17"/>
    </row>
    <row r="2459" spans="5:5">
      <c r="E2459" s="17"/>
    </row>
    <row r="2460" spans="5:5">
      <c r="E2460" s="17"/>
    </row>
    <row r="2461" spans="5:5">
      <c r="E2461" s="17"/>
    </row>
    <row r="2462" spans="5:5">
      <c r="E2462" s="17"/>
    </row>
    <row r="2463" spans="5:5">
      <c r="E2463" s="17"/>
    </row>
    <row r="2464" spans="5:5">
      <c r="E2464" s="17"/>
    </row>
    <row r="2465" spans="5:5">
      <c r="E2465" s="17"/>
    </row>
    <row r="2466" spans="5:5">
      <c r="E2466" s="17"/>
    </row>
    <row r="2467" spans="5:5">
      <c r="E2467" s="17"/>
    </row>
    <row r="2468" spans="5:5">
      <c r="E2468" s="17"/>
    </row>
    <row r="2469" spans="5:5">
      <c r="E2469" s="17"/>
    </row>
    <row r="2470" spans="5:5">
      <c r="E2470" s="17"/>
    </row>
    <row r="2471" spans="5:5">
      <c r="E2471" s="17"/>
    </row>
    <row r="2472" spans="5:5">
      <c r="E2472" s="17"/>
    </row>
    <row r="2473" spans="5:5">
      <c r="E2473" s="17"/>
    </row>
    <row r="2474" spans="5:5">
      <c r="E2474" s="17"/>
    </row>
    <row r="2475" spans="5:5">
      <c r="E2475" s="17"/>
    </row>
    <row r="2476" spans="5:5">
      <c r="E2476" s="17"/>
    </row>
    <row r="2477" spans="5:5">
      <c r="E2477" s="17"/>
    </row>
    <row r="2478" spans="5:5">
      <c r="E2478" s="17"/>
    </row>
    <row r="2479" spans="5:5">
      <c r="E2479" s="17"/>
    </row>
    <row r="2480" spans="5:5">
      <c r="E2480" s="17"/>
    </row>
    <row r="2481" spans="5:5">
      <c r="E2481" s="17"/>
    </row>
    <row r="2482" spans="5:5">
      <c r="E2482" s="17"/>
    </row>
    <row r="2483" spans="5:5">
      <c r="E2483" s="17"/>
    </row>
    <row r="2484" spans="5:5">
      <c r="E2484" s="17"/>
    </row>
    <row r="2485" spans="5:5">
      <c r="E2485" s="17"/>
    </row>
    <row r="2486" spans="5:5">
      <c r="E2486" s="17"/>
    </row>
    <row r="2487" spans="5:5">
      <c r="E2487" s="17"/>
    </row>
    <row r="2488" spans="5:5">
      <c r="E2488" s="17"/>
    </row>
    <row r="2489" spans="5:5">
      <c r="E2489" s="17"/>
    </row>
    <row r="2490" spans="5:5">
      <c r="E2490" s="17"/>
    </row>
    <row r="2491" spans="5:5">
      <c r="E2491" s="17"/>
    </row>
    <row r="2492" spans="5:5">
      <c r="E2492" s="17"/>
    </row>
    <row r="2493" spans="5:5">
      <c r="E2493" s="17"/>
    </row>
    <row r="2494" spans="5:5">
      <c r="E2494" s="17"/>
    </row>
    <row r="2495" spans="5:5">
      <c r="E2495" s="17"/>
    </row>
    <row r="2496" spans="5:5">
      <c r="E2496" s="17"/>
    </row>
    <row r="2497" spans="5:5">
      <c r="E2497" s="17"/>
    </row>
    <row r="2498" spans="5:5">
      <c r="E2498" s="17"/>
    </row>
    <row r="2499" spans="5:5">
      <c r="E2499" s="17"/>
    </row>
    <row r="2500" spans="5:5">
      <c r="E2500" s="17"/>
    </row>
    <row r="2501" spans="5:5">
      <c r="E2501" s="17"/>
    </row>
    <row r="2502" spans="5:5">
      <c r="E2502" s="17"/>
    </row>
    <row r="2503" spans="5:5">
      <c r="E2503" s="17"/>
    </row>
    <row r="2504" spans="5:5">
      <c r="E2504" s="17"/>
    </row>
    <row r="2505" spans="5:5">
      <c r="E2505" s="17"/>
    </row>
    <row r="2506" spans="5:5">
      <c r="E2506" s="17"/>
    </row>
    <row r="2507" spans="5:5">
      <c r="E2507" s="17"/>
    </row>
    <row r="2508" spans="5:5">
      <c r="E2508" s="17"/>
    </row>
    <row r="2509" spans="5:5">
      <c r="E2509" s="17"/>
    </row>
    <row r="2510" spans="5:5">
      <c r="E2510" s="17"/>
    </row>
    <row r="2511" spans="5:5">
      <c r="E2511" s="17"/>
    </row>
    <row r="2512" spans="5:5">
      <c r="E2512" s="17"/>
    </row>
    <row r="2513" spans="5:5">
      <c r="E2513" s="17"/>
    </row>
    <row r="2514" spans="5:5">
      <c r="E2514" s="17"/>
    </row>
    <row r="2515" spans="5:5">
      <c r="E2515" s="17"/>
    </row>
    <row r="2516" spans="5:5">
      <c r="E2516" s="17"/>
    </row>
    <row r="2517" spans="5:5">
      <c r="E2517" s="17"/>
    </row>
    <row r="2518" spans="5:5">
      <c r="E2518" s="17"/>
    </row>
    <row r="2519" spans="5:5">
      <c r="E2519" s="17"/>
    </row>
    <row r="2520" spans="5:5">
      <c r="E2520" s="17"/>
    </row>
    <row r="2521" spans="5:5">
      <c r="E2521" s="17"/>
    </row>
    <row r="2522" spans="5:5">
      <c r="E2522" s="17"/>
    </row>
    <row r="2523" spans="5:5">
      <c r="E2523" s="17"/>
    </row>
    <row r="2524" spans="5:5">
      <c r="E2524" s="17"/>
    </row>
    <row r="2525" spans="5:5">
      <c r="E2525" s="17"/>
    </row>
    <row r="2526" spans="5:5">
      <c r="E2526" s="17"/>
    </row>
    <row r="2527" spans="5:5">
      <c r="E2527" s="17"/>
    </row>
    <row r="2528" spans="5:5">
      <c r="E2528" s="17"/>
    </row>
    <row r="2529" spans="5:5">
      <c r="E2529" s="17"/>
    </row>
    <row r="2530" spans="5:5">
      <c r="E2530" s="17"/>
    </row>
    <row r="2531" spans="5:5">
      <c r="E2531" s="17"/>
    </row>
    <row r="2532" spans="5:5">
      <c r="E2532" s="17"/>
    </row>
    <row r="2533" spans="5:5">
      <c r="E2533" s="17"/>
    </row>
    <row r="2534" spans="5:5">
      <c r="E2534" s="17"/>
    </row>
    <row r="2535" spans="5:5">
      <c r="E2535" s="17"/>
    </row>
    <row r="2536" spans="5:5">
      <c r="E2536" s="17"/>
    </row>
    <row r="2537" spans="5:5">
      <c r="E2537" s="17"/>
    </row>
    <row r="2538" spans="5:5">
      <c r="E2538" s="17"/>
    </row>
    <row r="2539" spans="5:5">
      <c r="E2539" s="17"/>
    </row>
    <row r="2540" spans="5:5">
      <c r="E2540" s="17"/>
    </row>
    <row r="2541" spans="5:5">
      <c r="E2541" s="17"/>
    </row>
    <row r="2542" spans="5:5">
      <c r="E2542" s="17"/>
    </row>
    <row r="2543" spans="5:5">
      <c r="E2543" s="17"/>
    </row>
    <row r="2544" spans="5:5">
      <c r="E2544" s="17"/>
    </row>
    <row r="2545" spans="5:5">
      <c r="E2545" s="17"/>
    </row>
    <row r="2546" spans="5:5">
      <c r="E2546" s="17"/>
    </row>
    <row r="2547" spans="5:5">
      <c r="E2547" s="17"/>
    </row>
    <row r="2548" spans="5:5">
      <c r="E2548" s="17"/>
    </row>
    <row r="2549" spans="5:5">
      <c r="E2549" s="17"/>
    </row>
    <row r="2550" spans="5:5">
      <c r="E2550" s="17"/>
    </row>
    <row r="2551" spans="5:5">
      <c r="E2551" s="17"/>
    </row>
    <row r="2552" spans="5:5">
      <c r="E2552" s="17"/>
    </row>
    <row r="2553" spans="5:5">
      <c r="E2553" s="17"/>
    </row>
    <row r="2554" spans="5:5">
      <c r="E2554" s="17"/>
    </row>
    <row r="2555" spans="5:5">
      <c r="E2555" s="17"/>
    </row>
    <row r="2556" spans="5:5">
      <c r="E2556" s="17"/>
    </row>
    <row r="2557" spans="5:5">
      <c r="E2557" s="17"/>
    </row>
    <row r="2558" spans="5:5">
      <c r="E2558" s="17"/>
    </row>
    <row r="2559" spans="5:5">
      <c r="E2559" s="17"/>
    </row>
    <row r="2560" spans="5:5">
      <c r="E2560" s="17"/>
    </row>
    <row r="2561" spans="5:5">
      <c r="E2561" s="17"/>
    </row>
    <row r="2562" spans="5:5">
      <c r="E2562" s="17"/>
    </row>
    <row r="2563" spans="5:5">
      <c r="E2563" s="17"/>
    </row>
    <row r="2564" spans="5:5">
      <c r="E2564" s="17"/>
    </row>
    <row r="2565" spans="5:5">
      <c r="E2565" s="17"/>
    </row>
    <row r="2566" spans="5:5">
      <c r="E2566" s="17"/>
    </row>
    <row r="2567" spans="5:5">
      <c r="E2567" s="17"/>
    </row>
    <row r="2568" spans="5:5">
      <c r="E2568" s="17"/>
    </row>
    <row r="2569" spans="5:5">
      <c r="E2569" s="17"/>
    </row>
    <row r="2570" spans="5:5">
      <c r="E2570" s="17"/>
    </row>
    <row r="2571" spans="5:5">
      <c r="E2571" s="17"/>
    </row>
    <row r="2572" spans="5:5">
      <c r="E2572" s="17"/>
    </row>
    <row r="2573" spans="5:5">
      <c r="E2573" s="17"/>
    </row>
    <row r="2574" spans="5:5">
      <c r="E2574" s="17"/>
    </row>
    <row r="2575" spans="5:5">
      <c r="E2575" s="17"/>
    </row>
    <row r="2576" spans="5:5">
      <c r="E2576" s="17"/>
    </row>
    <row r="2577" spans="5:5">
      <c r="E2577" s="17"/>
    </row>
    <row r="2578" spans="5:5">
      <c r="E2578" s="17"/>
    </row>
    <row r="2579" spans="5:5">
      <c r="E2579" s="17"/>
    </row>
    <row r="2580" spans="5:5">
      <c r="E2580" s="17"/>
    </row>
    <row r="2581" spans="5:5">
      <c r="E2581" s="17"/>
    </row>
    <row r="2582" spans="5:5">
      <c r="E2582" s="17"/>
    </row>
    <row r="2583" spans="5:5">
      <c r="E2583" s="17"/>
    </row>
    <row r="2584" spans="5:5">
      <c r="E2584" s="17"/>
    </row>
    <row r="2585" spans="5:5">
      <c r="E2585" s="17"/>
    </row>
    <row r="2586" spans="5:5">
      <c r="E2586" s="17"/>
    </row>
    <row r="2587" spans="5:5">
      <c r="E2587" s="17"/>
    </row>
    <row r="2588" spans="5:5">
      <c r="E2588" s="17"/>
    </row>
    <row r="2589" spans="5:5">
      <c r="E2589" s="17"/>
    </row>
    <row r="2590" spans="5:5">
      <c r="E2590" s="17"/>
    </row>
    <row r="2591" spans="5:5">
      <c r="E2591" s="17"/>
    </row>
    <row r="2592" spans="5:5">
      <c r="E2592" s="17"/>
    </row>
    <row r="2593" spans="5:5">
      <c r="E2593" s="17"/>
    </row>
    <row r="2594" spans="5:5">
      <c r="E2594" s="17"/>
    </row>
    <row r="2595" spans="5:5">
      <c r="E2595" s="17"/>
    </row>
    <row r="2596" spans="5:5">
      <c r="E2596" s="17"/>
    </row>
    <row r="2597" spans="5:5">
      <c r="E2597" s="17"/>
    </row>
    <row r="2598" spans="5:5">
      <c r="E2598" s="17"/>
    </row>
    <row r="2599" spans="5:5">
      <c r="E2599" s="17"/>
    </row>
    <row r="2600" spans="5:5">
      <c r="E2600" s="17"/>
    </row>
    <row r="2601" spans="5:5">
      <c r="E2601" s="17"/>
    </row>
    <row r="2602" spans="5:5">
      <c r="E2602" s="17"/>
    </row>
    <row r="2603" spans="5:5">
      <c r="E2603" s="17"/>
    </row>
    <row r="2604" spans="5:5">
      <c r="E2604" s="17"/>
    </row>
    <row r="2605" spans="5:5">
      <c r="E2605" s="17"/>
    </row>
    <row r="2606" spans="5:5">
      <c r="E2606" s="17"/>
    </row>
    <row r="2607" spans="5:5">
      <c r="E2607" s="17"/>
    </row>
    <row r="2608" spans="5:5">
      <c r="E2608" s="17"/>
    </row>
    <row r="2609" spans="5:5">
      <c r="E2609" s="17"/>
    </row>
    <row r="2610" spans="5:5">
      <c r="E2610" s="17"/>
    </row>
    <row r="2611" spans="5:5">
      <c r="E2611" s="17"/>
    </row>
    <row r="2612" spans="5:5">
      <c r="E2612" s="17"/>
    </row>
    <row r="2613" spans="5:5">
      <c r="E2613" s="17"/>
    </row>
    <row r="2614" spans="5:5">
      <c r="E2614" s="17"/>
    </row>
    <row r="2615" spans="5:5">
      <c r="E2615" s="17"/>
    </row>
    <row r="2616" spans="5:5">
      <c r="E2616" s="17"/>
    </row>
    <row r="2617" spans="5:5">
      <c r="E2617" s="17"/>
    </row>
    <row r="2618" spans="5:5">
      <c r="E2618" s="17"/>
    </row>
    <row r="2619" spans="5:5">
      <c r="E2619" s="17"/>
    </row>
    <row r="2620" spans="5:5">
      <c r="E2620" s="17"/>
    </row>
    <row r="2621" spans="5:5">
      <c r="E2621" s="17"/>
    </row>
    <row r="2622" spans="5:5">
      <c r="E2622" s="17"/>
    </row>
    <row r="2623" spans="5:5">
      <c r="E2623" s="17"/>
    </row>
    <row r="2624" spans="5:5">
      <c r="E2624" s="17"/>
    </row>
    <row r="2625" spans="5:5">
      <c r="E2625" s="17"/>
    </row>
    <row r="2626" spans="5:5">
      <c r="E2626" s="17"/>
    </row>
    <row r="2627" spans="5:5">
      <c r="E2627" s="17"/>
    </row>
    <row r="2628" spans="5:5">
      <c r="E2628" s="17"/>
    </row>
    <row r="2629" spans="5:5">
      <c r="E2629" s="17"/>
    </row>
    <row r="2630" spans="5:5">
      <c r="E2630" s="17"/>
    </row>
    <row r="2631" spans="5:5">
      <c r="E2631" s="17"/>
    </row>
    <row r="2632" spans="5:5">
      <c r="E2632" s="17"/>
    </row>
    <row r="2633" spans="5:5">
      <c r="E2633" s="17"/>
    </row>
    <row r="2634" spans="5:5">
      <c r="E2634" s="17"/>
    </row>
    <row r="2635" spans="5:5">
      <c r="E2635" s="17"/>
    </row>
    <row r="2636" spans="5:5">
      <c r="E2636" s="17"/>
    </row>
    <row r="2637" spans="5:5">
      <c r="E2637" s="17"/>
    </row>
    <row r="2638" spans="5:5">
      <c r="E2638" s="17"/>
    </row>
    <row r="2639" spans="5:5">
      <c r="E2639" s="17"/>
    </row>
    <row r="2640" spans="5:5">
      <c r="E2640" s="17"/>
    </row>
    <row r="2641" spans="5:5">
      <c r="E2641" s="17"/>
    </row>
    <row r="2642" spans="5:5">
      <c r="E2642" s="17"/>
    </row>
    <row r="2643" spans="5:5">
      <c r="E2643" s="17"/>
    </row>
    <row r="2644" spans="5:5">
      <c r="E2644" s="17"/>
    </row>
    <row r="2645" spans="5:5">
      <c r="E2645" s="17"/>
    </row>
    <row r="2646" spans="5:5">
      <c r="E2646" s="17"/>
    </row>
    <row r="2647" spans="5:5">
      <c r="E2647" s="17"/>
    </row>
    <row r="2648" spans="5:5">
      <c r="E2648" s="17"/>
    </row>
    <row r="2649" spans="5:5">
      <c r="E2649" s="17"/>
    </row>
    <row r="2650" spans="5:5">
      <c r="E2650" s="17"/>
    </row>
    <row r="2651" spans="5:5">
      <c r="E2651" s="17"/>
    </row>
    <row r="2652" spans="5:5">
      <c r="E2652" s="17"/>
    </row>
    <row r="2653" spans="5:5">
      <c r="E2653" s="17"/>
    </row>
    <row r="2654" spans="5:5">
      <c r="E2654" s="17"/>
    </row>
    <row r="2655" spans="5:5">
      <c r="E2655" s="17"/>
    </row>
    <row r="2656" spans="5:5">
      <c r="E2656" s="17"/>
    </row>
    <row r="2657" spans="5:5">
      <c r="E2657" s="17"/>
    </row>
    <row r="2658" spans="5:5">
      <c r="E2658" s="17"/>
    </row>
    <row r="2659" spans="5:5">
      <c r="E2659" s="17"/>
    </row>
    <row r="2660" spans="5:5">
      <c r="E2660" s="17"/>
    </row>
    <row r="2661" spans="5:5">
      <c r="E2661" s="17"/>
    </row>
    <row r="2662" spans="5:5">
      <c r="E2662" s="17"/>
    </row>
    <row r="2663" spans="5:5">
      <c r="E2663" s="17"/>
    </row>
    <row r="2664" spans="5:5">
      <c r="E2664" s="17"/>
    </row>
    <row r="2665" spans="5:5">
      <c r="E2665" s="17"/>
    </row>
    <row r="2666" spans="5:5">
      <c r="E2666" s="17"/>
    </row>
    <row r="2667" spans="5:5">
      <c r="E2667" s="17"/>
    </row>
    <row r="2668" spans="5:5">
      <c r="E2668" s="17"/>
    </row>
    <row r="2669" spans="5:5">
      <c r="E2669" s="17"/>
    </row>
    <row r="2670" spans="5:5">
      <c r="E2670" s="17"/>
    </row>
    <row r="2671" spans="5:5">
      <c r="E2671" s="17"/>
    </row>
    <row r="2672" spans="5:5">
      <c r="E2672" s="17"/>
    </row>
    <row r="2673" spans="1:5">
      <c r="E2673" s="17"/>
    </row>
    <row r="2674" spans="1:5">
      <c r="E2674" s="17"/>
    </row>
    <row r="2675" spans="1:5">
      <c r="E2675" s="17"/>
    </row>
    <row r="2676" spans="1:5">
      <c r="E2676" s="17"/>
    </row>
    <row r="2677" spans="1:5">
      <c r="E2677" s="17"/>
    </row>
    <row r="2678" spans="1:5">
      <c r="E2678" s="17"/>
    </row>
    <row r="2679" spans="1:5">
      <c r="E2679" s="17"/>
    </row>
    <row r="2680" spans="1:5">
      <c r="E2680" s="17"/>
    </row>
    <row r="2681" spans="1:5">
      <c r="E2681" s="17"/>
    </row>
    <row r="2682" spans="1:5">
      <c r="E2682" s="17"/>
    </row>
    <row r="2683" spans="1:5">
      <c r="E2683" s="17"/>
    </row>
    <row r="2684" spans="1:5">
      <c r="E2684" s="17"/>
    </row>
    <row r="2685" spans="1:5">
      <c r="E2685" s="17"/>
    </row>
    <row r="2686" spans="1:5">
      <c r="E2686" s="17"/>
    </row>
    <row r="2687" spans="1:5">
      <c r="A2687" t="s">
        <v>96</v>
      </c>
      <c r="E2687" s="17"/>
    </row>
    <row r="2688" spans="1:5">
      <c r="E2688" s="17"/>
    </row>
    <row r="2689" spans="4:5">
      <c r="E2689" s="17"/>
    </row>
    <row r="2690" spans="4:5">
      <c r="E2690" s="17"/>
    </row>
    <row r="2691" spans="4:5">
      <c r="D2691" s="17"/>
      <c r="E2691" s="17"/>
    </row>
    <row r="2692" spans="4:5">
      <c r="E2692" s="17"/>
    </row>
    <row r="2693" spans="4:5">
      <c r="E2693" s="17"/>
    </row>
    <row r="2694" spans="4:5">
      <c r="E2694" s="17"/>
    </row>
    <row r="2695" spans="4:5">
      <c r="E2695" s="17"/>
    </row>
    <row r="2696" spans="4:5">
      <c r="E2696" s="17"/>
    </row>
    <row r="2697" spans="4:5">
      <c r="E2697" s="17"/>
    </row>
    <row r="2698" spans="4:5">
      <c r="E2698" s="17"/>
    </row>
    <row r="2699" spans="4:5">
      <c r="E2699" s="17"/>
    </row>
    <row r="2700" spans="4:5">
      <c r="E2700" s="17"/>
    </row>
    <row r="2701" spans="4:5">
      <c r="D2701" s="17"/>
      <c r="E2701" s="17"/>
    </row>
    <row r="2702" spans="4:5">
      <c r="E2702" s="17"/>
    </row>
    <row r="2703" spans="4:5">
      <c r="E2703" s="17"/>
    </row>
    <row r="2704" spans="4:5">
      <c r="E2704" s="17"/>
    </row>
    <row r="2705" spans="4:7">
      <c r="E2705" s="17"/>
    </row>
    <row r="2706" spans="4:7">
      <c r="E2706" s="17"/>
    </row>
    <row r="2707" spans="4:7">
      <c r="E2707" s="17"/>
    </row>
    <row r="2708" spans="4:7">
      <c r="E2708" s="17"/>
    </row>
    <row r="2709" spans="4:7">
      <c r="E2709" s="17"/>
    </row>
    <row r="2710" spans="4:7">
      <c r="E2710" s="17"/>
    </row>
    <row r="2711" spans="4:7">
      <c r="D2711" s="17"/>
      <c r="E2711" s="17"/>
    </row>
    <row r="2712" spans="4:7">
      <c r="E2712" s="17"/>
    </row>
    <row r="2713" spans="4:7">
      <c r="E2713" s="17"/>
    </row>
    <row r="2714" spans="4:7">
      <c r="E2714" s="17"/>
    </row>
    <row r="2715" spans="4:7">
      <c r="E2715" s="17"/>
    </row>
    <row r="2716" spans="4:7">
      <c r="E2716" s="17"/>
    </row>
    <row r="2717" spans="4:7">
      <c r="E2717" s="17"/>
    </row>
    <row r="2718" spans="4:7">
      <c r="E2718" s="17"/>
      <c r="G2718" s="37"/>
    </row>
    <row r="2719" spans="4:7">
      <c r="E2719" s="17"/>
      <c r="G2719" s="37"/>
    </row>
    <row r="2720" spans="4:7">
      <c r="E2720" s="17"/>
      <c r="G2720" s="37"/>
    </row>
    <row r="2721" spans="2:7">
      <c r="E2721" s="17"/>
      <c r="G2721" s="37"/>
    </row>
    <row r="2722" spans="2:7">
      <c r="E2722" s="17"/>
      <c r="G2722" s="37"/>
    </row>
    <row r="2723" spans="2:7">
      <c r="E2723" s="17"/>
      <c r="G2723" s="37"/>
    </row>
    <row r="2724" spans="2:7">
      <c r="E2724" s="17"/>
      <c r="F2724" s="8"/>
    </row>
    <row r="2725" spans="2:7" ht="15.75">
      <c r="B2725" s="21"/>
      <c r="C2725" s="51"/>
      <c r="E2725" s="17"/>
      <c r="F2725" s="8"/>
    </row>
    <row r="2726" spans="2:7">
      <c r="E2726" s="17"/>
      <c r="F2726" s="8"/>
    </row>
    <row r="2727" spans="2:7" ht="15.75">
      <c r="B2727" s="21"/>
      <c r="E2727" s="17"/>
      <c r="F2727" s="8"/>
    </row>
    <row r="2728" spans="2:7">
      <c r="E2728" s="17"/>
      <c r="F2728" s="8"/>
    </row>
    <row r="2729" spans="2:7" ht="15.75">
      <c r="B2729" s="21"/>
      <c r="E2729" s="17"/>
      <c r="F2729" s="8"/>
    </row>
    <row r="2730" spans="2:7">
      <c r="E2730" s="17"/>
      <c r="F2730" s="8"/>
    </row>
    <row r="2731" spans="2:7" ht="15.75">
      <c r="B2731" s="21"/>
      <c r="E2731" s="17"/>
      <c r="F2731" s="8"/>
    </row>
    <row r="2732" spans="2:7">
      <c r="D2732" s="17"/>
      <c r="E2732" s="17"/>
    </row>
    <row r="2733" spans="2:7">
      <c r="D2733" s="17"/>
      <c r="E2733" s="17"/>
    </row>
    <row r="2734" spans="2:7">
      <c r="D2734" s="17"/>
      <c r="E2734" s="17"/>
    </row>
    <row r="2735" spans="2:7">
      <c r="C2735" s="38"/>
      <c r="D2735" s="45"/>
      <c r="E2735" s="45"/>
    </row>
    <row r="2736" spans="2:7">
      <c r="D2736" s="17"/>
      <c r="E2736" s="17"/>
    </row>
    <row r="2737" spans="4:5">
      <c r="D2737" s="17"/>
      <c r="E2737" s="17"/>
    </row>
    <row r="2738" spans="4:5">
      <c r="D2738" s="17"/>
      <c r="E2738" s="17"/>
    </row>
    <row r="2739" spans="4:5">
      <c r="D2739" s="17"/>
      <c r="E2739" s="17"/>
    </row>
    <row r="2740" spans="4:5">
      <c r="D2740" s="17"/>
      <c r="E2740" s="17"/>
    </row>
    <row r="2741" spans="4:5">
      <c r="D2741" s="17"/>
      <c r="E2741" s="17"/>
    </row>
    <row r="2742" spans="4:5">
      <c r="D2742" s="17"/>
      <c r="E2742" s="17"/>
    </row>
    <row r="2743" spans="4:5">
      <c r="D2743" s="17"/>
      <c r="E2743" s="17"/>
    </row>
    <row r="2744" spans="4:5">
      <c r="D2744" s="17"/>
      <c r="E2744" s="17"/>
    </row>
    <row r="2745" spans="4:5">
      <c r="D2745" s="17"/>
      <c r="E2745" s="17"/>
    </row>
    <row r="2746" spans="4:5">
      <c r="D2746" s="17"/>
      <c r="E2746" s="17"/>
    </row>
    <row r="2747" spans="4:5">
      <c r="D2747" s="17"/>
      <c r="E2747" s="17"/>
    </row>
    <row r="2748" spans="4:5">
      <c r="D2748" s="17"/>
      <c r="E2748" s="17"/>
    </row>
    <row r="2749" spans="4:5">
      <c r="D2749" s="17"/>
      <c r="E2749" s="17"/>
    </row>
    <row r="2750" spans="4:5">
      <c r="D2750" s="17"/>
      <c r="E2750" s="17"/>
    </row>
    <row r="2751" spans="4:5">
      <c r="D2751" s="17"/>
      <c r="E2751" s="17"/>
    </row>
    <row r="2752" spans="4:5">
      <c r="D2752" s="17"/>
      <c r="E2752" s="17"/>
    </row>
    <row r="2753" spans="4:5">
      <c r="D2753" s="17"/>
      <c r="E2753" s="17"/>
    </row>
    <row r="2754" spans="4:5">
      <c r="D2754" s="17"/>
      <c r="E2754" s="17"/>
    </row>
    <row r="2755" spans="4:5">
      <c r="D2755" s="17"/>
      <c r="E2755" s="17"/>
    </row>
    <row r="2756" spans="4:5">
      <c r="D2756" s="17"/>
      <c r="E2756" s="17"/>
    </row>
    <row r="2757" spans="4:5">
      <c r="D2757" s="17"/>
      <c r="E2757" s="17"/>
    </row>
    <row r="2758" spans="4:5">
      <c r="D2758" s="17"/>
      <c r="E2758" s="17"/>
    </row>
    <row r="2759" spans="4:5">
      <c r="D2759" s="17"/>
      <c r="E2759" s="17"/>
    </row>
    <row r="2760" spans="4:5">
      <c r="D2760" s="17"/>
      <c r="E2760" s="17"/>
    </row>
    <row r="2761" spans="4:5">
      <c r="D2761" s="17"/>
      <c r="E2761" s="17"/>
    </row>
    <row r="2762" spans="4:5">
      <c r="D2762" s="17"/>
      <c r="E2762" s="17"/>
    </row>
    <row r="2763" spans="4:5">
      <c r="D2763" s="17"/>
      <c r="E2763" s="17"/>
    </row>
    <row r="2764" spans="4:5">
      <c r="D2764" s="17"/>
      <c r="E2764" s="17"/>
    </row>
    <row r="2765" spans="4:5">
      <c r="D2765" s="17"/>
      <c r="E2765" s="17"/>
    </row>
    <row r="2766" spans="4:5">
      <c r="D2766" s="17"/>
      <c r="E2766" s="17"/>
    </row>
    <row r="2767" spans="4:5">
      <c r="D2767" s="17"/>
      <c r="E2767" s="17"/>
    </row>
    <row r="2768" spans="4:5">
      <c r="D2768" s="17"/>
      <c r="E2768" s="17"/>
    </row>
    <row r="2769" spans="4:5">
      <c r="D2769" s="17"/>
      <c r="E2769" s="17"/>
    </row>
    <row r="2770" spans="4:5">
      <c r="D2770" s="17"/>
      <c r="E2770" s="17"/>
    </row>
    <row r="2771" spans="4:5">
      <c r="D2771" s="17"/>
      <c r="E2771" s="17"/>
    </row>
    <row r="2772" spans="4:5">
      <c r="D2772" s="17"/>
      <c r="E2772" s="17"/>
    </row>
    <row r="2773" spans="4:5">
      <c r="D2773" s="17"/>
      <c r="E2773" s="17"/>
    </row>
    <row r="2774" spans="4:5">
      <c r="D2774" s="17"/>
      <c r="E2774" s="17"/>
    </row>
    <row r="2775" spans="4:5">
      <c r="D2775" s="17"/>
      <c r="E2775" s="17"/>
    </row>
    <row r="2776" spans="4:5">
      <c r="D2776" s="17"/>
      <c r="E2776" s="17"/>
    </row>
    <row r="2777" spans="4:5">
      <c r="D2777" s="17"/>
      <c r="E2777" s="17"/>
    </row>
    <row r="2778" spans="4:5">
      <c r="D2778" s="17"/>
      <c r="E2778" s="17"/>
    </row>
    <row r="2779" spans="4:5">
      <c r="D2779" s="17"/>
      <c r="E2779" s="17"/>
    </row>
    <row r="2780" spans="4:5">
      <c r="D2780" s="17"/>
      <c r="E2780" s="17"/>
    </row>
    <row r="2781" spans="4:5">
      <c r="D2781" s="17"/>
      <c r="E2781" s="17"/>
    </row>
    <row r="2782" spans="4:5">
      <c r="D2782" s="17"/>
      <c r="E2782" s="17"/>
    </row>
    <row r="2783" spans="4:5">
      <c r="D2783" s="17"/>
      <c r="E2783" s="17"/>
    </row>
    <row r="2784" spans="4:5">
      <c r="D2784" s="17"/>
      <c r="E2784" s="17"/>
    </row>
    <row r="2785" spans="2:6">
      <c r="D2785" s="17"/>
      <c r="E2785" s="17"/>
    </row>
    <row r="2786" spans="2:6">
      <c r="D2786" s="17"/>
      <c r="E2786" s="17"/>
    </row>
    <row r="2787" spans="2:6">
      <c r="D2787" s="17"/>
      <c r="E2787" s="17"/>
    </row>
    <row r="2788" spans="2:6">
      <c r="D2788" s="17"/>
      <c r="E2788" s="17"/>
    </row>
    <row r="2789" spans="2:6">
      <c r="D2789" s="17"/>
      <c r="E2789" s="17"/>
    </row>
    <row r="2790" spans="2:6">
      <c r="D2790" s="17"/>
      <c r="E2790" s="17"/>
    </row>
    <row r="2791" spans="2:6">
      <c r="D2791" s="17"/>
      <c r="E2791" s="17"/>
    </row>
    <row r="2792" spans="2:6">
      <c r="D2792" s="17"/>
      <c r="E2792" s="17"/>
    </row>
    <row r="2793" spans="2:6">
      <c r="D2793" s="17"/>
      <c r="E2793" s="17"/>
    </row>
    <row r="2794" spans="2:6" ht="15.75">
      <c r="B2794" s="21"/>
      <c r="D2794" s="17"/>
      <c r="E2794" s="17"/>
      <c r="F2794" s="8"/>
    </row>
    <row r="2795" spans="2:6" ht="15.75">
      <c r="B2795" s="21"/>
      <c r="D2795" s="17"/>
      <c r="E2795" s="17"/>
      <c r="F2795" s="8"/>
    </row>
    <row r="2796" spans="2:6" ht="15.75">
      <c r="B2796" s="21"/>
      <c r="D2796" s="17"/>
      <c r="E2796" s="17"/>
      <c r="F2796" s="8"/>
    </row>
    <row r="2797" spans="2:6" ht="15.75">
      <c r="B2797" s="21"/>
      <c r="D2797" s="17"/>
      <c r="E2797" s="17"/>
      <c r="F2797" s="8"/>
    </row>
    <row r="2798" spans="2:6" ht="15.75">
      <c r="B2798" s="21"/>
      <c r="D2798" s="17"/>
      <c r="E2798" s="17"/>
      <c r="F2798" s="8"/>
    </row>
    <row r="2799" spans="2:6" ht="15.75">
      <c r="B2799" s="21"/>
      <c r="D2799" s="17"/>
      <c r="E2799" s="17"/>
      <c r="F2799" s="8"/>
    </row>
    <row r="2800" spans="2:6" ht="15.75">
      <c r="B2800" s="21"/>
      <c r="D2800" s="17"/>
      <c r="E2800" s="17"/>
      <c r="F2800" s="8"/>
    </row>
    <row r="2801" spans="2:6" ht="15.75">
      <c r="B2801" s="21"/>
      <c r="D2801" s="17"/>
      <c r="E2801" s="17"/>
      <c r="F2801" s="8"/>
    </row>
    <row r="2802" spans="2:6" ht="15.75">
      <c r="B2802" s="21"/>
      <c r="D2802" s="17"/>
      <c r="E2802" s="17"/>
      <c r="F2802" s="8"/>
    </row>
    <row r="2803" spans="2:6" ht="15.75">
      <c r="B2803" s="21"/>
      <c r="D2803" s="17"/>
      <c r="E2803" s="17"/>
      <c r="F2803" s="8"/>
    </row>
    <row r="2804" spans="2:6" ht="15.75">
      <c r="B2804" s="21"/>
      <c r="D2804" s="17"/>
      <c r="E2804" s="17"/>
      <c r="F2804" s="8"/>
    </row>
    <row r="2805" spans="2:6" ht="15.75">
      <c r="B2805" s="21"/>
      <c r="D2805" s="17"/>
      <c r="E2805" s="17"/>
      <c r="F2805" s="8"/>
    </row>
    <row r="2806" spans="2:6" ht="15.75">
      <c r="B2806" s="21"/>
      <c r="D2806" s="17"/>
      <c r="E2806" s="17"/>
    </row>
    <row r="2807" spans="2:6" ht="15.75">
      <c r="B2807" s="21"/>
      <c r="D2807" s="17"/>
      <c r="E2807" s="17"/>
    </row>
    <row r="2808" spans="2:6" ht="15.75">
      <c r="B2808" s="21"/>
      <c r="D2808" s="17"/>
      <c r="E2808" s="17"/>
    </row>
    <row r="2809" spans="2:6" ht="15.75">
      <c r="B2809" s="21"/>
      <c r="D2809" s="17"/>
      <c r="E2809" s="17"/>
    </row>
    <row r="2810" spans="2:6" ht="15.75">
      <c r="B2810" s="21"/>
      <c r="D2810" s="17"/>
      <c r="E2810" s="17"/>
    </row>
    <row r="2811" spans="2:6" ht="15.75">
      <c r="B2811" s="21"/>
      <c r="D2811" s="17"/>
      <c r="E2811" s="17"/>
    </row>
    <row r="2812" spans="2:6" ht="15.75">
      <c r="B2812" s="21"/>
      <c r="D2812" s="17"/>
      <c r="E2812" s="17"/>
    </row>
    <row r="2813" spans="2:6" ht="15.75">
      <c r="B2813" s="21"/>
      <c r="D2813" s="17"/>
      <c r="E2813" s="17"/>
    </row>
    <row r="2814" spans="2:6" ht="15.75">
      <c r="B2814" s="21"/>
      <c r="D2814" s="17"/>
      <c r="E2814" s="17"/>
    </row>
    <row r="2815" spans="2:6" ht="15.75">
      <c r="B2815" s="21"/>
      <c r="D2815" s="17"/>
      <c r="E2815" s="17"/>
    </row>
    <row r="2816" spans="2:6" ht="15.75">
      <c r="B2816" s="21"/>
      <c r="D2816" s="17"/>
      <c r="E2816" s="17"/>
    </row>
    <row r="2817" spans="2:5" ht="15.75">
      <c r="B2817" s="21"/>
      <c r="D2817" s="17"/>
      <c r="E2817" s="17"/>
    </row>
    <row r="2818" spans="2:5" ht="15.75">
      <c r="B2818" s="21"/>
      <c r="D2818" s="17"/>
      <c r="E2818" s="17"/>
    </row>
    <row r="2819" spans="2:5" ht="15.75">
      <c r="B2819" s="21"/>
      <c r="D2819" s="17"/>
      <c r="E2819" s="17"/>
    </row>
    <row r="2820" spans="2:5" ht="15.75">
      <c r="B2820" s="21"/>
      <c r="D2820" s="17"/>
      <c r="E2820" s="17"/>
    </row>
    <row r="2821" spans="2:5" ht="15.75">
      <c r="B2821" s="21"/>
      <c r="D2821" s="17"/>
      <c r="E2821" s="17"/>
    </row>
    <row r="2822" spans="2:5" ht="15.75">
      <c r="B2822" s="21"/>
      <c r="D2822" s="17"/>
      <c r="E2822" s="17"/>
    </row>
    <row r="2823" spans="2:5" ht="15.75">
      <c r="B2823" s="21"/>
      <c r="D2823" s="17"/>
      <c r="E2823" s="17"/>
    </row>
    <row r="2824" spans="2:5" ht="15.75">
      <c r="B2824" s="21"/>
      <c r="D2824" s="17"/>
      <c r="E2824" s="17"/>
    </row>
    <row r="2825" spans="2:5" ht="15.75">
      <c r="B2825" s="21"/>
      <c r="D2825" s="17"/>
      <c r="E2825" s="17"/>
    </row>
    <row r="2826" spans="2:5" ht="15.75">
      <c r="B2826" s="21"/>
      <c r="D2826" s="17"/>
      <c r="E2826" s="17"/>
    </row>
    <row r="2827" spans="2:5" ht="15.75">
      <c r="B2827" s="21"/>
      <c r="D2827" s="17"/>
      <c r="E2827" s="17"/>
    </row>
    <row r="2828" spans="2:5" ht="15.75">
      <c r="B2828" s="21"/>
      <c r="D2828" s="17"/>
      <c r="E2828" s="17"/>
    </row>
    <row r="2829" spans="2:5" ht="15.75">
      <c r="B2829" s="21"/>
      <c r="D2829" s="17"/>
      <c r="E2829" s="17"/>
    </row>
    <row r="2830" spans="2:5" ht="15.75">
      <c r="B2830" s="21"/>
      <c r="D2830" s="17"/>
      <c r="E2830" s="17"/>
    </row>
    <row r="2831" spans="2:5" ht="15.75">
      <c r="B2831" s="21"/>
      <c r="D2831" s="17"/>
      <c r="E2831" s="17"/>
    </row>
    <row r="2832" spans="2:5" ht="15.75">
      <c r="B2832" s="21"/>
      <c r="D2832" s="17"/>
      <c r="E2832" s="17"/>
    </row>
    <row r="2833" spans="2:5" ht="15.75">
      <c r="B2833" s="21"/>
      <c r="D2833" s="17"/>
      <c r="E2833" s="17"/>
    </row>
    <row r="2834" spans="2:5" ht="15.75">
      <c r="B2834" s="21"/>
      <c r="D2834" s="17"/>
      <c r="E2834" s="17"/>
    </row>
    <row r="2835" spans="2:5" ht="15.75">
      <c r="B2835" s="21"/>
      <c r="D2835" s="17"/>
      <c r="E2835" s="17"/>
    </row>
    <row r="2836" spans="2:5" ht="15.75">
      <c r="B2836" s="21"/>
      <c r="D2836" s="17"/>
      <c r="E2836" s="17"/>
    </row>
    <row r="2837" spans="2:5" ht="15.75">
      <c r="B2837" s="21"/>
      <c r="D2837" s="17"/>
      <c r="E2837" s="17"/>
    </row>
    <row r="2838" spans="2:5" ht="15.75">
      <c r="B2838" s="21"/>
      <c r="D2838" s="17"/>
      <c r="E2838" s="17"/>
    </row>
    <row r="2839" spans="2:5" ht="15.75">
      <c r="B2839" s="21"/>
      <c r="D2839" s="17"/>
      <c r="E2839" s="17"/>
    </row>
    <row r="2840" spans="2:5" ht="15.75">
      <c r="B2840" s="21"/>
      <c r="D2840" s="17"/>
      <c r="E2840" s="17"/>
    </row>
    <row r="2841" spans="2:5" ht="15.75">
      <c r="B2841" s="21"/>
      <c r="D2841" s="17"/>
      <c r="E2841" s="17"/>
    </row>
    <row r="2842" spans="2:5" ht="15.75">
      <c r="B2842" s="21"/>
      <c r="D2842" s="17"/>
      <c r="E2842" s="17"/>
    </row>
    <row r="2843" spans="2:5" ht="15.75">
      <c r="B2843" s="21"/>
      <c r="D2843" s="17"/>
      <c r="E2843" s="17"/>
    </row>
    <row r="2844" spans="2:5" ht="15.75">
      <c r="B2844" s="21"/>
      <c r="D2844" s="17"/>
      <c r="E2844" s="17"/>
    </row>
    <row r="2845" spans="2:5" ht="15.75">
      <c r="B2845" s="21"/>
      <c r="D2845" s="17"/>
      <c r="E2845" s="17"/>
    </row>
    <row r="2846" spans="2:5" ht="15.75">
      <c r="B2846" s="21"/>
      <c r="D2846" s="17"/>
      <c r="E2846" s="17"/>
    </row>
    <row r="2847" spans="2:5" ht="15.75">
      <c r="B2847" s="21"/>
      <c r="D2847" s="17"/>
      <c r="E2847" s="17"/>
    </row>
    <row r="2848" spans="2:5" ht="15.75">
      <c r="B2848" s="21"/>
      <c r="D2848" s="17"/>
      <c r="E2848" s="17"/>
    </row>
    <row r="2849" spans="2:5" ht="15.75">
      <c r="B2849" s="21"/>
      <c r="D2849" s="17"/>
      <c r="E2849" s="17"/>
    </row>
    <row r="2850" spans="2:5" ht="15.75">
      <c r="B2850" s="21"/>
      <c r="D2850" s="17"/>
      <c r="E2850" s="17"/>
    </row>
    <row r="2851" spans="2:5" ht="15.75">
      <c r="B2851" s="21"/>
      <c r="D2851" s="17"/>
      <c r="E2851" s="17"/>
    </row>
    <row r="2852" spans="2:5" ht="15.75">
      <c r="B2852" s="21"/>
      <c r="D2852" s="17"/>
      <c r="E2852" s="17"/>
    </row>
    <row r="2853" spans="2:5" ht="15.75">
      <c r="B2853" s="21"/>
      <c r="D2853" s="17"/>
      <c r="E2853" s="17"/>
    </row>
    <row r="2854" spans="2:5" ht="15.75">
      <c r="B2854" s="21"/>
      <c r="D2854" s="17"/>
      <c r="E2854" s="17"/>
    </row>
    <row r="2855" spans="2:5" ht="15.75">
      <c r="B2855" s="21"/>
      <c r="D2855" s="17"/>
      <c r="E2855" s="17"/>
    </row>
    <row r="2856" spans="2:5" ht="15.75">
      <c r="B2856" s="21"/>
      <c r="D2856" s="17"/>
      <c r="E2856" s="17"/>
    </row>
    <row r="2857" spans="2:5" ht="15.75">
      <c r="B2857" s="21"/>
      <c r="D2857" s="17"/>
      <c r="E2857" s="17"/>
    </row>
    <row r="2858" spans="2:5" ht="15.75">
      <c r="B2858" s="21"/>
      <c r="D2858" s="17"/>
      <c r="E2858" s="17"/>
    </row>
    <row r="2859" spans="2:5" ht="15.75">
      <c r="B2859" s="21"/>
      <c r="D2859" s="17"/>
      <c r="E2859" s="17"/>
    </row>
    <row r="2860" spans="2:5" ht="15.75">
      <c r="B2860" s="21"/>
      <c r="D2860" s="17"/>
      <c r="E2860" s="17"/>
    </row>
    <row r="2861" spans="2:5" ht="15.75">
      <c r="B2861" s="21"/>
      <c r="D2861" s="17"/>
      <c r="E2861" s="17"/>
    </row>
    <row r="2862" spans="2:5" ht="15.75">
      <c r="B2862" s="21"/>
      <c r="D2862" s="17"/>
      <c r="E2862" s="17"/>
    </row>
    <row r="2863" spans="2:5" ht="15.75">
      <c r="B2863" s="21"/>
      <c r="D2863" s="17"/>
      <c r="E2863" s="17"/>
    </row>
    <row r="2864" spans="2:5" ht="15.75">
      <c r="B2864" s="21"/>
      <c r="D2864" s="17"/>
      <c r="E2864" s="17"/>
    </row>
    <row r="2865" spans="2:6" ht="15.75">
      <c r="B2865" s="21"/>
      <c r="D2865" s="17"/>
      <c r="E2865" s="17"/>
    </row>
    <row r="2866" spans="2:6" ht="15.75">
      <c r="B2866" s="21"/>
      <c r="D2866" s="17"/>
      <c r="E2866" s="17"/>
    </row>
    <row r="2867" spans="2:6" ht="15.75">
      <c r="B2867" s="21"/>
      <c r="D2867" s="17"/>
      <c r="E2867" s="17"/>
    </row>
    <row r="2868" spans="2:6" ht="15.75">
      <c r="B2868" s="21"/>
      <c r="D2868" s="17"/>
      <c r="E2868" s="17"/>
    </row>
    <row r="2869" spans="2:6" ht="15.75">
      <c r="B2869" s="21"/>
      <c r="D2869" s="17"/>
      <c r="E2869" s="17"/>
    </row>
    <row r="2870" spans="2:6" ht="15.75">
      <c r="B2870" s="21"/>
      <c r="D2870" s="17"/>
      <c r="E2870" s="17"/>
      <c r="F2870" s="8"/>
    </row>
    <row r="2871" spans="2:6" ht="15.75">
      <c r="B2871" s="21"/>
      <c r="D2871" s="17"/>
      <c r="E2871" s="17"/>
      <c r="F2871" s="8"/>
    </row>
    <row r="2872" spans="2:6" ht="15.75">
      <c r="B2872" s="21"/>
      <c r="D2872" s="17"/>
      <c r="E2872" s="17"/>
      <c r="F2872" s="8"/>
    </row>
    <row r="2873" spans="2:6" ht="15.75">
      <c r="B2873" s="21"/>
      <c r="D2873" s="17"/>
      <c r="E2873" s="17"/>
      <c r="F2873" s="8"/>
    </row>
    <row r="2874" spans="2:6" ht="15.75">
      <c r="B2874" s="21"/>
      <c r="D2874" s="17"/>
      <c r="E2874" s="17"/>
      <c r="F2874" s="8"/>
    </row>
    <row r="2875" spans="2:6" ht="15.75">
      <c r="B2875" s="21"/>
      <c r="D2875" s="17"/>
      <c r="E2875" s="17"/>
      <c r="F2875" s="8"/>
    </row>
    <row r="2876" spans="2:6" ht="15.75">
      <c r="B2876" s="21"/>
      <c r="D2876" s="17"/>
      <c r="E2876" s="17"/>
      <c r="F2876" s="8"/>
    </row>
    <row r="2877" spans="2:6" ht="15.75">
      <c r="B2877" s="21"/>
      <c r="D2877" s="17"/>
      <c r="E2877" s="17"/>
      <c r="F2877" s="8"/>
    </row>
    <row r="2878" spans="2:6" ht="15.75">
      <c r="B2878" s="21"/>
      <c r="D2878" s="17"/>
      <c r="E2878" s="17"/>
      <c r="F2878" s="8"/>
    </row>
    <row r="2879" spans="2:6" ht="15.75">
      <c r="B2879" s="21"/>
      <c r="D2879" s="17"/>
      <c r="E2879" s="17"/>
      <c r="F2879" s="8"/>
    </row>
    <row r="2880" spans="2:6" ht="15.75">
      <c r="B2880" s="21"/>
      <c r="D2880" s="17"/>
      <c r="E2880" s="17"/>
      <c r="F2880" s="8"/>
    </row>
    <row r="2881" spans="2:6" ht="15.75">
      <c r="B2881" s="21"/>
      <c r="D2881" s="17"/>
      <c r="E2881" s="17"/>
      <c r="F2881" s="8"/>
    </row>
    <row r="2882" spans="2:6" ht="15.75">
      <c r="B2882" s="21"/>
      <c r="D2882" s="17"/>
      <c r="E2882" s="17"/>
      <c r="F2882" s="8"/>
    </row>
    <row r="2883" spans="2:6" ht="15.75">
      <c r="B2883" s="21"/>
      <c r="D2883" s="17"/>
      <c r="E2883" s="17"/>
      <c r="F2883" s="8"/>
    </row>
    <row r="2884" spans="2:6" ht="15.75">
      <c r="B2884" s="21"/>
      <c r="D2884" s="17"/>
      <c r="E2884" s="17"/>
      <c r="F2884" s="8"/>
    </row>
    <row r="2885" spans="2:6" ht="15.75">
      <c r="B2885" s="21"/>
      <c r="D2885" s="17"/>
      <c r="E2885" s="17"/>
      <c r="F2885" s="8"/>
    </row>
    <row r="2886" spans="2:6" ht="15.75">
      <c r="B2886" s="21"/>
      <c r="D2886" s="17"/>
      <c r="E2886" s="17"/>
      <c r="F2886" s="8"/>
    </row>
    <row r="2887" spans="2:6" ht="15.75">
      <c r="B2887" s="21"/>
      <c r="D2887" s="17"/>
      <c r="E2887" s="17"/>
      <c r="F2887" s="8"/>
    </row>
    <row r="2888" spans="2:6" ht="15.75">
      <c r="B2888" s="21"/>
      <c r="D2888" s="17"/>
      <c r="E2888" s="17"/>
      <c r="F2888" s="8"/>
    </row>
    <row r="2889" spans="2:6" ht="15.75">
      <c r="B2889" s="21"/>
      <c r="D2889" s="17"/>
      <c r="E2889" s="17"/>
      <c r="F2889" s="8"/>
    </row>
    <row r="2890" spans="2:6" ht="15.75">
      <c r="B2890" s="21"/>
      <c r="D2890" s="17"/>
      <c r="E2890" s="17"/>
      <c r="F2890" s="8"/>
    </row>
    <row r="2891" spans="2:6" ht="15.75">
      <c r="B2891" s="21"/>
      <c r="D2891" s="17"/>
      <c r="E2891" s="17"/>
      <c r="F2891" s="8"/>
    </row>
    <row r="2892" spans="2:6" ht="15.75">
      <c r="B2892" s="21"/>
      <c r="D2892" s="17"/>
      <c r="E2892" s="17"/>
      <c r="F2892" s="8"/>
    </row>
    <row r="2893" spans="2:6" ht="15.75">
      <c r="B2893" s="21"/>
      <c r="D2893" s="17"/>
      <c r="E2893" s="17"/>
      <c r="F2893" s="8"/>
    </row>
    <row r="2894" spans="2:6" ht="15.75">
      <c r="B2894" s="21"/>
      <c r="D2894" s="17"/>
      <c r="E2894" s="17"/>
      <c r="F2894" s="8"/>
    </row>
    <row r="2895" spans="2:6" ht="15.75">
      <c r="B2895" s="21"/>
      <c r="D2895" s="17"/>
      <c r="E2895" s="17"/>
      <c r="F2895" s="8"/>
    </row>
    <row r="2896" spans="2:6" ht="15.75">
      <c r="B2896" s="21"/>
      <c r="D2896" s="17"/>
      <c r="E2896" s="17"/>
      <c r="F2896" s="8"/>
    </row>
    <row r="2897" spans="2:6" ht="15.75">
      <c r="B2897" s="21"/>
      <c r="D2897" s="17"/>
      <c r="E2897" s="17"/>
      <c r="F2897" s="8"/>
    </row>
    <row r="2898" spans="2:6" ht="15.75">
      <c r="B2898" s="21"/>
      <c r="D2898" s="17"/>
      <c r="E2898" s="17"/>
      <c r="F2898" s="8"/>
    </row>
    <row r="2899" spans="2:6" ht="15.75">
      <c r="B2899" s="21"/>
      <c r="D2899" s="17"/>
      <c r="E2899" s="17"/>
      <c r="F2899" s="8"/>
    </row>
    <row r="2900" spans="2:6" ht="15.75">
      <c r="B2900" s="21"/>
      <c r="D2900" s="17"/>
      <c r="E2900" s="17"/>
      <c r="F2900" s="8"/>
    </row>
    <row r="2901" spans="2:6" ht="15.75">
      <c r="B2901" s="21"/>
      <c r="D2901" s="17"/>
      <c r="E2901" s="17"/>
      <c r="F2901" s="8"/>
    </row>
    <row r="2902" spans="2:6" ht="15.75">
      <c r="B2902" s="21"/>
      <c r="D2902" s="17"/>
      <c r="E2902" s="17"/>
      <c r="F2902" s="8"/>
    </row>
    <row r="2903" spans="2:6" ht="15.75">
      <c r="B2903" s="21"/>
      <c r="D2903" s="17"/>
      <c r="E2903" s="17"/>
      <c r="F2903" s="8"/>
    </row>
    <row r="2904" spans="2:6" ht="15.75">
      <c r="B2904" s="21"/>
      <c r="D2904" s="17"/>
      <c r="E2904" s="17"/>
      <c r="F2904" s="8"/>
    </row>
    <row r="2905" spans="2:6" ht="15.75">
      <c r="B2905" s="21"/>
      <c r="D2905" s="17"/>
      <c r="E2905" s="17"/>
      <c r="F2905" s="8"/>
    </row>
    <row r="2906" spans="2:6" ht="15.75">
      <c r="B2906" s="21"/>
      <c r="E2906" s="17"/>
      <c r="F2906" s="8"/>
    </row>
    <row r="2907" spans="2:6" ht="15.75">
      <c r="B2907" s="21"/>
      <c r="E2907" s="17"/>
      <c r="F2907" s="8"/>
    </row>
    <row r="2908" spans="2:6" ht="15.75">
      <c r="B2908" s="21"/>
      <c r="C2908" s="46"/>
      <c r="D2908" s="17"/>
      <c r="E2908" s="47"/>
      <c r="F2908" s="8"/>
    </row>
    <row r="2909" spans="2:6" ht="15.75">
      <c r="B2909" s="21"/>
      <c r="E2909" s="17"/>
      <c r="F2909" s="8"/>
    </row>
    <row r="2910" spans="2:6" ht="15.75">
      <c r="B2910" s="21"/>
      <c r="E2910" s="17"/>
      <c r="F2910" s="8"/>
    </row>
    <row r="2911" spans="2:6" ht="15.75">
      <c r="B2911" s="21"/>
      <c r="E2911" s="17"/>
      <c r="F2911" s="8"/>
    </row>
    <row r="2912" spans="2:6" ht="15.75">
      <c r="B2912" s="21"/>
      <c r="E2912" s="17"/>
      <c r="F2912" s="8"/>
    </row>
    <row r="2913" spans="2:6" ht="15.75">
      <c r="B2913" s="21"/>
      <c r="E2913" s="17"/>
      <c r="F2913" s="8"/>
    </row>
    <row r="2914" spans="2:6" ht="15.75">
      <c r="B2914" s="21"/>
      <c r="E2914" s="17"/>
      <c r="F2914" s="8"/>
    </row>
    <row r="2915" spans="2:6" ht="15.75">
      <c r="B2915" s="21"/>
      <c r="E2915" s="17"/>
      <c r="F2915" s="8"/>
    </row>
    <row r="2916" spans="2:6" ht="15.75">
      <c r="B2916" s="21"/>
      <c r="E2916" s="17"/>
      <c r="F2916" s="8"/>
    </row>
    <row r="2917" spans="2:6" ht="15.75">
      <c r="B2917" s="21"/>
      <c r="E2917" s="17"/>
      <c r="F2917" s="8"/>
    </row>
    <row r="2918" spans="2:6" ht="15.75">
      <c r="B2918" s="21"/>
      <c r="E2918" s="17"/>
      <c r="F2918" s="8"/>
    </row>
    <row r="2919" spans="2:6" ht="15.75">
      <c r="B2919" s="21"/>
      <c r="E2919" s="17"/>
      <c r="F2919" s="8"/>
    </row>
    <row r="2920" spans="2:6" ht="15.75">
      <c r="B2920" s="21"/>
      <c r="D2920" s="17"/>
      <c r="E2920" s="17"/>
      <c r="F2920" s="8"/>
    </row>
    <row r="2921" spans="2:6" ht="15.75">
      <c r="B2921" s="21"/>
      <c r="D2921" s="17"/>
      <c r="E2921" s="17"/>
      <c r="F2921" s="8"/>
    </row>
    <row r="2922" spans="2:6" ht="15.75">
      <c r="B2922" s="21"/>
      <c r="D2922" s="17"/>
      <c r="E2922" s="17"/>
      <c r="F2922" s="8"/>
    </row>
    <row r="2923" spans="2:6" ht="15.75">
      <c r="B2923" s="21"/>
      <c r="D2923" s="17"/>
      <c r="E2923" s="17"/>
      <c r="F2923" s="8"/>
    </row>
    <row r="2924" spans="2:6" ht="15.75">
      <c r="B2924" s="21"/>
      <c r="D2924" s="17"/>
      <c r="E2924" s="17"/>
      <c r="F2924" s="8"/>
    </row>
    <row r="2925" spans="2:6" ht="15.75">
      <c r="B2925" s="21"/>
      <c r="D2925" s="17"/>
      <c r="E2925" s="17"/>
      <c r="F2925" s="8"/>
    </row>
    <row r="2926" spans="2:6" ht="15.75">
      <c r="B2926" s="21"/>
      <c r="D2926" s="17"/>
      <c r="E2926" s="17"/>
      <c r="F2926" s="8"/>
    </row>
    <row r="2927" spans="2:6" ht="15.75">
      <c r="B2927" s="21"/>
      <c r="D2927" s="17"/>
      <c r="E2927" s="17"/>
      <c r="F2927" s="8"/>
    </row>
    <row r="2928" spans="2:6" ht="15.75">
      <c r="B2928" s="21"/>
      <c r="D2928" s="17"/>
      <c r="E2928" s="17"/>
      <c r="F2928" s="8"/>
    </row>
    <row r="2929" spans="2:6" ht="15.75">
      <c r="B2929" s="21"/>
      <c r="D2929" s="17"/>
      <c r="E2929" s="17"/>
      <c r="F2929" s="8"/>
    </row>
    <row r="2930" spans="2:6" ht="15.75">
      <c r="B2930" s="21"/>
      <c r="D2930" s="17"/>
      <c r="E2930" s="17"/>
      <c r="F2930" s="8"/>
    </row>
    <row r="2931" spans="2:6" ht="15.75">
      <c r="B2931" s="21"/>
      <c r="D2931" s="17"/>
      <c r="E2931" s="17"/>
      <c r="F2931" s="8"/>
    </row>
    <row r="2932" spans="2:6" ht="15.75">
      <c r="B2932" s="21"/>
      <c r="D2932" s="17"/>
      <c r="E2932" s="17"/>
      <c r="F2932" s="8"/>
    </row>
    <row r="2933" spans="2:6" ht="15.75">
      <c r="B2933" s="21"/>
      <c r="D2933" s="17"/>
      <c r="E2933" s="17"/>
      <c r="F2933" s="8"/>
    </row>
    <row r="2934" spans="2:6" ht="15.75">
      <c r="B2934" s="21"/>
      <c r="D2934" s="17"/>
      <c r="E2934" s="17"/>
      <c r="F2934" s="8"/>
    </row>
    <row r="2935" spans="2:6" ht="15.75">
      <c r="B2935" s="21"/>
      <c r="D2935" s="17"/>
      <c r="E2935" s="17"/>
      <c r="F2935" s="8"/>
    </row>
    <row r="2936" spans="2:6" ht="15.75">
      <c r="B2936" s="21"/>
      <c r="D2936" s="17"/>
      <c r="E2936" s="17"/>
      <c r="F2936" s="8"/>
    </row>
    <row r="2937" spans="2:6" ht="15.75">
      <c r="B2937" s="21"/>
      <c r="D2937" s="17"/>
      <c r="E2937" s="17"/>
      <c r="F2937" s="8"/>
    </row>
    <row r="2938" spans="2:6" ht="15.75">
      <c r="B2938" s="21"/>
      <c r="E2938" s="17"/>
      <c r="F2938" s="8"/>
    </row>
    <row r="2939" spans="2:6" ht="15.75">
      <c r="B2939" s="21"/>
      <c r="E2939" s="17"/>
      <c r="F2939" s="8"/>
    </row>
    <row r="2940" spans="2:6" ht="15.75">
      <c r="B2940" s="21"/>
      <c r="E2940" s="17"/>
      <c r="F2940" s="8"/>
    </row>
    <row r="2941" spans="2:6" ht="15.75">
      <c r="B2941" s="21"/>
      <c r="E2941" s="17"/>
      <c r="F2941" s="8"/>
    </row>
    <row r="2942" spans="2:6" ht="15.75">
      <c r="B2942" s="21"/>
      <c r="E2942" s="17"/>
      <c r="F2942" s="8"/>
    </row>
    <row r="2943" spans="2:6" ht="15.75">
      <c r="B2943" s="21"/>
      <c r="E2943" s="17"/>
      <c r="F2943" s="8"/>
    </row>
    <row r="2944" spans="2:6" ht="15.75">
      <c r="B2944" s="21"/>
      <c r="E2944" s="17"/>
      <c r="F2944" s="8"/>
    </row>
    <row r="2945" spans="2:6" ht="15.75">
      <c r="B2945" s="21"/>
      <c r="E2945" s="17"/>
      <c r="F2945" s="8"/>
    </row>
    <row r="2946" spans="2:6" ht="15.75">
      <c r="B2946" s="21"/>
      <c r="E2946" s="17"/>
      <c r="F2946" s="8"/>
    </row>
    <row r="2947" spans="2:6" ht="15.75">
      <c r="B2947" s="21"/>
      <c r="E2947" s="17"/>
      <c r="F2947" s="8"/>
    </row>
    <row r="2948" spans="2:6" ht="15.75">
      <c r="B2948" s="21"/>
      <c r="E2948" s="17"/>
      <c r="F2948" s="8"/>
    </row>
    <row r="2949" spans="2:6" ht="15.75">
      <c r="B2949" s="21"/>
      <c r="E2949" s="17"/>
      <c r="F2949" s="8"/>
    </row>
    <row r="2950" spans="2:6" ht="15.75">
      <c r="B2950" s="21"/>
      <c r="E2950" s="17"/>
      <c r="F2950" s="8"/>
    </row>
    <row r="2951" spans="2:6" ht="15.75">
      <c r="B2951" s="21"/>
      <c r="E2951" s="17"/>
      <c r="F2951" s="8"/>
    </row>
    <row r="2952" spans="2:6" ht="15.75">
      <c r="B2952" s="21"/>
      <c r="E2952" s="17"/>
      <c r="F2952" s="8"/>
    </row>
    <row r="2953" spans="2:6" ht="15.75">
      <c r="B2953" s="21"/>
      <c r="E2953" s="17"/>
      <c r="F2953" s="8"/>
    </row>
    <row r="2954" spans="2:6" ht="15.75">
      <c r="B2954" s="21"/>
      <c r="E2954" s="17"/>
      <c r="F2954" s="8"/>
    </row>
    <row r="2955" spans="2:6" ht="15.75">
      <c r="B2955" s="21"/>
      <c r="E2955" s="17"/>
      <c r="F2955" s="8"/>
    </row>
    <row r="2956" spans="2:6" ht="15.75">
      <c r="B2956" s="21"/>
      <c r="E2956" s="17"/>
      <c r="F2956" s="8"/>
    </row>
    <row r="2957" spans="2:6" ht="15.75">
      <c r="B2957" s="21"/>
      <c r="E2957" s="17"/>
      <c r="F2957" s="8"/>
    </row>
    <row r="2958" spans="2:6" ht="15.75">
      <c r="B2958" s="48"/>
      <c r="D2958" s="17"/>
      <c r="E2958" s="17"/>
      <c r="F2958" s="8"/>
    </row>
    <row r="2959" spans="2:6" ht="15.75">
      <c r="B2959" s="48"/>
      <c r="D2959" s="17"/>
      <c r="E2959" s="17"/>
      <c r="F2959" s="8"/>
    </row>
    <row r="2960" spans="2:6" ht="15.75">
      <c r="B2960" s="48"/>
      <c r="D2960" s="17"/>
      <c r="E2960" s="17"/>
      <c r="F2960" s="8"/>
    </row>
    <row r="2961" spans="2:6" ht="15.75">
      <c r="B2961" s="48"/>
      <c r="D2961" s="17"/>
      <c r="E2961" s="17"/>
      <c r="F2961" s="8"/>
    </row>
    <row r="2962" spans="2:6" ht="15.75">
      <c r="B2962" s="48"/>
      <c r="D2962" s="17"/>
      <c r="E2962" s="17"/>
      <c r="F2962" s="8"/>
    </row>
    <row r="2963" spans="2:6" ht="15.75">
      <c r="B2963" s="48"/>
      <c r="D2963" s="17"/>
      <c r="E2963" s="17"/>
      <c r="F2963" s="8"/>
    </row>
    <row r="2964" spans="2:6" ht="15.75">
      <c r="B2964" s="48"/>
      <c r="C2964" s="46"/>
      <c r="D2964" s="47"/>
      <c r="E2964" s="47"/>
      <c r="F2964" s="8"/>
    </row>
    <row r="2965" spans="2:6" ht="15.75">
      <c r="B2965" s="48"/>
      <c r="D2965" s="17"/>
      <c r="E2965" s="17"/>
      <c r="F2965" s="8"/>
    </row>
    <row r="2966" spans="2:6" ht="15.75">
      <c r="B2966" s="48"/>
      <c r="C2966" s="46"/>
      <c r="D2966" s="47"/>
      <c r="E2966" s="47"/>
      <c r="F2966" s="8"/>
    </row>
    <row r="2967" spans="2:6" ht="15.75">
      <c r="B2967" s="48"/>
      <c r="D2967" s="17"/>
      <c r="E2967" s="17"/>
      <c r="F2967" s="8"/>
    </row>
    <row r="2968" spans="2:6" ht="15.75">
      <c r="B2968" s="48"/>
      <c r="D2968" s="17"/>
      <c r="E2968" s="17"/>
      <c r="F2968" s="8"/>
    </row>
    <row r="2969" spans="2:6" ht="15.75">
      <c r="B2969" s="48"/>
      <c r="D2969" s="17"/>
      <c r="E2969" s="17"/>
      <c r="F2969" s="8"/>
    </row>
    <row r="2970" spans="2:6" ht="15.75">
      <c r="B2970" s="48"/>
      <c r="D2970" s="17"/>
      <c r="E2970" s="17"/>
      <c r="F2970" s="8"/>
    </row>
    <row r="2971" spans="2:6" ht="15.75">
      <c r="B2971" s="48"/>
      <c r="D2971" s="17"/>
      <c r="E2971" s="17"/>
      <c r="F2971" s="8"/>
    </row>
    <row r="2972" spans="2:6" ht="15.75">
      <c r="B2972" s="48"/>
      <c r="D2972" s="2"/>
      <c r="F2972" s="8"/>
    </row>
    <row r="2973" spans="2:6" ht="15.75">
      <c r="B2973" s="48"/>
      <c r="D2973" s="2"/>
      <c r="E2973" s="17"/>
      <c r="F2973" s="8"/>
    </row>
    <row r="2974" spans="2:6" ht="15.75">
      <c r="B2974" s="48"/>
      <c r="D2974" s="2"/>
      <c r="E2974" s="17"/>
      <c r="F2974" s="8"/>
    </row>
    <row r="2975" spans="2:6" ht="15.75">
      <c r="B2975" s="48"/>
      <c r="D2975" s="2"/>
      <c r="E2975" s="17"/>
      <c r="F2975" s="8"/>
    </row>
    <row r="2976" spans="2:6" ht="15.75">
      <c r="B2976" s="48"/>
      <c r="D2976" s="2"/>
      <c r="E2976" s="17"/>
      <c r="F2976" s="8"/>
    </row>
    <row r="2977" spans="2:6" ht="15.75">
      <c r="B2977" s="48"/>
      <c r="D2977" s="2"/>
      <c r="E2977" s="17"/>
      <c r="F2977" s="8"/>
    </row>
    <row r="2978" spans="2:6" ht="15.75">
      <c r="B2978" s="48"/>
      <c r="D2978" s="2"/>
      <c r="E2978" s="17"/>
      <c r="F2978" s="8"/>
    </row>
    <row r="2979" spans="2:6" ht="15.75">
      <c r="B2979" s="48"/>
      <c r="D2979" s="2"/>
      <c r="E2979" s="17"/>
      <c r="F2979" s="8"/>
    </row>
    <row r="2980" spans="2:6" ht="15.75">
      <c r="B2980" s="21"/>
      <c r="D2980" s="17"/>
      <c r="E2980" s="17"/>
      <c r="F2980" s="8"/>
    </row>
    <row r="2981" spans="2:6" ht="15.75">
      <c r="B2981" s="21"/>
      <c r="D2981" s="17"/>
      <c r="E2981" s="17"/>
      <c r="F2981" s="8"/>
    </row>
    <row r="2982" spans="2:6" ht="15.75">
      <c r="B2982" s="21"/>
      <c r="D2982" s="17"/>
      <c r="E2982" s="17"/>
      <c r="F2982" s="8"/>
    </row>
    <row r="2983" spans="2:6" ht="15.75">
      <c r="B2983" s="21"/>
      <c r="D2983" s="17"/>
      <c r="E2983" s="17"/>
      <c r="F2983" s="8"/>
    </row>
    <row r="2984" spans="2:6" ht="15.75">
      <c r="B2984" s="21"/>
      <c r="D2984" s="17"/>
      <c r="E2984" s="17"/>
      <c r="F2984" s="8"/>
    </row>
    <row r="2985" spans="2:6" ht="15.75">
      <c r="B2985" s="21"/>
      <c r="D2985" s="17"/>
      <c r="E2985" s="17"/>
      <c r="F2985" s="8"/>
    </row>
    <row r="2986" spans="2:6" ht="15.75">
      <c r="B2986" s="21"/>
      <c r="D2986" s="17"/>
      <c r="E2986" s="17"/>
      <c r="F2986" s="8"/>
    </row>
    <row r="2987" spans="2:6">
      <c r="D2987" s="17"/>
      <c r="E2987" s="17"/>
      <c r="F2987" s="8"/>
    </row>
    <row r="2988" spans="2:6">
      <c r="D2988" s="17"/>
      <c r="E2988" s="17"/>
      <c r="F2988" s="8"/>
    </row>
    <row r="2989" spans="2:6">
      <c r="D2989" s="17"/>
      <c r="E2989" s="17"/>
      <c r="F2989" s="8"/>
    </row>
    <row r="2990" spans="2:6">
      <c r="D2990" s="17"/>
      <c r="E2990" s="17"/>
      <c r="F2990" s="8"/>
    </row>
    <row r="2991" spans="2:6">
      <c r="D2991" s="17"/>
      <c r="E2991" s="17"/>
      <c r="F2991" s="8"/>
    </row>
    <row r="2992" spans="2:6">
      <c r="D2992" s="17"/>
      <c r="E2992" s="17"/>
      <c r="F2992" s="8"/>
    </row>
    <row r="2993" spans="4:6">
      <c r="D2993" s="17"/>
      <c r="E2993" s="17"/>
      <c r="F2993" s="8"/>
    </row>
    <row r="2994" spans="4:6">
      <c r="D2994" s="17"/>
      <c r="E2994" s="17"/>
      <c r="F2994" s="8"/>
    </row>
    <row r="2995" spans="4:6">
      <c r="D2995" s="17"/>
      <c r="E2995" s="17"/>
      <c r="F2995" s="8"/>
    </row>
    <row r="2996" spans="4:6">
      <c r="D2996" s="17"/>
      <c r="E2996" s="17"/>
      <c r="F2996" s="8"/>
    </row>
    <row r="2997" spans="4:6">
      <c r="D2997" s="17"/>
      <c r="E2997" s="17"/>
      <c r="F2997" s="8"/>
    </row>
    <row r="2998" spans="4:6">
      <c r="D2998" s="17"/>
      <c r="E2998" s="17"/>
      <c r="F2998" s="8"/>
    </row>
    <row r="2999" spans="4:6">
      <c r="D2999" s="17"/>
      <c r="E2999" s="17"/>
      <c r="F2999" s="8"/>
    </row>
    <row r="3000" spans="4:6">
      <c r="E3000" s="17"/>
      <c r="F3000" s="8"/>
    </row>
    <row r="3001" spans="4:6">
      <c r="E3001" s="17"/>
      <c r="F3001" s="8"/>
    </row>
    <row r="3002" spans="4:6">
      <c r="D3002" s="17"/>
      <c r="E3002" s="17"/>
      <c r="F3002" s="8"/>
    </row>
    <row r="3003" spans="4:6">
      <c r="D3003" s="17"/>
      <c r="E3003" s="17"/>
      <c r="F3003" s="8"/>
    </row>
    <row r="3004" spans="4:6">
      <c r="D3004" s="17"/>
      <c r="E3004" s="17"/>
      <c r="F3004" s="8"/>
    </row>
    <row r="3005" spans="4:6">
      <c r="D3005" s="17"/>
      <c r="E3005" s="17"/>
      <c r="F3005" s="8"/>
    </row>
    <row r="3006" spans="4:6">
      <c r="D3006" s="17"/>
      <c r="E3006" s="17"/>
      <c r="F3006" s="8"/>
    </row>
    <row r="3007" spans="4:6">
      <c r="D3007" s="17"/>
      <c r="E3007" s="17"/>
      <c r="F3007" s="8"/>
    </row>
    <row r="3008" spans="4:6">
      <c r="D3008" s="17"/>
      <c r="E3008" s="17"/>
      <c r="F3008" s="8"/>
    </row>
    <row r="3009" spans="3:6">
      <c r="D3009" s="17"/>
      <c r="E3009" s="17"/>
      <c r="F3009" s="8"/>
    </row>
    <row r="3010" spans="3:6">
      <c r="C3010" s="17"/>
      <c r="D3010" s="17"/>
      <c r="F3010" s="8"/>
    </row>
    <row r="3011" spans="3:6">
      <c r="D3011" s="17"/>
      <c r="E3011" s="17"/>
      <c r="F3011" s="8"/>
    </row>
    <row r="3012" spans="3:6">
      <c r="D3012" s="17"/>
      <c r="E3012" s="17"/>
      <c r="F3012" s="8"/>
    </row>
    <row r="3013" spans="3:6">
      <c r="D3013" s="17"/>
      <c r="E3013" s="17"/>
      <c r="F3013" s="8"/>
    </row>
    <row r="3014" spans="3:6">
      <c r="D3014" s="17"/>
      <c r="E3014" s="17"/>
      <c r="F3014" s="8"/>
    </row>
    <row r="3015" spans="3:6">
      <c r="D3015" s="17"/>
      <c r="E3015" s="17"/>
      <c r="F3015" s="8"/>
    </row>
    <row r="3016" spans="3:6">
      <c r="D3016" s="17"/>
      <c r="E3016" s="17"/>
      <c r="F3016" s="8"/>
    </row>
    <row r="3017" spans="3:6">
      <c r="D3017" s="17"/>
      <c r="E3017" s="17"/>
      <c r="F3017" s="8"/>
    </row>
    <row r="3018" spans="3:6">
      <c r="D3018" s="17"/>
      <c r="E3018" s="17"/>
      <c r="F3018" s="8"/>
    </row>
    <row r="3019" spans="3:6">
      <c r="D3019" s="17"/>
      <c r="E3019" s="17"/>
      <c r="F3019" s="8"/>
    </row>
    <row r="3020" spans="3:6">
      <c r="D3020" s="17"/>
      <c r="E3020" s="17"/>
      <c r="F3020" s="8"/>
    </row>
    <row r="3021" spans="3:6">
      <c r="E3021" s="17"/>
      <c r="F3021" s="8"/>
    </row>
    <row r="3022" spans="3:6">
      <c r="E3022" s="17"/>
      <c r="F3022" s="8"/>
    </row>
    <row r="3023" spans="3:6">
      <c r="E3023" s="17"/>
      <c r="F3023" s="8"/>
    </row>
    <row r="3024" spans="3:6">
      <c r="E3024" s="17"/>
      <c r="F3024" s="8"/>
    </row>
    <row r="3025" spans="2:6">
      <c r="E3025" s="17"/>
      <c r="F3025" s="44"/>
    </row>
    <row r="3026" spans="2:6">
      <c r="D3026" s="43"/>
      <c r="E3026" s="17"/>
      <c r="F3026" s="44"/>
    </row>
    <row r="3027" spans="2:6">
      <c r="E3027" s="17"/>
      <c r="F3027" s="44"/>
    </row>
    <row r="3028" spans="2:6">
      <c r="E3028" s="17"/>
      <c r="F3028" s="44"/>
    </row>
    <row r="3029" spans="2:6">
      <c r="B3029" s="59"/>
      <c r="D3029" s="17"/>
    </row>
    <row r="3030" spans="2:6">
      <c r="B3030" s="59"/>
      <c r="D3030" s="17"/>
    </row>
    <row r="3031" spans="2:6">
      <c r="B3031" s="59"/>
      <c r="D3031" s="17"/>
    </row>
    <row r="3032" spans="2:6">
      <c r="B3032" s="59"/>
      <c r="D3032" s="17"/>
    </row>
    <row r="3033" spans="2:6">
      <c r="B3033" s="59"/>
      <c r="D3033" s="17"/>
    </row>
    <row r="3034" spans="2:6">
      <c r="B3034" s="59"/>
      <c r="D3034" s="17"/>
    </row>
    <row r="3035" spans="2:6">
      <c r="B3035" s="59"/>
      <c r="D3035" s="17"/>
    </row>
    <row r="3036" spans="2:6">
      <c r="B3036" s="59"/>
      <c r="D3036" s="17"/>
    </row>
    <row r="3037" spans="2:6">
      <c r="B3037" s="59"/>
      <c r="D3037" s="17"/>
    </row>
    <row r="3038" spans="2:6">
      <c r="B3038" s="59"/>
      <c r="D3038" s="17"/>
    </row>
    <row r="3039" spans="2:6">
      <c r="B3039" s="59"/>
      <c r="D3039" s="17"/>
    </row>
    <row r="3040" spans="2:6">
      <c r="B3040" s="59"/>
      <c r="D3040" s="17"/>
    </row>
    <row r="3041" spans="2:5">
      <c r="B3041" s="59"/>
      <c r="D3041" s="17"/>
    </row>
    <row r="3042" spans="2:5">
      <c r="B3042" s="59"/>
      <c r="D3042" s="17"/>
    </row>
    <row r="3043" spans="2:5">
      <c r="B3043" s="59"/>
      <c r="D3043" s="17"/>
    </row>
    <row r="3044" spans="2:5">
      <c r="B3044" s="59"/>
      <c r="D3044" s="17"/>
    </row>
    <row r="3045" spans="2:5">
      <c r="B3045" s="59"/>
      <c r="D3045" s="17"/>
    </row>
    <row r="3046" spans="2:5">
      <c r="B3046" s="59"/>
      <c r="D3046" s="17"/>
    </row>
    <row r="3049" spans="2:5">
      <c r="D3049" s="17"/>
      <c r="E3049" s="17"/>
    </row>
    <row r="3050" spans="2:5">
      <c r="D3050" s="17"/>
      <c r="E3050" s="17"/>
    </row>
    <row r="3051" spans="2:5">
      <c r="D3051" s="17"/>
      <c r="E3051" s="17"/>
    </row>
    <row r="3052" spans="2:5">
      <c r="B3052" s="59"/>
      <c r="D3052" s="17"/>
      <c r="E3052" s="17"/>
    </row>
    <row r="3053" spans="2:5">
      <c r="B3053" s="59"/>
      <c r="D3053" s="17"/>
      <c r="E3053" s="17"/>
    </row>
    <row r="3054" spans="2:5">
      <c r="B3054" s="59"/>
      <c r="D3054" s="17"/>
      <c r="E3054" s="17"/>
    </row>
    <row r="3055" spans="2:5">
      <c r="B3055" s="59"/>
      <c r="D3055" s="17"/>
      <c r="E3055" s="17"/>
    </row>
    <row r="3056" spans="2:5">
      <c r="B3056" s="59"/>
      <c r="D3056" s="17"/>
      <c r="E3056" s="17"/>
    </row>
    <row r="3057" spans="2:5">
      <c r="B3057" s="59"/>
      <c r="D3057" s="17"/>
      <c r="E3057" s="17"/>
    </row>
    <row r="3058" spans="2:5">
      <c r="B3058" s="59"/>
      <c r="D3058" s="17"/>
      <c r="E3058" s="17"/>
    </row>
    <row r="3059" spans="2:5">
      <c r="B3059" s="59"/>
      <c r="D3059" s="17"/>
    </row>
    <row r="3060" spans="2:5">
      <c r="B3060" s="59"/>
      <c r="D3060" s="17"/>
    </row>
    <row r="3061" spans="2:5">
      <c r="B3061" s="59"/>
      <c r="D3061" s="17"/>
    </row>
    <row r="3062" spans="2:5">
      <c r="B3062" s="59"/>
      <c r="D3062" s="17"/>
    </row>
    <row r="3063" spans="2:5">
      <c r="B3063" s="59"/>
      <c r="D3063" s="17"/>
    </row>
    <row r="3064" spans="2:5">
      <c r="B3064" s="59"/>
      <c r="D3064" s="17"/>
    </row>
    <row r="3065" spans="2:5">
      <c r="B3065" s="59"/>
      <c r="D3065" s="17"/>
    </row>
    <row r="3066" spans="2:5">
      <c r="B3066" s="59"/>
      <c r="D3066" s="17"/>
    </row>
    <row r="3067" spans="2:5">
      <c r="B3067" s="59"/>
      <c r="D3067" s="17"/>
    </row>
    <row r="3068" spans="2:5">
      <c r="B3068" s="59"/>
      <c r="D3068" s="17"/>
    </row>
    <row r="3069" spans="2:5">
      <c r="B3069" s="59"/>
      <c r="D3069" s="17"/>
    </row>
    <row r="3070" spans="2:5">
      <c r="B3070" s="59"/>
      <c r="D3070" s="17"/>
    </row>
    <row r="3071" spans="2:5">
      <c r="B3071" s="59"/>
      <c r="D3071" s="17"/>
    </row>
    <row r="3072" spans="2:5">
      <c r="B3072" s="59"/>
      <c r="D3072" s="17"/>
    </row>
    <row r="3073" spans="2:4">
      <c r="B3073" s="59"/>
      <c r="D3073" s="17"/>
    </row>
    <row r="3074" spans="2:4">
      <c r="B3074" s="59"/>
      <c r="D3074" s="17"/>
    </row>
    <row r="3075" spans="2:4">
      <c r="B3075" s="59"/>
      <c r="D3075" s="17"/>
    </row>
    <row r="3076" spans="2:4">
      <c r="B3076" s="59"/>
      <c r="D3076" s="17"/>
    </row>
    <row r="3077" spans="2:4">
      <c r="B3077" s="59"/>
      <c r="D3077" s="17"/>
    </row>
    <row r="3078" spans="2:4">
      <c r="B3078" s="59"/>
      <c r="D3078" s="17"/>
    </row>
    <row r="3079" spans="2:4">
      <c r="B3079" s="59"/>
      <c r="D3079" s="17"/>
    </row>
    <row r="3080" spans="2:4">
      <c r="B3080" s="59"/>
      <c r="D3080" s="17"/>
    </row>
    <row r="3081" spans="2:4">
      <c r="B3081" s="59"/>
      <c r="D3081" s="17"/>
    </row>
    <row r="3082" spans="2:4">
      <c r="B3082" s="59"/>
      <c r="D3082" s="17"/>
    </row>
    <row r="3083" spans="2:4">
      <c r="B3083" s="59"/>
      <c r="D3083" s="17"/>
    </row>
    <row r="3084" spans="2:4">
      <c r="B3084" s="59"/>
      <c r="D3084" s="17"/>
    </row>
    <row r="3085" spans="2:4">
      <c r="B3085" s="59"/>
      <c r="D3085" s="17"/>
    </row>
    <row r="3086" spans="2:4">
      <c r="B3086" s="59"/>
      <c r="D3086" s="17"/>
    </row>
    <row r="3087" spans="2:4">
      <c r="B3087" s="59"/>
      <c r="D3087" s="17"/>
    </row>
    <row r="3088" spans="2:4">
      <c r="B3088" s="59"/>
      <c r="D3088" s="17"/>
    </row>
    <row r="3089" spans="2:4">
      <c r="B3089" s="59"/>
      <c r="D3089" s="17"/>
    </row>
    <row r="3090" spans="2:4">
      <c r="B3090" s="59"/>
      <c r="D3090" s="17"/>
    </row>
    <row r="3091" spans="2:4">
      <c r="B3091" s="59"/>
      <c r="D3091" s="17"/>
    </row>
    <row r="3092" spans="2:4">
      <c r="B3092" s="59"/>
      <c r="D3092" s="17"/>
    </row>
    <row r="3093" spans="2:4">
      <c r="B3093" s="59"/>
      <c r="D3093" s="17"/>
    </row>
    <row r="3094" spans="2:4">
      <c r="B3094" s="59"/>
      <c r="D3094" s="17"/>
    </row>
    <row r="3095" spans="2:4">
      <c r="B3095" s="59"/>
      <c r="D3095" s="17"/>
    </row>
    <row r="3096" spans="2:4">
      <c r="B3096" s="59"/>
      <c r="D3096" s="17"/>
    </row>
    <row r="3097" spans="2:4">
      <c r="B3097" s="59"/>
      <c r="D3097" s="17"/>
    </row>
    <row r="3098" spans="2:4">
      <c r="B3098" s="59"/>
      <c r="D3098" s="17"/>
    </row>
    <row r="3099" spans="2:4">
      <c r="B3099" s="59"/>
      <c r="D3099" s="17"/>
    </row>
    <row r="3100" spans="2:4">
      <c r="B3100" s="59"/>
      <c r="D3100" s="17"/>
    </row>
    <row r="3101" spans="2:4">
      <c r="B3101" s="59"/>
      <c r="D3101" s="17"/>
    </row>
    <row r="3102" spans="2:4">
      <c r="B3102" s="59"/>
      <c r="D3102" s="17"/>
    </row>
    <row r="3103" spans="2:4">
      <c r="B3103" s="59"/>
      <c r="D3103" s="17"/>
    </row>
    <row r="3104" spans="2:4">
      <c r="B3104" s="59"/>
      <c r="D3104" s="17"/>
    </row>
    <row r="3105" spans="2:4">
      <c r="B3105" s="59"/>
      <c r="D3105" s="17"/>
    </row>
    <row r="3106" spans="2:4">
      <c r="B3106" s="59"/>
      <c r="D3106" s="17"/>
    </row>
    <row r="3107" spans="2:4">
      <c r="B3107" s="59"/>
      <c r="D3107" s="17"/>
    </row>
    <row r="3108" spans="2:4">
      <c r="B3108" s="59"/>
      <c r="D3108" s="17"/>
    </row>
    <row r="3109" spans="2:4">
      <c r="B3109" s="59"/>
      <c r="D3109" s="17"/>
    </row>
    <row r="3110" spans="2:4">
      <c r="B3110" s="59"/>
      <c r="D3110" s="17"/>
    </row>
    <row r="3111" spans="2:4">
      <c r="B3111" s="59"/>
      <c r="D3111" s="17"/>
    </row>
    <row r="3112" spans="2:4">
      <c r="B3112" s="59"/>
      <c r="D3112" s="17"/>
    </row>
    <row r="3113" spans="2:4">
      <c r="B3113" s="59"/>
      <c r="D3113" s="17"/>
    </row>
    <row r="3114" spans="2:4">
      <c r="B3114" s="59"/>
      <c r="D3114" s="17"/>
    </row>
    <row r="3115" spans="2:4">
      <c r="B3115" s="59"/>
      <c r="D3115" s="17"/>
    </row>
    <row r="3116" spans="2:4">
      <c r="B3116" s="59"/>
      <c r="D3116" s="17"/>
    </row>
    <row r="3117" spans="2:4">
      <c r="B3117" s="59"/>
      <c r="D3117" s="17"/>
    </row>
    <row r="3121" spans="2:5">
      <c r="D3121" s="17"/>
      <c r="E3121" s="17"/>
    </row>
    <row r="3122" spans="2:5">
      <c r="D3122" s="17"/>
      <c r="E3122" s="17"/>
    </row>
    <row r="3123" spans="2:5">
      <c r="D3123" s="17"/>
      <c r="E3123" s="17"/>
    </row>
    <row r="3124" spans="2:5">
      <c r="D3124" s="17"/>
      <c r="E3124" s="17"/>
    </row>
    <row r="3125" spans="2:5">
      <c r="D3125" s="17"/>
      <c r="E3125" s="17"/>
    </row>
    <row r="3126" spans="2:5">
      <c r="B3126" s="59"/>
      <c r="D3126" s="17"/>
    </row>
    <row r="3127" spans="2:5">
      <c r="B3127" s="59"/>
      <c r="D3127" s="17"/>
      <c r="E3127" s="17"/>
    </row>
    <row r="3128" spans="2:5">
      <c r="B3128" s="59"/>
      <c r="D3128" s="17"/>
      <c r="E3128" s="17"/>
    </row>
    <row r="3129" spans="2:5">
      <c r="B3129" s="59"/>
      <c r="D3129" s="17"/>
      <c r="E3129" s="17"/>
    </row>
    <row r="3130" spans="2:5">
      <c r="B3130" s="59"/>
      <c r="D3130" s="17"/>
      <c r="E3130" s="17"/>
    </row>
    <row r="3131" spans="2:5">
      <c r="B3131" s="59"/>
      <c r="D3131" s="17"/>
      <c r="E3131" s="17"/>
    </row>
    <row r="3132" spans="2:5">
      <c r="B3132" s="59"/>
      <c r="D3132" s="17"/>
      <c r="E3132" s="17"/>
    </row>
    <row r="3133" spans="2:5">
      <c r="B3133" s="59"/>
      <c r="D3133" s="17"/>
      <c r="E3133" s="17"/>
    </row>
    <row r="3134" spans="2:5">
      <c r="B3134" s="59"/>
      <c r="D3134" s="17"/>
    </row>
    <row r="3135" spans="2:5">
      <c r="B3135" s="59"/>
      <c r="D3135" s="17"/>
    </row>
    <row r="3136" spans="2:5">
      <c r="B3136" s="59"/>
      <c r="D3136" s="17"/>
    </row>
    <row r="3137" spans="2:5">
      <c r="B3137" s="59"/>
      <c r="D3137" s="17"/>
    </row>
    <row r="3138" spans="2:5">
      <c r="B3138" s="59"/>
      <c r="D3138" s="17"/>
    </row>
    <row r="3139" spans="2:5">
      <c r="B3139" s="59"/>
      <c r="D3139" s="17"/>
    </row>
    <row r="3140" spans="2:5">
      <c r="B3140" s="59"/>
      <c r="D3140" s="17"/>
    </row>
    <row r="3141" spans="2:5">
      <c r="B3141" s="59"/>
      <c r="D3141" s="17"/>
    </row>
    <row r="3142" spans="2:5">
      <c r="B3142" s="59"/>
      <c r="D3142" s="17"/>
    </row>
    <row r="3143" spans="2:5">
      <c r="B3143" s="59"/>
      <c r="D3143" s="17"/>
    </row>
    <row r="3144" spans="2:5">
      <c r="B3144" s="59"/>
      <c r="D3144" s="17"/>
    </row>
    <row r="3145" spans="2:5">
      <c r="B3145" s="59"/>
      <c r="D3145" s="17"/>
    </row>
    <row r="3146" spans="2:5">
      <c r="B3146" s="59"/>
      <c r="D3146" s="17"/>
    </row>
    <row r="3147" spans="2:5">
      <c r="B3147" s="59"/>
      <c r="D3147" s="17"/>
    </row>
    <row r="3148" spans="2:5">
      <c r="B3148" s="59"/>
      <c r="D3148" s="17"/>
    </row>
    <row r="3149" spans="2:5">
      <c r="D3149" s="17"/>
      <c r="E3149" s="17"/>
    </row>
    <row r="3150" spans="2:5">
      <c r="D3150" s="17"/>
      <c r="E3150" s="17"/>
    </row>
    <row r="3151" spans="2:5">
      <c r="D3151" s="17"/>
      <c r="E3151" s="17"/>
    </row>
    <row r="3152" spans="2:5">
      <c r="D3152" s="17"/>
      <c r="E3152" s="17"/>
    </row>
    <row r="3153" spans="2:5">
      <c r="D3153" s="17"/>
      <c r="E3153" s="17"/>
    </row>
    <row r="3154" spans="2:5">
      <c r="D3154" s="17"/>
      <c r="E3154" s="17"/>
    </row>
    <row r="3155" spans="2:5">
      <c r="D3155" s="17"/>
      <c r="E3155" s="17"/>
    </row>
    <row r="3156" spans="2:5">
      <c r="D3156" s="17"/>
      <c r="E3156" s="17"/>
    </row>
    <row r="3157" spans="2:5">
      <c r="D3157" s="17"/>
      <c r="E3157" s="17"/>
    </row>
    <row r="3158" spans="2:5">
      <c r="B3158" s="59"/>
      <c r="D3158" s="17"/>
    </row>
    <row r="3159" spans="2:5">
      <c r="D3159" s="17"/>
    </row>
    <row r="3160" spans="2:5">
      <c r="D3160" s="17"/>
    </row>
    <row r="3161" spans="2:5">
      <c r="D3161" s="17"/>
    </row>
    <row r="3162" spans="2:5">
      <c r="D3162" s="17"/>
    </row>
    <row r="3163" spans="2:5" ht="15.75">
      <c r="B3163" s="20"/>
      <c r="D3163" s="17"/>
    </row>
    <row r="3164" spans="2:5" ht="15.75">
      <c r="B3164" s="20"/>
      <c r="D3164" s="17"/>
    </row>
    <row r="3165" spans="2:5">
      <c r="D3165" s="17"/>
      <c r="E3165" s="17"/>
    </row>
    <row r="3166" spans="2:5">
      <c r="D3166" s="17"/>
      <c r="E3166" s="17"/>
    </row>
    <row r="3167" spans="2:5">
      <c r="B3167" s="59"/>
      <c r="D3167" s="17"/>
    </row>
    <row r="3168" spans="2:5">
      <c r="B3168" s="59"/>
      <c r="D3168" s="17"/>
    </row>
    <row r="3169" spans="2:5">
      <c r="B3169" s="59"/>
      <c r="D3169" s="17"/>
    </row>
    <row r="3170" spans="2:5">
      <c r="B3170" s="59"/>
      <c r="D3170" s="17"/>
    </row>
    <row r="3171" spans="2:5">
      <c r="B3171" s="59"/>
      <c r="D3171" s="17"/>
    </row>
    <row r="3172" spans="2:5">
      <c r="B3172" s="59"/>
      <c r="D3172" s="17"/>
    </row>
    <row r="3173" spans="2:5">
      <c r="B3173" s="59"/>
      <c r="D3173" s="17"/>
    </row>
    <row r="3174" spans="2:5">
      <c r="D3174" s="17"/>
      <c r="E3174" s="17"/>
    </row>
    <row r="3175" spans="2:5">
      <c r="D3175" s="17"/>
      <c r="E3175" s="17"/>
    </row>
    <row r="3176" spans="2:5">
      <c r="B3176" s="59"/>
      <c r="D3176" s="17"/>
    </row>
    <row r="3177" spans="2:5">
      <c r="B3177" s="59"/>
      <c r="D3177" s="17"/>
    </row>
    <row r="3178" spans="2:5">
      <c r="B3178" s="59"/>
      <c r="D3178" s="17"/>
    </row>
    <row r="3179" spans="2:5">
      <c r="B3179" s="59"/>
      <c r="D3179" s="17"/>
    </row>
    <row r="3180" spans="2:5">
      <c r="B3180" s="59"/>
      <c r="D3180" s="17"/>
    </row>
    <row r="3181" spans="2:5">
      <c r="B3181" s="59"/>
      <c r="D3181" s="17"/>
    </row>
    <row r="3182" spans="2:5">
      <c r="B3182" s="59"/>
      <c r="D3182" s="17"/>
    </row>
    <row r="3183" spans="2:5">
      <c r="B3183" s="59"/>
      <c r="D3183" s="17"/>
    </row>
    <row r="3184" spans="2:5">
      <c r="B3184" s="59"/>
      <c r="D3184" s="17"/>
    </row>
    <row r="3185" spans="2:5">
      <c r="B3185" s="59"/>
      <c r="D3185" s="17"/>
    </row>
    <row r="3186" spans="2:5">
      <c r="D3186" s="17"/>
      <c r="E3186" s="17"/>
    </row>
    <row r="3187" spans="2:5">
      <c r="B3187" s="59"/>
      <c r="D3187" s="17"/>
    </row>
    <row r="3188" spans="2:5">
      <c r="B3188" s="59"/>
      <c r="D3188" s="17"/>
    </row>
    <row r="3189" spans="2:5">
      <c r="B3189" s="59"/>
      <c r="D3189" s="17"/>
    </row>
    <row r="3190" spans="2:5">
      <c r="B3190" s="59"/>
      <c r="D3190" s="17"/>
    </row>
    <row r="3191" spans="2:5">
      <c r="B3191" s="59"/>
      <c r="D3191" s="17"/>
    </row>
    <row r="3192" spans="2:5">
      <c r="B3192" s="59"/>
      <c r="D3192" s="17"/>
    </row>
    <row r="3193" spans="2:5">
      <c r="B3193" s="59"/>
      <c r="D3193" s="17"/>
    </row>
    <row r="3194" spans="2:5">
      <c r="B3194" s="59"/>
      <c r="D3194" s="17"/>
    </row>
    <row r="3195" spans="2:5">
      <c r="B3195" s="59"/>
      <c r="D3195" s="17"/>
    </row>
    <row r="3196" spans="2:5">
      <c r="B3196" s="59"/>
      <c r="D3196" s="17"/>
    </row>
    <row r="3197" spans="2:5">
      <c r="B3197" s="59"/>
      <c r="D3197" s="17"/>
    </row>
    <row r="3198" spans="2:5">
      <c r="B3198" s="59"/>
      <c r="D3198" s="17"/>
    </row>
    <row r="3199" spans="2:5">
      <c r="B3199" s="59"/>
      <c r="D3199" s="17"/>
    </row>
    <row r="3200" spans="2:5">
      <c r="B3200" s="59"/>
      <c r="D3200" s="17"/>
    </row>
    <row r="3201" spans="2:5">
      <c r="B3201" s="59"/>
      <c r="D3201" s="17"/>
    </row>
    <row r="3202" spans="2:5">
      <c r="B3202" s="59"/>
      <c r="D3202" s="17"/>
    </row>
    <row r="3203" spans="2:5">
      <c r="D3203" s="17"/>
    </row>
    <row r="3204" spans="2:5">
      <c r="B3204" s="59"/>
      <c r="D3204" s="17"/>
    </row>
    <row r="3205" spans="2:5">
      <c r="B3205" s="59"/>
      <c r="D3205" s="17"/>
    </row>
    <row r="3207" spans="2:5">
      <c r="D3207" s="17"/>
      <c r="E3207" s="17"/>
    </row>
    <row r="3208" spans="2:5">
      <c r="D3208" s="17"/>
      <c r="E3208" s="17"/>
    </row>
    <row r="3209" spans="2:5">
      <c r="D3209" s="17"/>
      <c r="E3209" s="17"/>
    </row>
    <row r="3210" spans="2:5">
      <c r="D3210" s="17"/>
      <c r="E3210" s="17"/>
    </row>
    <row r="3211" spans="2:5">
      <c r="B3211" s="59"/>
      <c r="D3211" s="17"/>
    </row>
    <row r="3212" spans="2:5">
      <c r="B3212" s="59"/>
      <c r="D3212" s="17"/>
    </row>
    <row r="3213" spans="2:5">
      <c r="B3213" s="59"/>
      <c r="D3213" s="17"/>
    </row>
    <row r="3214" spans="2:5">
      <c r="B3214" s="59"/>
      <c r="D3214" s="17"/>
    </row>
    <row r="3215" spans="2:5">
      <c r="B3215" s="59"/>
      <c r="D3215" s="17"/>
    </row>
    <row r="3216" spans="2:5">
      <c r="B3216" s="59"/>
      <c r="D3216" s="17"/>
    </row>
    <row r="3217" spans="2:5">
      <c r="B3217" s="59"/>
      <c r="D3217" s="17"/>
    </row>
    <row r="3218" spans="2:5">
      <c r="B3218" s="59"/>
      <c r="D3218" s="17"/>
    </row>
    <row r="3219" spans="2:5">
      <c r="B3219" s="10"/>
      <c r="D3219" s="17"/>
    </row>
    <row r="3220" spans="2:5">
      <c r="B3220" s="59"/>
      <c r="D3220" s="17"/>
    </row>
    <row r="3221" spans="2:5">
      <c r="B3221" s="59"/>
      <c r="D3221" s="17"/>
    </row>
    <row r="3222" spans="2:5">
      <c r="B3222" s="59"/>
      <c r="D3222" s="17"/>
    </row>
    <row r="3223" spans="2:5">
      <c r="B3223" s="59"/>
      <c r="D3223" s="17"/>
    </row>
    <row r="3224" spans="2:5">
      <c r="B3224" s="59"/>
      <c r="D3224" s="17"/>
    </row>
    <row r="3225" spans="2:5">
      <c r="B3225" s="59"/>
      <c r="D3225" s="17"/>
    </row>
    <row r="3226" spans="2:5">
      <c r="B3226" s="59"/>
      <c r="D3226" s="17"/>
    </row>
    <row r="3228" spans="2:5">
      <c r="D3228" s="17"/>
      <c r="E3228" s="17"/>
    </row>
    <row r="3229" spans="2:5">
      <c r="D3229" s="17"/>
      <c r="E3229" s="17"/>
    </row>
    <row r="3230" spans="2:5">
      <c r="D3230" s="17"/>
      <c r="E3230" s="17"/>
    </row>
    <row r="3231" spans="2:5">
      <c r="D3231" s="17"/>
      <c r="E3231" s="17"/>
    </row>
    <row r="3232" spans="2:5">
      <c r="D3232" s="17"/>
      <c r="E3232" s="17"/>
    </row>
    <row r="3233" spans="2:4" ht="15.75">
      <c r="B3233" s="21"/>
      <c r="D3233" s="17"/>
    </row>
    <row r="3234" spans="2:4" ht="15.75">
      <c r="B3234" s="21"/>
      <c r="D3234" s="17"/>
    </row>
    <row r="3235" spans="2:4" ht="15.75">
      <c r="B3235" s="21"/>
      <c r="D3235" s="17"/>
    </row>
    <row r="3236" spans="2:4" ht="15.75">
      <c r="B3236" s="21"/>
      <c r="D3236" s="17"/>
    </row>
    <row r="3237" spans="2:4" ht="15.75">
      <c r="B3237" s="21"/>
      <c r="D3237" s="17"/>
    </row>
    <row r="3238" spans="2:4" ht="15.75">
      <c r="B3238" s="21"/>
      <c r="D3238" s="17"/>
    </row>
    <row r="3239" spans="2:4" ht="15.75">
      <c r="B3239" s="21"/>
      <c r="D3239" s="17"/>
    </row>
    <row r="3240" spans="2:4" ht="15.75">
      <c r="B3240" s="21"/>
      <c r="D3240" s="17"/>
    </row>
    <row r="3241" spans="2:4">
      <c r="B3241" s="7"/>
      <c r="D3241" s="17"/>
    </row>
    <row r="3242" spans="2:4">
      <c r="B3242" s="7"/>
      <c r="D3242" s="17"/>
    </row>
    <row r="3243" spans="2:4">
      <c r="B3243" s="7"/>
      <c r="D3243" s="17"/>
    </row>
    <row r="3244" spans="2:4">
      <c r="B3244" s="7"/>
      <c r="D3244" s="17"/>
    </row>
    <row r="3245" spans="2:4">
      <c r="B3245" s="7"/>
      <c r="D3245" s="17"/>
    </row>
    <row r="3246" spans="2:4">
      <c r="B3246" s="7"/>
      <c r="D3246" s="17"/>
    </row>
    <row r="3247" spans="2:4">
      <c r="B3247" s="7"/>
      <c r="D3247" s="17"/>
    </row>
    <row r="3248" spans="2:4">
      <c r="B3248" s="7"/>
      <c r="D3248" s="17"/>
    </row>
    <row r="3249" spans="2:4">
      <c r="B3249" s="7"/>
      <c r="D3249" s="17"/>
    </row>
    <row r="3250" spans="2:4">
      <c r="B3250" s="7"/>
      <c r="D3250" s="17"/>
    </row>
    <row r="3251" spans="2:4">
      <c r="B3251" s="7"/>
      <c r="D3251" s="17"/>
    </row>
    <row r="3252" spans="2:4">
      <c r="B3252" s="7"/>
      <c r="D3252" s="17"/>
    </row>
    <row r="3253" spans="2:4">
      <c r="B3253" s="59"/>
      <c r="D3253" s="17"/>
    </row>
  </sheetData>
  <conditionalFormatting sqref="B3032:B3046 B3052:B3058">
    <cfRule type="duplicateValues" dxfId="267" priority="311"/>
  </conditionalFormatting>
  <conditionalFormatting sqref="B3059:B3117 B3126:B3133">
    <cfRule type="duplicateValues" dxfId="266" priority="310"/>
  </conditionalFormatting>
  <conditionalFormatting sqref="B3134:B3147">
    <cfRule type="duplicateValues" dxfId="265" priority="309"/>
  </conditionalFormatting>
  <conditionalFormatting sqref="B3163:B3164">
    <cfRule type="duplicateValues" dxfId="264" priority="308"/>
  </conditionalFormatting>
  <conditionalFormatting sqref="B3159:B3162">
    <cfRule type="duplicateValues" dxfId="263" priority="307"/>
  </conditionalFormatting>
  <conditionalFormatting sqref="B3167:B3173 B3176:B3178">
    <cfRule type="duplicateValues" dxfId="262" priority="306"/>
  </conditionalFormatting>
  <conditionalFormatting sqref="B3179:B3185 B3187:B3188">
    <cfRule type="duplicateValues" dxfId="261" priority="305"/>
  </conditionalFormatting>
  <conditionalFormatting sqref="B3189:B3205 B3211:B3212">
    <cfRule type="duplicateValues" dxfId="260" priority="304"/>
  </conditionalFormatting>
  <conditionalFormatting sqref="B3253">
    <cfRule type="duplicateValues" dxfId="259" priority="303"/>
  </conditionalFormatting>
  <conditionalFormatting sqref="B3240:B3241">
    <cfRule type="duplicateValues" dxfId="258" priority="302"/>
  </conditionalFormatting>
  <conditionalFormatting sqref="B3213:B3225">
    <cfRule type="duplicateValues" dxfId="257" priority="301"/>
  </conditionalFormatting>
  <conditionalFormatting sqref="B3226">
    <cfRule type="duplicateValues" dxfId="256" priority="300"/>
  </conditionalFormatting>
  <conditionalFormatting sqref="B3047:B3051">
    <cfRule type="duplicateValues" dxfId="255" priority="299"/>
  </conditionalFormatting>
  <conditionalFormatting sqref="B3149:B3157">
    <cfRule type="duplicateValues" dxfId="254" priority="298"/>
  </conditionalFormatting>
  <conditionalFormatting sqref="B3165">
    <cfRule type="duplicateValues" dxfId="253" priority="297"/>
  </conditionalFormatting>
  <conditionalFormatting sqref="B3029:B3031">
    <cfRule type="duplicateValues" dxfId="252" priority="7030"/>
  </conditionalFormatting>
  <conditionalFormatting sqref="B3029:B3031">
    <cfRule type="duplicateValues" dxfId="251" priority="7033"/>
  </conditionalFormatting>
  <conditionalFormatting sqref="B3118:B3120">
    <cfRule type="duplicateValues" dxfId="250" priority="292"/>
  </conditionalFormatting>
  <conditionalFormatting sqref="B3121:B3125">
    <cfRule type="duplicateValues" dxfId="249" priority="291"/>
  </conditionalFormatting>
  <conditionalFormatting sqref="B3121:B3125">
    <cfRule type="duplicateValues" dxfId="248" priority="290"/>
  </conditionalFormatting>
  <conditionalFormatting sqref="B3121:B3125">
    <cfRule type="duplicateValues" dxfId="247" priority="289"/>
  </conditionalFormatting>
  <conditionalFormatting sqref="B3121:B3125">
    <cfRule type="duplicateValues" dxfId="246" priority="288"/>
  </conditionalFormatting>
  <conditionalFormatting sqref="B3174:B3175">
    <cfRule type="duplicateValues" dxfId="245" priority="287"/>
  </conditionalFormatting>
  <conditionalFormatting sqref="B3186">
    <cfRule type="duplicateValues" dxfId="244" priority="286"/>
  </conditionalFormatting>
  <conditionalFormatting sqref="B3206:B3210">
    <cfRule type="duplicateValues" dxfId="243" priority="285"/>
  </conditionalFormatting>
  <conditionalFormatting sqref="B3227:B3232">
    <cfRule type="duplicateValues" dxfId="242" priority="284"/>
  </conditionalFormatting>
  <conditionalFormatting sqref="B2701">
    <cfRule type="duplicateValues" dxfId="241" priority="274"/>
  </conditionalFormatting>
  <conditionalFormatting sqref="B2725:B2731">
    <cfRule type="duplicateValues" dxfId="240" priority="273"/>
  </conditionalFormatting>
  <conditionalFormatting sqref="B2707">
    <cfRule type="duplicateValues" dxfId="239" priority="272"/>
  </conditionalFormatting>
  <conditionalFormatting sqref="B2732:B2793">
    <cfRule type="duplicateValues" dxfId="238" priority="271"/>
  </conditionalFormatting>
  <conditionalFormatting sqref="B2794:B2805">
    <cfRule type="duplicateValues" dxfId="237" priority="270"/>
  </conditionalFormatting>
  <conditionalFormatting sqref="B2806:B2869">
    <cfRule type="duplicateValues" dxfId="236" priority="269"/>
  </conditionalFormatting>
  <conditionalFormatting sqref="B2879">
    <cfRule type="duplicateValues" dxfId="235" priority="267"/>
  </conditionalFormatting>
  <conditionalFormatting sqref="B2870:B2892">
    <cfRule type="duplicateValues" dxfId="234" priority="268"/>
  </conditionalFormatting>
  <conditionalFormatting sqref="B2958:B2971">
    <cfRule type="duplicateValues" dxfId="233" priority="266"/>
  </conditionalFormatting>
  <conditionalFormatting sqref="B2972:B2979">
    <cfRule type="duplicateValues" dxfId="232" priority="265"/>
  </conditionalFormatting>
  <conditionalFormatting sqref="B1995">
    <cfRule type="duplicateValues" dxfId="231" priority="264"/>
  </conditionalFormatting>
  <conditionalFormatting sqref="B2001">
    <cfRule type="duplicateValues" dxfId="230" priority="263"/>
  </conditionalFormatting>
  <conditionalFormatting sqref="B2061 B2071">
    <cfRule type="duplicateValues" dxfId="229" priority="262"/>
  </conditionalFormatting>
  <conditionalFormatting sqref="B2132 B2177 B2141 B2170">
    <cfRule type="duplicateValues" dxfId="228" priority="261"/>
  </conditionalFormatting>
  <conditionalFormatting sqref="B2191">
    <cfRule type="duplicateValues" dxfId="227" priority="260"/>
  </conditionalFormatting>
  <conditionalFormatting sqref="B2212">
    <cfRule type="duplicateValues" dxfId="226" priority="259"/>
  </conditionalFormatting>
  <conditionalFormatting sqref="B2302">
    <cfRule type="duplicateValues" dxfId="225" priority="258"/>
  </conditionalFormatting>
  <conditionalFormatting sqref="B2012:B2058">
    <cfRule type="duplicateValues" dxfId="224" priority="257"/>
  </conditionalFormatting>
  <conditionalFormatting sqref="B2059">
    <cfRule type="duplicateValues" dxfId="223" priority="256"/>
  </conditionalFormatting>
  <conditionalFormatting sqref="B2062:B2069">
    <cfRule type="duplicateValues" dxfId="222" priority="255"/>
  </conditionalFormatting>
  <conditionalFormatting sqref="B2072:B2129">
    <cfRule type="duplicateValues" dxfId="221" priority="254"/>
  </conditionalFormatting>
  <conditionalFormatting sqref="B2140">
    <cfRule type="duplicateValues" dxfId="220" priority="253"/>
  </conditionalFormatting>
  <conditionalFormatting sqref="B2151">
    <cfRule type="duplicateValues" dxfId="219" priority="251"/>
  </conditionalFormatting>
  <conditionalFormatting sqref="B2142:B2167">
    <cfRule type="duplicateValues" dxfId="218" priority="252"/>
  </conditionalFormatting>
  <conditionalFormatting sqref="B2210:B2211">
    <cfRule type="duplicateValues" dxfId="217" priority="250"/>
  </conditionalFormatting>
  <conditionalFormatting sqref="B2242">
    <cfRule type="duplicateValues" dxfId="216" priority="248"/>
  </conditionalFormatting>
  <conditionalFormatting sqref="B2227:B2240">
    <cfRule type="duplicateValues" dxfId="215" priority="249"/>
  </conditionalFormatting>
  <conditionalFormatting sqref="B2243">
    <cfRule type="duplicateValues" dxfId="214" priority="247"/>
  </conditionalFormatting>
  <conditionalFormatting sqref="B2245:B2249">
    <cfRule type="duplicateValues" dxfId="213" priority="246"/>
  </conditionalFormatting>
  <conditionalFormatting sqref="B2297:B2301">
    <cfRule type="duplicateValues" dxfId="212" priority="245"/>
  </conditionalFormatting>
  <conditionalFormatting sqref="B2261">
    <cfRule type="duplicateValues" dxfId="211" priority="244"/>
  </conditionalFormatting>
  <conditionalFormatting sqref="B1977">
    <cfRule type="duplicateValues" dxfId="210" priority="243"/>
  </conditionalFormatting>
  <conditionalFormatting sqref="B1726">
    <cfRule type="duplicateValues" dxfId="209" priority="239"/>
  </conditionalFormatting>
  <conditionalFormatting sqref="B1739">
    <cfRule type="duplicateValues" dxfId="208" priority="238"/>
  </conditionalFormatting>
  <conditionalFormatting sqref="B1805 B1817">
    <cfRule type="duplicateValues" dxfId="207" priority="237"/>
  </conditionalFormatting>
  <conditionalFormatting sqref="B1868">
    <cfRule type="duplicateValues" dxfId="206" priority="236"/>
  </conditionalFormatting>
  <conditionalFormatting sqref="B1887">
    <cfRule type="duplicateValues" dxfId="205" priority="235"/>
  </conditionalFormatting>
  <conditionalFormatting sqref="B1906">
    <cfRule type="duplicateValues" dxfId="204" priority="234"/>
  </conditionalFormatting>
  <conditionalFormatting sqref="B1708:B1725">
    <cfRule type="duplicateValues" dxfId="203" priority="233"/>
  </conditionalFormatting>
  <conditionalFormatting sqref="B1727:B1734">
    <cfRule type="duplicateValues" dxfId="202" priority="232"/>
  </conditionalFormatting>
  <conditionalFormatting sqref="B1804">
    <cfRule type="duplicateValues" dxfId="201" priority="230"/>
  </conditionalFormatting>
  <conditionalFormatting sqref="B1740:B1783 B1785:B1803">
    <cfRule type="duplicateValues" dxfId="200" priority="231"/>
  </conditionalFormatting>
  <conditionalFormatting sqref="B1784">
    <cfRule type="duplicateValues" dxfId="199" priority="229"/>
  </conditionalFormatting>
  <conditionalFormatting sqref="B1813:B1816">
    <cfRule type="duplicateValues" dxfId="198" priority="228"/>
  </conditionalFormatting>
  <conditionalFormatting sqref="B1827">
    <cfRule type="duplicateValues" dxfId="197" priority="226"/>
  </conditionalFormatting>
  <conditionalFormatting sqref="B1844 B1846 B1848 B1818:B1842">
    <cfRule type="duplicateValues" dxfId="196" priority="227"/>
  </conditionalFormatting>
  <conditionalFormatting sqref="B1898">
    <cfRule type="duplicateValues" dxfId="195" priority="225"/>
  </conditionalFormatting>
  <conditionalFormatting sqref="B1922">
    <cfRule type="duplicateValues" dxfId="194" priority="223"/>
  </conditionalFormatting>
  <conditionalFormatting sqref="B1907:B1920">
    <cfRule type="duplicateValues" dxfId="193" priority="224"/>
  </conditionalFormatting>
  <conditionalFormatting sqref="B1924:B1930">
    <cfRule type="duplicateValues" dxfId="192" priority="222"/>
  </conditionalFormatting>
  <conditionalFormatting sqref="B1944">
    <cfRule type="duplicateValues" dxfId="191" priority="221"/>
  </conditionalFormatting>
  <conditionalFormatting sqref="B1703:B1707">
    <cfRule type="duplicateValues" dxfId="190" priority="195"/>
  </conditionalFormatting>
  <conditionalFormatting sqref="B1550">
    <cfRule type="duplicateValues" dxfId="189" priority="151"/>
  </conditionalFormatting>
  <conditionalFormatting sqref="B1391">
    <cfRule type="duplicateValues" dxfId="188" priority="157"/>
  </conditionalFormatting>
  <conditionalFormatting sqref="B1400">
    <cfRule type="duplicateValues" dxfId="187" priority="156"/>
  </conditionalFormatting>
  <conditionalFormatting sqref="B1413">
    <cfRule type="duplicateValues" dxfId="186" priority="155"/>
  </conditionalFormatting>
  <conditionalFormatting sqref="B1458">
    <cfRule type="duplicateValues" dxfId="185" priority="154"/>
  </conditionalFormatting>
  <conditionalFormatting sqref="B1463">
    <cfRule type="duplicateValues" dxfId="184" priority="153"/>
  </conditionalFormatting>
  <conditionalFormatting sqref="B1607">
    <cfRule type="duplicateValues" dxfId="183" priority="147"/>
  </conditionalFormatting>
  <conditionalFormatting sqref="B1627">
    <cfRule type="duplicateValues" dxfId="182" priority="146"/>
  </conditionalFormatting>
  <conditionalFormatting sqref="B1402 B1404 B1406 B1408 B1410 B1412">
    <cfRule type="duplicateValues" dxfId="181" priority="145"/>
  </conditionalFormatting>
  <conditionalFormatting sqref="B1414:B1457">
    <cfRule type="duplicateValues" dxfId="180" priority="144"/>
  </conditionalFormatting>
  <conditionalFormatting sqref="B1459:B1462">
    <cfRule type="duplicateValues" dxfId="179" priority="143"/>
  </conditionalFormatting>
  <conditionalFormatting sqref="B1464:B1503">
    <cfRule type="duplicateValues" dxfId="178" priority="142"/>
  </conditionalFormatting>
  <conditionalFormatting sqref="B1515:B1538">
    <cfRule type="duplicateValues" dxfId="177" priority="141"/>
  </conditionalFormatting>
  <conditionalFormatting sqref="B1551:B1556">
    <cfRule type="duplicateValues" dxfId="176" priority="140"/>
  </conditionalFormatting>
  <conditionalFormatting sqref="B1576 B1578 B1580 B1582 B1584 B1586 B1588">
    <cfRule type="duplicateValues" dxfId="175" priority="139"/>
  </conditionalFormatting>
  <conditionalFormatting sqref="B1606 B1592 B1594 B1596 B1598 B1600 B1602 B1604">
    <cfRule type="duplicateValues" dxfId="174" priority="138"/>
  </conditionalFormatting>
  <conditionalFormatting sqref="B1608 B1610 B1612 B1614 B1616 B1618 B1620 B1622 B1624 B1626">
    <cfRule type="duplicateValues" dxfId="173" priority="136"/>
  </conditionalFormatting>
  <conditionalFormatting sqref="B1609 B1611 B1613 B1615 B1617 B1619 B1621 B1623 B1625">
    <cfRule type="duplicateValues" dxfId="172" priority="137"/>
  </conditionalFormatting>
  <conditionalFormatting sqref="B1628:B1642">
    <cfRule type="duplicateValues" dxfId="171" priority="135"/>
  </conditionalFormatting>
  <conditionalFormatting sqref="B1644">
    <cfRule type="duplicateValues" dxfId="170" priority="134"/>
  </conditionalFormatting>
  <conditionalFormatting sqref="B1399 B1401">
    <cfRule type="duplicateValues" dxfId="169" priority="7314"/>
  </conditionalFormatting>
  <conditionalFormatting sqref="B1514">
    <cfRule type="duplicateValues" dxfId="168" priority="7330"/>
  </conditionalFormatting>
  <conditionalFormatting sqref="B1684 B1681">
    <cfRule type="duplicateValues" dxfId="167" priority="7375"/>
  </conditionalFormatting>
  <conditionalFormatting sqref="B1200">
    <cfRule type="duplicateValues" dxfId="166" priority="127"/>
  </conditionalFormatting>
  <conditionalFormatting sqref="B1021 B1027:B1030">
    <cfRule type="duplicateValues" dxfId="165" priority="132"/>
  </conditionalFormatting>
  <conditionalFormatting sqref="B1013">
    <cfRule type="duplicateValues" dxfId="164" priority="131"/>
  </conditionalFormatting>
  <conditionalFormatting sqref="B1022">
    <cfRule type="duplicateValues" dxfId="163" priority="130"/>
  </conditionalFormatting>
  <conditionalFormatting sqref="B1042">
    <cfRule type="duplicateValues" dxfId="162" priority="129"/>
  </conditionalFormatting>
  <conditionalFormatting sqref="B1097">
    <cfRule type="duplicateValues" dxfId="161" priority="128"/>
  </conditionalFormatting>
  <conditionalFormatting sqref="B1346:B1357 B1362:B1367">
    <cfRule type="duplicateValues" dxfId="160" priority="133"/>
  </conditionalFormatting>
  <conditionalFormatting sqref="B1211">
    <cfRule type="duplicateValues" dxfId="159" priority="126"/>
  </conditionalFormatting>
  <conditionalFormatting sqref="B1267">
    <cfRule type="duplicateValues" dxfId="158" priority="125"/>
  </conditionalFormatting>
  <conditionalFormatting sqref="B1287">
    <cfRule type="duplicateValues" dxfId="157" priority="124"/>
  </conditionalFormatting>
  <conditionalFormatting sqref="B1039 B1041">
    <cfRule type="duplicateValues" dxfId="156" priority="123"/>
  </conditionalFormatting>
  <conditionalFormatting sqref="B1236 B1238 B1240 B1242 B1244 B1246 B1248">
    <cfRule type="duplicateValues" dxfId="155" priority="122"/>
  </conditionalFormatting>
  <conditionalFormatting sqref="B1266">
    <cfRule type="duplicateValues" dxfId="154" priority="121"/>
  </conditionalFormatting>
  <conditionalFormatting sqref="B1282 B1284 B1286">
    <cfRule type="duplicateValues" dxfId="153" priority="119"/>
  </conditionalFormatting>
  <conditionalFormatting sqref="B1281 B1283 B1285">
    <cfRule type="duplicateValues" dxfId="152" priority="120"/>
  </conditionalFormatting>
  <conditionalFormatting sqref="B1301:B1302">
    <cfRule type="duplicateValues" dxfId="151" priority="118"/>
  </conditionalFormatting>
  <conditionalFormatting sqref="B1031:B1038">
    <cfRule type="duplicateValues" dxfId="150" priority="117"/>
  </conditionalFormatting>
  <conditionalFormatting sqref="B1043:B1092">
    <cfRule type="duplicateValues" dxfId="149" priority="116"/>
  </conditionalFormatting>
  <conditionalFormatting sqref="B1093:B1096">
    <cfRule type="duplicateValues" dxfId="148" priority="115"/>
  </conditionalFormatting>
  <conditionalFormatting sqref="B1098:B1140">
    <cfRule type="duplicateValues" dxfId="147" priority="114"/>
  </conditionalFormatting>
  <conditionalFormatting sqref="B1151:B1183">
    <cfRule type="duplicateValues" dxfId="146" priority="113"/>
  </conditionalFormatting>
  <conditionalFormatting sqref="B1184:B1198">
    <cfRule type="duplicateValues" dxfId="145" priority="112"/>
  </conditionalFormatting>
  <conditionalFormatting sqref="B1201:B1210">
    <cfRule type="duplicateValues" dxfId="144" priority="111"/>
  </conditionalFormatting>
  <conditionalFormatting sqref="B1252 B1254 B1256 B1259:B1264">
    <cfRule type="duplicateValues" dxfId="143" priority="110"/>
  </conditionalFormatting>
  <conditionalFormatting sqref="B1268 B1270 B1272 B1274 B1276 B1278 B1280">
    <cfRule type="duplicateValues" dxfId="142" priority="108"/>
  </conditionalFormatting>
  <conditionalFormatting sqref="B1269 B1271 B1273 B1275 B1277 B1279">
    <cfRule type="duplicateValues" dxfId="141" priority="109"/>
  </conditionalFormatting>
  <conditionalFormatting sqref="B1288:B1300">
    <cfRule type="duplicateValues" dxfId="140" priority="107"/>
  </conditionalFormatting>
  <conditionalFormatting sqref="B1307">
    <cfRule type="duplicateValues" dxfId="139" priority="106"/>
  </conditionalFormatting>
  <conditionalFormatting sqref="B885">
    <cfRule type="duplicateValues" dxfId="138" priority="102"/>
  </conditionalFormatting>
  <conditionalFormatting sqref="B749 B755:B758">
    <cfRule type="duplicateValues" dxfId="137" priority="105"/>
  </conditionalFormatting>
  <conditionalFormatting sqref="B741">
    <cfRule type="duplicateValues" dxfId="136" priority="104"/>
  </conditionalFormatting>
  <conditionalFormatting sqref="B750">
    <cfRule type="duplicateValues" dxfId="135" priority="103"/>
  </conditionalFormatting>
  <conditionalFormatting sqref="B896">
    <cfRule type="duplicateValues" dxfId="134" priority="101"/>
  </conditionalFormatting>
  <conditionalFormatting sqref="B947">
    <cfRule type="duplicateValues" dxfId="133" priority="100"/>
  </conditionalFormatting>
  <conditionalFormatting sqref="B962">
    <cfRule type="duplicateValues" dxfId="132" priority="99"/>
  </conditionalFormatting>
  <conditionalFormatting sqref="B928">
    <cfRule type="duplicateValues" dxfId="131" priority="98"/>
  </conditionalFormatting>
  <conditionalFormatting sqref="B759:B763">
    <cfRule type="duplicateValues" dxfId="130" priority="94"/>
  </conditionalFormatting>
  <conditionalFormatting sqref="B894:B895">
    <cfRule type="duplicateValues" dxfId="129" priority="89"/>
  </conditionalFormatting>
  <conditionalFormatting sqref="B764 B767 B769 B771">
    <cfRule type="duplicateValues" dxfId="128" priority="87"/>
  </conditionalFormatting>
  <conditionalFormatting sqref="B779:B805">
    <cfRule type="duplicateValues" dxfId="127" priority="86"/>
  </conditionalFormatting>
  <conditionalFormatting sqref="B808:B812">
    <cfRule type="duplicateValues" dxfId="126" priority="85"/>
  </conditionalFormatting>
  <conditionalFormatting sqref="B814:B841">
    <cfRule type="duplicateValues" dxfId="125" priority="84"/>
  </conditionalFormatting>
  <conditionalFormatting sqref="B854:B876">
    <cfRule type="duplicateValues" dxfId="124" priority="83"/>
  </conditionalFormatting>
  <conditionalFormatting sqref="B886:B893">
    <cfRule type="duplicateValues" dxfId="123" priority="82"/>
  </conditionalFormatting>
  <conditionalFormatting sqref="B917 B919 B921 B923 B926">
    <cfRule type="duplicateValues" dxfId="122" priority="81"/>
  </conditionalFormatting>
  <conditionalFormatting sqref="B932:B933 B935 B937 B940 B944">
    <cfRule type="duplicateValues" dxfId="121" priority="80"/>
  </conditionalFormatting>
  <conditionalFormatting sqref="B949 B951 B953 B955 B957 B959">
    <cfRule type="duplicateValues" dxfId="120" priority="78"/>
  </conditionalFormatting>
  <conditionalFormatting sqref="B948 B950 B952 B954 B956 B958:B960">
    <cfRule type="duplicateValues" dxfId="119" priority="79"/>
  </conditionalFormatting>
  <conditionalFormatting sqref="B963:B972">
    <cfRule type="duplicateValues" dxfId="118" priority="77"/>
  </conditionalFormatting>
  <conditionalFormatting sqref="B976">
    <cfRule type="duplicateValues" dxfId="117" priority="76"/>
  </conditionalFormatting>
  <conditionalFormatting sqref="B766">
    <cfRule type="duplicateValues" dxfId="116" priority="75"/>
  </conditionalFormatting>
  <conditionalFormatting sqref="B973">
    <cfRule type="duplicateValues" dxfId="115" priority="7491"/>
  </conditionalFormatting>
  <conditionalFormatting sqref="B961">
    <cfRule type="duplicateValues" dxfId="114" priority="7570"/>
  </conditionalFormatting>
  <conditionalFormatting sqref="B877">
    <cfRule type="duplicateValues" dxfId="113" priority="7649"/>
  </conditionalFormatting>
  <conditionalFormatting sqref="B883">
    <cfRule type="duplicateValues" dxfId="112" priority="7728"/>
  </conditionalFormatting>
  <conditionalFormatting sqref="B813 B842:B843">
    <cfRule type="duplicateValues" dxfId="111" priority="7807"/>
  </conditionalFormatting>
  <conditionalFormatting sqref="B773:B778 B806:B807">
    <cfRule type="duplicateValues" dxfId="110" priority="7886"/>
  </conditionalFormatting>
  <conditionalFormatting sqref="B565">
    <cfRule type="duplicateValues" dxfId="109" priority="68"/>
  </conditionalFormatting>
  <conditionalFormatting sqref="B386 B392:B395">
    <cfRule type="duplicateValues" dxfId="108" priority="73"/>
  </conditionalFormatting>
  <conditionalFormatting sqref="B378">
    <cfRule type="duplicateValues" dxfId="107" priority="72"/>
  </conditionalFormatting>
  <conditionalFormatting sqref="B387">
    <cfRule type="duplicateValues" dxfId="106" priority="71"/>
  </conditionalFormatting>
  <conditionalFormatting sqref="B407">
    <cfRule type="duplicateValues" dxfId="105" priority="70"/>
  </conditionalFormatting>
  <conditionalFormatting sqref="B462">
    <cfRule type="duplicateValues" dxfId="104" priority="69"/>
  </conditionalFormatting>
  <conditionalFormatting sqref="B711:B722">
    <cfRule type="duplicateValues" dxfId="103" priority="74"/>
  </conditionalFormatting>
  <conditionalFormatting sqref="B576">
    <cfRule type="duplicateValues" dxfId="102" priority="67"/>
  </conditionalFormatting>
  <conditionalFormatting sqref="B632">
    <cfRule type="duplicateValues" dxfId="101" priority="66"/>
  </conditionalFormatting>
  <conditionalFormatting sqref="B652">
    <cfRule type="duplicateValues" dxfId="100" priority="65"/>
  </conditionalFormatting>
  <conditionalFormatting sqref="B404 B406">
    <cfRule type="duplicateValues" dxfId="99" priority="64"/>
  </conditionalFormatting>
  <conditionalFormatting sqref="B609 B611 B613">
    <cfRule type="duplicateValues" dxfId="98" priority="63"/>
  </conditionalFormatting>
  <conditionalFormatting sqref="B631">
    <cfRule type="duplicateValues" dxfId="97" priority="62"/>
  </conditionalFormatting>
  <conditionalFormatting sqref="B647 B649 B651">
    <cfRule type="duplicateValues" dxfId="96" priority="60"/>
  </conditionalFormatting>
  <conditionalFormatting sqref="B646 B648 B650">
    <cfRule type="duplicateValues" dxfId="95" priority="61"/>
  </conditionalFormatting>
  <conditionalFormatting sqref="B666:B667">
    <cfRule type="duplicateValues" dxfId="94" priority="59"/>
  </conditionalFormatting>
  <conditionalFormatting sqref="B403">
    <cfRule type="duplicateValues" dxfId="93" priority="58"/>
  </conditionalFormatting>
  <conditionalFormatting sqref="B440:B457">
    <cfRule type="duplicateValues" dxfId="92" priority="57"/>
  </conditionalFormatting>
  <conditionalFormatting sqref="B461">
    <cfRule type="duplicateValues" dxfId="91" priority="56"/>
  </conditionalFormatting>
  <conditionalFormatting sqref="B497:B505">
    <cfRule type="duplicateValues" dxfId="90" priority="55"/>
  </conditionalFormatting>
  <conditionalFormatting sqref="B538:B548">
    <cfRule type="duplicateValues" dxfId="89" priority="54"/>
  </conditionalFormatting>
  <conditionalFormatting sqref="B560:B563">
    <cfRule type="duplicateValues" dxfId="88" priority="53"/>
  </conditionalFormatting>
  <conditionalFormatting sqref="B575">
    <cfRule type="duplicateValues" dxfId="87" priority="52"/>
  </conditionalFormatting>
  <conditionalFormatting sqref="B626:B629">
    <cfRule type="duplicateValues" dxfId="86" priority="51"/>
  </conditionalFormatting>
  <conditionalFormatting sqref="B643 B645">
    <cfRule type="duplicateValues" dxfId="85" priority="49"/>
  </conditionalFormatting>
  <conditionalFormatting sqref="B642 B644">
    <cfRule type="duplicateValues" dxfId="84" priority="50"/>
  </conditionalFormatting>
  <conditionalFormatting sqref="B660:B665">
    <cfRule type="duplicateValues" dxfId="83" priority="48"/>
  </conditionalFormatting>
  <conditionalFormatting sqref="B396 B398 B400 B402">
    <cfRule type="duplicateValues" dxfId="82" priority="47"/>
  </conditionalFormatting>
  <conditionalFormatting sqref="B408:B439">
    <cfRule type="duplicateValues" dxfId="81" priority="46"/>
  </conditionalFormatting>
  <conditionalFormatting sqref="B458:B460">
    <cfRule type="duplicateValues" dxfId="80" priority="45"/>
  </conditionalFormatting>
  <conditionalFormatting sqref="B463:B496">
    <cfRule type="duplicateValues" dxfId="79" priority="44"/>
  </conditionalFormatting>
  <conditionalFormatting sqref="B516:B537">
    <cfRule type="duplicateValues" dxfId="78" priority="43"/>
  </conditionalFormatting>
  <conditionalFormatting sqref="B566:B574">
    <cfRule type="duplicateValues" dxfId="77" priority="42"/>
  </conditionalFormatting>
  <conditionalFormatting sqref="B601 B603 B605 B607">
    <cfRule type="duplicateValues" dxfId="76" priority="41"/>
  </conditionalFormatting>
  <conditionalFormatting sqref="B617 B619 B621 B623 B625">
    <cfRule type="duplicateValues" dxfId="75" priority="40"/>
  </conditionalFormatting>
  <conditionalFormatting sqref="B634 B636:B637 B639 B641">
    <cfRule type="duplicateValues" dxfId="74" priority="38"/>
  </conditionalFormatting>
  <conditionalFormatting sqref="B633 B635 B638 B640">
    <cfRule type="duplicateValues" dxfId="73" priority="39"/>
  </conditionalFormatting>
  <conditionalFormatting sqref="B653:B655 B657:B659">
    <cfRule type="duplicateValues" dxfId="72" priority="37"/>
  </conditionalFormatting>
  <conditionalFormatting sqref="B656">
    <cfRule type="duplicateValues" dxfId="71" priority="36"/>
  </conditionalFormatting>
  <conditionalFormatting sqref="B672">
    <cfRule type="duplicateValues" dxfId="70" priority="35"/>
  </conditionalFormatting>
  <conditionalFormatting sqref="B202">
    <cfRule type="duplicateValues" dxfId="69" priority="29"/>
  </conditionalFormatting>
  <conditionalFormatting sqref="B23 B29:B32">
    <cfRule type="duplicateValues" dxfId="68" priority="33"/>
  </conditionalFormatting>
  <conditionalFormatting sqref="B15">
    <cfRule type="duplicateValues" dxfId="67" priority="32"/>
  </conditionalFormatting>
  <conditionalFormatting sqref="B24">
    <cfRule type="duplicateValues" dxfId="66" priority="31"/>
  </conditionalFormatting>
  <conditionalFormatting sqref="B44">
    <cfRule type="duplicateValues" dxfId="65" priority="30"/>
  </conditionalFormatting>
  <conditionalFormatting sqref="B348:B359">
    <cfRule type="duplicateValues" dxfId="64" priority="34"/>
  </conditionalFormatting>
  <conditionalFormatting sqref="B269">
    <cfRule type="duplicateValues" dxfId="63" priority="28"/>
  </conditionalFormatting>
  <conditionalFormatting sqref="B289">
    <cfRule type="duplicateValues" dxfId="62" priority="27"/>
  </conditionalFormatting>
  <conditionalFormatting sqref="B41 B43">
    <cfRule type="duplicateValues" dxfId="61" priority="26"/>
  </conditionalFormatting>
  <conditionalFormatting sqref="B268">
    <cfRule type="duplicateValues" dxfId="60" priority="25"/>
  </conditionalFormatting>
  <conditionalFormatting sqref="B286 B288">
    <cfRule type="duplicateValues" dxfId="59" priority="23"/>
  </conditionalFormatting>
  <conditionalFormatting sqref="B287">
    <cfRule type="duplicateValues" dxfId="58" priority="24"/>
  </conditionalFormatting>
  <conditionalFormatting sqref="B303:B304">
    <cfRule type="duplicateValues" dxfId="57" priority="22"/>
  </conditionalFormatting>
  <conditionalFormatting sqref="B40">
    <cfRule type="duplicateValues" dxfId="56" priority="21"/>
  </conditionalFormatting>
  <conditionalFormatting sqref="B79:B94">
    <cfRule type="duplicateValues" dxfId="55" priority="20"/>
  </conditionalFormatting>
  <conditionalFormatting sqref="B139:B142">
    <cfRule type="duplicateValues" dxfId="54" priority="19"/>
  </conditionalFormatting>
  <conditionalFormatting sqref="B179:B185">
    <cfRule type="duplicateValues" dxfId="53" priority="18"/>
  </conditionalFormatting>
  <conditionalFormatting sqref="B199:B200">
    <cfRule type="duplicateValues" dxfId="52" priority="17"/>
  </conditionalFormatting>
  <conditionalFormatting sqref="B266">
    <cfRule type="duplicateValues" dxfId="51" priority="16"/>
  </conditionalFormatting>
  <conditionalFormatting sqref="B100">
    <cfRule type="duplicateValues" dxfId="50" priority="15"/>
  </conditionalFormatting>
  <conditionalFormatting sqref="B33 B35 B37 B39">
    <cfRule type="duplicateValues" dxfId="49" priority="14"/>
  </conditionalFormatting>
  <conditionalFormatting sqref="B45:B78">
    <cfRule type="duplicateValues" dxfId="48" priority="13"/>
  </conditionalFormatting>
  <conditionalFormatting sqref="B95:B99">
    <cfRule type="duplicateValues" dxfId="47" priority="12"/>
  </conditionalFormatting>
  <conditionalFormatting sqref="B101:B138">
    <cfRule type="duplicateValues" dxfId="46" priority="11"/>
  </conditionalFormatting>
  <conditionalFormatting sqref="B153:B178">
    <cfRule type="duplicateValues" dxfId="45" priority="10"/>
  </conditionalFormatting>
  <conditionalFormatting sqref="B203:B218">
    <cfRule type="duplicateValues" dxfId="44" priority="9"/>
  </conditionalFormatting>
  <conditionalFormatting sqref="B239 B241 B243 B245:B247 B249:B250">
    <cfRule type="duplicateValues" dxfId="43" priority="8"/>
  </conditionalFormatting>
  <conditionalFormatting sqref="B254 B256 B258 B260:B262">
    <cfRule type="duplicateValues" dxfId="42" priority="7"/>
  </conditionalFormatting>
  <conditionalFormatting sqref="B271 B273:B274 B276:B277 B279:B285">
    <cfRule type="duplicateValues" dxfId="41" priority="5"/>
  </conditionalFormatting>
  <conditionalFormatting sqref="B270 B272 B275 B278">
    <cfRule type="duplicateValues" dxfId="40" priority="6"/>
  </conditionalFormatting>
  <conditionalFormatting sqref="B290:B293 B295:B301">
    <cfRule type="duplicateValues" dxfId="39" priority="3"/>
  </conditionalFormatting>
  <conditionalFormatting sqref="B294">
    <cfRule type="duplicateValues" dxfId="38" priority="2"/>
  </conditionalFormatting>
  <conditionalFormatting sqref="B302">
    <cfRule type="duplicateValues" dxfId="37" priority="4"/>
  </conditionalFormatting>
  <conditionalFormatting sqref="B309">
    <cfRule type="duplicateValues" dxfId="36" priority="1"/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/>
  <dimension ref="A1:J407"/>
  <sheetViews>
    <sheetView workbookViewId="0">
      <selection activeCell="C12" sqref="C12"/>
    </sheetView>
  </sheetViews>
  <sheetFormatPr baseColWidth="10" defaultRowHeight="15"/>
  <cols>
    <col min="1" max="1" width="11.42578125" style="58"/>
    <col min="2" max="2" width="11.42578125" style="2"/>
    <col min="3" max="3" width="24.85546875" customWidth="1"/>
    <col min="4" max="4" width="11.85546875" bestFit="1" customWidth="1"/>
    <col min="5" max="5" width="11.85546875" customWidth="1"/>
    <col min="6" max="6" width="33.140625" bestFit="1" customWidth="1"/>
    <col min="9" max="9" width="17.5703125" customWidth="1"/>
  </cols>
  <sheetData>
    <row r="1" spans="1:10">
      <c r="A1" s="61" t="s">
        <v>74</v>
      </c>
      <c r="B1" s="49" t="s">
        <v>75</v>
      </c>
      <c r="C1" s="50" t="s">
        <v>76</v>
      </c>
      <c r="D1" s="50" t="s">
        <v>48</v>
      </c>
      <c r="E1" s="50" t="s">
        <v>95</v>
      </c>
      <c r="F1" s="50" t="s">
        <v>77</v>
      </c>
      <c r="G1" s="49" t="s">
        <v>78</v>
      </c>
      <c r="H1" s="49" t="s">
        <v>79</v>
      </c>
      <c r="I1" s="49" t="s">
        <v>80</v>
      </c>
      <c r="J1" s="49"/>
    </row>
    <row r="2" spans="1:10">
      <c r="A2" s="58">
        <v>1</v>
      </c>
      <c r="B2" s="58">
        <v>961</v>
      </c>
      <c r="C2" s="109" t="s">
        <v>1413</v>
      </c>
      <c r="D2" s="109">
        <v>10129943002</v>
      </c>
      <c r="E2" s="109" t="s">
        <v>116</v>
      </c>
      <c r="F2" s="109">
        <v>3.1770833333333331E-2</v>
      </c>
      <c r="G2" s="109"/>
      <c r="H2" s="109">
        <v>0</v>
      </c>
      <c r="I2" s="109"/>
      <c r="J2">
        <f t="shared" ref="J2:J65" si="0">A2</f>
        <v>1</v>
      </c>
    </row>
    <row r="3" spans="1:10">
      <c r="A3" s="58">
        <v>2</v>
      </c>
      <c r="B3" s="58">
        <v>964</v>
      </c>
      <c r="C3" s="109" t="s">
        <v>1414</v>
      </c>
      <c r="D3" s="109">
        <v>10061982172</v>
      </c>
      <c r="E3" s="109" t="s">
        <v>1415</v>
      </c>
      <c r="F3" s="109">
        <v>3.4930555555555555E-2</v>
      </c>
      <c r="G3" s="109"/>
      <c r="H3" s="109">
        <v>3.1597222222222235E-3</v>
      </c>
      <c r="I3" s="109"/>
      <c r="J3">
        <f t="shared" si="0"/>
        <v>2</v>
      </c>
    </row>
    <row r="4" spans="1:10">
      <c r="A4" s="58">
        <v>3</v>
      </c>
      <c r="B4" s="58">
        <v>962</v>
      </c>
      <c r="C4" s="109" t="s">
        <v>1416</v>
      </c>
      <c r="D4" s="109">
        <v>10136994700</v>
      </c>
      <c r="E4" s="109" t="s">
        <v>116</v>
      </c>
      <c r="F4" s="109">
        <v>3.695601851851852E-2</v>
      </c>
      <c r="G4" s="109"/>
      <c r="H4" s="109">
        <v>5.1851851851851885E-3</v>
      </c>
      <c r="I4" s="109"/>
      <c r="J4">
        <f t="shared" si="0"/>
        <v>3</v>
      </c>
    </row>
    <row r="5" spans="1:10">
      <c r="A5" s="58">
        <v>4</v>
      </c>
      <c r="B5" s="58">
        <v>965</v>
      </c>
      <c r="C5" s="109" t="s">
        <v>1417</v>
      </c>
      <c r="D5" s="109" t="s">
        <v>1292</v>
      </c>
      <c r="E5" s="109" t="s">
        <v>1418</v>
      </c>
      <c r="F5" s="109">
        <v>3.9780092592592596E-2</v>
      </c>
      <c r="G5" s="109"/>
      <c r="H5" s="109">
        <v>8.0092592592592646E-3</v>
      </c>
      <c r="I5" s="109"/>
      <c r="J5">
        <f t="shared" si="0"/>
        <v>4</v>
      </c>
    </row>
    <row r="6" spans="1:10">
      <c r="B6" s="58">
        <v>966</v>
      </c>
      <c r="C6" s="109" t="s">
        <v>1419</v>
      </c>
      <c r="D6" s="109">
        <v>10075908039</v>
      </c>
      <c r="E6" s="109" t="s">
        <v>1420</v>
      </c>
      <c r="F6" s="109" t="s">
        <v>105</v>
      </c>
      <c r="G6" s="109"/>
      <c r="H6" s="109" t="s">
        <v>66</v>
      </c>
      <c r="I6" s="109"/>
      <c r="J6">
        <f t="shared" si="0"/>
        <v>0</v>
      </c>
    </row>
    <row r="7" spans="1:10">
      <c r="B7" s="58"/>
      <c r="C7" s="109"/>
      <c r="D7" s="109"/>
      <c r="E7" s="109"/>
      <c r="F7" s="109"/>
      <c r="G7" s="109"/>
      <c r="H7" s="109"/>
      <c r="I7" s="109"/>
      <c r="J7">
        <f t="shared" si="0"/>
        <v>0</v>
      </c>
    </row>
    <row r="8" spans="1:10">
      <c r="A8" s="58">
        <v>1</v>
      </c>
      <c r="B8" s="58">
        <v>981</v>
      </c>
      <c r="C8" s="109" t="s">
        <v>1421</v>
      </c>
      <c r="D8" s="109" t="s">
        <v>1311</v>
      </c>
      <c r="E8" s="109" t="s">
        <v>6</v>
      </c>
      <c r="F8" s="109" t="s">
        <v>1422</v>
      </c>
      <c r="G8" s="109">
        <v>2.7847222222222221E-2</v>
      </c>
      <c r="H8" s="109">
        <v>232</v>
      </c>
      <c r="I8" s="109"/>
      <c r="J8">
        <f t="shared" si="0"/>
        <v>1</v>
      </c>
    </row>
    <row r="9" spans="1:10">
      <c r="A9" s="58">
        <v>2</v>
      </c>
      <c r="B9" s="58">
        <v>982</v>
      </c>
      <c r="C9" s="109" t="s">
        <v>854</v>
      </c>
      <c r="D9" s="109">
        <v>10050347327</v>
      </c>
      <c r="E9" s="109" t="s">
        <v>103</v>
      </c>
      <c r="F9" s="109" t="s">
        <v>1423</v>
      </c>
      <c r="G9" s="109">
        <v>3.6840277777777777E-2</v>
      </c>
      <c r="H9" s="109">
        <v>234</v>
      </c>
      <c r="I9" s="109">
        <v>8.9930555555555562E-3</v>
      </c>
      <c r="J9">
        <f t="shared" si="0"/>
        <v>2</v>
      </c>
    </row>
    <row r="10" spans="1:10">
      <c r="A10" s="58">
        <v>3</v>
      </c>
      <c r="B10" s="58">
        <v>978</v>
      </c>
      <c r="C10" s="109" t="s">
        <v>1424</v>
      </c>
      <c r="D10" s="109" t="s">
        <v>1311</v>
      </c>
      <c r="E10" s="109" t="s">
        <v>103</v>
      </c>
      <c r="F10" s="109" t="s">
        <v>1425</v>
      </c>
      <c r="G10" s="109">
        <v>4.0555555555555553E-2</v>
      </c>
      <c r="H10" s="109">
        <v>235</v>
      </c>
      <c r="I10" s="109">
        <v>1.2708333333333332E-2</v>
      </c>
      <c r="J10">
        <f t="shared" si="0"/>
        <v>3</v>
      </c>
    </row>
    <row r="11" spans="1:10">
      <c r="A11" s="58">
        <v>4</v>
      </c>
      <c r="B11" s="58">
        <v>983</v>
      </c>
      <c r="C11" s="109" t="s">
        <v>1426</v>
      </c>
      <c r="D11" s="109">
        <v>1015955048</v>
      </c>
      <c r="E11" s="109" t="s">
        <v>103</v>
      </c>
      <c r="F11" s="109" t="s">
        <v>1427</v>
      </c>
      <c r="G11" s="109" t="s">
        <v>107</v>
      </c>
      <c r="H11" s="109">
        <v>237</v>
      </c>
      <c r="I11" s="109" t="s">
        <v>6</v>
      </c>
      <c r="J11">
        <f t="shared" si="0"/>
        <v>4</v>
      </c>
    </row>
    <row r="12" spans="1:10" ht="15.75">
      <c r="A12" s="2"/>
      <c r="B12" s="21"/>
      <c r="D12" s="17"/>
      <c r="E12" s="17"/>
      <c r="G12" s="5"/>
      <c r="H12" s="2"/>
      <c r="I12" s="5"/>
      <c r="J12">
        <f t="shared" si="0"/>
        <v>0</v>
      </c>
    </row>
    <row r="13" spans="1:10">
      <c r="A13" s="2">
        <v>1</v>
      </c>
      <c r="B13" s="2">
        <v>713</v>
      </c>
      <c r="C13" t="s">
        <v>771</v>
      </c>
      <c r="D13" s="17">
        <v>10006255268</v>
      </c>
      <c r="E13" s="17" t="s">
        <v>103</v>
      </c>
      <c r="F13" t="s">
        <v>100</v>
      </c>
      <c r="G13" s="5">
        <v>3.1689814814814816E-2</v>
      </c>
      <c r="H13" s="2">
        <v>5</v>
      </c>
      <c r="I13" s="5"/>
      <c r="J13">
        <f t="shared" si="0"/>
        <v>1</v>
      </c>
    </row>
    <row r="14" spans="1:10">
      <c r="A14" s="2">
        <v>2</v>
      </c>
      <c r="B14" s="2">
        <v>708</v>
      </c>
      <c r="C14" t="s">
        <v>766</v>
      </c>
      <c r="D14" s="17">
        <v>10056033143</v>
      </c>
      <c r="E14" s="17" t="s">
        <v>103</v>
      </c>
      <c r="F14" t="s">
        <v>868</v>
      </c>
      <c r="G14" s="5">
        <v>3.1724537037037037E-2</v>
      </c>
      <c r="H14" s="2">
        <v>6</v>
      </c>
      <c r="I14" s="5">
        <v>3.4722222222220711E-5</v>
      </c>
      <c r="J14">
        <f t="shared" si="0"/>
        <v>2</v>
      </c>
    </row>
    <row r="15" spans="1:10" ht="15.75">
      <c r="A15" s="2">
        <v>3</v>
      </c>
      <c r="B15" s="21">
        <v>701</v>
      </c>
      <c r="C15" t="s">
        <v>1263</v>
      </c>
      <c r="D15" s="17">
        <v>10079383568</v>
      </c>
      <c r="E15" s="17" t="s">
        <v>103</v>
      </c>
      <c r="F15" t="s">
        <v>156</v>
      </c>
      <c r="G15" s="5">
        <v>3.2789351851851854E-2</v>
      </c>
      <c r="H15" s="2">
        <v>8</v>
      </c>
      <c r="I15" s="5">
        <v>1.0995370370370378E-3</v>
      </c>
      <c r="J15">
        <f t="shared" si="0"/>
        <v>3</v>
      </c>
    </row>
    <row r="16" spans="1:10" ht="15.75">
      <c r="A16" s="2">
        <v>4</v>
      </c>
      <c r="B16" s="21">
        <v>702</v>
      </c>
      <c r="C16" t="s">
        <v>396</v>
      </c>
      <c r="D16" s="17" t="s">
        <v>66</v>
      </c>
      <c r="E16" s="17" t="s">
        <v>103</v>
      </c>
      <c r="F16" t="s">
        <v>767</v>
      </c>
      <c r="G16" s="5">
        <v>3.4004629629629628E-2</v>
      </c>
      <c r="H16" s="2">
        <v>12</v>
      </c>
      <c r="I16" s="5">
        <v>2.3148148148148112E-3</v>
      </c>
      <c r="J16">
        <f t="shared" si="0"/>
        <v>4</v>
      </c>
    </row>
    <row r="17" spans="1:10" ht="15.75">
      <c r="A17" s="2">
        <v>5</v>
      </c>
      <c r="B17" s="21">
        <v>709</v>
      </c>
      <c r="C17" t="s">
        <v>1428</v>
      </c>
      <c r="D17" s="17">
        <v>10124844640</v>
      </c>
      <c r="E17" s="17" t="s">
        <v>103</v>
      </c>
      <c r="F17" t="s">
        <v>406</v>
      </c>
      <c r="G17" s="5">
        <v>3.574074074074074E-2</v>
      </c>
      <c r="H17" s="2">
        <v>19</v>
      </c>
      <c r="I17" s="5">
        <v>4.0509259259259231E-3</v>
      </c>
      <c r="J17">
        <f t="shared" si="0"/>
        <v>5</v>
      </c>
    </row>
    <row r="18" spans="1:10">
      <c r="A18" s="7">
        <v>6</v>
      </c>
      <c r="B18" s="7">
        <v>714</v>
      </c>
      <c r="C18" t="s">
        <v>1429</v>
      </c>
      <c r="D18" s="17" t="s">
        <v>1292</v>
      </c>
      <c r="E18" s="17" t="s">
        <v>103</v>
      </c>
      <c r="F18" t="s">
        <v>1250</v>
      </c>
      <c r="G18" s="5">
        <v>3.9317129629629632E-2</v>
      </c>
      <c r="H18" s="2">
        <v>25</v>
      </c>
      <c r="I18" s="5">
        <v>7.6273148148148159E-3</v>
      </c>
      <c r="J18">
        <f t="shared" si="0"/>
        <v>6</v>
      </c>
    </row>
    <row r="19" spans="1:10" ht="15.75">
      <c r="A19" s="2"/>
      <c r="B19" s="21">
        <v>705</v>
      </c>
      <c r="C19" t="s">
        <v>400</v>
      </c>
      <c r="D19" s="17">
        <v>10016062372</v>
      </c>
      <c r="E19" s="17" t="s">
        <v>103</v>
      </c>
      <c r="F19" t="s">
        <v>1430</v>
      </c>
      <c r="G19" s="5" t="s">
        <v>106</v>
      </c>
      <c r="H19" s="2">
        <v>1</v>
      </c>
      <c r="I19" s="5" t="s">
        <v>6</v>
      </c>
      <c r="J19">
        <f t="shared" si="0"/>
        <v>0</v>
      </c>
    </row>
    <row r="20" spans="1:10" ht="15.75">
      <c r="A20" s="2"/>
      <c r="B20" s="21">
        <v>720</v>
      </c>
      <c r="C20" t="s">
        <v>516</v>
      </c>
      <c r="D20" s="17" t="s">
        <v>66</v>
      </c>
      <c r="E20" s="17" t="s">
        <v>103</v>
      </c>
      <c r="F20" t="s">
        <v>517</v>
      </c>
      <c r="G20" s="5" t="s">
        <v>106</v>
      </c>
      <c r="H20" s="2">
        <v>2</v>
      </c>
      <c r="I20" s="5" t="s">
        <v>6</v>
      </c>
      <c r="J20">
        <f t="shared" si="0"/>
        <v>0</v>
      </c>
    </row>
    <row r="21" spans="1:10" ht="15.75">
      <c r="A21" s="2"/>
      <c r="B21" s="21"/>
      <c r="D21" s="17"/>
      <c r="E21" s="17"/>
      <c r="G21" s="5"/>
      <c r="H21" s="2"/>
      <c r="I21" s="5"/>
      <c r="J21">
        <f t="shared" si="0"/>
        <v>0</v>
      </c>
    </row>
    <row r="22" spans="1:10" ht="15.75">
      <c r="A22" s="2">
        <v>1</v>
      </c>
      <c r="B22" s="21">
        <v>752</v>
      </c>
      <c r="C22" t="s">
        <v>882</v>
      </c>
      <c r="D22" s="17">
        <v>10001352223</v>
      </c>
      <c r="E22" s="17" t="s">
        <v>103</v>
      </c>
      <c r="F22" t="s">
        <v>883</v>
      </c>
      <c r="G22" s="5">
        <v>3.2280092592592596E-2</v>
      </c>
      <c r="H22" s="2">
        <v>7</v>
      </c>
      <c r="I22" s="5"/>
      <c r="J22">
        <f t="shared" si="0"/>
        <v>1</v>
      </c>
    </row>
    <row r="23" spans="1:10" ht="15.75">
      <c r="A23" s="2">
        <v>2</v>
      </c>
      <c r="B23" s="21">
        <v>760</v>
      </c>
      <c r="C23" t="s">
        <v>775</v>
      </c>
      <c r="D23" s="17">
        <v>10112138246</v>
      </c>
      <c r="E23" s="17" t="s">
        <v>103</v>
      </c>
      <c r="F23" t="s">
        <v>1269</v>
      </c>
      <c r="G23" s="5">
        <v>3.2488425925925928E-2</v>
      </c>
      <c r="H23" s="2">
        <v>9</v>
      </c>
      <c r="I23" s="5">
        <v>2.0833333333333121E-4</v>
      </c>
      <c r="J23">
        <f t="shared" si="0"/>
        <v>2</v>
      </c>
    </row>
    <row r="24" spans="1:10" ht="15.75">
      <c r="A24" s="2">
        <v>3</v>
      </c>
      <c r="B24" s="21">
        <v>751</v>
      </c>
      <c r="C24" t="s">
        <v>119</v>
      </c>
      <c r="D24" s="17">
        <v>10127988349</v>
      </c>
      <c r="E24" s="17" t="s">
        <v>103</v>
      </c>
      <c r="F24" t="s">
        <v>100</v>
      </c>
      <c r="G24" s="5">
        <v>3.3125000000000002E-2</v>
      </c>
      <c r="H24" s="2">
        <v>10</v>
      </c>
      <c r="I24" s="5">
        <v>8.4490740740740533E-4</v>
      </c>
      <c r="J24">
        <f t="shared" si="0"/>
        <v>3</v>
      </c>
    </row>
    <row r="25" spans="1:10" ht="15.75">
      <c r="A25" s="2">
        <v>4</v>
      </c>
      <c r="B25" s="21">
        <v>774</v>
      </c>
      <c r="C25" t="s">
        <v>1251</v>
      </c>
      <c r="D25" s="17" t="s">
        <v>1264</v>
      </c>
      <c r="E25" s="17" t="s">
        <v>103</v>
      </c>
      <c r="F25" t="s">
        <v>100</v>
      </c>
      <c r="G25" s="5">
        <v>3.3414351851851855E-2</v>
      </c>
      <c r="H25" s="2">
        <v>11</v>
      </c>
      <c r="I25" s="5">
        <v>1.1342592592592585E-3</v>
      </c>
      <c r="J25">
        <f t="shared" si="0"/>
        <v>4</v>
      </c>
    </row>
    <row r="26" spans="1:10" ht="15.75">
      <c r="A26" s="2">
        <v>5</v>
      </c>
      <c r="B26" s="21">
        <v>758</v>
      </c>
      <c r="C26" t="s">
        <v>1199</v>
      </c>
      <c r="D26" s="17">
        <v>10140636745</v>
      </c>
      <c r="E26" s="17" t="s">
        <v>103</v>
      </c>
      <c r="F26" t="s">
        <v>129</v>
      </c>
      <c r="G26" s="5">
        <v>3.3784722222222223E-2</v>
      </c>
      <c r="H26" s="2">
        <v>13</v>
      </c>
      <c r="I26" s="5">
        <v>1.5046296296296266E-3</v>
      </c>
      <c r="J26">
        <f t="shared" si="0"/>
        <v>5</v>
      </c>
    </row>
    <row r="27" spans="1:10" ht="15.75">
      <c r="A27" s="2">
        <v>6</v>
      </c>
      <c r="B27" s="21">
        <v>763</v>
      </c>
      <c r="C27" t="s">
        <v>426</v>
      </c>
      <c r="D27" s="17">
        <v>10103825447</v>
      </c>
      <c r="E27" s="17" t="s">
        <v>103</v>
      </c>
      <c r="F27" t="s">
        <v>427</v>
      </c>
      <c r="G27" s="5">
        <v>3.4097222222222223E-2</v>
      </c>
      <c r="H27" s="2">
        <v>14</v>
      </c>
      <c r="I27" s="5">
        <v>1.8171296296296269E-3</v>
      </c>
      <c r="J27">
        <f t="shared" si="0"/>
        <v>6</v>
      </c>
    </row>
    <row r="28" spans="1:10" ht="15.75">
      <c r="A28" s="2">
        <v>7</v>
      </c>
      <c r="B28" s="21">
        <v>775</v>
      </c>
      <c r="C28" t="s">
        <v>1267</v>
      </c>
      <c r="D28" s="17" t="s">
        <v>1268</v>
      </c>
      <c r="E28" s="17" t="s">
        <v>103</v>
      </c>
      <c r="F28" t="s">
        <v>406</v>
      </c>
      <c r="G28" s="5">
        <v>3.4201388888888892E-2</v>
      </c>
      <c r="H28" s="2">
        <v>15</v>
      </c>
      <c r="I28" s="5">
        <v>1.9212962962962959E-3</v>
      </c>
      <c r="J28">
        <f t="shared" si="0"/>
        <v>7</v>
      </c>
    </row>
    <row r="29" spans="1:10" ht="15.75">
      <c r="A29" s="2">
        <v>8</v>
      </c>
      <c r="B29" s="21">
        <v>761</v>
      </c>
      <c r="C29" t="s">
        <v>87</v>
      </c>
      <c r="D29" s="17">
        <v>10126504047</v>
      </c>
      <c r="E29" s="17" t="s">
        <v>6</v>
      </c>
      <c r="F29" t="s">
        <v>1270</v>
      </c>
      <c r="G29" s="5">
        <v>3.5104166666666665E-2</v>
      </c>
      <c r="H29" s="2">
        <v>17</v>
      </c>
      <c r="I29" s="5">
        <v>2.8240740740740691E-3</v>
      </c>
      <c r="J29">
        <f t="shared" si="0"/>
        <v>8</v>
      </c>
    </row>
    <row r="30" spans="1:10" ht="15.75">
      <c r="A30" s="2">
        <v>9</v>
      </c>
      <c r="B30" s="21">
        <v>756</v>
      </c>
      <c r="C30" t="s">
        <v>417</v>
      </c>
      <c r="D30" s="17">
        <v>10137070781</v>
      </c>
      <c r="E30" s="17" t="s">
        <v>103</v>
      </c>
      <c r="F30" t="s">
        <v>399</v>
      </c>
      <c r="G30" s="5">
        <v>3.6458333333333336E-2</v>
      </c>
      <c r="H30" s="2">
        <v>20</v>
      </c>
      <c r="I30" s="5">
        <v>4.1782407407407393E-3</v>
      </c>
      <c r="J30">
        <f t="shared" si="0"/>
        <v>9</v>
      </c>
    </row>
    <row r="31" spans="1:10" ht="15.75">
      <c r="A31" s="2">
        <v>10</v>
      </c>
      <c r="B31" s="21">
        <v>754</v>
      </c>
      <c r="C31" t="s">
        <v>1265</v>
      </c>
      <c r="D31" s="17">
        <v>10055096788</v>
      </c>
      <c r="E31" s="17" t="s">
        <v>103</v>
      </c>
      <c r="F31" t="s">
        <v>1266</v>
      </c>
      <c r="G31" s="5">
        <v>3.740740740740741E-2</v>
      </c>
      <c r="H31" s="2">
        <v>22</v>
      </c>
      <c r="I31" s="5">
        <v>5.1273148148148137E-3</v>
      </c>
      <c r="J31">
        <f t="shared" si="0"/>
        <v>10</v>
      </c>
    </row>
    <row r="32" spans="1:10" ht="15.75">
      <c r="A32" s="2">
        <v>11</v>
      </c>
      <c r="B32" s="21">
        <v>776</v>
      </c>
      <c r="C32" t="s">
        <v>1431</v>
      </c>
      <c r="D32" s="17" t="s">
        <v>1311</v>
      </c>
      <c r="E32" s="17" t="s">
        <v>103</v>
      </c>
      <c r="F32" t="s">
        <v>1287</v>
      </c>
      <c r="G32" s="5">
        <v>3.8645833333333338E-2</v>
      </c>
      <c r="H32" s="2">
        <v>24</v>
      </c>
      <c r="I32" s="5">
        <v>6.3657407407407413E-3</v>
      </c>
      <c r="J32">
        <f t="shared" si="0"/>
        <v>11</v>
      </c>
    </row>
    <row r="33" spans="1:10" ht="15.75">
      <c r="A33" s="2">
        <v>12</v>
      </c>
      <c r="B33" s="21">
        <v>759</v>
      </c>
      <c r="C33" t="s">
        <v>1432</v>
      </c>
      <c r="D33" s="17" t="s">
        <v>1311</v>
      </c>
      <c r="E33" s="17" t="s">
        <v>103</v>
      </c>
      <c r="F33" t="s">
        <v>1433</v>
      </c>
      <c r="G33" s="5">
        <v>3.9756944444444449E-2</v>
      </c>
      <c r="H33" s="2">
        <v>28</v>
      </c>
      <c r="I33" s="5">
        <v>7.4768518518518526E-3</v>
      </c>
      <c r="J33">
        <f t="shared" si="0"/>
        <v>12</v>
      </c>
    </row>
    <row r="34" spans="1:10" ht="15.75">
      <c r="A34" s="2"/>
      <c r="B34" s="21">
        <v>769</v>
      </c>
      <c r="C34" t="s">
        <v>782</v>
      </c>
      <c r="D34" s="17">
        <v>10053119810</v>
      </c>
      <c r="E34" s="17" t="s">
        <v>103</v>
      </c>
      <c r="F34" t="s">
        <v>783</v>
      </c>
      <c r="G34" s="5" t="s">
        <v>106</v>
      </c>
      <c r="H34" s="2">
        <v>3</v>
      </c>
      <c r="I34" s="5" t="s">
        <v>6</v>
      </c>
      <c r="J34">
        <f t="shared" si="0"/>
        <v>0</v>
      </c>
    </row>
    <row r="35" spans="1:10" ht="15.75">
      <c r="A35" s="2"/>
      <c r="B35" s="21"/>
      <c r="D35" s="17"/>
      <c r="E35" s="17"/>
      <c r="G35" s="5"/>
      <c r="H35" s="2"/>
      <c r="I35" s="5"/>
      <c r="J35">
        <f t="shared" si="0"/>
        <v>0</v>
      </c>
    </row>
    <row r="36" spans="1:10" ht="15.75">
      <c r="A36" s="2">
        <v>1</v>
      </c>
      <c r="B36" s="21">
        <v>618</v>
      </c>
      <c r="C36" t="s">
        <v>532</v>
      </c>
      <c r="D36" s="17">
        <v>10127815668</v>
      </c>
      <c r="E36" s="17" t="s">
        <v>103</v>
      </c>
      <c r="F36" t="s">
        <v>399</v>
      </c>
      <c r="G36" s="5">
        <v>3.4236111111111113E-2</v>
      </c>
      <c r="H36" s="2">
        <v>16</v>
      </c>
      <c r="I36" s="5"/>
      <c r="J36">
        <f t="shared" si="0"/>
        <v>1</v>
      </c>
    </row>
    <row r="37" spans="1:10" ht="15.75">
      <c r="A37" s="2">
        <v>2</v>
      </c>
      <c r="B37" s="21">
        <v>609</v>
      </c>
      <c r="C37" t="s">
        <v>518</v>
      </c>
      <c r="D37" s="17">
        <v>10063635620</v>
      </c>
      <c r="E37" s="17" t="s">
        <v>103</v>
      </c>
      <c r="F37" t="s">
        <v>839</v>
      </c>
      <c r="G37" s="5">
        <v>3.4814814814814819E-2</v>
      </c>
      <c r="H37" s="2">
        <v>18</v>
      </c>
      <c r="I37" s="5">
        <v>5.7870370370370627E-4</v>
      </c>
      <c r="J37">
        <f t="shared" si="0"/>
        <v>2</v>
      </c>
    </row>
    <row r="38" spans="1:10" ht="15.75">
      <c r="A38" s="2">
        <v>3</v>
      </c>
      <c r="B38" s="21">
        <v>614</v>
      </c>
      <c r="C38" t="s">
        <v>162</v>
      </c>
      <c r="D38" s="17">
        <v>10153041631</v>
      </c>
      <c r="E38" s="17" t="s">
        <v>103</v>
      </c>
      <c r="F38" t="s">
        <v>1434</v>
      </c>
      <c r="G38" s="5">
        <v>3.6840277777777777E-2</v>
      </c>
      <c r="H38" s="2">
        <v>21</v>
      </c>
      <c r="I38" s="5">
        <v>2.6041666666666644E-3</v>
      </c>
      <c r="J38">
        <f t="shared" si="0"/>
        <v>3</v>
      </c>
    </row>
    <row r="39" spans="1:10">
      <c r="A39" s="7">
        <v>4</v>
      </c>
      <c r="B39" s="7">
        <v>602</v>
      </c>
      <c r="C39" t="s">
        <v>157</v>
      </c>
      <c r="D39" s="17" t="s">
        <v>1292</v>
      </c>
      <c r="E39" s="17" t="s">
        <v>103</v>
      </c>
      <c r="F39" t="s">
        <v>506</v>
      </c>
      <c r="G39" s="5">
        <v>3.771990740740741E-2</v>
      </c>
      <c r="H39" s="2">
        <v>23</v>
      </c>
      <c r="I39" s="5">
        <v>3.4837962962962973E-3</v>
      </c>
      <c r="J39">
        <f t="shared" si="0"/>
        <v>4</v>
      </c>
    </row>
    <row r="40" spans="1:10" ht="15.75">
      <c r="A40" s="2">
        <v>5</v>
      </c>
      <c r="B40" s="21">
        <v>616</v>
      </c>
      <c r="C40" t="s">
        <v>529</v>
      </c>
      <c r="D40" s="17">
        <v>10126140804</v>
      </c>
      <c r="E40" s="17" t="s">
        <v>103</v>
      </c>
      <c r="F40" t="s">
        <v>530</v>
      </c>
      <c r="G40" s="5">
        <v>3.8900462962962963E-2</v>
      </c>
      <c r="H40" s="2">
        <v>26</v>
      </c>
      <c r="I40" s="5">
        <v>4.6643518518518501E-3</v>
      </c>
      <c r="J40">
        <f t="shared" si="0"/>
        <v>5</v>
      </c>
    </row>
    <row r="41" spans="1:10" ht="15.75">
      <c r="A41" s="2">
        <v>6</v>
      </c>
      <c r="B41" s="21">
        <v>603</v>
      </c>
      <c r="C41" t="s">
        <v>840</v>
      </c>
      <c r="D41" s="17">
        <v>10164876237</v>
      </c>
      <c r="E41" s="17" t="s">
        <v>103</v>
      </c>
      <c r="F41" t="s">
        <v>841</v>
      </c>
      <c r="G41" s="5">
        <v>3.9155092592592596E-2</v>
      </c>
      <c r="H41" s="2">
        <v>27</v>
      </c>
      <c r="I41" s="5">
        <v>4.9189814814814825E-3</v>
      </c>
      <c r="J41">
        <f t="shared" si="0"/>
        <v>6</v>
      </c>
    </row>
    <row r="42" spans="1:10" ht="15.75">
      <c r="A42" s="2">
        <v>7</v>
      </c>
      <c r="B42" s="21">
        <v>622</v>
      </c>
      <c r="C42" t="s">
        <v>407</v>
      </c>
      <c r="D42" s="17" t="s">
        <v>1311</v>
      </c>
      <c r="E42" s="17" t="s">
        <v>103</v>
      </c>
      <c r="F42" t="s">
        <v>895</v>
      </c>
      <c r="G42" s="5">
        <v>4.445601851851852E-2</v>
      </c>
      <c r="H42" s="2">
        <v>29</v>
      </c>
      <c r="I42" s="5">
        <v>1.0219907407407407E-2</v>
      </c>
      <c r="J42">
        <f t="shared" si="0"/>
        <v>7</v>
      </c>
    </row>
    <row r="43" spans="1:10" ht="15.75">
      <c r="A43" s="2">
        <v>8</v>
      </c>
      <c r="B43" s="21">
        <v>625</v>
      </c>
      <c r="C43" t="s">
        <v>538</v>
      </c>
      <c r="D43" s="17">
        <v>10172016144</v>
      </c>
      <c r="E43" s="17" t="s">
        <v>103</v>
      </c>
      <c r="F43" t="s">
        <v>6</v>
      </c>
      <c r="G43" s="5">
        <v>4.5231481481481484E-2</v>
      </c>
      <c r="H43" s="2">
        <v>30</v>
      </c>
      <c r="I43" s="5">
        <v>1.0995370370370371E-2</v>
      </c>
      <c r="J43">
        <f t="shared" si="0"/>
        <v>8</v>
      </c>
    </row>
    <row r="44" spans="1:10" ht="15.75">
      <c r="A44" s="2"/>
      <c r="B44" s="21">
        <v>628</v>
      </c>
      <c r="C44" t="s">
        <v>1435</v>
      </c>
      <c r="D44" s="17">
        <v>10129820740</v>
      </c>
      <c r="E44" s="17" t="s">
        <v>103</v>
      </c>
      <c r="F44" t="s">
        <v>1436</v>
      </c>
      <c r="G44" s="5" t="s">
        <v>106</v>
      </c>
      <c r="H44" s="2">
        <v>4</v>
      </c>
      <c r="I44" s="5" t="s">
        <v>6</v>
      </c>
      <c r="J44">
        <f t="shared" si="0"/>
        <v>0</v>
      </c>
    </row>
    <row r="45" spans="1:10" ht="15.75">
      <c r="A45" s="2"/>
      <c r="B45" s="21"/>
      <c r="D45" s="17"/>
      <c r="E45" s="17"/>
      <c r="G45" s="5"/>
      <c r="H45" s="2"/>
      <c r="I45" s="5"/>
      <c r="J45">
        <f t="shared" si="0"/>
        <v>0</v>
      </c>
    </row>
    <row r="46" spans="1:10" ht="15.75">
      <c r="A46" s="2">
        <v>1</v>
      </c>
      <c r="B46" s="21">
        <v>802</v>
      </c>
      <c r="C46" t="s">
        <v>433</v>
      </c>
      <c r="D46" s="17">
        <v>10075677966</v>
      </c>
      <c r="E46" s="17" t="s">
        <v>103</v>
      </c>
      <c r="F46" t="s">
        <v>434</v>
      </c>
      <c r="G46" s="5">
        <v>3.3888888888888892E-2</v>
      </c>
      <c r="H46" s="2">
        <v>41</v>
      </c>
      <c r="I46" s="5"/>
      <c r="J46">
        <f t="shared" si="0"/>
        <v>1</v>
      </c>
    </row>
    <row r="47" spans="1:10" ht="15.75">
      <c r="A47" s="2">
        <v>2</v>
      </c>
      <c r="B47" s="21">
        <v>820</v>
      </c>
      <c r="C47" t="s">
        <v>1271</v>
      </c>
      <c r="D47" s="17">
        <v>10094103118</v>
      </c>
      <c r="E47" s="17" t="s">
        <v>103</v>
      </c>
      <c r="F47" t="s">
        <v>1272</v>
      </c>
      <c r="G47" s="5">
        <v>3.4641203703703702E-2</v>
      </c>
      <c r="H47" s="2">
        <v>44</v>
      </c>
      <c r="I47" s="5">
        <v>7.5231481481480983E-4</v>
      </c>
      <c r="J47">
        <f t="shared" si="0"/>
        <v>2</v>
      </c>
    </row>
    <row r="48" spans="1:10" ht="15.75">
      <c r="A48" s="2">
        <v>3</v>
      </c>
      <c r="B48" s="21">
        <v>816</v>
      </c>
      <c r="C48" t="s">
        <v>1273</v>
      </c>
      <c r="D48" s="17">
        <v>10111595349</v>
      </c>
      <c r="E48" s="17" t="s">
        <v>103</v>
      </c>
      <c r="F48" t="s">
        <v>1274</v>
      </c>
      <c r="G48" s="5">
        <v>3.5104166666666665E-2</v>
      </c>
      <c r="H48" s="2">
        <v>48</v>
      </c>
      <c r="I48" s="5">
        <v>1.2152777777777735E-3</v>
      </c>
      <c r="J48">
        <f t="shared" si="0"/>
        <v>3</v>
      </c>
    </row>
    <row r="49" spans="1:10" ht="15.75">
      <c r="A49" s="2">
        <v>4</v>
      </c>
      <c r="B49" s="21">
        <v>824</v>
      </c>
      <c r="C49" t="s">
        <v>1437</v>
      </c>
      <c r="D49" s="17" t="s">
        <v>1292</v>
      </c>
      <c r="E49" s="17" t="s">
        <v>103</v>
      </c>
      <c r="F49" t="s">
        <v>397</v>
      </c>
      <c r="G49" s="5">
        <v>3.5509259259259261E-2</v>
      </c>
      <c r="H49" s="2">
        <v>49</v>
      </c>
      <c r="I49" s="5">
        <v>1.6203703703703692E-3</v>
      </c>
      <c r="J49">
        <f t="shared" si="0"/>
        <v>4</v>
      </c>
    </row>
    <row r="50" spans="1:10" ht="15.75">
      <c r="A50" s="2">
        <v>5</v>
      </c>
      <c r="B50" s="21">
        <v>813</v>
      </c>
      <c r="C50" t="s">
        <v>1275</v>
      </c>
      <c r="D50" s="17">
        <v>10051209819</v>
      </c>
      <c r="E50" s="17" t="s">
        <v>103</v>
      </c>
      <c r="F50" t="s">
        <v>1276</v>
      </c>
      <c r="G50" s="5">
        <v>3.5532407407407408E-2</v>
      </c>
      <c r="H50" s="2">
        <v>50</v>
      </c>
      <c r="I50" s="5">
        <v>1.6435185185185164E-3</v>
      </c>
      <c r="J50">
        <f t="shared" si="0"/>
        <v>5</v>
      </c>
    </row>
    <row r="51" spans="1:10" ht="15.75">
      <c r="A51" s="2">
        <v>6</v>
      </c>
      <c r="B51" s="21">
        <v>801</v>
      </c>
      <c r="C51" t="s">
        <v>120</v>
      </c>
      <c r="D51" s="17">
        <v>10102979628</v>
      </c>
      <c r="E51" s="17" t="s">
        <v>103</v>
      </c>
      <c r="F51" t="s">
        <v>1279</v>
      </c>
      <c r="G51" s="5">
        <v>3.7337962962962962E-2</v>
      </c>
      <c r="H51" s="2">
        <v>55</v>
      </c>
      <c r="I51" s="5">
        <v>3.4490740740740697E-3</v>
      </c>
      <c r="J51">
        <f t="shared" si="0"/>
        <v>6</v>
      </c>
    </row>
    <row r="52" spans="1:10">
      <c r="A52" s="58">
        <v>7</v>
      </c>
      <c r="B52" s="2">
        <v>814</v>
      </c>
      <c r="C52" t="s">
        <v>88</v>
      </c>
      <c r="D52">
        <v>10114540513</v>
      </c>
      <c r="E52" t="s">
        <v>103</v>
      </c>
      <c r="F52" t="s">
        <v>89</v>
      </c>
      <c r="G52" s="5">
        <v>3.7465277777777778E-2</v>
      </c>
      <c r="H52">
        <v>57</v>
      </c>
      <c r="I52">
        <v>3.5763888888888859E-3</v>
      </c>
      <c r="J52">
        <f t="shared" si="0"/>
        <v>7</v>
      </c>
    </row>
    <row r="53" spans="1:10">
      <c r="A53" s="2">
        <v>8</v>
      </c>
      <c r="B53" s="77">
        <v>825</v>
      </c>
      <c r="C53" t="s">
        <v>1277</v>
      </c>
      <c r="D53" s="17">
        <v>10111579585</v>
      </c>
      <c r="E53" s="17" t="s">
        <v>103</v>
      </c>
      <c r="F53" t="s">
        <v>1278</v>
      </c>
      <c r="G53" s="5">
        <v>3.7499999999999999E-2</v>
      </c>
      <c r="H53" s="2">
        <v>58</v>
      </c>
      <c r="I53" s="5">
        <v>3.6111111111111066E-3</v>
      </c>
      <c r="J53">
        <f t="shared" si="0"/>
        <v>8</v>
      </c>
    </row>
    <row r="54" spans="1:10">
      <c r="A54" s="2">
        <v>9</v>
      </c>
      <c r="B54" s="77">
        <v>811</v>
      </c>
      <c r="C54" t="s">
        <v>443</v>
      </c>
      <c r="D54" s="17" t="s">
        <v>1280</v>
      </c>
      <c r="E54" s="17" t="s">
        <v>103</v>
      </c>
      <c r="F54" t="s">
        <v>399</v>
      </c>
      <c r="G54" s="5">
        <v>3.7546296296296293E-2</v>
      </c>
      <c r="H54" s="2">
        <v>59</v>
      </c>
      <c r="I54" s="5">
        <v>3.6574074074074009E-3</v>
      </c>
      <c r="J54">
        <f t="shared" si="0"/>
        <v>9</v>
      </c>
    </row>
    <row r="55" spans="1:10">
      <c r="A55" s="2">
        <v>10</v>
      </c>
      <c r="B55" s="77">
        <v>809</v>
      </c>
      <c r="C55" t="s">
        <v>440</v>
      </c>
      <c r="D55" s="17">
        <v>10114420473</v>
      </c>
      <c r="E55" s="17" t="s">
        <v>103</v>
      </c>
      <c r="F55" t="s">
        <v>1204</v>
      </c>
      <c r="G55" s="5">
        <v>3.9351851851851853E-2</v>
      </c>
      <c r="H55" s="2">
        <v>66</v>
      </c>
      <c r="I55" s="5">
        <v>5.4629629629629611E-3</v>
      </c>
      <c r="J55">
        <f t="shared" si="0"/>
        <v>10</v>
      </c>
    </row>
    <row r="56" spans="1:10">
      <c r="A56" s="2">
        <v>11</v>
      </c>
      <c r="B56" s="77">
        <v>805</v>
      </c>
      <c r="C56" t="s">
        <v>1281</v>
      </c>
      <c r="D56" s="17">
        <v>10122661938</v>
      </c>
      <c r="E56" s="17" t="s">
        <v>103</v>
      </c>
      <c r="F56" t="s">
        <v>6</v>
      </c>
      <c r="G56" s="5">
        <v>4.2245370370370371E-2</v>
      </c>
      <c r="H56" s="2">
        <v>72</v>
      </c>
      <c r="I56" s="5">
        <v>8.3564814814814786E-3</v>
      </c>
      <c r="J56">
        <f t="shared" si="0"/>
        <v>11</v>
      </c>
    </row>
    <row r="57" spans="1:10">
      <c r="A57" s="2">
        <v>12</v>
      </c>
      <c r="B57" s="77">
        <v>827</v>
      </c>
      <c r="C57" t="s">
        <v>1438</v>
      </c>
      <c r="D57" s="17" t="s">
        <v>1292</v>
      </c>
      <c r="E57" s="17" t="s">
        <v>103</v>
      </c>
      <c r="F57" t="s">
        <v>6</v>
      </c>
      <c r="G57" s="5">
        <v>4.2418981481481481E-2</v>
      </c>
      <c r="H57" s="2">
        <v>73</v>
      </c>
      <c r="I57" s="5">
        <v>8.5300925925925891E-3</v>
      </c>
      <c r="J57">
        <f t="shared" si="0"/>
        <v>12</v>
      </c>
    </row>
    <row r="58" spans="1:10">
      <c r="A58" s="2"/>
      <c r="B58" s="77">
        <v>826</v>
      </c>
      <c r="C58" t="s">
        <v>1439</v>
      </c>
      <c r="D58" s="17" t="s">
        <v>1440</v>
      </c>
      <c r="E58" s="17" t="s">
        <v>103</v>
      </c>
      <c r="F58" t="s">
        <v>1441</v>
      </c>
      <c r="G58" s="5" t="s">
        <v>106</v>
      </c>
      <c r="H58" s="2">
        <v>31</v>
      </c>
      <c r="I58" s="5" t="s">
        <v>6</v>
      </c>
      <c r="J58">
        <f t="shared" si="0"/>
        <v>0</v>
      </c>
    </row>
    <row r="59" spans="1:10">
      <c r="A59" s="2"/>
      <c r="B59" s="77"/>
      <c r="D59" s="17"/>
      <c r="E59" s="17"/>
      <c r="G59" s="5"/>
      <c r="H59" s="2"/>
      <c r="I59" s="5"/>
      <c r="J59">
        <f t="shared" si="0"/>
        <v>0</v>
      </c>
    </row>
    <row r="60" spans="1:10">
      <c r="A60" s="3">
        <v>1</v>
      </c>
      <c r="B60" s="107">
        <v>875</v>
      </c>
      <c r="C60" s="4" t="s">
        <v>1282</v>
      </c>
      <c r="D60" s="100">
        <v>10075035948</v>
      </c>
      <c r="E60" s="100" t="s">
        <v>103</v>
      </c>
      <c r="F60" s="4" t="s">
        <v>1283</v>
      </c>
      <c r="G60" s="101">
        <v>3.2685185185185185E-2</v>
      </c>
      <c r="H60" s="3">
        <v>39</v>
      </c>
      <c r="I60" s="101"/>
      <c r="J60">
        <f t="shared" si="0"/>
        <v>1</v>
      </c>
    </row>
    <row r="61" spans="1:10">
      <c r="A61" s="3">
        <v>2</v>
      </c>
      <c r="B61" s="22">
        <v>851</v>
      </c>
      <c r="C61" s="4" t="s">
        <v>920</v>
      </c>
      <c r="D61" s="100">
        <v>10060932451</v>
      </c>
      <c r="E61" s="100" t="s">
        <v>103</v>
      </c>
      <c r="F61" s="4" t="s">
        <v>121</v>
      </c>
      <c r="G61" s="101">
        <v>3.3761574074074076E-2</v>
      </c>
      <c r="H61" s="3">
        <v>42</v>
      </c>
      <c r="I61" s="101">
        <v>1.0763888888888906E-3</v>
      </c>
      <c r="J61">
        <f t="shared" si="0"/>
        <v>2</v>
      </c>
    </row>
    <row r="62" spans="1:10">
      <c r="A62" s="3">
        <v>3</v>
      </c>
      <c r="B62" s="22">
        <v>868</v>
      </c>
      <c r="C62" s="4" t="s">
        <v>802</v>
      </c>
      <c r="D62" s="100">
        <v>10074930662</v>
      </c>
      <c r="E62" s="100" t="s">
        <v>103</v>
      </c>
      <c r="F62" s="4" t="s">
        <v>434</v>
      </c>
      <c r="G62" s="101">
        <v>3.4166666666666665E-2</v>
      </c>
      <c r="H62" s="3">
        <v>43</v>
      </c>
      <c r="I62" s="101">
        <v>1.4814814814814795E-3</v>
      </c>
      <c r="J62">
        <f t="shared" si="0"/>
        <v>3</v>
      </c>
    </row>
    <row r="63" spans="1:10">
      <c r="A63" s="3">
        <v>4</v>
      </c>
      <c r="B63" s="22">
        <v>870</v>
      </c>
      <c r="C63" s="4" t="s">
        <v>912</v>
      </c>
      <c r="D63" s="100">
        <v>10089830468</v>
      </c>
      <c r="E63" s="100" t="s">
        <v>103</v>
      </c>
      <c r="F63" s="4" t="s">
        <v>624</v>
      </c>
      <c r="G63" s="101">
        <v>3.4606481481481481E-2</v>
      </c>
      <c r="H63" s="3">
        <v>46</v>
      </c>
      <c r="I63" s="101">
        <v>1.9212962962962959E-3</v>
      </c>
      <c r="J63">
        <f t="shared" si="0"/>
        <v>4</v>
      </c>
    </row>
    <row r="64" spans="1:10">
      <c r="A64" s="3">
        <v>5</v>
      </c>
      <c r="B64" s="22">
        <v>862</v>
      </c>
      <c r="C64" s="4" t="s">
        <v>147</v>
      </c>
      <c r="D64" s="100">
        <v>10120760132</v>
      </c>
      <c r="E64" s="100" t="s">
        <v>103</v>
      </c>
      <c r="F64" s="4" t="s">
        <v>122</v>
      </c>
      <c r="G64" s="101">
        <v>3.4756944444444444E-2</v>
      </c>
      <c r="H64" s="3">
        <v>47</v>
      </c>
      <c r="I64" s="101">
        <v>2.0717592592592593E-3</v>
      </c>
      <c r="J64">
        <f t="shared" si="0"/>
        <v>5</v>
      </c>
    </row>
    <row r="65" spans="1:10">
      <c r="A65" s="3">
        <v>6</v>
      </c>
      <c r="B65" s="22">
        <v>853</v>
      </c>
      <c r="C65" s="4" t="s">
        <v>803</v>
      </c>
      <c r="D65" s="100">
        <v>10122227054</v>
      </c>
      <c r="E65" s="100" t="s">
        <v>103</v>
      </c>
      <c r="F65" s="4" t="s">
        <v>100</v>
      </c>
      <c r="G65" s="101">
        <v>3.5555555555555556E-2</v>
      </c>
      <c r="H65" s="3">
        <v>51</v>
      </c>
      <c r="I65" s="101">
        <v>2.8703703703703703E-3</v>
      </c>
      <c r="J65">
        <f t="shared" si="0"/>
        <v>6</v>
      </c>
    </row>
    <row r="66" spans="1:10">
      <c r="A66" s="3">
        <v>7</v>
      </c>
      <c r="B66" s="22">
        <v>859</v>
      </c>
      <c r="C66" s="4" t="s">
        <v>801</v>
      </c>
      <c r="D66" s="100">
        <v>10051462726</v>
      </c>
      <c r="E66" s="100" t="s">
        <v>103</v>
      </c>
      <c r="F66" s="4" t="s">
        <v>464</v>
      </c>
      <c r="G66" s="101">
        <v>3.5856481481481482E-2</v>
      </c>
      <c r="H66" s="3">
        <v>53</v>
      </c>
      <c r="I66" s="101">
        <v>3.1712962962962971E-3</v>
      </c>
      <c r="J66">
        <f t="shared" ref="J66:J129" si="1">A66</f>
        <v>7</v>
      </c>
    </row>
    <row r="67" spans="1:10">
      <c r="A67" s="3">
        <v>8</v>
      </c>
      <c r="B67" s="22">
        <v>860</v>
      </c>
      <c r="C67" s="4" t="s">
        <v>1284</v>
      </c>
      <c r="D67" s="100">
        <v>10061984903</v>
      </c>
      <c r="E67" s="100" t="s">
        <v>103</v>
      </c>
      <c r="F67" s="4" t="s">
        <v>1285</v>
      </c>
      <c r="G67" s="101">
        <v>3.7245370370370373E-2</v>
      </c>
      <c r="H67" s="3">
        <v>56</v>
      </c>
      <c r="I67" s="101">
        <v>4.560185185185188E-3</v>
      </c>
      <c r="J67">
        <f t="shared" si="1"/>
        <v>8</v>
      </c>
    </row>
    <row r="68" spans="1:10">
      <c r="A68" s="3">
        <v>9</v>
      </c>
      <c r="B68" s="22">
        <v>852</v>
      </c>
      <c r="C68" s="4" t="s">
        <v>123</v>
      </c>
      <c r="D68" s="100">
        <v>10007726234</v>
      </c>
      <c r="E68" s="100" t="s">
        <v>103</v>
      </c>
      <c r="F68" s="4" t="s">
        <v>124</v>
      </c>
      <c r="G68" s="101">
        <v>3.7442129629629631E-2</v>
      </c>
      <c r="H68" s="3">
        <v>60</v>
      </c>
      <c r="I68" s="101">
        <v>4.7569444444444456E-3</v>
      </c>
      <c r="J68">
        <f t="shared" si="1"/>
        <v>9</v>
      </c>
    </row>
    <row r="69" spans="1:10">
      <c r="A69" s="3">
        <v>10</v>
      </c>
      <c r="B69" s="22">
        <v>865</v>
      </c>
      <c r="C69" s="4" t="s">
        <v>1288</v>
      </c>
      <c r="D69" s="100">
        <v>10138850531</v>
      </c>
      <c r="E69" s="100" t="s">
        <v>103</v>
      </c>
      <c r="F69" s="4" t="s">
        <v>1289</v>
      </c>
      <c r="G69" s="101">
        <v>3.8240740740740742E-2</v>
      </c>
      <c r="H69" s="3">
        <v>63</v>
      </c>
      <c r="I69" s="101">
        <v>5.5555555555555566E-3</v>
      </c>
      <c r="J69">
        <f t="shared" si="1"/>
        <v>10</v>
      </c>
    </row>
    <row r="70" spans="1:10">
      <c r="A70" s="3">
        <v>11</v>
      </c>
      <c r="B70" s="107">
        <v>873</v>
      </c>
      <c r="C70" s="4" t="s">
        <v>1286</v>
      </c>
      <c r="D70" s="100">
        <v>10092276585</v>
      </c>
      <c r="E70" s="100" t="s">
        <v>103</v>
      </c>
      <c r="F70" s="4" t="s">
        <v>1287</v>
      </c>
      <c r="G70" s="101">
        <v>3.8240740740740742E-2</v>
      </c>
      <c r="H70" s="3">
        <v>64</v>
      </c>
      <c r="I70" s="101">
        <v>5.5555555555555566E-3</v>
      </c>
      <c r="J70">
        <f t="shared" si="1"/>
        <v>11</v>
      </c>
    </row>
    <row r="71" spans="1:10">
      <c r="A71" s="3">
        <v>12</v>
      </c>
      <c r="B71" s="22">
        <v>858</v>
      </c>
      <c r="C71" s="4" t="s">
        <v>1290</v>
      </c>
      <c r="D71" s="100" t="s">
        <v>1264</v>
      </c>
      <c r="E71" s="100" t="s">
        <v>103</v>
      </c>
      <c r="F71" s="4" t="s">
        <v>1291</v>
      </c>
      <c r="G71" s="101">
        <v>3.9837962962962964E-2</v>
      </c>
      <c r="H71" s="3">
        <v>69</v>
      </c>
      <c r="I71" s="101">
        <v>7.1527777777777787E-3</v>
      </c>
      <c r="J71">
        <f t="shared" si="1"/>
        <v>12</v>
      </c>
    </row>
    <row r="72" spans="1:10">
      <c r="A72" s="3">
        <v>13</v>
      </c>
      <c r="B72" s="22">
        <v>861</v>
      </c>
      <c r="C72" s="4" t="s">
        <v>1293</v>
      </c>
      <c r="D72" s="100">
        <v>11111</v>
      </c>
      <c r="E72" s="100" t="s">
        <v>103</v>
      </c>
      <c r="F72" s="4" t="s">
        <v>1294</v>
      </c>
      <c r="G72" s="101">
        <v>4.193287037037037E-2</v>
      </c>
      <c r="H72" s="3">
        <v>71</v>
      </c>
      <c r="I72" s="101">
        <v>9.2476851851851852E-3</v>
      </c>
      <c r="J72">
        <f t="shared" si="1"/>
        <v>13</v>
      </c>
    </row>
    <row r="73" spans="1:10">
      <c r="A73" s="3">
        <v>14</v>
      </c>
      <c r="B73" s="22">
        <v>855</v>
      </c>
      <c r="C73" s="4" t="s">
        <v>455</v>
      </c>
      <c r="D73" s="100">
        <v>10059069243</v>
      </c>
      <c r="E73" s="100" t="s">
        <v>103</v>
      </c>
      <c r="F73" s="4" t="s">
        <v>115</v>
      </c>
      <c r="G73" s="101">
        <v>4.3182870370370371E-2</v>
      </c>
      <c r="H73" s="3">
        <v>74</v>
      </c>
      <c r="I73" s="101">
        <v>1.0497685185185186E-2</v>
      </c>
      <c r="J73">
        <f t="shared" si="1"/>
        <v>14</v>
      </c>
    </row>
    <row r="74" spans="1:10">
      <c r="A74" s="3">
        <v>15</v>
      </c>
      <c r="B74" s="22">
        <v>863</v>
      </c>
      <c r="C74" s="4" t="s">
        <v>919</v>
      </c>
      <c r="D74" s="100" t="s">
        <v>1292</v>
      </c>
      <c r="E74" s="100" t="s">
        <v>103</v>
      </c>
      <c r="F74" s="4" t="s">
        <v>136</v>
      </c>
      <c r="G74" s="101" t="s">
        <v>107</v>
      </c>
      <c r="H74" s="3">
        <v>79</v>
      </c>
      <c r="I74" s="101" t="s">
        <v>6</v>
      </c>
      <c r="J74">
        <f t="shared" si="1"/>
        <v>15</v>
      </c>
    </row>
    <row r="75" spans="1:10">
      <c r="A75" s="3"/>
      <c r="B75" s="107">
        <v>874</v>
      </c>
      <c r="C75" s="4" t="s">
        <v>1295</v>
      </c>
      <c r="D75" s="100">
        <v>10161402627</v>
      </c>
      <c r="E75" s="100" t="s">
        <v>103</v>
      </c>
      <c r="F75" s="4" t="s">
        <v>1296</v>
      </c>
      <c r="G75" s="101" t="s">
        <v>106</v>
      </c>
      <c r="H75" s="3">
        <v>32</v>
      </c>
      <c r="I75" s="101" t="s">
        <v>6</v>
      </c>
      <c r="J75">
        <f t="shared" si="1"/>
        <v>0</v>
      </c>
    </row>
    <row r="76" spans="1:10">
      <c r="A76" s="3"/>
      <c r="B76" s="22"/>
      <c r="C76" s="4"/>
      <c r="D76" s="100"/>
      <c r="E76" s="100"/>
      <c r="F76" s="4"/>
      <c r="G76" s="101"/>
      <c r="H76" s="3"/>
      <c r="I76" s="101"/>
      <c r="J76">
        <f t="shared" si="1"/>
        <v>0</v>
      </c>
    </row>
    <row r="77" spans="1:10">
      <c r="A77" s="3">
        <v>1</v>
      </c>
      <c r="B77" s="22">
        <v>906</v>
      </c>
      <c r="C77" s="4" t="s">
        <v>481</v>
      </c>
      <c r="D77" s="100">
        <v>10054780328</v>
      </c>
      <c r="E77" s="100" t="s">
        <v>103</v>
      </c>
      <c r="F77" s="4" t="s">
        <v>100</v>
      </c>
      <c r="G77" s="101">
        <v>3.5486111111111114E-2</v>
      </c>
      <c r="H77" s="3">
        <v>52</v>
      </c>
      <c r="I77" s="101"/>
      <c r="J77">
        <f t="shared" si="1"/>
        <v>1</v>
      </c>
    </row>
    <row r="78" spans="1:10">
      <c r="A78" s="3">
        <v>2</v>
      </c>
      <c r="B78" s="22">
        <v>902</v>
      </c>
      <c r="C78" s="4" t="s">
        <v>478</v>
      </c>
      <c r="D78" s="100" t="s">
        <v>1297</v>
      </c>
      <c r="E78" s="100" t="s">
        <v>103</v>
      </c>
      <c r="F78" s="4" t="s">
        <v>149</v>
      </c>
      <c r="G78" s="101">
        <v>3.6087962962962968E-2</v>
      </c>
      <c r="H78" s="3">
        <v>54</v>
      </c>
      <c r="I78" s="101">
        <v>6.0185185185185341E-4</v>
      </c>
      <c r="J78">
        <f t="shared" si="1"/>
        <v>2</v>
      </c>
    </row>
    <row r="79" spans="1:10">
      <c r="A79" s="3">
        <v>3</v>
      </c>
      <c r="B79" s="22">
        <v>911</v>
      </c>
      <c r="C79" s="4" t="s">
        <v>488</v>
      </c>
      <c r="D79" s="100">
        <v>10052413629</v>
      </c>
      <c r="E79" s="100" t="s">
        <v>103</v>
      </c>
      <c r="F79" s="4" t="s">
        <v>150</v>
      </c>
      <c r="G79" s="101">
        <v>3.7962962962962962E-2</v>
      </c>
      <c r="H79" s="3">
        <v>61</v>
      </c>
      <c r="I79" s="101">
        <v>2.4768518518518481E-3</v>
      </c>
      <c r="J79">
        <f t="shared" si="1"/>
        <v>3</v>
      </c>
    </row>
    <row r="80" spans="1:10">
      <c r="A80" s="3">
        <v>4</v>
      </c>
      <c r="B80" s="22">
        <v>908</v>
      </c>
      <c r="C80" s="4" t="s">
        <v>126</v>
      </c>
      <c r="D80" s="100">
        <v>10101986891</v>
      </c>
      <c r="E80" s="100" t="s">
        <v>103</v>
      </c>
      <c r="F80" s="4" t="s">
        <v>1298</v>
      </c>
      <c r="G80" s="101">
        <v>3.8043981481481484E-2</v>
      </c>
      <c r="H80" s="3">
        <v>62</v>
      </c>
      <c r="I80" s="101">
        <v>2.5578703703703701E-3</v>
      </c>
      <c r="J80">
        <f t="shared" si="1"/>
        <v>4</v>
      </c>
    </row>
    <row r="81" spans="1:10">
      <c r="A81" s="3">
        <v>5</v>
      </c>
      <c r="B81" s="22">
        <v>907</v>
      </c>
      <c r="C81" s="4" t="s">
        <v>817</v>
      </c>
      <c r="D81" s="100">
        <v>10075039079</v>
      </c>
      <c r="E81" s="100" t="s">
        <v>103</v>
      </c>
      <c r="F81" s="4" t="s">
        <v>1302</v>
      </c>
      <c r="G81" s="101">
        <v>3.8217592592592595E-2</v>
      </c>
      <c r="H81" s="3">
        <v>65</v>
      </c>
      <c r="I81" s="101">
        <v>2.7314814814814806E-3</v>
      </c>
      <c r="J81">
        <f t="shared" si="1"/>
        <v>5</v>
      </c>
    </row>
    <row r="82" spans="1:10">
      <c r="A82" s="3">
        <v>6</v>
      </c>
      <c r="B82" s="22">
        <v>903</v>
      </c>
      <c r="C82" s="4" t="s">
        <v>73</v>
      </c>
      <c r="D82" s="100">
        <v>10061997734</v>
      </c>
      <c r="E82" s="100" t="s">
        <v>103</v>
      </c>
      <c r="F82" s="4" t="s">
        <v>69</v>
      </c>
      <c r="G82" s="101">
        <v>3.9212962962962963E-2</v>
      </c>
      <c r="H82" s="3">
        <v>67</v>
      </c>
      <c r="I82" s="101">
        <v>3.7268518518518493E-3</v>
      </c>
      <c r="J82">
        <f t="shared" si="1"/>
        <v>6</v>
      </c>
    </row>
    <row r="83" spans="1:10">
      <c r="A83" s="3">
        <v>7</v>
      </c>
      <c r="B83" s="22">
        <v>910</v>
      </c>
      <c r="C83" s="4" t="s">
        <v>1299</v>
      </c>
      <c r="D83" s="100">
        <v>10112076915</v>
      </c>
      <c r="E83" s="100" t="s">
        <v>103</v>
      </c>
      <c r="F83" s="4" t="s">
        <v>487</v>
      </c>
      <c r="G83" s="101">
        <v>3.9490740740740743E-2</v>
      </c>
      <c r="H83" s="3">
        <v>68</v>
      </c>
      <c r="I83" s="101">
        <v>4.0046296296296288E-3</v>
      </c>
      <c r="J83">
        <f t="shared" si="1"/>
        <v>7</v>
      </c>
    </row>
    <row r="84" spans="1:10">
      <c r="A84" s="3">
        <v>8</v>
      </c>
      <c r="B84" s="22">
        <v>904</v>
      </c>
      <c r="C84" s="4" t="s">
        <v>1300</v>
      </c>
      <c r="D84" s="100">
        <v>10052228218</v>
      </c>
      <c r="E84" s="100" t="s">
        <v>103</v>
      </c>
      <c r="F84" s="4" t="s">
        <v>100</v>
      </c>
      <c r="G84" s="101">
        <v>4.1064814814814818E-2</v>
      </c>
      <c r="H84" s="3">
        <v>70</v>
      </c>
      <c r="I84" s="101">
        <v>5.5787037037037038E-3</v>
      </c>
      <c r="J84">
        <f t="shared" si="1"/>
        <v>8</v>
      </c>
    </row>
    <row r="85" spans="1:10">
      <c r="A85" s="3">
        <v>9</v>
      </c>
      <c r="B85" s="22">
        <v>914</v>
      </c>
      <c r="C85" s="4" t="s">
        <v>1301</v>
      </c>
      <c r="D85" s="100">
        <v>10109809842</v>
      </c>
      <c r="E85" s="100" t="s">
        <v>103</v>
      </c>
      <c r="F85" s="4" t="s">
        <v>786</v>
      </c>
      <c r="G85" s="101">
        <v>4.3657407407407409E-2</v>
      </c>
      <c r="H85" s="3">
        <v>75</v>
      </c>
      <c r="I85" s="101">
        <v>8.1712962962962946E-3</v>
      </c>
      <c r="J85">
        <f t="shared" si="1"/>
        <v>9</v>
      </c>
    </row>
    <row r="86" spans="1:10">
      <c r="A86" s="3">
        <v>10</v>
      </c>
      <c r="B86" s="22">
        <v>905</v>
      </c>
      <c r="C86" s="4" t="s">
        <v>479</v>
      </c>
      <c r="D86" s="100">
        <v>10061855668</v>
      </c>
      <c r="E86" s="100" t="s">
        <v>103</v>
      </c>
      <c r="F86" s="4" t="s">
        <v>1305</v>
      </c>
      <c r="G86" s="101" t="s">
        <v>107</v>
      </c>
      <c r="H86" s="3">
        <v>76</v>
      </c>
      <c r="I86" s="101" t="s">
        <v>6</v>
      </c>
      <c r="J86">
        <f t="shared" si="1"/>
        <v>10</v>
      </c>
    </row>
    <row r="87" spans="1:10">
      <c r="A87" s="3">
        <v>11</v>
      </c>
      <c r="B87" s="22">
        <v>913</v>
      </c>
      <c r="C87" s="4" t="s">
        <v>491</v>
      </c>
      <c r="D87" s="100">
        <v>10172012306</v>
      </c>
      <c r="E87" s="100" t="s">
        <v>103</v>
      </c>
      <c r="F87" s="4" t="s">
        <v>492</v>
      </c>
      <c r="G87" s="101" t="s">
        <v>107</v>
      </c>
      <c r="H87" s="3">
        <v>77</v>
      </c>
      <c r="I87" s="101" t="s">
        <v>6</v>
      </c>
      <c r="J87">
        <f t="shared" si="1"/>
        <v>11</v>
      </c>
    </row>
    <row r="88" spans="1:10" ht="15.75">
      <c r="A88" s="2">
        <v>12</v>
      </c>
      <c r="B88" s="48">
        <v>922</v>
      </c>
      <c r="C88" s="17" t="s">
        <v>928</v>
      </c>
      <c r="D88" s="17">
        <v>10126639241</v>
      </c>
      <c r="E88" s="17" t="s">
        <v>103</v>
      </c>
      <c r="F88" t="s">
        <v>1208</v>
      </c>
      <c r="G88" s="5" t="s">
        <v>107</v>
      </c>
      <c r="H88" s="2">
        <v>78</v>
      </c>
      <c r="I88" s="5" t="s">
        <v>6</v>
      </c>
      <c r="J88">
        <f t="shared" si="1"/>
        <v>12</v>
      </c>
    </row>
    <row r="89" spans="1:10" ht="15.75">
      <c r="A89" s="2"/>
      <c r="B89" s="48">
        <v>923</v>
      </c>
      <c r="C89" s="17" t="s">
        <v>1303</v>
      </c>
      <c r="D89" s="17" t="s">
        <v>1292</v>
      </c>
      <c r="E89" s="17" t="s">
        <v>103</v>
      </c>
      <c r="F89" t="s">
        <v>1304</v>
      </c>
      <c r="G89" s="5" t="s">
        <v>106</v>
      </c>
      <c r="H89" s="2">
        <v>33</v>
      </c>
      <c r="I89" s="5" t="s">
        <v>6</v>
      </c>
      <c r="J89">
        <f t="shared" si="1"/>
        <v>0</v>
      </c>
    </row>
    <row r="90" spans="1:10" ht="15.75">
      <c r="A90" s="2"/>
      <c r="B90" s="48"/>
      <c r="C90" s="17"/>
      <c r="D90" s="17"/>
      <c r="E90" s="17"/>
      <c r="G90" s="5"/>
      <c r="H90" s="2"/>
      <c r="I90" s="5"/>
      <c r="J90">
        <f t="shared" si="1"/>
        <v>0</v>
      </c>
    </row>
    <row r="91" spans="1:10" ht="15.75">
      <c r="A91" s="2">
        <v>1</v>
      </c>
      <c r="B91" s="48">
        <v>935</v>
      </c>
      <c r="C91" s="17" t="s">
        <v>921</v>
      </c>
      <c r="D91" s="17">
        <v>10083854965</v>
      </c>
      <c r="E91" s="17" t="s">
        <v>103</v>
      </c>
      <c r="F91" t="s">
        <v>1404</v>
      </c>
      <c r="G91" s="5">
        <v>2.8888888888888888E-2</v>
      </c>
      <c r="H91" s="2">
        <v>35</v>
      </c>
      <c r="I91" s="5" t="s">
        <v>6</v>
      </c>
      <c r="J91">
        <f t="shared" si="1"/>
        <v>1</v>
      </c>
    </row>
    <row r="92" spans="1:10" ht="15.75">
      <c r="A92" s="2">
        <v>2</v>
      </c>
      <c r="B92" s="48">
        <v>936</v>
      </c>
      <c r="C92" s="17" t="s">
        <v>1442</v>
      </c>
      <c r="D92" s="17">
        <v>10139341086</v>
      </c>
      <c r="E92" s="17" t="s">
        <v>103</v>
      </c>
      <c r="F92" t="s">
        <v>1443</v>
      </c>
      <c r="G92" s="5">
        <v>2.9629629629629627E-2</v>
      </c>
      <c r="H92" s="2">
        <v>36</v>
      </c>
      <c r="I92" s="5">
        <v>7.4074074074073973E-4</v>
      </c>
      <c r="J92">
        <f t="shared" si="1"/>
        <v>2</v>
      </c>
    </row>
    <row r="93" spans="1:10" ht="15.75">
      <c r="A93" s="2">
        <v>3</v>
      </c>
      <c r="B93" s="48">
        <v>932</v>
      </c>
      <c r="C93" s="17" t="s">
        <v>826</v>
      </c>
      <c r="D93" s="17">
        <v>10121261300</v>
      </c>
      <c r="E93" s="17" t="s">
        <v>103</v>
      </c>
      <c r="F93" t="s">
        <v>498</v>
      </c>
      <c r="G93" s="5">
        <v>3.0578703703703702E-2</v>
      </c>
      <c r="H93" s="2">
        <v>37</v>
      </c>
      <c r="I93" s="5">
        <v>1.6898148148148141E-3</v>
      </c>
      <c r="J93">
        <f t="shared" si="1"/>
        <v>3</v>
      </c>
    </row>
    <row r="94" spans="1:10" ht="15.75">
      <c r="A94" s="2">
        <v>4</v>
      </c>
      <c r="B94" s="48">
        <v>934</v>
      </c>
      <c r="C94" s="17" t="s">
        <v>501</v>
      </c>
      <c r="D94" s="17">
        <v>10133198663</v>
      </c>
      <c r="E94" s="17" t="s">
        <v>103</v>
      </c>
      <c r="F94" t="s">
        <v>1405</v>
      </c>
      <c r="G94" s="5">
        <v>3.2870370370370369E-2</v>
      </c>
      <c r="H94" s="2">
        <v>40</v>
      </c>
      <c r="I94" s="5">
        <v>3.9814814814814817E-3</v>
      </c>
      <c r="J94">
        <f t="shared" si="1"/>
        <v>4</v>
      </c>
    </row>
    <row r="95" spans="1:10" ht="15.75">
      <c r="A95" s="2"/>
      <c r="B95" s="48"/>
      <c r="C95" s="17"/>
      <c r="D95" s="17"/>
      <c r="E95" s="17"/>
      <c r="G95" s="5"/>
      <c r="H95" s="2"/>
      <c r="I95" s="5"/>
      <c r="J95">
        <f t="shared" si="1"/>
        <v>0</v>
      </c>
    </row>
    <row r="96" spans="1:10" ht="15.75">
      <c r="A96" s="2">
        <v>1</v>
      </c>
      <c r="B96" s="48">
        <v>951</v>
      </c>
      <c r="C96" s="17" t="s">
        <v>161</v>
      </c>
      <c r="D96" s="17">
        <v>10101986689</v>
      </c>
      <c r="E96" s="17" t="s">
        <v>103</v>
      </c>
      <c r="F96" t="s">
        <v>1406</v>
      </c>
      <c r="G96" s="5">
        <v>3.1608796296296301E-2</v>
      </c>
      <c r="H96" s="2"/>
      <c r="I96" s="5" t="s">
        <v>6</v>
      </c>
      <c r="J96">
        <f t="shared" si="1"/>
        <v>1</v>
      </c>
    </row>
    <row r="97" spans="1:10">
      <c r="A97" s="58">
        <v>2</v>
      </c>
      <c r="B97" s="2">
        <v>956</v>
      </c>
      <c r="C97" t="s">
        <v>1407</v>
      </c>
      <c r="D97">
        <v>10116040878</v>
      </c>
      <c r="E97" t="s">
        <v>103</v>
      </c>
      <c r="F97" t="s">
        <v>70</v>
      </c>
      <c r="G97">
        <v>3.4224537037037039E-2</v>
      </c>
      <c r="I97">
        <v>2.6157407407407379E-3</v>
      </c>
      <c r="J97">
        <f t="shared" si="1"/>
        <v>2</v>
      </c>
    </row>
    <row r="98" spans="1:10">
      <c r="A98" s="2"/>
      <c r="D98" s="17"/>
      <c r="E98" s="17"/>
      <c r="G98" s="5"/>
      <c r="H98" s="2"/>
      <c r="I98" s="5"/>
      <c r="J98">
        <f t="shared" si="1"/>
        <v>0</v>
      </c>
    </row>
    <row r="99" spans="1:10">
      <c r="A99" s="2">
        <v>1</v>
      </c>
      <c r="B99" s="2">
        <v>671</v>
      </c>
      <c r="C99" t="s">
        <v>537</v>
      </c>
      <c r="D99" s="17">
        <v>10136876074</v>
      </c>
      <c r="E99" s="17" t="s">
        <v>103</v>
      </c>
      <c r="F99" t="s">
        <v>399</v>
      </c>
      <c r="G99" s="5">
        <v>2.8738425925925924E-2</v>
      </c>
      <c r="H99" s="2">
        <v>34</v>
      </c>
      <c r="I99" s="78"/>
      <c r="J99">
        <f t="shared" si="1"/>
        <v>1</v>
      </c>
    </row>
    <row r="100" spans="1:10">
      <c r="J100">
        <f t="shared" si="1"/>
        <v>0</v>
      </c>
    </row>
    <row r="101" spans="1:10" ht="15.75">
      <c r="A101" s="2">
        <v>1</v>
      </c>
      <c r="B101" s="21">
        <v>510</v>
      </c>
      <c r="C101" t="s">
        <v>352</v>
      </c>
      <c r="D101" s="17">
        <v>10126142218</v>
      </c>
      <c r="E101" s="17" t="s">
        <v>103</v>
      </c>
      <c r="F101" t="s">
        <v>726</v>
      </c>
      <c r="G101" s="5">
        <v>2.2974537037037036E-2</v>
      </c>
      <c r="H101" s="2">
        <v>117</v>
      </c>
      <c r="I101" s="5"/>
      <c r="J101">
        <f t="shared" si="1"/>
        <v>1</v>
      </c>
    </row>
    <row r="102" spans="1:10" ht="15.75">
      <c r="A102" s="7">
        <v>2</v>
      </c>
      <c r="B102" s="21">
        <v>518</v>
      </c>
      <c r="C102" t="s">
        <v>361</v>
      </c>
      <c r="D102" s="17">
        <v>10141584517</v>
      </c>
      <c r="E102" s="17" t="s">
        <v>103</v>
      </c>
      <c r="F102" t="s">
        <v>1326</v>
      </c>
      <c r="G102" s="5">
        <v>2.3773148148148147E-2</v>
      </c>
      <c r="H102" s="2">
        <v>118</v>
      </c>
      <c r="I102" s="5">
        <v>7.9861111111111105E-4</v>
      </c>
      <c r="J102">
        <f t="shared" si="1"/>
        <v>2</v>
      </c>
    </row>
    <row r="103" spans="1:10">
      <c r="A103" s="58">
        <v>3</v>
      </c>
      <c r="B103" s="2">
        <v>501</v>
      </c>
      <c r="C103" t="s">
        <v>1335</v>
      </c>
      <c r="D103">
        <v>10171463345</v>
      </c>
      <c r="E103" t="s">
        <v>103</v>
      </c>
      <c r="F103" t="s">
        <v>1336</v>
      </c>
      <c r="G103">
        <v>2.4004629629629629E-2</v>
      </c>
      <c r="H103">
        <v>119</v>
      </c>
      <c r="I103">
        <v>1.0300925925925929E-3</v>
      </c>
      <c r="J103">
        <f t="shared" si="1"/>
        <v>3</v>
      </c>
    </row>
    <row r="104" spans="1:10">
      <c r="A104" s="2">
        <v>4</v>
      </c>
      <c r="B104" s="2">
        <v>502</v>
      </c>
      <c r="C104" s="17" t="s">
        <v>1256</v>
      </c>
      <c r="D104" s="17" t="s">
        <v>1327</v>
      </c>
      <c r="E104" s="17" t="s">
        <v>103</v>
      </c>
      <c r="F104" t="s">
        <v>84</v>
      </c>
      <c r="G104" s="5">
        <v>2.4120370370370372E-2</v>
      </c>
      <c r="H104" s="2">
        <v>120</v>
      </c>
      <c r="I104" s="5">
        <v>1.1458333333333355E-3</v>
      </c>
      <c r="J104">
        <f t="shared" si="1"/>
        <v>4</v>
      </c>
    </row>
    <row r="105" spans="1:10">
      <c r="A105" s="2">
        <v>5</v>
      </c>
      <c r="B105" s="2">
        <v>512</v>
      </c>
      <c r="C105" s="17" t="s">
        <v>354</v>
      </c>
      <c r="D105" s="17">
        <v>10131905735</v>
      </c>
      <c r="E105" s="17" t="s">
        <v>103</v>
      </c>
      <c r="F105" t="s">
        <v>133</v>
      </c>
      <c r="G105" s="5">
        <v>2.4409722222222222E-2</v>
      </c>
      <c r="H105" s="2">
        <v>121</v>
      </c>
      <c r="I105" s="5">
        <v>1.4351851851851852E-3</v>
      </c>
      <c r="J105">
        <f t="shared" si="1"/>
        <v>5</v>
      </c>
    </row>
    <row r="106" spans="1:10">
      <c r="A106" s="58">
        <v>6</v>
      </c>
      <c r="B106" s="2">
        <v>507</v>
      </c>
      <c r="C106" t="s">
        <v>701</v>
      </c>
      <c r="D106">
        <v>10129054440</v>
      </c>
      <c r="E106" t="s">
        <v>103</v>
      </c>
      <c r="F106" t="s">
        <v>155</v>
      </c>
      <c r="G106">
        <v>2.462962962962963E-2</v>
      </c>
      <c r="H106">
        <v>122</v>
      </c>
      <c r="I106">
        <v>1.6550925925925934E-3</v>
      </c>
      <c r="J106">
        <f t="shared" si="1"/>
        <v>6</v>
      </c>
    </row>
    <row r="107" spans="1:10">
      <c r="A107" s="79">
        <v>7</v>
      </c>
      <c r="B107" s="2">
        <v>505</v>
      </c>
      <c r="C107" t="s">
        <v>1328</v>
      </c>
      <c r="D107" s="17">
        <v>10156807554</v>
      </c>
      <c r="E107" s="17" t="s">
        <v>103</v>
      </c>
      <c r="F107" s="17" t="s">
        <v>345</v>
      </c>
      <c r="G107" s="5">
        <v>2.4953703703703704E-2</v>
      </c>
      <c r="H107" s="2">
        <v>123</v>
      </c>
      <c r="I107" s="5">
        <v>1.9791666666666673E-3</v>
      </c>
      <c r="J107">
        <f t="shared" si="1"/>
        <v>7</v>
      </c>
    </row>
    <row r="108" spans="1:10">
      <c r="A108" s="80">
        <v>8</v>
      </c>
      <c r="B108" s="2">
        <v>524</v>
      </c>
      <c r="C108" t="s">
        <v>940</v>
      </c>
      <c r="D108" s="17">
        <v>5117</v>
      </c>
      <c r="E108" s="17" t="s">
        <v>103</v>
      </c>
      <c r="F108" s="17" t="s">
        <v>700</v>
      </c>
      <c r="G108" s="5">
        <v>2.6331018518518517E-2</v>
      </c>
      <c r="H108" s="2">
        <v>124</v>
      </c>
      <c r="I108" s="5">
        <v>3.3564814814814811E-3</v>
      </c>
      <c r="J108">
        <f t="shared" si="1"/>
        <v>8</v>
      </c>
    </row>
    <row r="109" spans="1:10">
      <c r="A109" s="79">
        <v>9</v>
      </c>
      <c r="B109" s="2">
        <v>539</v>
      </c>
      <c r="C109" t="s">
        <v>1329</v>
      </c>
      <c r="D109" s="17" t="s">
        <v>1292</v>
      </c>
      <c r="E109" s="17" t="s">
        <v>103</v>
      </c>
      <c r="F109" s="17" t="s">
        <v>70</v>
      </c>
      <c r="G109" s="5">
        <v>2.6562499999999999E-2</v>
      </c>
      <c r="H109" s="2">
        <v>125</v>
      </c>
      <c r="I109" s="5">
        <v>3.5879629629629629E-3</v>
      </c>
      <c r="J109">
        <f t="shared" si="1"/>
        <v>9</v>
      </c>
    </row>
    <row r="110" spans="1:10">
      <c r="A110" s="80">
        <v>10</v>
      </c>
      <c r="B110" s="2">
        <v>509</v>
      </c>
      <c r="C110" t="s">
        <v>1330</v>
      </c>
      <c r="D110" s="17">
        <v>10164774688</v>
      </c>
      <c r="E110" s="17" t="s">
        <v>103</v>
      </c>
      <c r="F110" s="17" t="s">
        <v>65</v>
      </c>
      <c r="G110" s="5">
        <v>2.7557870370370371E-2</v>
      </c>
      <c r="H110" s="2">
        <v>126</v>
      </c>
      <c r="I110" s="5">
        <v>4.5833333333333351E-3</v>
      </c>
      <c r="J110">
        <f t="shared" si="1"/>
        <v>10</v>
      </c>
    </row>
    <row r="111" spans="1:10">
      <c r="A111" s="79">
        <v>11</v>
      </c>
      <c r="B111" s="2">
        <v>503</v>
      </c>
      <c r="C111" t="s">
        <v>944</v>
      </c>
      <c r="D111" s="17">
        <v>10142567550</v>
      </c>
      <c r="E111" s="17" t="s">
        <v>103</v>
      </c>
      <c r="F111" s="17" t="s">
        <v>159</v>
      </c>
      <c r="G111" s="5">
        <v>2.7847222222222221E-2</v>
      </c>
      <c r="H111" s="2">
        <v>127</v>
      </c>
      <c r="I111" s="5">
        <v>4.8726851851851848E-3</v>
      </c>
      <c r="J111">
        <f t="shared" si="1"/>
        <v>11</v>
      </c>
    </row>
    <row r="112" spans="1:10">
      <c r="A112" s="80">
        <v>12</v>
      </c>
      <c r="B112" s="2">
        <v>513</v>
      </c>
      <c r="C112" t="s">
        <v>1332</v>
      </c>
      <c r="D112" s="17">
        <v>10131905331</v>
      </c>
      <c r="E112" s="17" t="s">
        <v>103</v>
      </c>
      <c r="F112" s="17" t="s">
        <v>135</v>
      </c>
      <c r="G112" s="5">
        <v>2.7870370370370372E-2</v>
      </c>
      <c r="H112" s="2">
        <v>128</v>
      </c>
      <c r="I112" s="5">
        <v>4.8958333333333354E-3</v>
      </c>
      <c r="J112">
        <f t="shared" si="1"/>
        <v>12</v>
      </c>
    </row>
    <row r="113" spans="1:10">
      <c r="A113" s="58">
        <v>13</v>
      </c>
      <c r="B113" s="2">
        <v>529</v>
      </c>
      <c r="C113" t="s">
        <v>722</v>
      </c>
      <c r="D113">
        <v>10162504282</v>
      </c>
      <c r="E113" t="s">
        <v>103</v>
      </c>
      <c r="F113" t="s">
        <v>723</v>
      </c>
      <c r="G113">
        <v>2.886574074074074E-2</v>
      </c>
      <c r="H113">
        <v>129</v>
      </c>
      <c r="I113">
        <v>5.8912037037037041E-3</v>
      </c>
      <c r="J113">
        <f t="shared" si="1"/>
        <v>13</v>
      </c>
    </row>
    <row r="114" spans="1:10" ht="15.75">
      <c r="A114" s="79">
        <v>14</v>
      </c>
      <c r="B114" s="21">
        <v>523</v>
      </c>
      <c r="C114" t="s">
        <v>369</v>
      </c>
      <c r="D114" s="17">
        <v>10155993259</v>
      </c>
      <c r="E114" s="17" t="s">
        <v>103</v>
      </c>
      <c r="F114" s="17" t="s">
        <v>130</v>
      </c>
      <c r="G114" s="5">
        <v>2.8958333333333332E-2</v>
      </c>
      <c r="H114" s="2">
        <v>130</v>
      </c>
      <c r="I114" s="5">
        <v>5.9837962962962961E-3</v>
      </c>
      <c r="J114">
        <f t="shared" si="1"/>
        <v>14</v>
      </c>
    </row>
    <row r="115" spans="1:10" ht="15.75">
      <c r="A115" s="80">
        <v>15</v>
      </c>
      <c r="B115" s="21">
        <v>531</v>
      </c>
      <c r="C115" t="s">
        <v>1331</v>
      </c>
      <c r="D115" s="17">
        <v>10102760669</v>
      </c>
      <c r="E115" s="17" t="s">
        <v>103</v>
      </c>
      <c r="F115" s="17" t="s">
        <v>726</v>
      </c>
      <c r="G115" s="5">
        <v>2.900462962962963E-2</v>
      </c>
      <c r="H115" s="2">
        <v>131</v>
      </c>
      <c r="I115" s="5">
        <v>6.0300925925925938E-3</v>
      </c>
      <c r="J115">
        <f t="shared" si="1"/>
        <v>15</v>
      </c>
    </row>
    <row r="116" spans="1:10" ht="15.75">
      <c r="A116" s="79">
        <v>16</v>
      </c>
      <c r="B116" s="21">
        <v>504</v>
      </c>
      <c r="C116" t="s">
        <v>343</v>
      </c>
      <c r="D116" s="17">
        <v>10154828350</v>
      </c>
      <c r="E116" s="17" t="s">
        <v>103</v>
      </c>
      <c r="F116" s="17" t="s">
        <v>129</v>
      </c>
      <c r="G116" s="5">
        <v>2.9444444444444443E-2</v>
      </c>
      <c r="H116" s="2">
        <v>131</v>
      </c>
      <c r="I116" s="5">
        <v>6.4699074074074069E-3</v>
      </c>
      <c r="J116">
        <f t="shared" si="1"/>
        <v>16</v>
      </c>
    </row>
    <row r="117" spans="1:10">
      <c r="A117" s="102">
        <v>17</v>
      </c>
      <c r="B117" s="22">
        <v>515</v>
      </c>
      <c r="C117" s="4" t="s">
        <v>710</v>
      </c>
      <c r="D117" s="100">
        <v>10171999875</v>
      </c>
      <c r="E117" s="100" t="s">
        <v>103</v>
      </c>
      <c r="F117" s="100" t="s">
        <v>135</v>
      </c>
      <c r="G117" s="101">
        <v>2.9826388888888888E-2</v>
      </c>
      <c r="H117" s="3">
        <v>132</v>
      </c>
      <c r="I117" s="101">
        <v>6.851851851851852E-3</v>
      </c>
      <c r="J117">
        <f t="shared" si="1"/>
        <v>17</v>
      </c>
    </row>
    <row r="118" spans="1:10">
      <c r="A118" s="103">
        <v>18</v>
      </c>
      <c r="B118" s="22">
        <v>506</v>
      </c>
      <c r="C118" s="4" t="s">
        <v>346</v>
      </c>
      <c r="D118" s="100">
        <v>10171702512</v>
      </c>
      <c r="E118" s="100" t="s">
        <v>103</v>
      </c>
      <c r="F118" s="100" t="s">
        <v>285</v>
      </c>
      <c r="G118" s="101">
        <v>2.991898148148148E-2</v>
      </c>
      <c r="H118" s="3">
        <v>133</v>
      </c>
      <c r="I118" s="101">
        <v>6.9444444444444441E-3</v>
      </c>
      <c r="J118">
        <f t="shared" si="1"/>
        <v>18</v>
      </c>
    </row>
    <row r="119" spans="1:10">
      <c r="A119" s="102">
        <v>19</v>
      </c>
      <c r="B119" s="22">
        <v>540</v>
      </c>
      <c r="C119" s="4" t="s">
        <v>1333</v>
      </c>
      <c r="D119" s="100">
        <v>10175690525</v>
      </c>
      <c r="E119" s="100" t="s">
        <v>103</v>
      </c>
      <c r="F119" s="100" t="s">
        <v>65</v>
      </c>
      <c r="G119" s="101">
        <v>3.1284722222222221E-2</v>
      </c>
      <c r="H119" s="3">
        <v>134</v>
      </c>
      <c r="I119" s="101">
        <v>8.3101851851851843E-3</v>
      </c>
      <c r="J119">
        <f t="shared" si="1"/>
        <v>19</v>
      </c>
    </row>
    <row r="120" spans="1:10">
      <c r="A120" s="102">
        <v>20</v>
      </c>
      <c r="B120" s="22">
        <v>538</v>
      </c>
      <c r="C120" s="4" t="s">
        <v>1337</v>
      </c>
      <c r="D120" s="100" t="s">
        <v>1292</v>
      </c>
      <c r="E120" s="100" t="s">
        <v>6</v>
      </c>
      <c r="F120" s="100" t="s">
        <v>134</v>
      </c>
      <c r="G120" s="101">
        <v>3.1377314814814816E-2</v>
      </c>
      <c r="H120" s="3">
        <v>135</v>
      </c>
      <c r="I120" s="101">
        <v>8.4027777777777798E-3</v>
      </c>
      <c r="J120">
        <f t="shared" si="1"/>
        <v>20</v>
      </c>
    </row>
    <row r="121" spans="1:10">
      <c r="A121" s="103">
        <v>21</v>
      </c>
      <c r="B121" s="107">
        <v>521</v>
      </c>
      <c r="C121" s="4" t="s">
        <v>947</v>
      </c>
      <c r="D121" s="100">
        <v>10153425183</v>
      </c>
      <c r="E121" s="100" t="s">
        <v>103</v>
      </c>
      <c r="F121" s="100" t="s">
        <v>130</v>
      </c>
      <c r="G121" s="101">
        <v>3.1782407407407405E-2</v>
      </c>
      <c r="H121" s="3">
        <v>136</v>
      </c>
      <c r="I121" s="101">
        <v>8.8078703703703687E-3</v>
      </c>
      <c r="J121">
        <f t="shared" si="1"/>
        <v>21</v>
      </c>
    </row>
    <row r="122" spans="1:10">
      <c r="A122" s="102">
        <v>22</v>
      </c>
      <c r="B122" s="107">
        <v>516</v>
      </c>
      <c r="C122" s="4" t="s">
        <v>359</v>
      </c>
      <c r="D122" s="100" t="s">
        <v>66</v>
      </c>
      <c r="E122" s="100" t="s">
        <v>103</v>
      </c>
      <c r="F122" s="100" t="s">
        <v>84</v>
      </c>
      <c r="G122" s="101">
        <v>3.1886574074074074E-2</v>
      </c>
      <c r="H122" s="3">
        <v>137</v>
      </c>
      <c r="I122" s="101">
        <v>8.9120370370370378E-3</v>
      </c>
      <c r="J122">
        <f t="shared" si="1"/>
        <v>22</v>
      </c>
    </row>
    <row r="123" spans="1:10">
      <c r="A123" s="102">
        <v>23</v>
      </c>
      <c r="B123" s="22">
        <v>508</v>
      </c>
      <c r="C123" s="4" t="s">
        <v>1334</v>
      </c>
      <c r="D123" s="100">
        <v>10171656133</v>
      </c>
      <c r="E123" s="100" t="s">
        <v>103</v>
      </c>
      <c r="F123" s="100" t="s">
        <v>285</v>
      </c>
      <c r="G123" s="101">
        <v>3.2650462962962964E-2</v>
      </c>
      <c r="H123" s="3">
        <v>138</v>
      </c>
      <c r="I123" s="101">
        <v>9.6759259259259281E-3</v>
      </c>
      <c r="J123">
        <f t="shared" si="1"/>
        <v>23</v>
      </c>
    </row>
    <row r="124" spans="1:10">
      <c r="A124" s="102">
        <v>24</v>
      </c>
      <c r="B124" s="107">
        <v>542</v>
      </c>
      <c r="C124" s="4" t="s">
        <v>1444</v>
      </c>
      <c r="D124" s="100" t="s">
        <v>66</v>
      </c>
      <c r="E124" s="100" t="s">
        <v>103</v>
      </c>
      <c r="F124" s="100" t="s">
        <v>1445</v>
      </c>
      <c r="G124" s="101">
        <v>3.7175925925925925E-2</v>
      </c>
      <c r="H124" s="3">
        <v>139</v>
      </c>
      <c r="I124" s="101">
        <v>1.4201388888888888E-2</v>
      </c>
      <c r="J124">
        <f t="shared" si="1"/>
        <v>24</v>
      </c>
    </row>
    <row r="125" spans="1:10">
      <c r="A125" s="80">
        <v>25</v>
      </c>
      <c r="B125" s="2">
        <v>541</v>
      </c>
      <c r="C125" t="s">
        <v>1446</v>
      </c>
      <c r="D125" s="17" t="s">
        <v>1292</v>
      </c>
      <c r="E125" s="17" t="s">
        <v>103</v>
      </c>
      <c r="F125" s="17" t="s">
        <v>1447</v>
      </c>
      <c r="G125" s="5">
        <v>3.9131944444444441E-2</v>
      </c>
      <c r="H125" s="2">
        <v>140</v>
      </c>
      <c r="I125" s="5">
        <v>1.6157407407407405E-2</v>
      </c>
      <c r="J125">
        <f t="shared" si="1"/>
        <v>25</v>
      </c>
    </row>
    <row r="126" spans="1:10">
      <c r="A126" s="79"/>
      <c r="B126" s="2">
        <v>536</v>
      </c>
      <c r="C126" t="s">
        <v>1338</v>
      </c>
      <c r="D126" s="17">
        <v>10175690727</v>
      </c>
      <c r="E126" s="17" t="s">
        <v>103</v>
      </c>
      <c r="F126" s="17" t="s">
        <v>315</v>
      </c>
      <c r="G126" s="5" t="s">
        <v>106</v>
      </c>
      <c r="H126" s="2">
        <v>80</v>
      </c>
      <c r="I126" s="5" t="s">
        <v>6</v>
      </c>
      <c r="J126">
        <f t="shared" si="1"/>
        <v>0</v>
      </c>
    </row>
    <row r="127" spans="1:10">
      <c r="A127" s="80"/>
      <c r="D127" s="17"/>
      <c r="E127" s="17"/>
      <c r="F127" s="17"/>
      <c r="G127" s="5"/>
      <c r="H127" s="2"/>
      <c r="I127" s="5"/>
      <c r="J127">
        <f t="shared" si="1"/>
        <v>0</v>
      </c>
    </row>
    <row r="128" spans="1:10">
      <c r="A128" s="79">
        <v>1</v>
      </c>
      <c r="B128" s="2">
        <v>405</v>
      </c>
      <c r="C128" t="s">
        <v>386</v>
      </c>
      <c r="D128" s="17">
        <v>13280</v>
      </c>
      <c r="E128" s="17" t="s">
        <v>103</v>
      </c>
      <c r="F128" s="17" t="s">
        <v>1306</v>
      </c>
      <c r="G128" s="5">
        <v>1.3032407407407407E-2</v>
      </c>
      <c r="H128" s="2">
        <v>83</v>
      </c>
      <c r="I128" s="5"/>
      <c r="J128">
        <f t="shared" si="1"/>
        <v>1</v>
      </c>
    </row>
    <row r="129" spans="1:10">
      <c r="A129" s="80">
        <v>2</v>
      </c>
      <c r="B129" s="2">
        <v>401</v>
      </c>
      <c r="C129" t="s">
        <v>382</v>
      </c>
      <c r="D129" s="17">
        <v>10162383236</v>
      </c>
      <c r="E129" s="17" t="s">
        <v>103</v>
      </c>
      <c r="F129" s="17" t="s">
        <v>1307</v>
      </c>
      <c r="G129" s="5">
        <v>1.3287037037037036E-2</v>
      </c>
      <c r="H129" s="2">
        <v>84</v>
      </c>
      <c r="I129" s="5">
        <v>2.5462962962962896E-4</v>
      </c>
      <c r="J129">
        <f t="shared" si="1"/>
        <v>2</v>
      </c>
    </row>
    <row r="130" spans="1:10">
      <c r="A130" s="79">
        <v>3</v>
      </c>
      <c r="B130" s="2">
        <v>419</v>
      </c>
      <c r="C130" t="s">
        <v>1308</v>
      </c>
      <c r="D130" s="17">
        <v>10174440942</v>
      </c>
      <c r="E130" s="17" t="s">
        <v>103</v>
      </c>
      <c r="F130" s="17" t="s">
        <v>345</v>
      </c>
      <c r="G130" s="5">
        <v>1.4270833333333333E-2</v>
      </c>
      <c r="H130" s="2">
        <v>85</v>
      </c>
      <c r="I130" s="5">
        <v>1.2384259259259258E-3</v>
      </c>
      <c r="J130">
        <f t="shared" ref="J130:J193" si="2">A130</f>
        <v>3</v>
      </c>
    </row>
    <row r="131" spans="1:10">
      <c r="A131" s="80">
        <v>4</v>
      </c>
      <c r="B131" s="2">
        <v>406</v>
      </c>
      <c r="C131" t="s">
        <v>388</v>
      </c>
      <c r="D131" s="17">
        <v>10172211659</v>
      </c>
      <c r="E131" s="17" t="s">
        <v>103</v>
      </c>
      <c r="F131" s="17" t="s">
        <v>1309</v>
      </c>
      <c r="G131" s="5">
        <v>1.5312499999999998E-2</v>
      </c>
      <c r="H131" s="2">
        <v>86</v>
      </c>
      <c r="I131" s="5">
        <v>2.2800925925925905E-3</v>
      </c>
      <c r="J131">
        <f t="shared" si="2"/>
        <v>4</v>
      </c>
    </row>
    <row r="132" spans="1:10">
      <c r="A132" s="79">
        <v>5</v>
      </c>
      <c r="B132" s="2">
        <v>415</v>
      </c>
      <c r="C132" t="s">
        <v>1312</v>
      </c>
      <c r="D132" s="17" t="s">
        <v>66</v>
      </c>
      <c r="E132" s="17" t="s">
        <v>103</v>
      </c>
      <c r="F132" s="17" t="s">
        <v>1313</v>
      </c>
      <c r="G132" s="5">
        <v>1.5509259259259259E-2</v>
      </c>
      <c r="H132" s="2">
        <v>88</v>
      </c>
      <c r="I132" s="5">
        <v>2.4768518518518516E-3</v>
      </c>
      <c r="J132">
        <f t="shared" si="2"/>
        <v>5</v>
      </c>
    </row>
    <row r="133" spans="1:10">
      <c r="A133" s="80">
        <v>6</v>
      </c>
      <c r="B133" s="2">
        <v>404</v>
      </c>
      <c r="C133" t="s">
        <v>385</v>
      </c>
      <c r="D133" s="17">
        <v>10130330796</v>
      </c>
      <c r="E133" s="17" t="s">
        <v>103</v>
      </c>
      <c r="F133" s="17" t="s">
        <v>315</v>
      </c>
      <c r="G133" s="5">
        <v>1.607638888888889E-2</v>
      </c>
      <c r="H133" s="2">
        <v>89</v>
      </c>
      <c r="I133" s="5">
        <v>3.0439814814814826E-3</v>
      </c>
      <c r="J133">
        <f t="shared" si="2"/>
        <v>6</v>
      </c>
    </row>
    <row r="134" spans="1:10">
      <c r="A134" s="79">
        <v>7</v>
      </c>
      <c r="B134" s="2">
        <v>402</v>
      </c>
      <c r="C134" t="s">
        <v>750</v>
      </c>
      <c r="D134" s="17" t="s">
        <v>1311</v>
      </c>
      <c r="E134" s="17" t="s">
        <v>103</v>
      </c>
      <c r="F134" s="17" t="s">
        <v>315</v>
      </c>
      <c r="G134" s="5">
        <v>1.6631944444444446E-2</v>
      </c>
      <c r="H134" s="2">
        <v>90</v>
      </c>
      <c r="I134" s="5">
        <v>3.5995370370370382E-3</v>
      </c>
      <c r="J134">
        <f t="shared" si="2"/>
        <v>7</v>
      </c>
    </row>
    <row r="135" spans="1:10">
      <c r="A135" s="80">
        <v>8</v>
      </c>
      <c r="B135" s="2">
        <v>403</v>
      </c>
      <c r="C135" t="s">
        <v>1314</v>
      </c>
      <c r="D135" s="17">
        <v>10175623433</v>
      </c>
      <c r="E135" s="17" t="s">
        <v>103</v>
      </c>
      <c r="F135" s="17" t="s">
        <v>1315</v>
      </c>
      <c r="G135" s="5">
        <v>1.7025462962962964E-2</v>
      </c>
      <c r="H135" s="2">
        <v>91</v>
      </c>
      <c r="I135" s="5">
        <v>3.993055555555557E-3</v>
      </c>
      <c r="J135">
        <f t="shared" si="2"/>
        <v>8</v>
      </c>
    </row>
    <row r="136" spans="1:10">
      <c r="A136" s="79">
        <v>9</v>
      </c>
      <c r="B136" s="2">
        <v>407</v>
      </c>
      <c r="C136" t="s">
        <v>1310</v>
      </c>
      <c r="D136" s="17" t="s">
        <v>1311</v>
      </c>
      <c r="E136" s="17" t="s">
        <v>103</v>
      </c>
      <c r="F136" s="17" t="s">
        <v>84</v>
      </c>
      <c r="G136" s="5">
        <v>1.7199074074074075E-2</v>
      </c>
      <c r="H136" s="2">
        <v>92</v>
      </c>
      <c r="I136" s="5">
        <v>4.1666666666666675E-3</v>
      </c>
      <c r="J136">
        <f t="shared" si="2"/>
        <v>9</v>
      </c>
    </row>
    <row r="137" spans="1:10">
      <c r="A137" s="80">
        <v>10</v>
      </c>
      <c r="B137" s="2">
        <v>416</v>
      </c>
      <c r="C137" t="s">
        <v>1316</v>
      </c>
      <c r="D137" s="17">
        <v>10162629234</v>
      </c>
      <c r="E137" s="17" t="s">
        <v>103</v>
      </c>
      <c r="F137" s="17" t="s">
        <v>1317</v>
      </c>
      <c r="G137" s="5">
        <v>1.8252314814814815E-2</v>
      </c>
      <c r="H137" s="2">
        <v>93</v>
      </c>
      <c r="I137" s="5">
        <v>5.2199074074074075E-3</v>
      </c>
      <c r="J137">
        <f t="shared" si="2"/>
        <v>10</v>
      </c>
    </row>
    <row r="138" spans="1:10">
      <c r="A138" s="79">
        <v>11</v>
      </c>
      <c r="B138" s="2">
        <v>411</v>
      </c>
      <c r="C138" t="s">
        <v>1150</v>
      </c>
      <c r="D138" s="17" t="s">
        <v>1318</v>
      </c>
      <c r="E138" s="17" t="s">
        <v>103</v>
      </c>
      <c r="F138" s="17" t="s">
        <v>130</v>
      </c>
      <c r="G138" s="5">
        <v>1.8414351851851852E-2</v>
      </c>
      <c r="H138" s="2">
        <v>94</v>
      </c>
      <c r="I138" s="5">
        <v>5.3819444444444444E-3</v>
      </c>
      <c r="J138">
        <f t="shared" si="2"/>
        <v>11</v>
      </c>
    </row>
    <row r="139" spans="1:10">
      <c r="A139" s="80">
        <v>12</v>
      </c>
      <c r="B139" s="2">
        <v>417</v>
      </c>
      <c r="C139" t="s">
        <v>1320</v>
      </c>
      <c r="D139" s="17" t="s">
        <v>66</v>
      </c>
      <c r="E139" s="17" t="s">
        <v>6</v>
      </c>
      <c r="F139" s="17" t="s">
        <v>683</v>
      </c>
      <c r="G139" s="5">
        <v>1.9305555555555558E-2</v>
      </c>
      <c r="H139" s="2">
        <v>95</v>
      </c>
      <c r="I139" s="5">
        <v>6.273148148148151E-3</v>
      </c>
      <c r="J139">
        <f t="shared" si="2"/>
        <v>12</v>
      </c>
    </row>
    <row r="140" spans="1:10">
      <c r="A140" s="79">
        <v>13</v>
      </c>
      <c r="B140" s="2">
        <v>409</v>
      </c>
      <c r="C140" t="s">
        <v>1151</v>
      </c>
      <c r="D140" s="17">
        <v>10173513378</v>
      </c>
      <c r="E140" s="17" t="s">
        <v>103</v>
      </c>
      <c r="F140" s="17" t="s">
        <v>1319</v>
      </c>
      <c r="G140" s="5">
        <v>1.9907407407407408E-2</v>
      </c>
      <c r="H140" s="2">
        <v>96</v>
      </c>
      <c r="I140" s="5">
        <v>6.8750000000000009E-3</v>
      </c>
      <c r="J140">
        <f t="shared" si="2"/>
        <v>13</v>
      </c>
    </row>
    <row r="141" spans="1:10">
      <c r="A141" s="80">
        <v>14</v>
      </c>
      <c r="B141" s="2">
        <v>413</v>
      </c>
      <c r="C141" t="s">
        <v>1066</v>
      </c>
      <c r="D141" s="17">
        <v>10113255059</v>
      </c>
      <c r="E141" s="17" t="s">
        <v>103</v>
      </c>
      <c r="F141" s="17" t="s">
        <v>1184</v>
      </c>
      <c r="G141" s="5">
        <v>2.0057870370370372E-2</v>
      </c>
      <c r="H141" s="2">
        <v>97</v>
      </c>
      <c r="I141" s="5">
        <v>7.0254629629629643E-3</v>
      </c>
      <c r="J141">
        <f t="shared" si="2"/>
        <v>14</v>
      </c>
    </row>
    <row r="142" spans="1:10">
      <c r="A142" s="7">
        <v>15</v>
      </c>
      <c r="B142" s="2">
        <v>410</v>
      </c>
      <c r="C142" t="s">
        <v>1321</v>
      </c>
      <c r="D142" s="17">
        <v>10173514489</v>
      </c>
      <c r="E142" s="17" t="s">
        <v>103</v>
      </c>
      <c r="F142" t="s">
        <v>1322</v>
      </c>
      <c r="G142" s="5">
        <v>2.4699074074074075E-2</v>
      </c>
      <c r="H142" s="2">
        <v>98</v>
      </c>
      <c r="I142" s="5">
        <v>1.1666666666666667E-2</v>
      </c>
      <c r="J142">
        <f t="shared" si="2"/>
        <v>15</v>
      </c>
    </row>
    <row r="143" spans="1:10" ht="15.75">
      <c r="A143" s="2"/>
      <c r="B143" s="21">
        <v>418</v>
      </c>
      <c r="C143" t="s">
        <v>1448</v>
      </c>
      <c r="D143" s="17" t="s">
        <v>1264</v>
      </c>
      <c r="E143" s="17" t="s">
        <v>103</v>
      </c>
      <c r="F143" t="s">
        <v>1449</v>
      </c>
      <c r="G143" s="5" t="s">
        <v>106</v>
      </c>
      <c r="H143" s="2">
        <v>81</v>
      </c>
      <c r="I143" s="5" t="s">
        <v>6</v>
      </c>
      <c r="J143">
        <f t="shared" si="2"/>
        <v>0</v>
      </c>
    </row>
    <row r="144" spans="1:10" ht="15.75">
      <c r="A144" s="2"/>
      <c r="B144" s="21"/>
      <c r="D144" s="17"/>
      <c r="E144" s="17"/>
      <c r="G144" s="5"/>
      <c r="H144" s="2"/>
      <c r="I144" s="5"/>
      <c r="J144">
        <f t="shared" si="2"/>
        <v>0</v>
      </c>
    </row>
    <row r="145" spans="1:10" ht="15.75">
      <c r="A145" s="2">
        <v>1</v>
      </c>
      <c r="B145" s="21">
        <v>581</v>
      </c>
      <c r="C145" t="s">
        <v>371</v>
      </c>
      <c r="D145" s="17">
        <v>121480116</v>
      </c>
      <c r="E145" s="17" t="s">
        <v>103</v>
      </c>
      <c r="F145" t="s">
        <v>114</v>
      </c>
      <c r="G145" s="5">
        <v>1.3645833333333334E-2</v>
      </c>
      <c r="H145" s="2">
        <v>105</v>
      </c>
      <c r="I145" s="5"/>
      <c r="J145">
        <f t="shared" si="2"/>
        <v>1</v>
      </c>
    </row>
    <row r="146" spans="1:10" ht="15.75">
      <c r="A146" s="2">
        <v>2</v>
      </c>
      <c r="B146" s="21">
        <v>582</v>
      </c>
      <c r="C146" t="s">
        <v>1175</v>
      </c>
      <c r="D146" s="17">
        <v>10131906139</v>
      </c>
      <c r="E146" s="17" t="s">
        <v>103</v>
      </c>
      <c r="F146" t="s">
        <v>135</v>
      </c>
      <c r="G146" s="5">
        <v>1.4236111111111113E-2</v>
      </c>
      <c r="H146" s="2">
        <v>106</v>
      </c>
      <c r="I146" s="5">
        <v>5.9027777777777811E-4</v>
      </c>
      <c r="J146">
        <f t="shared" si="2"/>
        <v>2</v>
      </c>
    </row>
    <row r="147" spans="1:10" ht="15.75">
      <c r="A147" s="2">
        <v>3</v>
      </c>
      <c r="B147" s="21">
        <v>584</v>
      </c>
      <c r="C147" t="s">
        <v>374</v>
      </c>
      <c r="D147" s="17">
        <v>10154309503</v>
      </c>
      <c r="E147" s="17" t="s">
        <v>103</v>
      </c>
      <c r="F147" t="s">
        <v>115</v>
      </c>
      <c r="G147" s="5">
        <v>1.4699074074074074E-2</v>
      </c>
      <c r="H147" s="2">
        <v>107</v>
      </c>
      <c r="I147" s="5">
        <v>1.05324074074074E-3</v>
      </c>
      <c r="J147">
        <f t="shared" si="2"/>
        <v>3</v>
      </c>
    </row>
    <row r="148" spans="1:10" ht="15.75">
      <c r="A148" s="2">
        <v>4</v>
      </c>
      <c r="B148" s="21">
        <v>583</v>
      </c>
      <c r="C148" t="s">
        <v>956</v>
      </c>
      <c r="D148" s="17">
        <v>10154228768</v>
      </c>
      <c r="E148" s="17" t="s">
        <v>103</v>
      </c>
      <c r="F148" t="s">
        <v>129</v>
      </c>
      <c r="G148" s="5">
        <v>1.5335648148148149E-2</v>
      </c>
      <c r="H148" s="2">
        <v>108</v>
      </c>
      <c r="I148" s="5">
        <v>1.6898148148148141E-3</v>
      </c>
      <c r="J148">
        <f t="shared" si="2"/>
        <v>4</v>
      </c>
    </row>
    <row r="149" spans="1:10" ht="15.75">
      <c r="A149" s="2">
        <v>5</v>
      </c>
      <c r="B149" s="21">
        <v>599</v>
      </c>
      <c r="C149" t="s">
        <v>1346</v>
      </c>
      <c r="D149" s="17">
        <v>10156833725</v>
      </c>
      <c r="E149" s="17" t="s">
        <v>103</v>
      </c>
      <c r="F149" t="s">
        <v>345</v>
      </c>
      <c r="G149" s="5">
        <v>1.6157407407407405E-2</v>
      </c>
      <c r="H149" s="2">
        <v>109</v>
      </c>
      <c r="I149" s="5">
        <v>2.5115740740740706E-3</v>
      </c>
      <c r="J149">
        <f t="shared" si="2"/>
        <v>5</v>
      </c>
    </row>
    <row r="150" spans="1:10" ht="15.75">
      <c r="A150" s="2">
        <v>6</v>
      </c>
      <c r="B150" s="21">
        <v>586</v>
      </c>
      <c r="C150" t="s">
        <v>376</v>
      </c>
      <c r="D150" s="17" t="s">
        <v>1292</v>
      </c>
      <c r="E150" s="17" t="s">
        <v>103</v>
      </c>
      <c r="F150" t="s">
        <v>155</v>
      </c>
      <c r="G150" s="5">
        <v>1.6469907407407405E-2</v>
      </c>
      <c r="H150" s="2">
        <v>110</v>
      </c>
      <c r="I150" s="5">
        <v>2.8240740740740709E-3</v>
      </c>
      <c r="J150">
        <f t="shared" si="2"/>
        <v>6</v>
      </c>
    </row>
    <row r="151" spans="1:10" ht="15.75">
      <c r="A151" s="2">
        <v>7</v>
      </c>
      <c r="B151" s="21">
        <v>588</v>
      </c>
      <c r="C151" t="s">
        <v>734</v>
      </c>
      <c r="D151" s="17" t="s">
        <v>66</v>
      </c>
      <c r="E151" s="17" t="s">
        <v>103</v>
      </c>
      <c r="F151" t="s">
        <v>155</v>
      </c>
      <c r="G151" s="5">
        <v>1.6921296296296295E-2</v>
      </c>
      <c r="H151" s="2">
        <v>111</v>
      </c>
      <c r="I151" s="5"/>
      <c r="J151">
        <f t="shared" si="2"/>
        <v>7</v>
      </c>
    </row>
    <row r="152" spans="1:10" ht="15.75">
      <c r="A152" s="2">
        <v>8</v>
      </c>
      <c r="B152" s="21">
        <v>587</v>
      </c>
      <c r="C152" t="s">
        <v>377</v>
      </c>
      <c r="D152" s="17" t="s">
        <v>66</v>
      </c>
      <c r="E152" s="17" t="s">
        <v>103</v>
      </c>
      <c r="F152" t="s">
        <v>155</v>
      </c>
      <c r="G152" s="5">
        <v>1.7152777777777777E-2</v>
      </c>
      <c r="H152" s="2">
        <v>112</v>
      </c>
      <c r="I152" s="5"/>
      <c r="J152">
        <f t="shared" si="2"/>
        <v>8</v>
      </c>
    </row>
    <row r="153" spans="1:10">
      <c r="A153" s="7">
        <v>9</v>
      </c>
      <c r="B153" s="2">
        <v>589</v>
      </c>
      <c r="C153" t="s">
        <v>1347</v>
      </c>
      <c r="D153" s="17">
        <v>12990</v>
      </c>
      <c r="E153" s="17" t="s">
        <v>103</v>
      </c>
      <c r="F153" t="s">
        <v>155</v>
      </c>
      <c r="G153" s="5">
        <v>1.7152777777777777E-2</v>
      </c>
      <c r="H153" s="2">
        <v>113</v>
      </c>
      <c r="I153" s="5"/>
      <c r="J153">
        <f t="shared" si="2"/>
        <v>9</v>
      </c>
    </row>
    <row r="154" spans="1:10">
      <c r="A154" s="2">
        <v>10</v>
      </c>
      <c r="B154" s="22">
        <v>596</v>
      </c>
      <c r="C154" t="s">
        <v>744</v>
      </c>
      <c r="D154" s="17">
        <v>10153426601</v>
      </c>
      <c r="E154" s="17" t="s">
        <v>103</v>
      </c>
      <c r="F154" t="s">
        <v>130</v>
      </c>
      <c r="G154" s="5">
        <v>1.7384259259259259E-2</v>
      </c>
      <c r="H154" s="2">
        <v>114</v>
      </c>
      <c r="I154" s="5"/>
      <c r="J154">
        <f t="shared" si="2"/>
        <v>10</v>
      </c>
    </row>
    <row r="155" spans="1:10">
      <c r="A155" s="2">
        <v>11</v>
      </c>
      <c r="B155" s="2">
        <v>598</v>
      </c>
      <c r="C155" t="s">
        <v>1348</v>
      </c>
      <c r="D155" s="17">
        <v>10161956941</v>
      </c>
      <c r="E155" s="17" t="s">
        <v>103</v>
      </c>
      <c r="F155" t="s">
        <v>1349</v>
      </c>
      <c r="G155" s="5">
        <v>1.9108796296296294E-2</v>
      </c>
      <c r="H155" s="2">
        <v>115</v>
      </c>
      <c r="I155" s="5"/>
      <c r="J155">
        <f t="shared" si="2"/>
        <v>11</v>
      </c>
    </row>
    <row r="156" spans="1:10">
      <c r="A156" s="2">
        <v>12</v>
      </c>
      <c r="B156" s="22">
        <v>590</v>
      </c>
      <c r="C156" t="s">
        <v>380</v>
      </c>
      <c r="D156" s="17">
        <v>10172211558</v>
      </c>
      <c r="E156" s="17" t="s">
        <v>103</v>
      </c>
      <c r="F156" t="s">
        <v>155</v>
      </c>
      <c r="G156" s="5">
        <v>1.9710648148148147E-2</v>
      </c>
      <c r="H156" s="2">
        <v>116</v>
      </c>
      <c r="I156" s="5"/>
      <c r="J156">
        <f t="shared" si="2"/>
        <v>12</v>
      </c>
    </row>
    <row r="157" spans="1:10">
      <c r="A157" s="2"/>
      <c r="B157" s="2">
        <v>597</v>
      </c>
      <c r="C157" t="s">
        <v>1350</v>
      </c>
      <c r="D157" s="17" t="s">
        <v>1292</v>
      </c>
      <c r="E157" s="17" t="s">
        <v>103</v>
      </c>
      <c r="F157" t="s">
        <v>134</v>
      </c>
      <c r="G157" s="5" t="s">
        <v>106</v>
      </c>
      <c r="H157" s="2">
        <v>82</v>
      </c>
      <c r="I157" s="5"/>
      <c r="J157">
        <f t="shared" si="2"/>
        <v>0</v>
      </c>
    </row>
    <row r="158" spans="1:10">
      <c r="A158" s="2"/>
      <c r="D158" s="17"/>
      <c r="E158" s="17"/>
      <c r="G158" s="5"/>
      <c r="H158" s="2"/>
      <c r="I158" s="5"/>
      <c r="J158">
        <f t="shared" si="2"/>
        <v>0</v>
      </c>
    </row>
    <row r="159" spans="1:10">
      <c r="A159" s="2">
        <v>1</v>
      </c>
      <c r="B159" s="2">
        <v>489</v>
      </c>
      <c r="C159" t="s">
        <v>1323</v>
      </c>
      <c r="D159" s="17">
        <v>10105006019</v>
      </c>
      <c r="E159" s="17" t="s">
        <v>103</v>
      </c>
      <c r="F159" t="s">
        <v>1324</v>
      </c>
      <c r="G159" s="5">
        <v>1.5555555555555557E-2</v>
      </c>
      <c r="H159" s="2">
        <v>99</v>
      </c>
      <c r="I159" s="5"/>
      <c r="J159">
        <f t="shared" si="2"/>
        <v>1</v>
      </c>
    </row>
    <row r="160" spans="1:10">
      <c r="A160" s="2">
        <v>2</v>
      </c>
      <c r="B160" s="22">
        <v>484</v>
      </c>
      <c r="C160" t="s">
        <v>394</v>
      </c>
      <c r="D160" s="17">
        <v>10162507114</v>
      </c>
      <c r="E160" s="17" t="s">
        <v>103</v>
      </c>
      <c r="F160" t="s">
        <v>130</v>
      </c>
      <c r="G160" s="5">
        <v>1.667824074074074E-2</v>
      </c>
      <c r="H160" s="2">
        <v>100</v>
      </c>
      <c r="I160" s="5">
        <v>1.1226851851851832E-3</v>
      </c>
      <c r="J160">
        <f t="shared" si="2"/>
        <v>2</v>
      </c>
    </row>
    <row r="161" spans="1:10">
      <c r="A161" s="2">
        <v>3</v>
      </c>
      <c r="B161" s="22">
        <v>483</v>
      </c>
      <c r="C161" t="s">
        <v>393</v>
      </c>
      <c r="D161" s="17">
        <v>10156361455</v>
      </c>
      <c r="E161" s="17" t="s">
        <v>103</v>
      </c>
      <c r="F161" t="s">
        <v>1325</v>
      </c>
      <c r="G161" s="5">
        <v>1.7152777777777777E-2</v>
      </c>
      <c r="H161" s="2">
        <v>101</v>
      </c>
      <c r="I161" s="5">
        <v>1.5972222222222204E-3</v>
      </c>
      <c r="J161">
        <f t="shared" si="2"/>
        <v>3</v>
      </c>
    </row>
    <row r="162" spans="1:10">
      <c r="A162" s="2">
        <v>4</v>
      </c>
      <c r="B162" s="2">
        <v>481</v>
      </c>
      <c r="C162" t="s">
        <v>756</v>
      </c>
      <c r="D162" s="17">
        <v>10162377172</v>
      </c>
      <c r="E162" s="17" t="s">
        <v>103</v>
      </c>
      <c r="F162" t="s">
        <v>390</v>
      </c>
      <c r="G162" s="5">
        <v>1.7152777777777777E-2</v>
      </c>
      <c r="H162" s="2">
        <v>102</v>
      </c>
      <c r="I162" s="5">
        <v>1.5972222222222204E-3</v>
      </c>
      <c r="J162">
        <f t="shared" si="2"/>
        <v>4</v>
      </c>
    </row>
    <row r="163" spans="1:10">
      <c r="A163" s="3">
        <v>5</v>
      </c>
      <c r="B163" s="105">
        <v>488</v>
      </c>
      <c r="C163" s="100" t="s">
        <v>764</v>
      </c>
      <c r="D163" s="100">
        <v>10162509639</v>
      </c>
      <c r="E163" s="100" t="s">
        <v>103</v>
      </c>
      <c r="F163" s="100" t="s">
        <v>130</v>
      </c>
      <c r="G163" s="101">
        <v>2.1377314814814814E-2</v>
      </c>
      <c r="H163" s="3">
        <v>103</v>
      </c>
      <c r="I163" s="101">
        <v>5.8217592592592574E-3</v>
      </c>
      <c r="J163">
        <f t="shared" si="2"/>
        <v>5</v>
      </c>
    </row>
    <row r="164" spans="1:10">
      <c r="A164" s="3">
        <v>6</v>
      </c>
      <c r="B164" s="105">
        <v>486</v>
      </c>
      <c r="C164" s="100" t="s">
        <v>1257</v>
      </c>
      <c r="D164" s="100" t="s">
        <v>66</v>
      </c>
      <c r="E164" s="100" t="s">
        <v>103</v>
      </c>
      <c r="F164" s="100" t="s">
        <v>155</v>
      </c>
      <c r="G164" s="101">
        <v>2.4386574074074074E-2</v>
      </c>
      <c r="H164" s="3">
        <v>103</v>
      </c>
      <c r="I164" s="101">
        <v>8.8310185185185176E-3</v>
      </c>
      <c r="J164">
        <f t="shared" si="2"/>
        <v>6</v>
      </c>
    </row>
    <row r="165" spans="1:10">
      <c r="A165" s="3"/>
      <c r="B165" s="22">
        <v>482</v>
      </c>
      <c r="C165" s="100" t="s">
        <v>391</v>
      </c>
      <c r="D165" s="100">
        <v>10171940261</v>
      </c>
      <c r="E165" s="100" t="s">
        <v>103</v>
      </c>
      <c r="F165" s="100" t="s">
        <v>958</v>
      </c>
      <c r="G165" s="101" t="s">
        <v>105</v>
      </c>
      <c r="H165" s="3">
        <v>104</v>
      </c>
      <c r="I165" s="101" t="s">
        <v>6</v>
      </c>
      <c r="J165">
        <f t="shared" si="2"/>
        <v>0</v>
      </c>
    </row>
    <row r="166" spans="1:10">
      <c r="A166" s="3"/>
      <c r="B166" s="3"/>
      <c r="C166" s="100"/>
      <c r="D166" s="100"/>
      <c r="E166" s="100"/>
      <c r="F166" s="100"/>
      <c r="G166" s="101"/>
      <c r="H166" s="3"/>
      <c r="I166" s="101"/>
      <c r="J166">
        <f t="shared" si="2"/>
        <v>0</v>
      </c>
    </row>
    <row r="167" spans="1:10">
      <c r="A167" s="3">
        <v>1</v>
      </c>
      <c r="B167" s="3">
        <v>13</v>
      </c>
      <c r="C167" s="100" t="s">
        <v>997</v>
      </c>
      <c r="D167" s="100">
        <v>10088970101</v>
      </c>
      <c r="E167" s="100" t="s">
        <v>103</v>
      </c>
      <c r="F167" s="100" t="s">
        <v>1408</v>
      </c>
      <c r="G167" s="101">
        <v>5.859953703703704E-2</v>
      </c>
      <c r="H167" s="3">
        <v>145</v>
      </c>
      <c r="I167" s="101"/>
      <c r="J167">
        <f t="shared" si="2"/>
        <v>1</v>
      </c>
    </row>
    <row r="168" spans="1:10">
      <c r="A168" s="3">
        <v>2</v>
      </c>
      <c r="B168" s="3">
        <v>3</v>
      </c>
      <c r="C168" s="100" t="s">
        <v>1409</v>
      </c>
      <c r="D168" s="100">
        <v>10009200331</v>
      </c>
      <c r="E168" s="100" t="s">
        <v>103</v>
      </c>
      <c r="F168" s="100" t="s">
        <v>566</v>
      </c>
      <c r="G168" s="101">
        <v>5.8703703703703702E-2</v>
      </c>
      <c r="H168" s="3">
        <v>146</v>
      </c>
      <c r="I168" s="101">
        <v>1.0416666666666213E-4</v>
      </c>
      <c r="J168">
        <f t="shared" si="2"/>
        <v>2</v>
      </c>
    </row>
    <row r="169" spans="1:10">
      <c r="A169" s="3">
        <v>3</v>
      </c>
      <c r="B169" s="3">
        <v>7</v>
      </c>
      <c r="C169" s="100" t="s">
        <v>993</v>
      </c>
      <c r="D169" s="100">
        <v>10050357734</v>
      </c>
      <c r="E169" s="100" t="s">
        <v>103</v>
      </c>
      <c r="F169" s="100" t="s">
        <v>114</v>
      </c>
      <c r="G169" s="101">
        <v>5.9479166666666666E-2</v>
      </c>
      <c r="H169" s="3">
        <v>147</v>
      </c>
      <c r="I169" s="101">
        <v>8.7962962962962604E-4</v>
      </c>
      <c r="J169">
        <f t="shared" si="2"/>
        <v>3</v>
      </c>
    </row>
    <row r="170" spans="1:10">
      <c r="A170" s="3">
        <v>4</v>
      </c>
      <c r="B170" s="105">
        <v>23</v>
      </c>
      <c r="C170" s="100" t="s">
        <v>171</v>
      </c>
      <c r="D170" s="100">
        <v>10092456037</v>
      </c>
      <c r="E170" s="100" t="s">
        <v>103</v>
      </c>
      <c r="F170" s="100" t="s">
        <v>100</v>
      </c>
      <c r="G170" s="101">
        <v>6.2442129629629632E-2</v>
      </c>
      <c r="H170" s="3">
        <v>157</v>
      </c>
      <c r="I170" s="101">
        <v>3.8425925925925919E-3</v>
      </c>
      <c r="J170">
        <f t="shared" si="2"/>
        <v>4</v>
      </c>
    </row>
    <row r="171" spans="1:10">
      <c r="A171" s="3">
        <v>5</v>
      </c>
      <c r="B171" s="105">
        <v>25</v>
      </c>
      <c r="C171" s="100" t="s">
        <v>173</v>
      </c>
      <c r="D171" s="100">
        <v>10076890971</v>
      </c>
      <c r="E171" s="100" t="s">
        <v>103</v>
      </c>
      <c r="F171" s="100" t="s">
        <v>114</v>
      </c>
      <c r="G171" s="101">
        <v>6.2627314814814816E-2</v>
      </c>
      <c r="H171" s="3">
        <v>158</v>
      </c>
      <c r="I171" s="101">
        <v>4.027777777777776E-3</v>
      </c>
      <c r="J171">
        <f t="shared" si="2"/>
        <v>5</v>
      </c>
    </row>
    <row r="172" spans="1:10">
      <c r="A172" s="3">
        <v>6</v>
      </c>
      <c r="B172" s="3">
        <v>12</v>
      </c>
      <c r="C172" s="100" t="s">
        <v>143</v>
      </c>
      <c r="D172" s="100">
        <v>10051220327</v>
      </c>
      <c r="E172" s="100" t="s">
        <v>103</v>
      </c>
      <c r="F172" s="100" t="s">
        <v>175</v>
      </c>
      <c r="G172" s="101">
        <v>6.33912037037037E-2</v>
      </c>
      <c r="H172" s="3">
        <v>159</v>
      </c>
      <c r="I172" s="101">
        <v>4.7916666666666594E-3</v>
      </c>
      <c r="J172">
        <f t="shared" si="2"/>
        <v>6</v>
      </c>
    </row>
    <row r="173" spans="1:10">
      <c r="A173" s="3">
        <v>7</v>
      </c>
      <c r="B173" s="3">
        <v>26</v>
      </c>
      <c r="C173" s="100" t="s">
        <v>1005</v>
      </c>
      <c r="D173" s="100">
        <v>10089547148</v>
      </c>
      <c r="E173" s="100" t="s">
        <v>103</v>
      </c>
      <c r="F173" s="100" t="s">
        <v>114</v>
      </c>
      <c r="G173" s="101">
        <v>6.4421296296296296E-2</v>
      </c>
      <c r="H173" s="3">
        <v>160</v>
      </c>
      <c r="I173" s="101">
        <v>5.8217592592592557E-3</v>
      </c>
      <c r="J173">
        <f t="shared" si="2"/>
        <v>7</v>
      </c>
    </row>
    <row r="174" spans="1:10">
      <c r="A174" s="3">
        <v>8</v>
      </c>
      <c r="B174" s="3">
        <v>27</v>
      </c>
      <c r="C174" s="100" t="s">
        <v>180</v>
      </c>
      <c r="D174" s="100">
        <v>10103820090</v>
      </c>
      <c r="E174" s="100" t="s">
        <v>103</v>
      </c>
      <c r="F174" s="100" t="s">
        <v>114</v>
      </c>
      <c r="G174" s="101">
        <v>6.4953703703703708E-2</v>
      </c>
      <c r="H174" s="3">
        <v>161</v>
      </c>
      <c r="I174" s="101">
        <v>6.3541666666666677E-3</v>
      </c>
      <c r="J174">
        <f t="shared" si="2"/>
        <v>8</v>
      </c>
    </row>
    <row r="175" spans="1:10">
      <c r="A175" s="3">
        <v>9</v>
      </c>
      <c r="B175" s="3">
        <v>30</v>
      </c>
      <c r="C175" s="100" t="s">
        <v>176</v>
      </c>
      <c r="D175" s="100">
        <v>10140483767</v>
      </c>
      <c r="E175" s="100" t="s">
        <v>103</v>
      </c>
      <c r="F175" s="100" t="s">
        <v>85</v>
      </c>
      <c r="G175" s="101">
        <v>6.6134259259259254E-2</v>
      </c>
      <c r="H175" s="3">
        <v>163</v>
      </c>
      <c r="I175" s="101">
        <v>7.5347222222222135E-3</v>
      </c>
      <c r="J175">
        <f t="shared" si="2"/>
        <v>9</v>
      </c>
    </row>
    <row r="176" spans="1:10">
      <c r="A176" s="3">
        <v>10</v>
      </c>
      <c r="B176" s="105">
        <v>35</v>
      </c>
      <c r="C176" s="100" t="s">
        <v>1011</v>
      </c>
      <c r="D176" s="100">
        <v>10113953358</v>
      </c>
      <c r="E176" s="100" t="s">
        <v>103</v>
      </c>
      <c r="F176" s="100" t="s">
        <v>114</v>
      </c>
      <c r="G176" s="101">
        <v>6.7592592592592593E-2</v>
      </c>
      <c r="H176" s="3">
        <v>164</v>
      </c>
      <c r="I176" s="101">
        <v>8.9930555555555527E-3</v>
      </c>
      <c r="J176">
        <f t="shared" si="2"/>
        <v>10</v>
      </c>
    </row>
    <row r="177" spans="1:10">
      <c r="A177" s="3">
        <v>11</v>
      </c>
      <c r="B177" s="22">
        <v>39</v>
      </c>
      <c r="C177" s="100" t="s">
        <v>1411</v>
      </c>
      <c r="D177" s="100">
        <v>10109151656</v>
      </c>
      <c r="E177" s="100" t="s">
        <v>103</v>
      </c>
      <c r="F177" s="100" t="s">
        <v>175</v>
      </c>
      <c r="G177" s="101" t="s">
        <v>107</v>
      </c>
      <c r="H177" s="3">
        <v>148</v>
      </c>
      <c r="I177" s="101" t="s">
        <v>6</v>
      </c>
      <c r="J177">
        <f t="shared" si="2"/>
        <v>11</v>
      </c>
    </row>
    <row r="178" spans="1:10">
      <c r="A178" s="3">
        <v>12</v>
      </c>
      <c r="B178" s="105">
        <v>28</v>
      </c>
      <c r="C178" s="100" t="s">
        <v>186</v>
      </c>
      <c r="D178" s="100">
        <v>10120369001</v>
      </c>
      <c r="E178" s="100" t="s">
        <v>103</v>
      </c>
      <c r="F178" s="100" t="s">
        <v>100</v>
      </c>
      <c r="G178" s="101" t="s">
        <v>107</v>
      </c>
      <c r="H178" s="3">
        <v>149</v>
      </c>
      <c r="I178" s="101" t="s">
        <v>6</v>
      </c>
      <c r="J178">
        <f t="shared" si="2"/>
        <v>12</v>
      </c>
    </row>
    <row r="179" spans="1:10">
      <c r="A179" s="3">
        <v>13</v>
      </c>
      <c r="B179" s="3">
        <v>29</v>
      </c>
      <c r="C179" s="100" t="s">
        <v>1006</v>
      </c>
      <c r="D179" s="100" t="s">
        <v>1264</v>
      </c>
      <c r="E179" s="100" t="s">
        <v>103</v>
      </c>
      <c r="F179" s="100" t="s">
        <v>100</v>
      </c>
      <c r="G179" s="101" t="s">
        <v>104</v>
      </c>
      <c r="H179" s="3">
        <v>153</v>
      </c>
      <c r="I179" s="101" t="s">
        <v>6</v>
      </c>
      <c r="J179">
        <f t="shared" si="2"/>
        <v>13</v>
      </c>
    </row>
    <row r="180" spans="1:10">
      <c r="A180" s="3">
        <v>14</v>
      </c>
      <c r="B180" s="105">
        <v>37</v>
      </c>
      <c r="C180" s="100" t="s">
        <v>192</v>
      </c>
      <c r="D180" s="100">
        <v>10120252500</v>
      </c>
      <c r="E180" s="100" t="s">
        <v>103</v>
      </c>
      <c r="F180" s="100" t="s">
        <v>1410</v>
      </c>
      <c r="G180" s="101" t="s">
        <v>1154</v>
      </c>
      <c r="H180" s="3">
        <v>154</v>
      </c>
      <c r="I180" s="101" t="s">
        <v>6</v>
      </c>
      <c r="J180">
        <f t="shared" si="2"/>
        <v>14</v>
      </c>
    </row>
    <row r="181" spans="1:10">
      <c r="A181" s="3">
        <v>15</v>
      </c>
      <c r="B181" s="3">
        <v>41</v>
      </c>
      <c r="C181" s="100" t="s">
        <v>1450</v>
      </c>
      <c r="D181" s="100">
        <v>10113754005</v>
      </c>
      <c r="E181" s="100" t="s">
        <v>103</v>
      </c>
      <c r="F181" s="100" t="s">
        <v>6</v>
      </c>
      <c r="G181" s="101" t="s">
        <v>1154</v>
      </c>
      <c r="H181" s="3">
        <v>155</v>
      </c>
      <c r="I181" s="101" t="s">
        <v>6</v>
      </c>
      <c r="J181">
        <f t="shared" si="2"/>
        <v>15</v>
      </c>
    </row>
    <row r="182" spans="1:10">
      <c r="A182" s="3">
        <v>16</v>
      </c>
      <c r="B182" s="105">
        <v>40</v>
      </c>
      <c r="C182" s="100" t="s">
        <v>1412</v>
      </c>
      <c r="D182" s="100">
        <v>10154842595</v>
      </c>
      <c r="E182" s="100" t="s">
        <v>103</v>
      </c>
      <c r="F182" s="100" t="s">
        <v>109</v>
      </c>
      <c r="G182" s="101" t="s">
        <v>1198</v>
      </c>
      <c r="H182" s="3">
        <v>156</v>
      </c>
      <c r="I182" s="101" t="s">
        <v>6</v>
      </c>
      <c r="J182">
        <f t="shared" si="2"/>
        <v>16</v>
      </c>
    </row>
    <row r="183" spans="1:10">
      <c r="A183" s="3"/>
      <c r="B183" s="22">
        <v>10</v>
      </c>
      <c r="C183" s="100" t="s">
        <v>174</v>
      </c>
      <c r="D183" s="100">
        <v>10075992208</v>
      </c>
      <c r="E183" s="100" t="s">
        <v>103</v>
      </c>
      <c r="F183" s="100" t="s">
        <v>115</v>
      </c>
      <c r="G183" s="101" t="s">
        <v>106</v>
      </c>
      <c r="H183" s="3">
        <v>162</v>
      </c>
      <c r="I183" s="101" t="s">
        <v>6</v>
      </c>
      <c r="J183">
        <f t="shared" si="2"/>
        <v>0</v>
      </c>
    </row>
    <row r="184" spans="1:10">
      <c r="A184" s="3"/>
      <c r="B184" s="3"/>
      <c r="C184" s="100"/>
      <c r="D184" s="100"/>
      <c r="E184" s="100"/>
      <c r="F184" s="100"/>
      <c r="G184" s="101"/>
      <c r="H184" s="3"/>
      <c r="I184" s="101"/>
      <c r="J184">
        <f t="shared" si="2"/>
        <v>0</v>
      </c>
    </row>
    <row r="185" spans="1:10">
      <c r="A185" s="3">
        <v>1</v>
      </c>
      <c r="B185" s="105">
        <v>85</v>
      </c>
      <c r="C185" s="100" t="s">
        <v>153</v>
      </c>
      <c r="D185" s="100">
        <v>10059847263</v>
      </c>
      <c r="E185" s="100" t="s">
        <v>103</v>
      </c>
      <c r="F185" s="100" t="s">
        <v>1399</v>
      </c>
      <c r="G185" s="101">
        <v>4.7581018518518522E-2</v>
      </c>
      <c r="H185" s="3">
        <v>141</v>
      </c>
      <c r="I185" s="101"/>
      <c r="J185">
        <f t="shared" si="2"/>
        <v>1</v>
      </c>
    </row>
    <row r="186" spans="1:10">
      <c r="A186" s="2">
        <v>2</v>
      </c>
      <c r="B186" s="2">
        <v>84</v>
      </c>
      <c r="C186" t="s">
        <v>1400</v>
      </c>
      <c r="D186" s="17">
        <v>10052898528</v>
      </c>
      <c r="E186" s="17" t="s">
        <v>103</v>
      </c>
      <c r="F186" t="s">
        <v>1401</v>
      </c>
      <c r="G186" s="5">
        <v>4.8194444444444443E-2</v>
      </c>
      <c r="H186" s="2">
        <v>142</v>
      </c>
      <c r="I186" s="5">
        <v>6.1342592592592005E-4</v>
      </c>
      <c r="J186">
        <f t="shared" si="2"/>
        <v>2</v>
      </c>
    </row>
    <row r="187" spans="1:10">
      <c r="A187" s="2">
        <v>3</v>
      </c>
      <c r="B187" s="22">
        <v>91</v>
      </c>
      <c r="C187" t="s">
        <v>1026</v>
      </c>
      <c r="D187" s="17">
        <v>10077498132</v>
      </c>
      <c r="E187" s="17" t="s">
        <v>103</v>
      </c>
      <c r="F187" t="s">
        <v>114</v>
      </c>
      <c r="G187" s="5">
        <v>5.1145833333333335E-2</v>
      </c>
      <c r="H187" s="2">
        <v>143</v>
      </c>
      <c r="I187" s="5">
        <v>3.5648148148148123E-3</v>
      </c>
      <c r="J187">
        <f t="shared" si="2"/>
        <v>3</v>
      </c>
    </row>
    <row r="188" spans="1:10">
      <c r="A188" s="2">
        <v>4</v>
      </c>
      <c r="B188" s="2">
        <v>92</v>
      </c>
      <c r="C188" t="s">
        <v>1027</v>
      </c>
      <c r="D188" s="17">
        <v>10077498435</v>
      </c>
      <c r="E188" s="17" t="s">
        <v>103</v>
      </c>
      <c r="F188" t="s">
        <v>114</v>
      </c>
      <c r="G188" s="5">
        <v>5.2916666666666667E-2</v>
      </c>
      <c r="H188" s="2">
        <v>144</v>
      </c>
      <c r="I188" s="5">
        <v>5.3356481481481449E-3</v>
      </c>
      <c r="J188">
        <f t="shared" si="2"/>
        <v>4</v>
      </c>
    </row>
    <row r="189" spans="1:10">
      <c r="A189" s="2">
        <v>5</v>
      </c>
      <c r="B189" s="2">
        <v>87</v>
      </c>
      <c r="C189" t="s">
        <v>592</v>
      </c>
      <c r="D189" s="17">
        <v>10112699836</v>
      </c>
      <c r="E189" s="17" t="s">
        <v>103</v>
      </c>
      <c r="F189" t="s">
        <v>138</v>
      </c>
      <c r="G189" s="5" t="s">
        <v>107</v>
      </c>
      <c r="H189" s="2">
        <v>150</v>
      </c>
      <c r="I189" s="5" t="s">
        <v>6</v>
      </c>
      <c r="J189">
        <f t="shared" si="2"/>
        <v>5</v>
      </c>
    </row>
    <row r="190" spans="1:10">
      <c r="A190" s="7">
        <v>6</v>
      </c>
      <c r="B190" s="2">
        <v>94</v>
      </c>
      <c r="C190" t="s">
        <v>1030</v>
      </c>
      <c r="D190" s="17">
        <v>10076571982</v>
      </c>
      <c r="E190" s="17" t="s">
        <v>103</v>
      </c>
      <c r="F190" t="s">
        <v>139</v>
      </c>
      <c r="G190" s="5" t="s">
        <v>107</v>
      </c>
      <c r="H190" s="2">
        <v>151</v>
      </c>
      <c r="I190" s="5" t="s">
        <v>6</v>
      </c>
      <c r="J190">
        <f t="shared" si="2"/>
        <v>6</v>
      </c>
    </row>
    <row r="191" spans="1:10" ht="15.75">
      <c r="A191" s="2">
        <v>7</v>
      </c>
      <c r="B191" s="21">
        <v>95</v>
      </c>
      <c r="C191" t="s">
        <v>203</v>
      </c>
      <c r="D191" s="17">
        <v>10120014242</v>
      </c>
      <c r="E191" s="17" t="s">
        <v>103</v>
      </c>
      <c r="F191" t="s">
        <v>204</v>
      </c>
      <c r="G191" s="5" t="s">
        <v>107</v>
      </c>
      <c r="H191" s="2">
        <v>152</v>
      </c>
      <c r="I191" s="5" t="s">
        <v>6</v>
      </c>
      <c r="J191">
        <f t="shared" si="2"/>
        <v>7</v>
      </c>
    </row>
    <row r="192" spans="1:10" ht="15.75">
      <c r="A192" s="2"/>
      <c r="B192" s="21"/>
      <c r="D192" s="17"/>
      <c r="E192" s="17"/>
      <c r="G192" s="5"/>
      <c r="H192" s="2"/>
      <c r="I192" s="5"/>
      <c r="J192">
        <f t="shared" si="2"/>
        <v>0</v>
      </c>
    </row>
    <row r="193" spans="1:10" ht="15.75">
      <c r="A193" s="2">
        <v>1</v>
      </c>
      <c r="B193" s="21">
        <v>103</v>
      </c>
      <c r="C193" t="s">
        <v>211</v>
      </c>
      <c r="D193" s="17">
        <v>10128933895</v>
      </c>
      <c r="E193" s="17" t="s">
        <v>103</v>
      </c>
      <c r="F193" t="s">
        <v>868</v>
      </c>
      <c r="G193" s="5">
        <v>4.2291666666666665E-2</v>
      </c>
      <c r="H193" s="2">
        <v>165</v>
      </c>
      <c r="I193" s="5"/>
      <c r="J193">
        <f t="shared" si="2"/>
        <v>1</v>
      </c>
    </row>
    <row r="194" spans="1:10" ht="15.75">
      <c r="A194" s="2">
        <v>2</v>
      </c>
      <c r="B194" s="21">
        <v>105</v>
      </c>
      <c r="C194" t="s">
        <v>213</v>
      </c>
      <c r="D194" s="17">
        <v>10141533185</v>
      </c>
      <c r="E194" s="17" t="s">
        <v>103</v>
      </c>
      <c r="F194" t="s">
        <v>1398</v>
      </c>
      <c r="G194" s="5">
        <v>4.2291666666666665E-2</v>
      </c>
      <c r="H194" s="2">
        <v>166</v>
      </c>
      <c r="I194" s="5">
        <v>0</v>
      </c>
      <c r="J194">
        <f t="shared" ref="J194:J218" si="3">A194</f>
        <v>2</v>
      </c>
    </row>
    <row r="195" spans="1:10" ht="15.75">
      <c r="A195" s="2">
        <v>3</v>
      </c>
      <c r="B195" s="21">
        <v>158</v>
      </c>
      <c r="C195" t="s">
        <v>1213</v>
      </c>
      <c r="D195" s="17">
        <v>10089728923</v>
      </c>
      <c r="E195" s="17" t="s">
        <v>103</v>
      </c>
      <c r="F195" t="s">
        <v>868</v>
      </c>
      <c r="G195" s="5">
        <v>4.3761574074074071E-2</v>
      </c>
      <c r="H195" s="2">
        <v>168</v>
      </c>
      <c r="I195" s="5">
        <v>1.4699074074074059E-3</v>
      </c>
      <c r="J195">
        <f t="shared" si="3"/>
        <v>3</v>
      </c>
    </row>
    <row r="196" spans="1:10" ht="15.75">
      <c r="A196" s="2">
        <v>4</v>
      </c>
      <c r="B196" s="21">
        <v>106</v>
      </c>
      <c r="C196" t="s">
        <v>240</v>
      </c>
      <c r="D196" s="17">
        <v>10119593506</v>
      </c>
      <c r="E196" s="17" t="s">
        <v>103</v>
      </c>
      <c r="F196" t="s">
        <v>71</v>
      </c>
      <c r="G196" s="5">
        <v>4.3877314814814813E-2</v>
      </c>
      <c r="H196" s="2">
        <v>169</v>
      </c>
      <c r="I196" s="5">
        <v>1.5856481481481485E-3</v>
      </c>
      <c r="J196">
        <f t="shared" si="3"/>
        <v>4</v>
      </c>
    </row>
    <row r="197" spans="1:10" ht="15.75">
      <c r="A197" s="2">
        <v>5</v>
      </c>
      <c r="B197" s="21">
        <v>104</v>
      </c>
      <c r="C197" t="s">
        <v>1376</v>
      </c>
      <c r="D197" s="17">
        <v>10116215680</v>
      </c>
      <c r="E197" s="17" t="s">
        <v>103</v>
      </c>
      <c r="F197" t="s">
        <v>114</v>
      </c>
      <c r="G197" s="5">
        <v>4.4097222222222225E-2</v>
      </c>
      <c r="H197" s="2">
        <v>170</v>
      </c>
      <c r="I197" s="5">
        <v>1.8055555555555602E-3</v>
      </c>
      <c r="J197">
        <f t="shared" si="3"/>
        <v>5</v>
      </c>
    </row>
    <row r="198" spans="1:10" ht="15.75">
      <c r="A198" s="2">
        <v>6</v>
      </c>
      <c r="B198" s="21">
        <v>126</v>
      </c>
      <c r="C198" t="s">
        <v>1055</v>
      </c>
      <c r="D198" s="17">
        <v>10151269157</v>
      </c>
      <c r="E198" s="17" t="s">
        <v>103</v>
      </c>
      <c r="F198" t="s">
        <v>1218</v>
      </c>
      <c r="G198" s="5">
        <v>4.4710648148148145E-2</v>
      </c>
      <c r="H198" s="2">
        <v>172</v>
      </c>
      <c r="I198" s="5">
        <v>2.4189814814814803E-3</v>
      </c>
      <c r="J198">
        <f t="shared" si="3"/>
        <v>6</v>
      </c>
    </row>
    <row r="199" spans="1:10">
      <c r="A199" s="7">
        <v>7</v>
      </c>
      <c r="B199" s="2">
        <v>171</v>
      </c>
      <c r="C199" t="s">
        <v>1377</v>
      </c>
      <c r="D199" s="17">
        <v>12311</v>
      </c>
      <c r="E199" s="17" t="s">
        <v>103</v>
      </c>
      <c r="F199" t="s">
        <v>983</v>
      </c>
      <c r="G199" s="5">
        <v>4.476851851851852E-2</v>
      </c>
      <c r="H199" s="2">
        <v>173</v>
      </c>
      <c r="I199" s="5">
        <v>2.4768518518518551E-3</v>
      </c>
      <c r="J199">
        <f t="shared" si="3"/>
        <v>7</v>
      </c>
    </row>
    <row r="200" spans="1:10">
      <c r="A200" s="2">
        <v>8</v>
      </c>
      <c r="B200" s="10">
        <v>142</v>
      </c>
      <c r="C200" t="s">
        <v>1379</v>
      </c>
      <c r="D200" s="17">
        <v>10126142117</v>
      </c>
      <c r="E200" s="17" t="s">
        <v>103</v>
      </c>
      <c r="F200" t="s">
        <v>625</v>
      </c>
      <c r="G200" s="5">
        <v>4.6192129629629632E-2</v>
      </c>
      <c r="H200" s="2">
        <v>175</v>
      </c>
      <c r="I200" s="5">
        <v>3.9004629629629667E-3</v>
      </c>
      <c r="J200">
        <f t="shared" si="3"/>
        <v>8</v>
      </c>
    </row>
    <row r="201" spans="1:10">
      <c r="A201" s="2">
        <v>9</v>
      </c>
      <c r="B201" s="10">
        <v>109</v>
      </c>
      <c r="C201" t="s">
        <v>607</v>
      </c>
      <c r="D201" s="17">
        <v>10161160935</v>
      </c>
      <c r="E201" s="17" t="s">
        <v>103</v>
      </c>
      <c r="F201" t="s">
        <v>1378</v>
      </c>
      <c r="G201" s="5">
        <v>4.6307870370370367E-2</v>
      </c>
      <c r="H201" s="2">
        <v>176</v>
      </c>
      <c r="I201" s="5">
        <v>4.0162037037037024E-3</v>
      </c>
      <c r="J201">
        <f t="shared" si="3"/>
        <v>9</v>
      </c>
    </row>
    <row r="202" spans="1:10">
      <c r="A202" s="2">
        <v>10</v>
      </c>
      <c r="B202" s="10">
        <v>107</v>
      </c>
      <c r="C202" t="s">
        <v>1380</v>
      </c>
      <c r="D202" s="17">
        <v>10171946426</v>
      </c>
      <c r="E202" s="17" t="s">
        <v>103</v>
      </c>
      <c r="F202" t="s">
        <v>6</v>
      </c>
      <c r="G202" s="5">
        <v>4.6979166666666669E-2</v>
      </c>
      <c r="H202" s="2">
        <v>177</v>
      </c>
      <c r="I202" s="5">
        <v>4.6875000000000042E-3</v>
      </c>
      <c r="J202">
        <f t="shared" si="3"/>
        <v>10</v>
      </c>
    </row>
    <row r="203" spans="1:10">
      <c r="A203" s="2">
        <v>11</v>
      </c>
      <c r="B203" s="10">
        <v>112</v>
      </c>
      <c r="C203" t="s">
        <v>1041</v>
      </c>
      <c r="D203" s="17">
        <v>10164774385</v>
      </c>
      <c r="E203" s="17" t="s">
        <v>103</v>
      </c>
      <c r="F203" t="s">
        <v>6</v>
      </c>
      <c r="G203" s="5">
        <v>4.7442129629629633E-2</v>
      </c>
      <c r="H203" s="2">
        <v>178</v>
      </c>
      <c r="I203" s="5">
        <v>5.1504629629629678E-3</v>
      </c>
      <c r="J203">
        <f t="shared" si="3"/>
        <v>11</v>
      </c>
    </row>
    <row r="204" spans="1:10">
      <c r="A204" s="2">
        <v>12</v>
      </c>
      <c r="B204" s="10">
        <v>160</v>
      </c>
      <c r="C204" t="s">
        <v>241</v>
      </c>
      <c r="D204" s="17">
        <v>10171940059</v>
      </c>
      <c r="E204" s="17" t="s">
        <v>103</v>
      </c>
      <c r="F204" t="s">
        <v>204</v>
      </c>
      <c r="G204" s="5">
        <v>4.7650462962962964E-2</v>
      </c>
      <c r="H204" s="2">
        <v>180</v>
      </c>
      <c r="I204" s="5">
        <v>5.358796296296299E-3</v>
      </c>
      <c r="J204">
        <f t="shared" si="3"/>
        <v>12</v>
      </c>
    </row>
    <row r="205" spans="1:10">
      <c r="A205" s="2">
        <v>13</v>
      </c>
      <c r="B205" s="10">
        <v>108</v>
      </c>
      <c r="C205" t="s">
        <v>1391</v>
      </c>
      <c r="D205" s="17">
        <v>10152456092</v>
      </c>
      <c r="E205" s="17" t="s">
        <v>103</v>
      </c>
      <c r="F205" t="s">
        <v>983</v>
      </c>
      <c r="G205" s="5">
        <v>4.8171296296296295E-2</v>
      </c>
      <c r="H205" s="2">
        <v>181</v>
      </c>
      <c r="I205" s="5">
        <v>5.8796296296296305E-3</v>
      </c>
      <c r="J205">
        <f t="shared" si="3"/>
        <v>13</v>
      </c>
    </row>
    <row r="206" spans="1:10">
      <c r="A206" s="2">
        <v>14</v>
      </c>
      <c r="B206" s="10">
        <v>118</v>
      </c>
      <c r="C206" t="s">
        <v>1385</v>
      </c>
      <c r="D206" s="17">
        <v>10170820014</v>
      </c>
      <c r="E206" s="17" t="s">
        <v>103</v>
      </c>
      <c r="F206" t="s">
        <v>285</v>
      </c>
      <c r="G206" s="5">
        <v>4.8715277777777781E-2</v>
      </c>
      <c r="H206" s="2">
        <v>182</v>
      </c>
      <c r="I206" s="5">
        <v>6.423611111111116E-3</v>
      </c>
      <c r="J206">
        <f t="shared" si="3"/>
        <v>14</v>
      </c>
    </row>
    <row r="207" spans="1:10">
      <c r="A207" s="2">
        <v>15</v>
      </c>
      <c r="B207" s="10">
        <v>119</v>
      </c>
      <c r="C207" t="s">
        <v>243</v>
      </c>
      <c r="D207" s="17" t="s">
        <v>66</v>
      </c>
      <c r="E207" s="17" t="s">
        <v>103</v>
      </c>
      <c r="F207" t="s">
        <v>84</v>
      </c>
      <c r="G207" s="5">
        <v>4.8865740740740737E-2</v>
      </c>
      <c r="H207" s="2">
        <v>183</v>
      </c>
      <c r="I207" s="5">
        <v>6.5740740740740725E-3</v>
      </c>
      <c r="J207">
        <f t="shared" si="3"/>
        <v>15</v>
      </c>
    </row>
    <row r="208" spans="1:10">
      <c r="A208" s="2">
        <v>16</v>
      </c>
      <c r="B208" s="10">
        <v>170</v>
      </c>
      <c r="C208" t="s">
        <v>1386</v>
      </c>
      <c r="D208" s="17" t="s">
        <v>1387</v>
      </c>
      <c r="E208" s="17" t="s">
        <v>103</v>
      </c>
      <c r="F208" t="s">
        <v>1388</v>
      </c>
      <c r="G208" s="5">
        <v>4.9085648148148149E-2</v>
      </c>
      <c r="H208" s="2">
        <v>184</v>
      </c>
      <c r="I208" s="5">
        <v>6.7939814814814842E-3</v>
      </c>
      <c r="J208">
        <f t="shared" si="3"/>
        <v>16</v>
      </c>
    </row>
    <row r="209" spans="1:10">
      <c r="A209" s="2">
        <v>17</v>
      </c>
      <c r="B209" s="10">
        <v>147</v>
      </c>
      <c r="C209" t="s">
        <v>266</v>
      </c>
      <c r="D209" s="17">
        <v>10173505601</v>
      </c>
      <c r="E209" s="17" t="s">
        <v>103</v>
      </c>
      <c r="F209" t="s">
        <v>115</v>
      </c>
      <c r="G209" s="5">
        <v>4.9907407407407407E-2</v>
      </c>
      <c r="H209" s="2">
        <v>185</v>
      </c>
      <c r="I209" s="5">
        <v>7.6157407407407424E-3</v>
      </c>
      <c r="J209">
        <f t="shared" si="3"/>
        <v>17</v>
      </c>
    </row>
    <row r="210" spans="1:10">
      <c r="A210" s="2">
        <v>18</v>
      </c>
      <c r="B210" s="10">
        <v>163</v>
      </c>
      <c r="C210" t="s">
        <v>225</v>
      </c>
      <c r="D210" s="17">
        <v>11543</v>
      </c>
      <c r="E210" s="17" t="s">
        <v>103</v>
      </c>
      <c r="F210" t="s">
        <v>226</v>
      </c>
      <c r="G210" s="5">
        <v>5.0266203703703702E-2</v>
      </c>
      <c r="H210" s="2">
        <v>186</v>
      </c>
      <c r="I210" s="5">
        <v>7.9745370370370369E-3</v>
      </c>
      <c r="J210">
        <f t="shared" si="3"/>
        <v>18</v>
      </c>
    </row>
    <row r="211" spans="1:10">
      <c r="A211" s="2">
        <v>19</v>
      </c>
      <c r="B211" s="10">
        <v>166</v>
      </c>
      <c r="C211" t="s">
        <v>233</v>
      </c>
      <c r="D211" s="17">
        <v>10131783069</v>
      </c>
      <c r="E211" s="17" t="s">
        <v>103</v>
      </c>
      <c r="F211" t="s">
        <v>84</v>
      </c>
      <c r="G211" s="5">
        <v>5.0543981481481481E-2</v>
      </c>
      <c r="H211" s="2">
        <v>187</v>
      </c>
      <c r="I211" s="5">
        <v>8.2523148148148165E-3</v>
      </c>
      <c r="J211">
        <f t="shared" si="3"/>
        <v>19</v>
      </c>
    </row>
    <row r="212" spans="1:10">
      <c r="A212" s="2">
        <v>20</v>
      </c>
      <c r="B212" s="10">
        <v>114</v>
      </c>
      <c r="C212" t="s">
        <v>1043</v>
      </c>
      <c r="D212" s="17">
        <v>10165016683</v>
      </c>
      <c r="E212" s="17" t="s">
        <v>103</v>
      </c>
      <c r="F212" t="s">
        <v>113</v>
      </c>
      <c r="G212" s="5">
        <v>5.1238425925925923E-2</v>
      </c>
      <c r="H212" s="2">
        <v>188</v>
      </c>
      <c r="I212" s="5">
        <v>8.9467592592592585E-3</v>
      </c>
      <c r="J212">
        <f t="shared" si="3"/>
        <v>20</v>
      </c>
    </row>
    <row r="213" spans="1:10">
      <c r="A213" s="2">
        <v>21</v>
      </c>
      <c r="B213" s="10">
        <v>121</v>
      </c>
      <c r="C213" t="s">
        <v>1048</v>
      </c>
      <c r="D213" s="17">
        <v>10142925440</v>
      </c>
      <c r="E213" s="17" t="s">
        <v>103</v>
      </c>
      <c r="F213" t="s">
        <v>492</v>
      </c>
      <c r="G213" s="5">
        <v>5.1481481481481482E-2</v>
      </c>
      <c r="H213" s="2">
        <v>189</v>
      </c>
      <c r="I213" s="5">
        <v>9.1898148148148173E-3</v>
      </c>
      <c r="J213">
        <f t="shared" si="3"/>
        <v>21</v>
      </c>
    </row>
    <row r="214" spans="1:10">
      <c r="A214" s="2">
        <v>22</v>
      </c>
      <c r="B214" s="10">
        <v>124</v>
      </c>
      <c r="C214" t="s">
        <v>218</v>
      </c>
      <c r="D214" s="17">
        <v>10171656234</v>
      </c>
      <c r="E214" s="17" t="s">
        <v>103</v>
      </c>
      <c r="F214" t="s">
        <v>113</v>
      </c>
      <c r="G214" s="5">
        <v>5.1898148148148152E-2</v>
      </c>
      <c r="H214" s="2">
        <v>190</v>
      </c>
      <c r="I214" s="5">
        <v>9.6064814814814867E-3</v>
      </c>
      <c r="J214">
        <f t="shared" si="3"/>
        <v>22</v>
      </c>
    </row>
    <row r="215" spans="1:10">
      <c r="A215" s="2">
        <v>23</v>
      </c>
      <c r="B215" s="10">
        <v>110</v>
      </c>
      <c r="C215" t="s">
        <v>1381</v>
      </c>
      <c r="D215" s="17">
        <v>10131930286</v>
      </c>
      <c r="E215" s="17" t="s">
        <v>103</v>
      </c>
      <c r="F215" t="s">
        <v>345</v>
      </c>
      <c r="G215" s="5">
        <v>5.2152777777777777E-2</v>
      </c>
      <c r="H215" s="2">
        <v>192</v>
      </c>
      <c r="I215" s="5">
        <v>9.8611111111111122E-3</v>
      </c>
      <c r="J215">
        <f t="shared" si="3"/>
        <v>23</v>
      </c>
    </row>
    <row r="216" spans="1:10">
      <c r="A216" s="2">
        <v>24</v>
      </c>
      <c r="B216" s="10">
        <v>161</v>
      </c>
      <c r="C216" t="s">
        <v>1389</v>
      </c>
      <c r="D216" s="17">
        <v>10152284728</v>
      </c>
      <c r="E216" s="17" t="s">
        <v>103</v>
      </c>
      <c r="F216" t="s">
        <v>1390</v>
      </c>
      <c r="G216" s="5">
        <v>5.5092592592592596E-2</v>
      </c>
      <c r="H216" s="2">
        <v>193</v>
      </c>
      <c r="I216" s="5">
        <v>1.2800925925925931E-2</v>
      </c>
      <c r="J216">
        <f t="shared" si="3"/>
        <v>24</v>
      </c>
    </row>
    <row r="217" spans="1:10">
      <c r="A217" s="2">
        <v>25</v>
      </c>
      <c r="B217" s="10">
        <v>168</v>
      </c>
      <c r="C217" t="s">
        <v>1392</v>
      </c>
      <c r="D217" s="17">
        <v>10168944678</v>
      </c>
      <c r="E217" s="17" t="s">
        <v>103</v>
      </c>
      <c r="F217" t="s">
        <v>109</v>
      </c>
      <c r="G217" s="5" t="s">
        <v>107</v>
      </c>
      <c r="H217" s="2">
        <v>194</v>
      </c>
      <c r="I217" s="5" t="s">
        <v>66</v>
      </c>
      <c r="J217">
        <f t="shared" si="3"/>
        <v>25</v>
      </c>
    </row>
    <row r="218" spans="1:10">
      <c r="A218" s="2">
        <v>26</v>
      </c>
      <c r="B218" s="10">
        <v>122</v>
      </c>
      <c r="C218" t="s">
        <v>261</v>
      </c>
      <c r="D218" s="17">
        <v>10133141372</v>
      </c>
      <c r="E218" s="17" t="s">
        <v>103</v>
      </c>
      <c r="F218" t="s">
        <v>1382</v>
      </c>
      <c r="G218" s="5" t="s">
        <v>107</v>
      </c>
      <c r="H218" s="2">
        <v>195</v>
      </c>
      <c r="I218" s="5" t="s">
        <v>66</v>
      </c>
      <c r="J218">
        <f t="shared" si="3"/>
        <v>26</v>
      </c>
    </row>
    <row r="219" spans="1:10">
      <c r="A219" s="7">
        <v>27</v>
      </c>
      <c r="B219" s="58">
        <v>162</v>
      </c>
      <c r="C219" s="109" t="s">
        <v>611</v>
      </c>
      <c r="D219" s="110">
        <v>10161111728</v>
      </c>
      <c r="E219" s="110" t="s">
        <v>103</v>
      </c>
      <c r="F219" s="109" t="s">
        <v>135</v>
      </c>
      <c r="G219" s="111" t="s">
        <v>107</v>
      </c>
      <c r="H219" s="58">
        <v>196</v>
      </c>
      <c r="I219" s="111" t="s">
        <v>66</v>
      </c>
      <c r="J219">
        <f>A219</f>
        <v>27</v>
      </c>
    </row>
    <row r="220" spans="1:10">
      <c r="A220" s="7">
        <v>28</v>
      </c>
      <c r="B220" s="58">
        <v>169</v>
      </c>
      <c r="C220" s="109" t="s">
        <v>1394</v>
      </c>
      <c r="D220" s="110">
        <v>765065370</v>
      </c>
      <c r="E220" s="110" t="s">
        <v>103</v>
      </c>
      <c r="F220" s="109" t="s">
        <v>1313</v>
      </c>
      <c r="G220" s="111" t="s">
        <v>107</v>
      </c>
      <c r="H220" s="58">
        <v>197</v>
      </c>
      <c r="I220" s="111" t="s">
        <v>66</v>
      </c>
      <c r="J220">
        <f t="shared" ref="J220:J225" si="4">A220</f>
        <v>28</v>
      </c>
    </row>
    <row r="221" spans="1:10" ht="15.75">
      <c r="A221" s="58">
        <v>29</v>
      </c>
      <c r="B221" s="48">
        <v>165</v>
      </c>
      <c r="C221" s="110" t="s">
        <v>1397</v>
      </c>
      <c r="D221" s="110">
        <v>10129953611</v>
      </c>
      <c r="E221" s="110" t="s">
        <v>103</v>
      </c>
      <c r="F221" s="109" t="s">
        <v>726</v>
      </c>
      <c r="G221" s="111" t="s">
        <v>107</v>
      </c>
      <c r="H221" s="58">
        <v>199</v>
      </c>
      <c r="I221" s="111" t="s">
        <v>66</v>
      </c>
      <c r="J221">
        <f t="shared" si="4"/>
        <v>29</v>
      </c>
    </row>
    <row r="222" spans="1:10" ht="15.75">
      <c r="A222" s="58">
        <v>30</v>
      </c>
      <c r="B222" s="48">
        <v>143</v>
      </c>
      <c r="C222" s="110" t="s">
        <v>1393</v>
      </c>
      <c r="D222" s="110">
        <v>10166647596</v>
      </c>
      <c r="E222" s="110" t="s">
        <v>103</v>
      </c>
      <c r="F222" s="109" t="s">
        <v>390</v>
      </c>
      <c r="G222" s="111" t="s">
        <v>104</v>
      </c>
      <c r="H222" s="58">
        <v>201</v>
      </c>
      <c r="I222" s="111" t="s">
        <v>66</v>
      </c>
      <c r="J222">
        <f t="shared" si="4"/>
        <v>30</v>
      </c>
    </row>
    <row r="223" spans="1:10">
      <c r="A223" s="58">
        <v>31</v>
      </c>
      <c r="B223" s="58">
        <v>164</v>
      </c>
      <c r="C223" s="110" t="s">
        <v>1395</v>
      </c>
      <c r="D223" s="110">
        <v>10164035670</v>
      </c>
      <c r="E223" s="110" t="s">
        <v>103</v>
      </c>
      <c r="F223" s="109" t="s">
        <v>155</v>
      </c>
      <c r="G223" s="111" t="s">
        <v>104</v>
      </c>
      <c r="H223" s="58">
        <v>202</v>
      </c>
      <c r="I223" s="111" t="s">
        <v>66</v>
      </c>
      <c r="J223">
        <f t="shared" si="4"/>
        <v>31</v>
      </c>
    </row>
    <row r="224" spans="1:10">
      <c r="A224" s="7"/>
      <c r="B224" s="58">
        <v>167</v>
      </c>
      <c r="C224" s="109" t="s">
        <v>1396</v>
      </c>
      <c r="D224" s="110">
        <v>10152458823</v>
      </c>
      <c r="E224" s="110" t="s">
        <v>103</v>
      </c>
      <c r="F224" s="109" t="s">
        <v>177</v>
      </c>
      <c r="G224" s="111" t="s">
        <v>105</v>
      </c>
      <c r="H224" s="58">
        <v>174</v>
      </c>
      <c r="I224" s="111" t="s">
        <v>66</v>
      </c>
      <c r="J224">
        <f t="shared" si="4"/>
        <v>0</v>
      </c>
    </row>
    <row r="225" spans="1:10">
      <c r="A225" s="7"/>
      <c r="B225" s="58">
        <v>120</v>
      </c>
      <c r="C225" s="109" t="s">
        <v>1383</v>
      </c>
      <c r="D225" s="110" t="s">
        <v>1384</v>
      </c>
      <c r="E225" s="110" t="s">
        <v>103</v>
      </c>
      <c r="F225" s="109" t="s">
        <v>71</v>
      </c>
      <c r="G225" s="111" t="s">
        <v>105</v>
      </c>
      <c r="H225" s="58">
        <v>203</v>
      </c>
      <c r="I225" s="111" t="s">
        <v>66</v>
      </c>
      <c r="J225">
        <f t="shared" si="4"/>
        <v>0</v>
      </c>
    </row>
    <row r="226" spans="1:10">
      <c r="A226" s="2"/>
      <c r="B226" s="10">
        <v>125</v>
      </c>
      <c r="C226" t="s">
        <v>1451</v>
      </c>
      <c r="D226" s="17">
        <v>10171432932</v>
      </c>
      <c r="E226" s="17" t="s">
        <v>103</v>
      </c>
      <c r="F226" t="s">
        <v>1452</v>
      </c>
      <c r="G226" s="5" t="s">
        <v>105</v>
      </c>
      <c r="H226" s="2">
        <v>204</v>
      </c>
      <c r="I226" s="5" t="s">
        <v>66</v>
      </c>
      <c r="J226">
        <f t="shared" ref="J226:J257" si="5">A226</f>
        <v>0</v>
      </c>
    </row>
    <row r="227" spans="1:10">
      <c r="A227" s="2"/>
      <c r="B227" s="10"/>
      <c r="D227" s="17"/>
      <c r="E227" s="17"/>
      <c r="G227" s="5"/>
      <c r="H227" s="2"/>
      <c r="I227" s="5"/>
      <c r="J227">
        <f t="shared" si="5"/>
        <v>0</v>
      </c>
    </row>
    <row r="228" spans="1:10">
      <c r="A228" s="2">
        <v>1</v>
      </c>
      <c r="B228" s="10">
        <v>263</v>
      </c>
      <c r="C228" t="s">
        <v>1402</v>
      </c>
      <c r="D228" s="17">
        <v>10122460056</v>
      </c>
      <c r="E228" s="17" t="s">
        <v>103</v>
      </c>
      <c r="F228" t="s">
        <v>868</v>
      </c>
      <c r="G228" s="5">
        <v>4.1724537037037039E-2</v>
      </c>
      <c r="H228" s="2">
        <v>167</v>
      </c>
      <c r="I228" s="5"/>
      <c r="J228">
        <f t="shared" si="5"/>
        <v>1</v>
      </c>
    </row>
    <row r="229" spans="1:10">
      <c r="A229" s="2">
        <v>2</v>
      </c>
      <c r="B229" s="10">
        <v>264</v>
      </c>
      <c r="C229" t="s">
        <v>269</v>
      </c>
      <c r="D229" s="17">
        <v>10141535916</v>
      </c>
      <c r="E229" s="17" t="s">
        <v>103</v>
      </c>
      <c r="F229" t="s">
        <v>647</v>
      </c>
      <c r="G229" s="5">
        <v>4.3680555555555556E-2</v>
      </c>
      <c r="H229" s="2">
        <v>171</v>
      </c>
      <c r="I229" s="5">
        <v>1.9560185185185167E-3</v>
      </c>
      <c r="J229">
        <f t="shared" si="5"/>
        <v>2</v>
      </c>
    </row>
    <row r="230" spans="1:10">
      <c r="A230" s="2">
        <v>3</v>
      </c>
      <c r="B230" s="10">
        <v>266</v>
      </c>
      <c r="C230" t="s">
        <v>271</v>
      </c>
      <c r="D230" s="17">
        <v>10103913858</v>
      </c>
      <c r="E230" s="17" t="s">
        <v>103</v>
      </c>
      <c r="F230" t="s">
        <v>137</v>
      </c>
      <c r="G230" s="5">
        <v>4.6793981481481485E-2</v>
      </c>
      <c r="H230" s="2">
        <v>179</v>
      </c>
      <c r="I230" s="5">
        <v>5.0694444444444459E-3</v>
      </c>
      <c r="J230">
        <f t="shared" si="5"/>
        <v>3</v>
      </c>
    </row>
    <row r="231" spans="1:10">
      <c r="A231" s="2">
        <v>4</v>
      </c>
      <c r="B231" s="10">
        <v>267</v>
      </c>
      <c r="C231" t="s">
        <v>1453</v>
      </c>
      <c r="D231" s="17" t="s">
        <v>66</v>
      </c>
      <c r="E231" s="17" t="s">
        <v>6</v>
      </c>
      <c r="F231" t="s">
        <v>1454</v>
      </c>
      <c r="G231" s="5">
        <v>5.1319444444444445E-2</v>
      </c>
      <c r="H231" s="2">
        <v>191</v>
      </c>
      <c r="I231" s="5">
        <v>9.5949074074074062E-3</v>
      </c>
      <c r="J231">
        <f t="shared" si="5"/>
        <v>4</v>
      </c>
    </row>
    <row r="232" spans="1:10">
      <c r="A232" s="2">
        <v>5</v>
      </c>
      <c r="B232" s="10">
        <v>265</v>
      </c>
      <c r="C232" t="s">
        <v>1403</v>
      </c>
      <c r="D232" s="17">
        <v>10164933831</v>
      </c>
      <c r="E232" s="17" t="s">
        <v>6</v>
      </c>
      <c r="F232" t="s">
        <v>133</v>
      </c>
      <c r="G232" s="5" t="s">
        <v>107</v>
      </c>
      <c r="H232" s="2">
        <v>200</v>
      </c>
      <c r="I232" s="5" t="s">
        <v>6</v>
      </c>
      <c r="J232">
        <f t="shared" si="5"/>
        <v>5</v>
      </c>
    </row>
    <row r="233" spans="1:10">
      <c r="A233" s="2"/>
      <c r="B233" s="10"/>
      <c r="D233" s="17"/>
      <c r="E233" s="17"/>
      <c r="G233" s="5"/>
      <c r="H233" s="2"/>
      <c r="I233" s="5"/>
      <c r="J233">
        <f t="shared" si="5"/>
        <v>0</v>
      </c>
    </row>
    <row r="234" spans="1:10">
      <c r="A234" s="2">
        <v>1</v>
      </c>
      <c r="B234" s="10">
        <v>307</v>
      </c>
      <c r="C234" t="s">
        <v>280</v>
      </c>
      <c r="D234" s="17">
        <v>10153824200</v>
      </c>
      <c r="E234" s="17" t="s">
        <v>103</v>
      </c>
      <c r="F234" t="s">
        <v>113</v>
      </c>
      <c r="G234" s="5">
        <v>3.2881944444444443E-2</v>
      </c>
      <c r="H234" s="2">
        <v>210</v>
      </c>
      <c r="I234" s="5"/>
      <c r="J234">
        <f t="shared" si="5"/>
        <v>1</v>
      </c>
    </row>
    <row r="235" spans="1:10">
      <c r="A235" s="2">
        <v>2</v>
      </c>
      <c r="B235" s="10">
        <v>321</v>
      </c>
      <c r="C235" t="s">
        <v>1357</v>
      </c>
      <c r="D235" s="17" t="s">
        <v>66</v>
      </c>
      <c r="E235" s="17" t="s">
        <v>103</v>
      </c>
      <c r="F235" t="s">
        <v>71</v>
      </c>
      <c r="G235" s="5">
        <v>3.3275462962962965E-2</v>
      </c>
      <c r="H235" s="2">
        <v>211</v>
      </c>
      <c r="I235" s="5">
        <v>3.9351851851852221E-4</v>
      </c>
      <c r="J235">
        <f t="shared" si="5"/>
        <v>2</v>
      </c>
    </row>
    <row r="236" spans="1:10">
      <c r="A236" s="2">
        <v>3</v>
      </c>
      <c r="B236" s="10">
        <v>346</v>
      </c>
      <c r="C236" t="s">
        <v>682</v>
      </c>
      <c r="D236" s="17">
        <v>10127119086</v>
      </c>
      <c r="E236" s="17" t="s">
        <v>103</v>
      </c>
      <c r="F236" t="s">
        <v>1351</v>
      </c>
      <c r="G236" s="5">
        <v>3.3958333333333333E-2</v>
      </c>
      <c r="H236" s="2">
        <v>213</v>
      </c>
      <c r="I236" s="5">
        <v>1.0763888888888906E-3</v>
      </c>
      <c r="J236">
        <f t="shared" si="5"/>
        <v>3</v>
      </c>
    </row>
    <row r="237" spans="1:10">
      <c r="A237" s="2">
        <v>4</v>
      </c>
      <c r="B237" s="10">
        <v>301</v>
      </c>
      <c r="C237" t="s">
        <v>272</v>
      </c>
      <c r="D237" s="17">
        <v>120760930</v>
      </c>
      <c r="E237" s="17" t="s">
        <v>103</v>
      </c>
      <c r="F237" t="s">
        <v>114</v>
      </c>
      <c r="G237" s="5">
        <v>3.4664351851851849E-2</v>
      </c>
      <c r="H237" s="2">
        <v>214</v>
      </c>
      <c r="I237" s="5">
        <v>1.7824074074074062E-3</v>
      </c>
      <c r="J237">
        <f t="shared" si="5"/>
        <v>4</v>
      </c>
    </row>
    <row r="238" spans="1:10">
      <c r="A238" s="2">
        <v>5</v>
      </c>
      <c r="B238" s="10">
        <v>311</v>
      </c>
      <c r="C238" t="s">
        <v>1352</v>
      </c>
      <c r="D238" s="17">
        <v>10128424344</v>
      </c>
      <c r="E238" s="17" t="s">
        <v>103</v>
      </c>
      <c r="F238" t="s">
        <v>113</v>
      </c>
      <c r="G238" s="5">
        <v>3.4814814814814812E-2</v>
      </c>
      <c r="H238" s="2">
        <v>215</v>
      </c>
      <c r="I238" s="5">
        <v>1.9328703703703695E-3</v>
      </c>
      <c r="J238">
        <f t="shared" si="5"/>
        <v>5</v>
      </c>
    </row>
    <row r="239" spans="1:10">
      <c r="A239" s="2">
        <v>6</v>
      </c>
      <c r="B239" s="10">
        <v>303</v>
      </c>
      <c r="C239" t="s">
        <v>1356</v>
      </c>
      <c r="D239" s="17">
        <v>10152378694</v>
      </c>
      <c r="E239" s="17" t="s">
        <v>103</v>
      </c>
      <c r="F239" t="s">
        <v>759</v>
      </c>
      <c r="G239" s="5">
        <v>3.5034722222222224E-2</v>
      </c>
      <c r="H239" s="2">
        <v>216</v>
      </c>
      <c r="I239" s="5">
        <v>2.1527777777777812E-3</v>
      </c>
      <c r="J239">
        <f t="shared" si="5"/>
        <v>6</v>
      </c>
    </row>
    <row r="240" spans="1:10">
      <c r="A240" s="2">
        <v>7</v>
      </c>
      <c r="B240" s="10">
        <v>302</v>
      </c>
      <c r="C240" t="s">
        <v>976</v>
      </c>
      <c r="D240" s="17">
        <v>10128933895</v>
      </c>
      <c r="E240" s="17" t="s">
        <v>103</v>
      </c>
      <c r="F240" t="s">
        <v>114</v>
      </c>
      <c r="G240" s="5">
        <v>3.5196759259259261E-2</v>
      </c>
      <c r="H240" s="2">
        <v>217</v>
      </c>
      <c r="I240" s="5">
        <v>2.3148148148148182E-3</v>
      </c>
      <c r="J240">
        <f t="shared" si="5"/>
        <v>7</v>
      </c>
    </row>
    <row r="241" spans="1:10">
      <c r="A241" s="2">
        <v>8</v>
      </c>
      <c r="B241" s="10">
        <v>326</v>
      </c>
      <c r="C241" t="s">
        <v>672</v>
      </c>
      <c r="D241" s="17" t="s">
        <v>1354</v>
      </c>
      <c r="E241" s="17" t="s">
        <v>103</v>
      </c>
      <c r="F241" t="s">
        <v>1355</v>
      </c>
      <c r="G241" s="5">
        <v>3.5486111111111114E-2</v>
      </c>
      <c r="H241" s="2">
        <v>218</v>
      </c>
      <c r="I241" s="5">
        <v>2.6041666666666713E-3</v>
      </c>
      <c r="J241">
        <f t="shared" si="5"/>
        <v>8</v>
      </c>
    </row>
    <row r="242" spans="1:10">
      <c r="A242" s="2">
        <v>9</v>
      </c>
      <c r="B242" s="10">
        <v>304</v>
      </c>
      <c r="C242" t="s">
        <v>1365</v>
      </c>
      <c r="D242" s="17">
        <v>10156150681</v>
      </c>
      <c r="E242" s="17" t="s">
        <v>103</v>
      </c>
      <c r="F242" t="s">
        <v>175</v>
      </c>
      <c r="G242" s="5">
        <v>3.5763888888888887E-2</v>
      </c>
      <c r="H242" s="2">
        <v>219</v>
      </c>
      <c r="I242" s="5">
        <v>2.8819444444444439E-3</v>
      </c>
      <c r="J242">
        <f t="shared" si="5"/>
        <v>9</v>
      </c>
    </row>
    <row r="243" spans="1:10">
      <c r="A243" s="58">
        <v>10</v>
      </c>
      <c r="B243" s="2">
        <v>342</v>
      </c>
      <c r="C243" t="s">
        <v>1362</v>
      </c>
      <c r="D243">
        <v>10166012652</v>
      </c>
      <c r="E243" t="s">
        <v>103</v>
      </c>
      <c r="F243" t="s">
        <v>315</v>
      </c>
      <c r="G243">
        <v>3.619212962962963E-2</v>
      </c>
      <c r="H243">
        <v>221</v>
      </c>
      <c r="I243">
        <v>3.3101851851851868E-3</v>
      </c>
      <c r="J243">
        <f t="shared" si="5"/>
        <v>10</v>
      </c>
    </row>
    <row r="244" spans="1:10" ht="15.75">
      <c r="A244" s="2">
        <v>11</v>
      </c>
      <c r="B244" s="40">
        <v>314</v>
      </c>
      <c r="C244" t="s">
        <v>288</v>
      </c>
      <c r="D244" s="17">
        <v>10164592614</v>
      </c>
      <c r="E244" s="17" t="s">
        <v>103</v>
      </c>
      <c r="F244" t="s">
        <v>113</v>
      </c>
      <c r="G244" s="5">
        <v>3.6377314814814814E-2</v>
      </c>
      <c r="H244" s="2">
        <v>222</v>
      </c>
      <c r="I244" s="5">
        <v>3.4953703703703709E-3</v>
      </c>
      <c r="J244">
        <f t="shared" si="5"/>
        <v>11</v>
      </c>
    </row>
    <row r="245" spans="1:10" ht="15.75">
      <c r="A245" s="2">
        <v>12</v>
      </c>
      <c r="B245" s="40">
        <v>332</v>
      </c>
      <c r="C245" t="s">
        <v>313</v>
      </c>
      <c r="D245" s="17">
        <v>10166671242</v>
      </c>
      <c r="E245" s="17" t="s">
        <v>103</v>
      </c>
      <c r="F245" t="s">
        <v>6</v>
      </c>
      <c r="G245" s="5">
        <v>3.7048611111111109E-2</v>
      </c>
      <c r="H245" s="2">
        <v>223</v>
      </c>
      <c r="I245" s="5">
        <v>4.1666666666666657E-3</v>
      </c>
      <c r="J245">
        <f t="shared" si="5"/>
        <v>12</v>
      </c>
    </row>
    <row r="246" spans="1:10">
      <c r="A246" s="3">
        <v>13</v>
      </c>
      <c r="B246" s="3">
        <v>312</v>
      </c>
      <c r="C246" s="4" t="s">
        <v>1369</v>
      </c>
      <c r="D246" s="100">
        <v>10162918251</v>
      </c>
      <c r="E246" s="100" t="s">
        <v>103</v>
      </c>
      <c r="F246" s="4" t="s">
        <v>903</v>
      </c>
      <c r="G246" s="101">
        <v>3.7256944444444447E-2</v>
      </c>
      <c r="H246" s="3">
        <v>224</v>
      </c>
      <c r="I246" s="101">
        <v>4.3750000000000039E-3</v>
      </c>
      <c r="J246">
        <f t="shared" si="5"/>
        <v>13</v>
      </c>
    </row>
    <row r="247" spans="1:10">
      <c r="A247" s="3">
        <v>14</v>
      </c>
      <c r="B247" s="3">
        <v>319</v>
      </c>
      <c r="C247" s="4" t="s">
        <v>293</v>
      </c>
      <c r="D247" s="100" t="s">
        <v>1359</v>
      </c>
      <c r="E247" s="100" t="s">
        <v>103</v>
      </c>
      <c r="F247" s="4" t="s">
        <v>130</v>
      </c>
      <c r="G247" s="101">
        <v>3.7511574074074072E-2</v>
      </c>
      <c r="H247" s="3">
        <v>225</v>
      </c>
      <c r="I247" s="101">
        <v>4.6296296296296294E-3</v>
      </c>
      <c r="J247">
        <f t="shared" si="5"/>
        <v>14</v>
      </c>
    </row>
    <row r="248" spans="1:10">
      <c r="A248" s="3">
        <v>15</v>
      </c>
      <c r="B248" s="105">
        <v>348</v>
      </c>
      <c r="C248" s="4" t="s">
        <v>970</v>
      </c>
      <c r="D248" s="100">
        <v>10165439746</v>
      </c>
      <c r="E248" s="100" t="s">
        <v>103</v>
      </c>
      <c r="F248" s="4" t="s">
        <v>1358</v>
      </c>
      <c r="G248" s="101">
        <v>3.7789351851851852E-2</v>
      </c>
      <c r="H248" s="3">
        <v>227</v>
      </c>
      <c r="I248" s="101">
        <v>4.9074074074074089E-3</v>
      </c>
      <c r="J248">
        <f t="shared" si="5"/>
        <v>15</v>
      </c>
    </row>
    <row r="249" spans="1:10">
      <c r="A249" s="3">
        <v>16</v>
      </c>
      <c r="B249" s="3">
        <v>337</v>
      </c>
      <c r="C249" s="4" t="s">
        <v>322</v>
      </c>
      <c r="D249" s="100">
        <v>10173459020</v>
      </c>
      <c r="E249" s="100" t="s">
        <v>103</v>
      </c>
      <c r="F249" s="4" t="s">
        <v>138</v>
      </c>
      <c r="G249" s="101">
        <v>3.7858796296296293E-2</v>
      </c>
      <c r="H249" s="3">
        <v>228</v>
      </c>
      <c r="I249" s="101">
        <v>4.9768518518518504E-3</v>
      </c>
      <c r="J249">
        <f t="shared" si="5"/>
        <v>16</v>
      </c>
    </row>
    <row r="250" spans="1:10" ht="15.75">
      <c r="A250" s="2">
        <v>17</v>
      </c>
      <c r="B250" s="40">
        <v>343</v>
      </c>
      <c r="C250" t="s">
        <v>678</v>
      </c>
      <c r="D250" s="17" t="s">
        <v>1264</v>
      </c>
      <c r="E250" s="17" t="s">
        <v>103</v>
      </c>
      <c r="F250" t="s">
        <v>112</v>
      </c>
      <c r="G250" s="5">
        <v>3.7974537037037036E-2</v>
      </c>
      <c r="H250" s="2">
        <v>232</v>
      </c>
      <c r="I250" s="5">
        <v>5.092592592592593E-3</v>
      </c>
      <c r="J250">
        <f t="shared" si="5"/>
        <v>17</v>
      </c>
    </row>
    <row r="251" spans="1:10">
      <c r="A251" s="2">
        <v>18</v>
      </c>
      <c r="B251" s="2">
        <v>329</v>
      </c>
      <c r="C251" t="s">
        <v>1364</v>
      </c>
      <c r="D251" s="17">
        <v>10144442579</v>
      </c>
      <c r="E251" s="17" t="s">
        <v>103</v>
      </c>
      <c r="F251" t="s">
        <v>130</v>
      </c>
      <c r="G251" s="5">
        <v>3.7986111111111109E-2</v>
      </c>
      <c r="H251" s="2">
        <v>233</v>
      </c>
      <c r="I251" s="5">
        <v>5.1041666666666666E-3</v>
      </c>
      <c r="J251">
        <f t="shared" si="5"/>
        <v>18</v>
      </c>
    </row>
    <row r="252" spans="1:10">
      <c r="A252" s="2">
        <v>19</v>
      </c>
      <c r="B252" s="2">
        <v>336</v>
      </c>
      <c r="C252" t="s">
        <v>320</v>
      </c>
      <c r="D252" s="17">
        <v>10173205507</v>
      </c>
      <c r="E252" s="17" t="s">
        <v>103</v>
      </c>
      <c r="F252" t="s">
        <v>321</v>
      </c>
      <c r="G252" s="5">
        <v>3.815972222222222E-2</v>
      </c>
      <c r="H252" s="2">
        <v>234</v>
      </c>
      <c r="I252" s="5">
        <v>5.2777777777777771E-3</v>
      </c>
      <c r="J252">
        <f t="shared" si="5"/>
        <v>19</v>
      </c>
    </row>
    <row r="253" spans="1:10" ht="15.75">
      <c r="A253" s="2">
        <v>20</v>
      </c>
      <c r="B253" s="40">
        <v>333</v>
      </c>
      <c r="C253" t="s">
        <v>1360</v>
      </c>
      <c r="D253" s="17" t="s">
        <v>1361</v>
      </c>
      <c r="E253" s="17" t="s">
        <v>103</v>
      </c>
      <c r="F253" t="s">
        <v>71</v>
      </c>
      <c r="G253" s="5">
        <v>3.815972222222222E-2</v>
      </c>
      <c r="H253" s="2">
        <v>234</v>
      </c>
      <c r="I253" s="5">
        <v>5.2777777777777771E-3</v>
      </c>
      <c r="J253">
        <f t="shared" si="5"/>
        <v>20</v>
      </c>
    </row>
    <row r="254" spans="1:10" ht="15.75">
      <c r="A254" s="2">
        <v>21</v>
      </c>
      <c r="B254" s="40">
        <v>327</v>
      </c>
      <c r="C254" t="s">
        <v>1353</v>
      </c>
      <c r="D254" s="17">
        <v>10171445864</v>
      </c>
      <c r="E254" s="17" t="s">
        <v>103</v>
      </c>
      <c r="F254" t="s">
        <v>1184</v>
      </c>
      <c r="G254" s="5">
        <v>3.861111111111111E-2</v>
      </c>
      <c r="H254" s="2">
        <v>233</v>
      </c>
      <c r="I254" s="5">
        <v>5.7291666666666671E-3</v>
      </c>
      <c r="J254">
        <f t="shared" si="5"/>
        <v>21</v>
      </c>
    </row>
    <row r="255" spans="1:10">
      <c r="A255" s="2">
        <v>22</v>
      </c>
      <c r="B255" s="2">
        <v>309</v>
      </c>
      <c r="C255" t="s">
        <v>1367</v>
      </c>
      <c r="D255" s="17" t="s">
        <v>1264</v>
      </c>
      <c r="E255" s="17" t="s">
        <v>103</v>
      </c>
      <c r="F255" t="s">
        <v>1368</v>
      </c>
      <c r="G255" s="5">
        <v>3.8912037037037037E-2</v>
      </c>
      <c r="H255" s="2">
        <v>235</v>
      </c>
      <c r="I255" s="5">
        <v>6.0300925925925938E-3</v>
      </c>
      <c r="J255">
        <f t="shared" si="5"/>
        <v>22</v>
      </c>
    </row>
    <row r="256" spans="1:10" ht="15.75">
      <c r="A256" s="2">
        <v>23</v>
      </c>
      <c r="B256" s="40">
        <v>310</v>
      </c>
      <c r="C256" t="s">
        <v>1363</v>
      </c>
      <c r="D256" s="17">
        <v>10140942495</v>
      </c>
      <c r="E256" s="17" t="s">
        <v>103</v>
      </c>
      <c r="F256" t="s">
        <v>113</v>
      </c>
      <c r="G256" s="5">
        <v>3.8912037037037037E-2</v>
      </c>
      <c r="H256" s="2">
        <v>236</v>
      </c>
      <c r="I256" s="5">
        <v>6.0300925925925938E-3</v>
      </c>
      <c r="J256">
        <f t="shared" si="5"/>
        <v>23</v>
      </c>
    </row>
    <row r="257" spans="1:10">
      <c r="A257" s="2">
        <v>24</v>
      </c>
      <c r="B257" s="2">
        <v>305</v>
      </c>
      <c r="C257" t="s">
        <v>277</v>
      </c>
      <c r="D257" s="17">
        <v>10152909669</v>
      </c>
      <c r="E257" s="17" t="s">
        <v>103</v>
      </c>
      <c r="F257" t="s">
        <v>278</v>
      </c>
      <c r="G257" s="5">
        <v>3.8981481481481478E-2</v>
      </c>
      <c r="H257" s="2">
        <v>237</v>
      </c>
      <c r="I257" s="5">
        <v>6.0995370370370353E-3</v>
      </c>
      <c r="J257">
        <f t="shared" si="5"/>
        <v>24</v>
      </c>
    </row>
    <row r="258" spans="1:10">
      <c r="A258" s="2">
        <v>25</v>
      </c>
      <c r="B258" s="2">
        <v>320</v>
      </c>
      <c r="C258" t="s">
        <v>295</v>
      </c>
      <c r="D258" s="17">
        <v>10136994902</v>
      </c>
      <c r="E258" s="17" t="s">
        <v>103</v>
      </c>
      <c r="F258" t="s">
        <v>381</v>
      </c>
      <c r="G258" s="5">
        <v>3.9375E-2</v>
      </c>
      <c r="H258" s="2">
        <v>238</v>
      </c>
      <c r="I258" s="5">
        <v>6.4930555555555575E-3</v>
      </c>
      <c r="J258">
        <f t="shared" ref="J258:J321" si="6">A258</f>
        <v>25</v>
      </c>
    </row>
    <row r="259" spans="1:10" ht="15.75">
      <c r="A259" s="2">
        <v>26</v>
      </c>
      <c r="B259" s="40">
        <v>341</v>
      </c>
      <c r="C259" t="s">
        <v>973</v>
      </c>
      <c r="D259" s="17">
        <v>209350007</v>
      </c>
      <c r="E259" s="17" t="s">
        <v>103</v>
      </c>
      <c r="F259" t="s">
        <v>65</v>
      </c>
      <c r="G259" s="5">
        <v>3.951388888888889E-2</v>
      </c>
      <c r="H259" s="2">
        <v>239</v>
      </c>
      <c r="I259" s="5">
        <v>6.6319444444444473E-3</v>
      </c>
      <c r="J259">
        <f t="shared" si="6"/>
        <v>26</v>
      </c>
    </row>
    <row r="260" spans="1:10">
      <c r="A260" s="58">
        <v>27</v>
      </c>
      <c r="B260" s="2">
        <v>306</v>
      </c>
      <c r="C260" t="s">
        <v>279</v>
      </c>
      <c r="D260">
        <v>43223</v>
      </c>
      <c r="E260" t="s">
        <v>103</v>
      </c>
      <c r="F260" t="s">
        <v>285</v>
      </c>
      <c r="G260">
        <v>4.0914351851851855E-2</v>
      </c>
      <c r="H260">
        <v>240</v>
      </c>
      <c r="I260">
        <v>8.0324074074074117E-3</v>
      </c>
      <c r="J260">
        <f t="shared" si="6"/>
        <v>27</v>
      </c>
    </row>
    <row r="261" spans="1:10">
      <c r="A261" s="2">
        <v>28</v>
      </c>
      <c r="B261" s="10">
        <v>355</v>
      </c>
      <c r="C261" s="17" t="s">
        <v>1366</v>
      </c>
      <c r="D261" s="17">
        <v>10170089480</v>
      </c>
      <c r="E261" s="17" t="s">
        <v>103</v>
      </c>
      <c r="F261" s="17" t="s">
        <v>943</v>
      </c>
      <c r="G261" s="5">
        <v>4.1655092592592591E-2</v>
      </c>
      <c r="H261" s="2">
        <v>241</v>
      </c>
      <c r="I261" s="5">
        <v>8.773148148148148E-3</v>
      </c>
      <c r="J261">
        <f t="shared" si="6"/>
        <v>28</v>
      </c>
    </row>
    <row r="262" spans="1:10">
      <c r="A262" s="2">
        <v>29</v>
      </c>
      <c r="B262" s="10">
        <v>351</v>
      </c>
      <c r="C262" s="17" t="s">
        <v>1373</v>
      </c>
      <c r="D262" s="17">
        <v>10152378795</v>
      </c>
      <c r="E262" s="17" t="s">
        <v>103</v>
      </c>
      <c r="F262" s="17" t="s">
        <v>65</v>
      </c>
      <c r="G262" s="5" t="s">
        <v>107</v>
      </c>
      <c r="H262" s="2">
        <v>242</v>
      </c>
      <c r="I262" s="5" t="s">
        <v>6</v>
      </c>
      <c r="J262">
        <f t="shared" si="6"/>
        <v>29</v>
      </c>
    </row>
    <row r="263" spans="1:10">
      <c r="A263" s="2">
        <v>30</v>
      </c>
      <c r="B263" s="10">
        <v>352</v>
      </c>
      <c r="C263" s="17" t="s">
        <v>1259</v>
      </c>
      <c r="D263" s="17" t="s">
        <v>66</v>
      </c>
      <c r="E263" s="17" t="s">
        <v>103</v>
      </c>
      <c r="F263" s="17" t="s">
        <v>84</v>
      </c>
      <c r="G263" s="5" t="s">
        <v>107</v>
      </c>
      <c r="H263" s="2">
        <v>243</v>
      </c>
      <c r="I263" s="5" t="s">
        <v>6</v>
      </c>
      <c r="J263">
        <f t="shared" si="6"/>
        <v>30</v>
      </c>
    </row>
    <row r="264" spans="1:10">
      <c r="A264" s="2">
        <v>31</v>
      </c>
      <c r="B264" s="10">
        <v>317</v>
      </c>
      <c r="C264" s="17" t="s">
        <v>291</v>
      </c>
      <c r="D264" s="17" t="s">
        <v>66</v>
      </c>
      <c r="E264" s="17" t="s">
        <v>103</v>
      </c>
      <c r="F264" s="17" t="s">
        <v>84</v>
      </c>
      <c r="G264" s="5" t="s">
        <v>107</v>
      </c>
      <c r="H264" s="2">
        <v>244</v>
      </c>
      <c r="I264" s="5" t="s">
        <v>6</v>
      </c>
      <c r="J264">
        <f t="shared" si="6"/>
        <v>31</v>
      </c>
    </row>
    <row r="265" spans="1:10">
      <c r="A265" s="2">
        <v>32</v>
      </c>
      <c r="B265" s="10">
        <v>353</v>
      </c>
      <c r="C265" s="17" t="s">
        <v>1371</v>
      </c>
      <c r="D265" s="17">
        <v>10162144574</v>
      </c>
      <c r="E265" s="17" t="s">
        <v>103</v>
      </c>
      <c r="F265" s="17" t="s">
        <v>63</v>
      </c>
      <c r="G265" s="5" t="s">
        <v>107</v>
      </c>
      <c r="H265" s="2">
        <v>245</v>
      </c>
      <c r="I265" s="5" t="s">
        <v>6</v>
      </c>
      <c r="J265">
        <f t="shared" si="6"/>
        <v>32</v>
      </c>
    </row>
    <row r="266" spans="1:10">
      <c r="A266" s="2">
        <v>33</v>
      </c>
      <c r="B266" s="10">
        <v>340</v>
      </c>
      <c r="C266" s="17" t="s">
        <v>1370</v>
      </c>
      <c r="D266" s="17">
        <v>10166711557</v>
      </c>
      <c r="E266" s="17" t="s">
        <v>103</v>
      </c>
      <c r="F266" s="17" t="s">
        <v>390</v>
      </c>
      <c r="G266" s="5" t="s">
        <v>107</v>
      </c>
      <c r="H266" s="2">
        <v>246</v>
      </c>
      <c r="I266" s="5" t="s">
        <v>6</v>
      </c>
      <c r="J266">
        <f t="shared" si="6"/>
        <v>33</v>
      </c>
    </row>
    <row r="267" spans="1:10">
      <c r="A267" s="2">
        <v>34</v>
      </c>
      <c r="B267" s="10">
        <v>324</v>
      </c>
      <c r="C267" s="17" t="s">
        <v>670</v>
      </c>
      <c r="D267" s="17">
        <v>10161110819</v>
      </c>
      <c r="E267" s="17" t="s">
        <v>103</v>
      </c>
      <c r="F267" s="17" t="s">
        <v>962</v>
      </c>
      <c r="G267" s="5" t="s">
        <v>107</v>
      </c>
      <c r="H267" s="2">
        <v>247</v>
      </c>
      <c r="I267" s="5" t="s">
        <v>6</v>
      </c>
      <c r="J267">
        <f t="shared" si="6"/>
        <v>34</v>
      </c>
    </row>
    <row r="268" spans="1:10">
      <c r="A268" s="2">
        <v>35</v>
      </c>
      <c r="B268" s="10">
        <v>354</v>
      </c>
      <c r="C268" s="17" t="s">
        <v>1372</v>
      </c>
      <c r="D268" s="17">
        <v>10176535536</v>
      </c>
      <c r="E268" s="17" t="s">
        <v>103</v>
      </c>
      <c r="F268" s="17" t="s">
        <v>131</v>
      </c>
      <c r="G268" s="5" t="s">
        <v>107</v>
      </c>
      <c r="H268" s="2">
        <v>248</v>
      </c>
      <c r="I268" s="5" t="s">
        <v>6</v>
      </c>
      <c r="J268">
        <f t="shared" si="6"/>
        <v>35</v>
      </c>
    </row>
    <row r="269" spans="1:10">
      <c r="A269" s="2">
        <v>36</v>
      </c>
      <c r="B269" s="10">
        <v>356</v>
      </c>
      <c r="C269" s="17" t="s">
        <v>1374</v>
      </c>
      <c r="D269" s="17" t="s">
        <v>1375</v>
      </c>
      <c r="E269" s="17" t="s">
        <v>103</v>
      </c>
      <c r="F269" s="17" t="s">
        <v>131</v>
      </c>
      <c r="G269" s="5" t="s">
        <v>107</v>
      </c>
      <c r="H269" s="2">
        <v>249</v>
      </c>
      <c r="I269" s="5" t="s">
        <v>6</v>
      </c>
      <c r="J269">
        <f t="shared" si="6"/>
        <v>36</v>
      </c>
    </row>
    <row r="270" spans="1:10">
      <c r="A270" s="2"/>
      <c r="B270" s="10">
        <v>316</v>
      </c>
      <c r="C270" s="17" t="s">
        <v>290</v>
      </c>
      <c r="D270" s="17" t="s">
        <v>66</v>
      </c>
      <c r="E270" s="17" t="s">
        <v>103</v>
      </c>
      <c r="F270" s="17" t="s">
        <v>84</v>
      </c>
      <c r="G270" s="5" t="s">
        <v>105</v>
      </c>
      <c r="H270" s="2">
        <v>250</v>
      </c>
      <c r="I270" s="5" t="s">
        <v>6</v>
      </c>
      <c r="J270">
        <f t="shared" si="6"/>
        <v>0</v>
      </c>
    </row>
    <row r="271" spans="1:10">
      <c r="A271" s="2"/>
      <c r="B271" s="10">
        <v>357</v>
      </c>
      <c r="C271" s="17" t="s">
        <v>1455</v>
      </c>
      <c r="D271" s="17" t="s">
        <v>1292</v>
      </c>
      <c r="E271" s="17" t="s">
        <v>103</v>
      </c>
      <c r="F271" s="17" t="s">
        <v>1445</v>
      </c>
      <c r="G271" s="5" t="s">
        <v>105</v>
      </c>
      <c r="H271" s="2">
        <v>251</v>
      </c>
      <c r="I271" s="5" t="s">
        <v>6</v>
      </c>
      <c r="J271">
        <f t="shared" si="6"/>
        <v>0</v>
      </c>
    </row>
    <row r="272" spans="1:10">
      <c r="A272" s="2"/>
      <c r="B272" s="10"/>
      <c r="C272" s="17"/>
      <c r="D272" s="17"/>
      <c r="E272" s="17"/>
      <c r="F272" s="17"/>
      <c r="G272" s="5"/>
      <c r="H272" s="2"/>
      <c r="I272" s="5"/>
      <c r="J272">
        <f t="shared" si="6"/>
        <v>0</v>
      </c>
    </row>
    <row r="273" spans="1:10">
      <c r="A273" s="2">
        <v>1</v>
      </c>
      <c r="B273" s="10">
        <v>382</v>
      </c>
      <c r="C273" s="17" t="s">
        <v>1170</v>
      </c>
      <c r="D273" s="17">
        <v>10128546909</v>
      </c>
      <c r="E273" s="17" t="s">
        <v>103</v>
      </c>
      <c r="F273" s="17" t="s">
        <v>687</v>
      </c>
      <c r="G273" s="5">
        <v>2.6979166666666665E-2</v>
      </c>
      <c r="H273" s="2">
        <v>205</v>
      </c>
      <c r="I273" s="5"/>
      <c r="J273">
        <f t="shared" si="6"/>
        <v>1</v>
      </c>
    </row>
    <row r="274" spans="1:10">
      <c r="A274" s="2">
        <v>2</v>
      </c>
      <c r="B274" s="10">
        <v>381</v>
      </c>
      <c r="C274" s="17" t="s">
        <v>327</v>
      </c>
      <c r="D274" s="17">
        <v>10125653679</v>
      </c>
      <c r="E274" s="17" t="s">
        <v>103</v>
      </c>
      <c r="F274" s="17" t="s">
        <v>100</v>
      </c>
      <c r="G274" s="5">
        <v>2.778935185185185E-2</v>
      </c>
      <c r="H274" s="2">
        <v>206</v>
      </c>
      <c r="I274" s="5">
        <v>8.1018518518518462E-4</v>
      </c>
      <c r="J274">
        <f t="shared" si="6"/>
        <v>2</v>
      </c>
    </row>
    <row r="275" spans="1:10">
      <c r="A275" s="2">
        <v>3</v>
      </c>
      <c r="B275" s="10">
        <v>387</v>
      </c>
      <c r="C275" s="17" t="s">
        <v>1339</v>
      </c>
      <c r="D275" s="17" t="s">
        <v>66</v>
      </c>
      <c r="E275" s="17" t="s">
        <v>103</v>
      </c>
      <c r="F275" s="17" t="s">
        <v>100</v>
      </c>
      <c r="G275" s="5">
        <v>2.8182870370370369E-2</v>
      </c>
      <c r="H275" s="2">
        <v>207</v>
      </c>
      <c r="I275" s="5">
        <v>1.2037037037037034E-3</v>
      </c>
      <c r="J275">
        <f t="shared" si="6"/>
        <v>3</v>
      </c>
    </row>
    <row r="276" spans="1:10">
      <c r="A276" s="2">
        <v>4</v>
      </c>
      <c r="B276" s="10">
        <v>386</v>
      </c>
      <c r="C276" s="17" t="s">
        <v>1340</v>
      </c>
      <c r="D276" s="17">
        <v>10152378391</v>
      </c>
      <c r="E276" s="17" t="s">
        <v>103</v>
      </c>
      <c r="F276" s="17" t="s">
        <v>175</v>
      </c>
      <c r="G276" s="5">
        <v>2.9479166666666664E-2</v>
      </c>
      <c r="H276" s="2">
        <v>208</v>
      </c>
      <c r="I276" s="5">
        <v>2.4999999999999988E-3</v>
      </c>
      <c r="J276">
        <f t="shared" si="6"/>
        <v>4</v>
      </c>
    </row>
    <row r="277" spans="1:10">
      <c r="A277" s="2">
        <v>5</v>
      </c>
      <c r="B277" s="10">
        <v>383</v>
      </c>
      <c r="C277" s="17" t="s">
        <v>329</v>
      </c>
      <c r="D277" s="17">
        <v>10128827401</v>
      </c>
      <c r="E277" s="17" t="s">
        <v>103</v>
      </c>
      <c r="F277" s="17" t="s">
        <v>64</v>
      </c>
      <c r="G277" s="5">
        <v>3.1180555555555555E-2</v>
      </c>
      <c r="H277" s="2">
        <v>209</v>
      </c>
      <c r="I277" s="5">
        <v>4.2013888888888899E-3</v>
      </c>
      <c r="J277">
        <f t="shared" si="6"/>
        <v>5</v>
      </c>
    </row>
    <row r="278" spans="1:10">
      <c r="A278" s="2">
        <v>6</v>
      </c>
      <c r="B278" s="10">
        <v>384</v>
      </c>
      <c r="C278" s="17" t="s">
        <v>1341</v>
      </c>
      <c r="D278" s="17">
        <v>10141538340</v>
      </c>
      <c r="E278" s="17" t="s">
        <v>103</v>
      </c>
      <c r="F278" s="17" t="s">
        <v>1342</v>
      </c>
      <c r="G278" s="5">
        <v>3.2685185185185185E-2</v>
      </c>
      <c r="H278" s="2">
        <v>212</v>
      </c>
      <c r="I278" s="5">
        <v>5.70601851851852E-3</v>
      </c>
      <c r="J278">
        <f t="shared" si="6"/>
        <v>6</v>
      </c>
    </row>
    <row r="279" spans="1:10">
      <c r="A279" s="2">
        <v>7</v>
      </c>
      <c r="B279" s="10">
        <v>388</v>
      </c>
      <c r="C279" s="17" t="s">
        <v>335</v>
      </c>
      <c r="D279" s="17">
        <v>10128284605</v>
      </c>
      <c r="E279" s="17" t="s">
        <v>103</v>
      </c>
      <c r="F279" s="17" t="s">
        <v>1309</v>
      </c>
      <c r="G279" s="5">
        <v>3.5428240740740746E-2</v>
      </c>
      <c r="H279" s="2">
        <v>220</v>
      </c>
      <c r="I279" s="5">
        <v>8.4490740740740811E-3</v>
      </c>
      <c r="J279">
        <f t="shared" si="6"/>
        <v>7</v>
      </c>
    </row>
    <row r="280" spans="1:10">
      <c r="A280" s="2">
        <v>8</v>
      </c>
      <c r="B280" s="10">
        <v>385</v>
      </c>
      <c r="C280" s="17" t="s">
        <v>1173</v>
      </c>
      <c r="D280" s="17" t="s">
        <v>1343</v>
      </c>
      <c r="E280" s="17" t="s">
        <v>103</v>
      </c>
      <c r="F280" s="17" t="s">
        <v>1174</v>
      </c>
      <c r="G280" s="5">
        <v>3.7013888888888895E-2</v>
      </c>
      <c r="H280" s="2">
        <v>226</v>
      </c>
      <c r="I280" s="5">
        <v>1.003472222222223E-2</v>
      </c>
      <c r="J280">
        <f t="shared" si="6"/>
        <v>8</v>
      </c>
    </row>
    <row r="281" spans="1:10">
      <c r="A281" s="2">
        <v>9</v>
      </c>
      <c r="B281" s="10">
        <v>390</v>
      </c>
      <c r="C281" s="17" t="s">
        <v>1344</v>
      </c>
      <c r="D281" s="17">
        <v>10152964031</v>
      </c>
      <c r="E281" s="17" t="s">
        <v>103</v>
      </c>
      <c r="F281" s="17" t="s">
        <v>1345</v>
      </c>
      <c r="G281" s="5">
        <v>3.81712962962963E-2</v>
      </c>
      <c r="H281" s="2">
        <v>234</v>
      </c>
      <c r="I281" s="5">
        <v>1.1192129629629635E-2</v>
      </c>
      <c r="J281">
        <f t="shared" si="6"/>
        <v>9</v>
      </c>
    </row>
    <row r="282" spans="1:10">
      <c r="A282" s="2"/>
      <c r="B282" s="10"/>
      <c r="C282" s="17"/>
      <c r="D282" s="17"/>
      <c r="E282" s="17"/>
      <c r="F282" s="17"/>
      <c r="G282" s="5"/>
      <c r="H282" s="2"/>
      <c r="I282" s="5"/>
      <c r="J282">
        <f t="shared" si="6"/>
        <v>0</v>
      </c>
    </row>
    <row r="283" spans="1:10">
      <c r="A283" s="2"/>
      <c r="B283" s="10"/>
      <c r="C283" s="17"/>
      <c r="D283" s="17"/>
      <c r="E283" s="17"/>
      <c r="F283" s="17"/>
      <c r="G283" s="5"/>
      <c r="H283" s="2"/>
      <c r="I283" s="5"/>
      <c r="J283">
        <f t="shared" si="6"/>
        <v>0</v>
      </c>
    </row>
    <row r="284" spans="1:10">
      <c r="A284" s="2"/>
      <c r="B284" s="10"/>
      <c r="C284" s="17"/>
      <c r="D284" s="17"/>
      <c r="E284" s="17"/>
      <c r="F284" s="17"/>
      <c r="G284" s="5"/>
      <c r="H284" s="2"/>
      <c r="I284" s="5"/>
      <c r="J284">
        <f t="shared" si="6"/>
        <v>0</v>
      </c>
    </row>
    <row r="285" spans="1:10">
      <c r="A285" s="2"/>
      <c r="B285" s="10"/>
      <c r="C285" s="17"/>
      <c r="D285" s="17"/>
      <c r="E285" s="17"/>
      <c r="F285" s="17"/>
      <c r="G285" s="5"/>
      <c r="H285" s="2"/>
      <c r="I285" s="5"/>
      <c r="J285">
        <f t="shared" si="6"/>
        <v>0</v>
      </c>
    </row>
    <row r="286" spans="1:10">
      <c r="A286" s="2"/>
      <c r="B286" s="10"/>
      <c r="C286" s="17"/>
      <c r="D286" s="17"/>
      <c r="E286" s="17"/>
      <c r="F286" s="17"/>
      <c r="G286" s="5"/>
      <c r="H286" s="2"/>
      <c r="I286" s="5"/>
      <c r="J286">
        <f t="shared" si="6"/>
        <v>0</v>
      </c>
    </row>
    <row r="287" spans="1:10">
      <c r="J287">
        <f t="shared" si="6"/>
        <v>0</v>
      </c>
    </row>
    <row r="288" spans="1:10">
      <c r="A288" s="2"/>
      <c r="D288" s="17"/>
      <c r="E288" s="17"/>
      <c r="G288" s="5"/>
      <c r="H288" s="2"/>
      <c r="I288" s="5"/>
      <c r="J288">
        <f t="shared" si="6"/>
        <v>0</v>
      </c>
    </row>
    <row r="289" spans="1:10">
      <c r="A289" s="2"/>
      <c r="D289" s="17"/>
      <c r="E289" s="17"/>
      <c r="G289" s="5"/>
      <c r="H289" s="2"/>
      <c r="I289" s="5"/>
      <c r="J289">
        <f t="shared" si="6"/>
        <v>0</v>
      </c>
    </row>
    <row r="290" spans="1:10">
      <c r="A290" s="2"/>
      <c r="D290" s="17"/>
      <c r="E290" s="17"/>
      <c r="G290" s="5"/>
      <c r="H290" s="2"/>
      <c r="I290" s="5"/>
      <c r="J290">
        <f t="shared" si="6"/>
        <v>0</v>
      </c>
    </row>
    <row r="291" spans="1:10">
      <c r="A291" s="2"/>
      <c r="D291" s="17"/>
      <c r="E291" s="17"/>
      <c r="G291" s="5"/>
      <c r="H291" s="2"/>
      <c r="I291" s="5"/>
      <c r="J291">
        <f t="shared" si="6"/>
        <v>0</v>
      </c>
    </row>
    <row r="292" spans="1:10">
      <c r="A292" s="2"/>
      <c r="D292" s="17"/>
      <c r="E292" s="17"/>
      <c r="G292" s="5"/>
      <c r="H292" s="2"/>
      <c r="I292" s="5"/>
      <c r="J292">
        <f t="shared" si="6"/>
        <v>0</v>
      </c>
    </row>
    <row r="293" spans="1:10">
      <c r="A293" s="2"/>
      <c r="D293" s="17"/>
      <c r="E293" s="17"/>
      <c r="G293" s="5"/>
      <c r="H293" s="2"/>
      <c r="I293" s="5"/>
      <c r="J293">
        <f t="shared" si="6"/>
        <v>0</v>
      </c>
    </row>
    <row r="294" spans="1:10">
      <c r="J294">
        <f t="shared" si="6"/>
        <v>0</v>
      </c>
    </row>
    <row r="295" spans="1:10">
      <c r="A295" s="2"/>
      <c r="D295" s="17"/>
      <c r="E295" s="17"/>
      <c r="G295" s="5"/>
      <c r="H295" s="2"/>
      <c r="I295" s="5"/>
      <c r="J295">
        <f t="shared" si="6"/>
        <v>0</v>
      </c>
    </row>
    <row r="296" spans="1:10">
      <c r="A296" s="2"/>
      <c r="D296" s="17"/>
      <c r="E296" s="17"/>
      <c r="G296" s="5"/>
      <c r="H296" s="2"/>
      <c r="I296" s="5"/>
      <c r="J296">
        <f t="shared" si="6"/>
        <v>0</v>
      </c>
    </row>
    <row r="297" spans="1:10">
      <c r="A297" s="2"/>
      <c r="D297" s="17"/>
      <c r="E297" s="17"/>
      <c r="G297" s="5"/>
      <c r="H297" s="2"/>
      <c r="I297" s="5"/>
      <c r="J297">
        <f t="shared" si="6"/>
        <v>0</v>
      </c>
    </row>
    <row r="298" spans="1:10">
      <c r="A298" s="2"/>
      <c r="D298" s="17"/>
      <c r="E298" s="17"/>
      <c r="G298" s="5"/>
      <c r="H298" s="2"/>
      <c r="I298" s="5"/>
      <c r="J298">
        <f t="shared" si="6"/>
        <v>0</v>
      </c>
    </row>
    <row r="299" spans="1:10">
      <c r="A299" s="2"/>
      <c r="D299" s="17"/>
      <c r="E299" s="17"/>
      <c r="G299" s="5"/>
      <c r="H299" s="2"/>
      <c r="I299" s="5"/>
      <c r="J299">
        <f t="shared" si="6"/>
        <v>0</v>
      </c>
    </row>
    <row r="300" spans="1:10">
      <c r="A300" s="2"/>
      <c r="D300" s="17"/>
      <c r="E300" s="17"/>
      <c r="G300" s="5"/>
      <c r="H300" s="2"/>
      <c r="I300" s="5"/>
      <c r="J300">
        <f t="shared" si="6"/>
        <v>0</v>
      </c>
    </row>
    <row r="301" spans="1:10">
      <c r="A301" s="2"/>
      <c r="D301" s="17"/>
      <c r="E301" s="17"/>
      <c r="G301" s="5"/>
      <c r="H301" s="2"/>
      <c r="I301" s="5"/>
      <c r="J301">
        <f t="shared" si="6"/>
        <v>0</v>
      </c>
    </row>
    <row r="302" spans="1:10">
      <c r="J302">
        <f t="shared" si="6"/>
        <v>0</v>
      </c>
    </row>
    <row r="303" spans="1:10">
      <c r="J303">
        <f t="shared" si="6"/>
        <v>0</v>
      </c>
    </row>
    <row r="304" spans="1:10">
      <c r="J304">
        <f t="shared" si="6"/>
        <v>0</v>
      </c>
    </row>
    <row r="305" spans="10:10">
      <c r="J305">
        <f t="shared" si="6"/>
        <v>0</v>
      </c>
    </row>
    <row r="306" spans="10:10">
      <c r="J306">
        <f t="shared" si="6"/>
        <v>0</v>
      </c>
    </row>
    <row r="307" spans="10:10">
      <c r="J307">
        <f t="shared" si="6"/>
        <v>0</v>
      </c>
    </row>
    <row r="308" spans="10:10">
      <c r="J308">
        <f t="shared" si="6"/>
        <v>0</v>
      </c>
    </row>
    <row r="309" spans="10:10">
      <c r="J309">
        <f t="shared" si="6"/>
        <v>0</v>
      </c>
    </row>
    <row r="310" spans="10:10">
      <c r="J310">
        <f t="shared" si="6"/>
        <v>0</v>
      </c>
    </row>
    <row r="311" spans="10:10">
      <c r="J311">
        <f t="shared" si="6"/>
        <v>0</v>
      </c>
    </row>
    <row r="312" spans="10:10">
      <c r="J312">
        <f t="shared" si="6"/>
        <v>0</v>
      </c>
    </row>
    <row r="313" spans="10:10">
      <c r="J313">
        <f t="shared" si="6"/>
        <v>0</v>
      </c>
    </row>
    <row r="314" spans="10:10">
      <c r="J314">
        <f t="shared" si="6"/>
        <v>0</v>
      </c>
    </row>
    <row r="315" spans="10:10">
      <c r="J315">
        <f t="shared" si="6"/>
        <v>0</v>
      </c>
    </row>
    <row r="316" spans="10:10">
      <c r="J316">
        <f t="shared" si="6"/>
        <v>0</v>
      </c>
    </row>
    <row r="317" spans="10:10">
      <c r="J317">
        <f t="shared" si="6"/>
        <v>0</v>
      </c>
    </row>
    <row r="318" spans="10:10">
      <c r="J318">
        <f t="shared" si="6"/>
        <v>0</v>
      </c>
    </row>
    <row r="319" spans="10:10">
      <c r="J319">
        <f t="shared" si="6"/>
        <v>0</v>
      </c>
    </row>
    <row r="320" spans="10:10">
      <c r="J320">
        <f t="shared" si="6"/>
        <v>0</v>
      </c>
    </row>
    <row r="321" spans="10:10">
      <c r="J321">
        <f t="shared" si="6"/>
        <v>0</v>
      </c>
    </row>
    <row r="322" spans="10:10">
      <c r="J322">
        <f t="shared" ref="J322:J385" si="7">A322</f>
        <v>0</v>
      </c>
    </row>
    <row r="323" spans="10:10">
      <c r="J323">
        <f t="shared" si="7"/>
        <v>0</v>
      </c>
    </row>
    <row r="324" spans="10:10">
      <c r="J324">
        <f t="shared" si="7"/>
        <v>0</v>
      </c>
    </row>
    <row r="325" spans="10:10">
      <c r="J325">
        <f t="shared" si="7"/>
        <v>0</v>
      </c>
    </row>
    <row r="326" spans="10:10">
      <c r="J326">
        <f t="shared" si="7"/>
        <v>0</v>
      </c>
    </row>
    <row r="327" spans="10:10">
      <c r="J327">
        <f t="shared" si="7"/>
        <v>0</v>
      </c>
    </row>
    <row r="328" spans="10:10">
      <c r="J328">
        <f t="shared" si="7"/>
        <v>0</v>
      </c>
    </row>
    <row r="329" spans="10:10">
      <c r="J329">
        <f t="shared" si="7"/>
        <v>0</v>
      </c>
    </row>
    <row r="330" spans="10:10">
      <c r="J330">
        <f t="shared" si="7"/>
        <v>0</v>
      </c>
    </row>
    <row r="331" spans="10:10">
      <c r="J331">
        <f t="shared" si="7"/>
        <v>0</v>
      </c>
    </row>
    <row r="332" spans="10:10">
      <c r="J332">
        <f t="shared" si="7"/>
        <v>0</v>
      </c>
    </row>
    <row r="333" spans="10:10">
      <c r="J333">
        <f t="shared" si="7"/>
        <v>0</v>
      </c>
    </row>
    <row r="334" spans="10:10">
      <c r="J334">
        <f t="shared" si="7"/>
        <v>0</v>
      </c>
    </row>
    <row r="335" spans="10:10">
      <c r="J335">
        <f t="shared" si="7"/>
        <v>0</v>
      </c>
    </row>
    <row r="336" spans="10:10">
      <c r="J336">
        <f t="shared" si="7"/>
        <v>0</v>
      </c>
    </row>
    <row r="337" spans="10:10">
      <c r="J337">
        <f t="shared" si="7"/>
        <v>0</v>
      </c>
    </row>
    <row r="338" spans="10:10">
      <c r="J338">
        <f t="shared" si="7"/>
        <v>0</v>
      </c>
    </row>
    <row r="339" spans="10:10">
      <c r="J339">
        <f t="shared" si="7"/>
        <v>0</v>
      </c>
    </row>
    <row r="340" spans="10:10">
      <c r="J340">
        <f t="shared" si="7"/>
        <v>0</v>
      </c>
    </row>
    <row r="341" spans="10:10">
      <c r="J341">
        <f t="shared" si="7"/>
        <v>0</v>
      </c>
    </row>
    <row r="342" spans="10:10">
      <c r="J342">
        <f t="shared" si="7"/>
        <v>0</v>
      </c>
    </row>
    <row r="343" spans="10:10">
      <c r="J343">
        <f t="shared" si="7"/>
        <v>0</v>
      </c>
    </row>
    <row r="344" spans="10:10">
      <c r="J344">
        <f t="shared" si="7"/>
        <v>0</v>
      </c>
    </row>
    <row r="345" spans="10:10">
      <c r="J345">
        <f t="shared" si="7"/>
        <v>0</v>
      </c>
    </row>
    <row r="346" spans="10:10">
      <c r="J346">
        <f t="shared" si="7"/>
        <v>0</v>
      </c>
    </row>
    <row r="347" spans="10:10">
      <c r="J347">
        <f t="shared" si="7"/>
        <v>0</v>
      </c>
    </row>
    <row r="348" spans="10:10">
      <c r="J348">
        <f t="shared" si="7"/>
        <v>0</v>
      </c>
    </row>
    <row r="349" spans="10:10">
      <c r="J349">
        <f t="shared" si="7"/>
        <v>0</v>
      </c>
    </row>
    <row r="350" spans="10:10">
      <c r="J350">
        <f t="shared" si="7"/>
        <v>0</v>
      </c>
    </row>
    <row r="351" spans="10:10">
      <c r="J351">
        <f t="shared" si="7"/>
        <v>0</v>
      </c>
    </row>
    <row r="352" spans="10:10">
      <c r="J352">
        <f t="shared" si="7"/>
        <v>0</v>
      </c>
    </row>
    <row r="353" spans="10:10">
      <c r="J353">
        <f t="shared" si="7"/>
        <v>0</v>
      </c>
    </row>
    <row r="354" spans="10:10">
      <c r="J354">
        <f t="shared" si="7"/>
        <v>0</v>
      </c>
    </row>
    <row r="355" spans="10:10">
      <c r="J355">
        <f t="shared" si="7"/>
        <v>0</v>
      </c>
    </row>
    <row r="356" spans="10:10">
      <c r="J356">
        <f t="shared" si="7"/>
        <v>0</v>
      </c>
    </row>
    <row r="357" spans="10:10">
      <c r="J357">
        <f t="shared" si="7"/>
        <v>0</v>
      </c>
    </row>
    <row r="358" spans="10:10">
      <c r="J358">
        <f t="shared" si="7"/>
        <v>0</v>
      </c>
    </row>
    <row r="359" spans="10:10">
      <c r="J359">
        <f t="shared" si="7"/>
        <v>0</v>
      </c>
    </row>
    <row r="360" spans="10:10">
      <c r="J360">
        <f t="shared" si="7"/>
        <v>0</v>
      </c>
    </row>
    <row r="361" spans="10:10">
      <c r="J361">
        <f t="shared" si="7"/>
        <v>0</v>
      </c>
    </row>
    <row r="362" spans="10:10">
      <c r="J362">
        <f t="shared" si="7"/>
        <v>0</v>
      </c>
    </row>
    <row r="363" spans="10:10">
      <c r="J363">
        <f t="shared" si="7"/>
        <v>0</v>
      </c>
    </row>
    <row r="364" spans="10:10">
      <c r="J364">
        <f t="shared" si="7"/>
        <v>0</v>
      </c>
    </row>
    <row r="365" spans="10:10">
      <c r="J365">
        <f t="shared" si="7"/>
        <v>0</v>
      </c>
    </row>
    <row r="366" spans="10:10">
      <c r="J366">
        <f t="shared" si="7"/>
        <v>0</v>
      </c>
    </row>
    <row r="367" spans="10:10">
      <c r="J367">
        <f t="shared" si="7"/>
        <v>0</v>
      </c>
    </row>
    <row r="368" spans="10:10">
      <c r="J368">
        <f t="shared" si="7"/>
        <v>0</v>
      </c>
    </row>
    <row r="369" spans="10:10">
      <c r="J369">
        <f t="shared" si="7"/>
        <v>0</v>
      </c>
    </row>
    <row r="370" spans="10:10">
      <c r="J370">
        <f t="shared" si="7"/>
        <v>0</v>
      </c>
    </row>
    <row r="371" spans="10:10">
      <c r="J371">
        <f t="shared" si="7"/>
        <v>0</v>
      </c>
    </row>
    <row r="372" spans="10:10">
      <c r="J372">
        <f t="shared" si="7"/>
        <v>0</v>
      </c>
    </row>
    <row r="373" spans="10:10">
      <c r="J373">
        <f t="shared" si="7"/>
        <v>0</v>
      </c>
    </row>
    <row r="374" spans="10:10">
      <c r="J374">
        <f t="shared" si="7"/>
        <v>0</v>
      </c>
    </row>
    <row r="375" spans="10:10">
      <c r="J375">
        <f t="shared" si="7"/>
        <v>0</v>
      </c>
    </row>
    <row r="376" spans="10:10">
      <c r="J376">
        <f t="shared" si="7"/>
        <v>0</v>
      </c>
    </row>
    <row r="377" spans="10:10">
      <c r="J377">
        <f t="shared" si="7"/>
        <v>0</v>
      </c>
    </row>
    <row r="378" spans="10:10">
      <c r="J378">
        <f t="shared" si="7"/>
        <v>0</v>
      </c>
    </row>
    <row r="379" spans="10:10">
      <c r="J379">
        <f t="shared" si="7"/>
        <v>0</v>
      </c>
    </row>
    <row r="380" spans="10:10">
      <c r="J380">
        <f t="shared" si="7"/>
        <v>0</v>
      </c>
    </row>
    <row r="381" spans="10:10">
      <c r="J381">
        <f t="shared" si="7"/>
        <v>0</v>
      </c>
    </row>
    <row r="382" spans="10:10">
      <c r="J382">
        <f t="shared" si="7"/>
        <v>0</v>
      </c>
    </row>
    <row r="383" spans="10:10">
      <c r="J383">
        <f t="shared" si="7"/>
        <v>0</v>
      </c>
    </row>
    <row r="384" spans="10:10">
      <c r="J384">
        <f t="shared" si="7"/>
        <v>0</v>
      </c>
    </row>
    <row r="385" spans="10:10">
      <c r="J385">
        <f t="shared" si="7"/>
        <v>0</v>
      </c>
    </row>
    <row r="386" spans="10:10">
      <c r="J386">
        <f t="shared" ref="J386:J407" si="8">A386</f>
        <v>0</v>
      </c>
    </row>
    <row r="387" spans="10:10">
      <c r="J387">
        <f t="shared" si="8"/>
        <v>0</v>
      </c>
    </row>
    <row r="388" spans="10:10">
      <c r="J388">
        <f t="shared" si="8"/>
        <v>0</v>
      </c>
    </row>
    <row r="389" spans="10:10">
      <c r="J389">
        <f t="shared" si="8"/>
        <v>0</v>
      </c>
    </row>
    <row r="390" spans="10:10">
      <c r="J390">
        <f t="shared" si="8"/>
        <v>0</v>
      </c>
    </row>
    <row r="391" spans="10:10">
      <c r="J391">
        <f t="shared" si="8"/>
        <v>0</v>
      </c>
    </row>
    <row r="392" spans="10:10">
      <c r="J392">
        <f t="shared" si="8"/>
        <v>0</v>
      </c>
    </row>
    <row r="393" spans="10:10">
      <c r="J393">
        <f t="shared" si="8"/>
        <v>0</v>
      </c>
    </row>
    <row r="394" spans="10:10">
      <c r="J394">
        <f t="shared" si="8"/>
        <v>0</v>
      </c>
    </row>
    <row r="395" spans="10:10">
      <c r="J395">
        <f t="shared" si="8"/>
        <v>0</v>
      </c>
    </row>
    <row r="396" spans="10:10">
      <c r="J396">
        <f t="shared" si="8"/>
        <v>0</v>
      </c>
    </row>
    <row r="397" spans="10:10">
      <c r="J397">
        <f t="shared" si="8"/>
        <v>0</v>
      </c>
    </row>
    <row r="398" spans="10:10">
      <c r="J398">
        <f t="shared" si="8"/>
        <v>0</v>
      </c>
    </row>
    <row r="399" spans="10:10">
      <c r="J399">
        <f t="shared" si="8"/>
        <v>0</v>
      </c>
    </row>
    <row r="400" spans="10:10">
      <c r="J400">
        <f t="shared" si="8"/>
        <v>0</v>
      </c>
    </row>
    <row r="401" spans="10:10">
      <c r="J401">
        <f t="shared" si="8"/>
        <v>0</v>
      </c>
    </row>
    <row r="402" spans="10:10">
      <c r="J402">
        <f t="shared" si="8"/>
        <v>0</v>
      </c>
    </row>
    <row r="403" spans="10:10">
      <c r="J403">
        <f t="shared" si="8"/>
        <v>0</v>
      </c>
    </row>
    <row r="404" spans="10:10">
      <c r="J404">
        <f t="shared" si="8"/>
        <v>0</v>
      </c>
    </row>
    <row r="405" spans="10:10">
      <c r="J405">
        <f t="shared" si="8"/>
        <v>0</v>
      </c>
    </row>
    <row r="406" spans="10:10">
      <c r="J406">
        <f t="shared" si="8"/>
        <v>0</v>
      </c>
    </row>
    <row r="407" spans="10:10">
      <c r="J407">
        <f t="shared" si="8"/>
        <v>0</v>
      </c>
    </row>
  </sheetData>
  <conditionalFormatting sqref="B20:B21">
    <cfRule type="duplicateValues" dxfId="35" priority="37"/>
  </conditionalFormatting>
  <conditionalFormatting sqref="B28">
    <cfRule type="duplicateValues" dxfId="34" priority="35" stopIfTrue="1"/>
  </conditionalFormatting>
  <conditionalFormatting sqref="B142:B153 B190 B199">
    <cfRule type="duplicateValues" dxfId="33" priority="34"/>
  </conditionalFormatting>
  <conditionalFormatting sqref="B41 B43 B45 B47 B49:B50">
    <cfRule type="duplicateValues" dxfId="32" priority="31"/>
  </conditionalFormatting>
  <conditionalFormatting sqref="B89 B91 B93 B95">
    <cfRule type="duplicateValues" dxfId="31" priority="27"/>
  </conditionalFormatting>
  <conditionalFormatting sqref="B88 B90 B92 B94 B96">
    <cfRule type="duplicateValues" dxfId="30" priority="28"/>
  </conditionalFormatting>
  <conditionalFormatting sqref="B98">
    <cfRule type="duplicateValues" dxfId="29" priority="26"/>
  </conditionalFormatting>
  <conditionalFormatting sqref="B107:B112">
    <cfRule type="duplicateValues" dxfId="28" priority="24"/>
  </conditionalFormatting>
  <conditionalFormatting sqref="A107:A112">
    <cfRule type="duplicateValues" dxfId="27" priority="25"/>
  </conditionalFormatting>
  <conditionalFormatting sqref="A114:A116">
    <cfRule type="duplicateValues" dxfId="26" priority="23"/>
  </conditionalFormatting>
  <conditionalFormatting sqref="A125:A141">
    <cfRule type="duplicateValues" dxfId="25" priority="22"/>
  </conditionalFormatting>
  <conditionalFormatting sqref="B125:B141">
    <cfRule type="duplicateValues" dxfId="24" priority="21"/>
  </conditionalFormatting>
  <conditionalFormatting sqref="B154:B162 B186:B189">
    <cfRule type="duplicateValues" dxfId="23" priority="20"/>
  </conditionalFormatting>
  <conditionalFormatting sqref="B200:B218 B226:B242">
    <cfRule type="duplicateValues" dxfId="22" priority="19"/>
  </conditionalFormatting>
  <conditionalFormatting sqref="B244:B245">
    <cfRule type="duplicateValues" dxfId="21" priority="18"/>
  </conditionalFormatting>
  <conditionalFormatting sqref="B250 B252 B254 B256 B258">
    <cfRule type="duplicateValues" dxfId="20" priority="17"/>
  </conditionalFormatting>
  <conditionalFormatting sqref="B278 B284:B286">
    <cfRule type="duplicateValues" dxfId="19" priority="16"/>
  </conditionalFormatting>
  <conditionalFormatting sqref="B270">
    <cfRule type="duplicateValues" dxfId="18" priority="15"/>
  </conditionalFormatting>
  <conditionalFormatting sqref="B279">
    <cfRule type="duplicateValues" dxfId="17" priority="14"/>
  </conditionalFormatting>
  <conditionalFormatting sqref="B77 B79 B81 B83 B85 B87">
    <cfRule type="duplicateValues" dxfId="16" priority="12"/>
  </conditionalFormatting>
  <conditionalFormatting sqref="B76 B78 B80 B82 B84 B86">
    <cfRule type="duplicateValues" dxfId="15" priority="13"/>
  </conditionalFormatting>
  <conditionalFormatting sqref="B180">
    <cfRule type="duplicateValues" dxfId="14" priority="11"/>
  </conditionalFormatting>
  <conditionalFormatting sqref="B172">
    <cfRule type="duplicateValues" dxfId="13" priority="10"/>
  </conditionalFormatting>
  <conditionalFormatting sqref="B181">
    <cfRule type="duplicateValues" dxfId="12" priority="9"/>
  </conditionalFormatting>
  <conditionalFormatting sqref="B246:B249">
    <cfRule type="duplicateValues" dxfId="11" priority="8"/>
  </conditionalFormatting>
  <conditionalFormatting sqref="A117:A124">
    <cfRule type="duplicateValues" dxfId="10" priority="7"/>
  </conditionalFormatting>
  <conditionalFormatting sqref="B117:B124">
    <cfRule type="duplicateValues" dxfId="9" priority="6"/>
  </conditionalFormatting>
  <conditionalFormatting sqref="B219:B220 B224:B225">
    <cfRule type="duplicateValues" dxfId="8" priority="5"/>
  </conditionalFormatting>
  <conditionalFormatting sqref="B221 B223">
    <cfRule type="duplicateValues" dxfId="7" priority="4"/>
  </conditionalFormatting>
  <conditionalFormatting sqref="B222">
    <cfRule type="duplicateValues" dxfId="6" priority="3"/>
  </conditionalFormatting>
  <conditionalFormatting sqref="B61 B63:B64 B66:B67 B69:B75">
    <cfRule type="duplicateValues" dxfId="5" priority="1"/>
  </conditionalFormatting>
  <conditionalFormatting sqref="B60 B62 B65 B68">
    <cfRule type="duplicateValues" dxfId="4" priority="2"/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/>
  <dimension ref="A1:J265"/>
  <sheetViews>
    <sheetView workbookViewId="0">
      <selection activeCell="C1" sqref="C1"/>
    </sheetView>
  </sheetViews>
  <sheetFormatPr baseColWidth="10" defaultRowHeight="15"/>
  <cols>
    <col min="1" max="2" width="11.42578125" style="109"/>
    <col min="3" max="3" width="24.85546875" style="109" customWidth="1"/>
    <col min="4" max="4" width="11.85546875" style="109" bestFit="1" customWidth="1"/>
    <col min="5" max="5" width="11.85546875" style="109" customWidth="1"/>
    <col min="6" max="6" width="33.140625" style="109" bestFit="1" customWidth="1"/>
    <col min="7" max="9" width="11.42578125" style="109"/>
  </cols>
  <sheetData>
    <row r="1" spans="1:10">
      <c r="A1" s="49" t="s">
        <v>74</v>
      </c>
      <c r="B1" s="49" t="s">
        <v>75</v>
      </c>
      <c r="C1" s="50" t="s">
        <v>76</v>
      </c>
      <c r="D1" s="50" t="s">
        <v>48</v>
      </c>
      <c r="E1" s="50" t="s">
        <v>95</v>
      </c>
      <c r="F1" s="50" t="s">
        <v>77</v>
      </c>
      <c r="G1" s="49" t="s">
        <v>78</v>
      </c>
      <c r="H1" s="49" t="s">
        <v>79</v>
      </c>
      <c r="I1" s="49" t="s">
        <v>80</v>
      </c>
    </row>
    <row r="2" spans="1:10">
      <c r="A2" s="7">
        <v>1</v>
      </c>
      <c r="B2" s="7">
        <v>708</v>
      </c>
      <c r="C2" s="109" t="s">
        <v>766</v>
      </c>
      <c r="D2" s="110">
        <v>10056033143</v>
      </c>
      <c r="E2" s="110" t="s">
        <v>103</v>
      </c>
      <c r="F2" s="109" t="s">
        <v>868</v>
      </c>
      <c r="G2" s="111">
        <v>1.3182870370370371E-2</v>
      </c>
      <c r="H2" s="58">
        <v>1</v>
      </c>
      <c r="I2" s="111"/>
      <c r="J2">
        <f t="shared" ref="J2:J65" si="0">A2</f>
        <v>1</v>
      </c>
    </row>
    <row r="3" spans="1:10">
      <c r="A3" s="7">
        <v>2</v>
      </c>
      <c r="B3" s="7">
        <v>713</v>
      </c>
      <c r="C3" s="109" t="s">
        <v>771</v>
      </c>
      <c r="D3" s="110">
        <v>10006255268</v>
      </c>
      <c r="E3" s="110" t="s">
        <v>103</v>
      </c>
      <c r="F3" s="109" t="s">
        <v>100</v>
      </c>
      <c r="G3" s="111">
        <v>1.361111111111111E-2</v>
      </c>
      <c r="H3" s="58">
        <v>2</v>
      </c>
      <c r="I3" s="111">
        <v>4.2824074074073945E-4</v>
      </c>
      <c r="J3">
        <f t="shared" si="0"/>
        <v>2</v>
      </c>
    </row>
    <row r="4" spans="1:10">
      <c r="A4" s="7">
        <v>3</v>
      </c>
      <c r="B4" s="7">
        <v>701</v>
      </c>
      <c r="C4" s="109" t="s">
        <v>1263</v>
      </c>
      <c r="D4" s="110">
        <v>10079383568</v>
      </c>
      <c r="E4" s="110" t="s">
        <v>103</v>
      </c>
      <c r="F4" s="109" t="s">
        <v>156</v>
      </c>
      <c r="G4" s="111">
        <v>1.3888888888888888E-2</v>
      </c>
      <c r="H4" s="58">
        <v>3</v>
      </c>
      <c r="I4" s="111">
        <v>7.0601851851851728E-4</v>
      </c>
      <c r="J4">
        <f t="shared" si="0"/>
        <v>3</v>
      </c>
    </row>
    <row r="5" spans="1:10">
      <c r="A5" s="7">
        <v>4</v>
      </c>
      <c r="B5" s="7">
        <v>702</v>
      </c>
      <c r="C5" s="109" t="s">
        <v>396</v>
      </c>
      <c r="D5" s="110" t="s">
        <v>66</v>
      </c>
      <c r="E5" s="110" t="s">
        <v>103</v>
      </c>
      <c r="F5" s="109" t="s">
        <v>767</v>
      </c>
      <c r="G5" s="111">
        <v>1.480324074074074E-2</v>
      </c>
      <c r="H5" s="58">
        <v>8</v>
      </c>
      <c r="I5" s="111">
        <v>1.6203703703703692E-3</v>
      </c>
      <c r="J5">
        <f t="shared" si="0"/>
        <v>4</v>
      </c>
    </row>
    <row r="6" spans="1:10" ht="15.75">
      <c r="A6" s="7">
        <v>5</v>
      </c>
      <c r="B6" s="21">
        <v>720</v>
      </c>
      <c r="C6" s="109" t="s">
        <v>516</v>
      </c>
      <c r="D6" s="110" t="s">
        <v>66</v>
      </c>
      <c r="E6" s="110" t="s">
        <v>103</v>
      </c>
      <c r="F6" s="109" t="s">
        <v>517</v>
      </c>
      <c r="G6" s="111" t="s">
        <v>1154</v>
      </c>
      <c r="H6" s="58">
        <v>16</v>
      </c>
      <c r="I6" s="111" t="s">
        <v>6</v>
      </c>
      <c r="J6">
        <f t="shared" si="0"/>
        <v>5</v>
      </c>
    </row>
    <row r="7" spans="1:10">
      <c r="A7" s="102"/>
      <c r="B7" s="22"/>
      <c r="C7" s="4"/>
      <c r="D7" s="100"/>
      <c r="E7" s="100"/>
      <c r="F7" s="100"/>
      <c r="G7" s="101"/>
      <c r="H7" s="3"/>
      <c r="I7" s="101"/>
      <c r="J7">
        <f t="shared" si="0"/>
        <v>0</v>
      </c>
    </row>
    <row r="8" spans="1:10">
      <c r="A8" s="103">
        <v>1</v>
      </c>
      <c r="B8" s="22">
        <v>752</v>
      </c>
      <c r="C8" s="4" t="s">
        <v>882</v>
      </c>
      <c r="D8" s="100">
        <v>10001352223</v>
      </c>
      <c r="E8" s="100" t="s">
        <v>103</v>
      </c>
      <c r="F8" s="100" t="s">
        <v>883</v>
      </c>
      <c r="G8" s="101">
        <v>1.3703703703703704E-2</v>
      </c>
      <c r="H8" s="3">
        <v>4</v>
      </c>
      <c r="I8" s="101"/>
      <c r="J8">
        <f t="shared" si="0"/>
        <v>1</v>
      </c>
    </row>
    <row r="9" spans="1:10">
      <c r="A9" s="102">
        <v>2</v>
      </c>
      <c r="B9" s="22">
        <v>774</v>
      </c>
      <c r="C9" s="4" t="s">
        <v>1251</v>
      </c>
      <c r="D9" s="100" t="s">
        <v>1264</v>
      </c>
      <c r="E9" s="100" t="s">
        <v>103</v>
      </c>
      <c r="F9" s="100" t="s">
        <v>100</v>
      </c>
      <c r="G9" s="101">
        <v>1.3946759259259259E-2</v>
      </c>
      <c r="H9" s="3">
        <v>5</v>
      </c>
      <c r="I9" s="101">
        <v>2.4305555555555539E-4</v>
      </c>
      <c r="J9">
        <f t="shared" si="0"/>
        <v>2</v>
      </c>
    </row>
    <row r="10" spans="1:10">
      <c r="A10" s="103">
        <v>3</v>
      </c>
      <c r="B10" s="22">
        <v>751</v>
      </c>
      <c r="C10" s="4" t="s">
        <v>119</v>
      </c>
      <c r="D10" s="100">
        <v>10127988349</v>
      </c>
      <c r="E10" s="100" t="s">
        <v>103</v>
      </c>
      <c r="F10" s="100" t="s">
        <v>100</v>
      </c>
      <c r="G10" s="101">
        <v>1.4027777777777778E-2</v>
      </c>
      <c r="H10" s="3">
        <v>6</v>
      </c>
      <c r="I10" s="101">
        <v>3.2407407407407385E-4</v>
      </c>
      <c r="J10">
        <f t="shared" si="0"/>
        <v>3</v>
      </c>
    </row>
    <row r="11" spans="1:10">
      <c r="A11" s="7">
        <v>4</v>
      </c>
      <c r="B11" s="58">
        <v>758</v>
      </c>
      <c r="C11" s="109" t="s">
        <v>1199</v>
      </c>
      <c r="D11" s="110">
        <v>10140636745</v>
      </c>
      <c r="E11" s="110" t="s">
        <v>103</v>
      </c>
      <c r="F11" s="109" t="s">
        <v>129</v>
      </c>
      <c r="G11" s="111">
        <v>1.4328703703703703E-2</v>
      </c>
      <c r="H11" s="58">
        <v>7</v>
      </c>
      <c r="I11" s="111">
        <v>6.2499999999999882E-4</v>
      </c>
      <c r="J11">
        <f t="shared" si="0"/>
        <v>4</v>
      </c>
    </row>
    <row r="12" spans="1:10">
      <c r="A12" s="7">
        <v>5</v>
      </c>
      <c r="B12" s="7">
        <v>763</v>
      </c>
      <c r="C12" s="109" t="s">
        <v>426</v>
      </c>
      <c r="D12" s="110">
        <v>10103825447</v>
      </c>
      <c r="E12" s="110" t="s">
        <v>103</v>
      </c>
      <c r="F12" s="109" t="s">
        <v>427</v>
      </c>
      <c r="G12" s="111">
        <v>2.1608796296296296E-2</v>
      </c>
      <c r="H12" s="58">
        <v>9</v>
      </c>
      <c r="I12" s="111">
        <v>7.905092592592592E-3</v>
      </c>
      <c r="J12">
        <f t="shared" si="0"/>
        <v>5</v>
      </c>
    </row>
    <row r="13" spans="1:10" ht="15.75">
      <c r="A13" s="7">
        <v>6</v>
      </c>
      <c r="B13" s="21">
        <v>754</v>
      </c>
      <c r="C13" s="109" t="s">
        <v>1265</v>
      </c>
      <c r="D13" s="110">
        <v>10055096788</v>
      </c>
      <c r="E13" s="110" t="s">
        <v>103</v>
      </c>
      <c r="F13" s="109" t="s">
        <v>1266</v>
      </c>
      <c r="G13" s="111" t="s">
        <v>107</v>
      </c>
      <c r="H13" s="58">
        <v>15</v>
      </c>
      <c r="I13" s="111" t="s">
        <v>6</v>
      </c>
      <c r="J13">
        <f t="shared" si="0"/>
        <v>6</v>
      </c>
    </row>
    <row r="14" spans="1:10">
      <c r="A14" s="7"/>
      <c r="B14" s="7">
        <v>775</v>
      </c>
      <c r="C14" s="109" t="s">
        <v>1267</v>
      </c>
      <c r="D14" s="110" t="s">
        <v>1268</v>
      </c>
      <c r="E14" s="110" t="s">
        <v>103</v>
      </c>
      <c r="F14" s="109" t="s">
        <v>406</v>
      </c>
      <c r="G14" s="111" t="s">
        <v>105</v>
      </c>
      <c r="H14" s="58">
        <v>17</v>
      </c>
      <c r="I14" s="111" t="s">
        <v>6</v>
      </c>
      <c r="J14">
        <f t="shared" si="0"/>
        <v>0</v>
      </c>
    </row>
    <row r="15" spans="1:10">
      <c r="A15" s="7"/>
      <c r="B15" s="7">
        <v>760</v>
      </c>
      <c r="C15" s="109" t="s">
        <v>775</v>
      </c>
      <c r="D15" s="110">
        <v>10112138246</v>
      </c>
      <c r="E15" s="110" t="s">
        <v>103</v>
      </c>
      <c r="F15" s="109" t="s">
        <v>1269</v>
      </c>
      <c r="G15" s="111" t="s">
        <v>105</v>
      </c>
      <c r="H15" s="58">
        <v>18</v>
      </c>
      <c r="I15" s="111" t="s">
        <v>6</v>
      </c>
      <c r="J15">
        <f t="shared" si="0"/>
        <v>0</v>
      </c>
    </row>
    <row r="16" spans="1:10" ht="15.75">
      <c r="A16" s="7"/>
      <c r="B16" s="40">
        <v>761</v>
      </c>
      <c r="C16" s="109" t="s">
        <v>87</v>
      </c>
      <c r="D16" s="110">
        <v>10126504047</v>
      </c>
      <c r="E16" s="110" t="s">
        <v>6</v>
      </c>
      <c r="F16" s="109" t="s">
        <v>1270</v>
      </c>
      <c r="G16" s="111" t="s">
        <v>105</v>
      </c>
      <c r="H16" s="58">
        <v>19</v>
      </c>
      <c r="I16" s="111" t="s">
        <v>6</v>
      </c>
      <c r="J16">
        <f t="shared" si="0"/>
        <v>0</v>
      </c>
    </row>
    <row r="17" spans="1:10" ht="15.75">
      <c r="A17" s="7"/>
      <c r="B17" s="21"/>
      <c r="D17" s="110"/>
      <c r="E17" s="110"/>
      <c r="G17" s="111"/>
      <c r="H17" s="58"/>
      <c r="I17" s="111"/>
      <c r="J17">
        <f t="shared" si="0"/>
        <v>0</v>
      </c>
    </row>
    <row r="18" spans="1:10">
      <c r="A18" s="3">
        <v>1</v>
      </c>
      <c r="B18" s="22">
        <v>618</v>
      </c>
      <c r="C18" s="4" t="str">
        <f>IFERROR(VLOOKUP(B18,[1]Planilla!$A$2:$F$616,2,FALSE),"")</f>
        <v xml:space="preserve">ZAMORA  José David </v>
      </c>
      <c r="D18" s="100">
        <f>IFERROR(IF(IFERROR(VLOOKUP(B18,[1]Planilla!$A$2:$F$616,3,FALSE),"")=0,"",(VLOOKUP(B18,[1]Planilla!$A$2:$F$616,3,FALSE))),"")</f>
        <v>10127815668</v>
      </c>
      <c r="E18" s="100" t="str">
        <f>IFERROR(IF(IFERROR(VLOOKUP(B18,[1]Planilla!$A$2:$K$614,4,FALSE),"")=0,"",(VLOOKUP(B18,[1]Planilla!$A$2:$K$614,4,FALSE))),"")</f>
        <v>CRC</v>
      </c>
      <c r="F18" s="4" t="str">
        <f>IFERROR(IF(IFERROR(VLOOKUP(B18,[1]Planilla!$A$2:$F$616,5,FALSE),"")=0," ",VLOOKUP(B18,[1]Planilla!$A$2:$F$616,5,FALSE)),"")</f>
        <v>VEINTE24</v>
      </c>
      <c r="G18" s="101">
        <f>IFERROR(VLOOKUP(B18,[1]RegManual!$A$6:$E$1017,3,FALSE),IFERROR(VLOOKUP(B18,[1]Crono!$A$7:$C$1018,3,FALSE),""))</f>
        <v>1.4409722222222223E-2</v>
      </c>
      <c r="H18" s="3">
        <f>IFERROR(VLOOKUP(B18,[1]RegManual!$A$6:$E$1017,4,FALSE),IFERROR(VLOOKUP(B18,[1]Crono!$A$7:$I$1018,9,FALSE),""))</f>
        <v>10</v>
      </c>
      <c r="I18" s="101"/>
      <c r="J18">
        <f t="shared" si="0"/>
        <v>1</v>
      </c>
    </row>
    <row r="19" spans="1:10">
      <c r="A19" s="3">
        <v>2</v>
      </c>
      <c r="B19" s="22">
        <v>614</v>
      </c>
      <c r="C19" s="4" t="str">
        <f>IFERROR(VLOOKUP(B19,[1]Planilla!$A$2:$F$616,2,FALSE),"")</f>
        <v>MENESES Jose</v>
      </c>
      <c r="D19" s="100">
        <f>IFERROR(IF(IFERROR(VLOOKUP(B19,[1]Planilla!$A$2:$F$616,3,FALSE),"")=0,"",(VLOOKUP(B19,[1]Planilla!$A$2:$F$616,3,FALSE))),"")</f>
        <v>10153041631</v>
      </c>
      <c r="E19" s="100" t="str">
        <f>IFERROR(IF(IFERROR(VLOOKUP(B19,[1]Planilla!$A$2:$K$614,4,FALSE),"")=0,"",(VLOOKUP(B19,[1]Planilla!$A$2:$K$614,4,FALSE))),"")</f>
        <v>CRC</v>
      </c>
      <c r="F19" s="4" t="str">
        <f>IFERROR(IF(IFERROR(VLOOKUP(B19,[1]Planilla!$A$2:$F$616,5,FALSE),"")=0," ",VLOOKUP(B19,[1]Planilla!$A$2:$F$616,5,FALSE)),"")</f>
        <v>STYM</v>
      </c>
      <c r="G19" s="101">
        <f>IFERROR(VLOOKUP(B19,[1]RegManual!$A$6:$E$1017,3,FALSE),IFERROR(VLOOKUP(B19,[1]Crono!$A$7:$C$1018,3,FALSE),""))</f>
        <v>1.457175925925926E-2</v>
      </c>
      <c r="H19" s="3">
        <f>IFERROR(VLOOKUP(B19,[1]RegManual!$A$6:$E$1017,4,FALSE),IFERROR(VLOOKUP(B19,[1]Crono!$A$7:$I$1018,9,FALSE),""))</f>
        <v>11</v>
      </c>
      <c r="I19" s="101" t="str">
        <f>IFERROR(+G19-$G$14,"")</f>
        <v/>
      </c>
      <c r="J19">
        <f t="shared" si="0"/>
        <v>2</v>
      </c>
    </row>
    <row r="20" spans="1:10">
      <c r="A20" s="3">
        <v>3</v>
      </c>
      <c r="B20" s="22">
        <v>609</v>
      </c>
      <c r="C20" s="4" t="str">
        <f>IFERROR(VLOOKUP(B20,[1]Planilla!$A$2:$F$616,2,FALSE),"")</f>
        <v>SANDI Kendall</v>
      </c>
      <c r="D20" s="100">
        <f>IFERROR(IF(IFERROR(VLOOKUP(B20,[1]Planilla!$A$2:$F$616,3,FALSE),"")=0,"",(VLOOKUP(B20,[1]Planilla!$A$2:$F$616,3,FALSE))),"")</f>
        <v>10063635620</v>
      </c>
      <c r="E20" s="100" t="str">
        <f>IFERROR(IF(IFERROR(VLOOKUP(B20,[1]Planilla!$A$2:$K$614,4,FALSE),"")=0,"",(VLOOKUP(B20,[1]Planilla!$A$2:$K$614,4,FALSE))),"")</f>
        <v>CRC</v>
      </c>
      <c r="F20" s="4" t="str">
        <f>IFERROR(IF(IFERROR(VLOOKUP(B20,[1]Planilla!$A$2:$F$616,5,FALSE),"")=0," ",VLOOKUP(B20,[1]Planilla!$A$2:$F$616,5,FALSE)),"")</f>
        <v xml:space="preserve">TEAM POWERCYCLING </v>
      </c>
      <c r="G20" s="101">
        <f>IFERROR(VLOOKUP(B20,[1]RegManual!$A$6:$E$1017,3,FALSE),IFERROR(VLOOKUP(B20,[1]Crono!$A$7:$C$1018,3,FALSE),""))</f>
        <v>1.4583333333333334E-2</v>
      </c>
      <c r="H20" s="3">
        <f>IFERROR(VLOOKUP(B20,[1]RegManual!$A$6:$E$1017,4,FALSE),IFERROR(VLOOKUP(B20,[1]Crono!$A$7:$I$1018,9,FALSE),""))</f>
        <v>12</v>
      </c>
      <c r="I20" s="101" t="str">
        <f t="shared" ref="I20:I22" si="1">IFERROR(+G20-$G$14,"")</f>
        <v/>
      </c>
      <c r="J20">
        <f t="shared" si="0"/>
        <v>3</v>
      </c>
    </row>
    <row r="21" spans="1:10">
      <c r="A21" s="3">
        <v>4</v>
      </c>
      <c r="B21" s="22">
        <v>602</v>
      </c>
      <c r="C21" s="4" t="str">
        <f>IFERROR(VLOOKUP(B21,[1]Planilla!$A$2:$F$616,2,FALSE),"")</f>
        <v>MARIN Daniel</v>
      </c>
      <c r="D21" s="100" t="str">
        <f>IFERROR(IF(IFERROR(VLOOKUP(B21,[1]Planilla!$A$2:$F$616,3,FALSE),"")=0,"",(VLOOKUP(B21,[1]Planilla!$A$2:$F$616,3,FALSE))),"")</f>
        <v>LD</v>
      </c>
      <c r="E21" s="100" t="str">
        <f>IFERROR(IF(IFERROR(VLOOKUP(B21,[1]Planilla!$A$2:$K$614,4,FALSE),"")=0,"",(VLOOKUP(B21,[1]Planilla!$A$2:$K$614,4,FALSE))),"")</f>
        <v>CRC</v>
      </c>
      <c r="F21" s="4" t="str">
        <f>IFERROR(IF(IFERROR(VLOOKUP(B21,[1]Planilla!$A$2:$F$616,5,FALSE),"")=0," ",VLOOKUP(B21,[1]Planilla!$A$2:$F$616,5,FALSE)),"")</f>
        <v>BIKE BROS CYCLING</v>
      </c>
      <c r="G21" s="101" t="str">
        <f>IFERROR(VLOOKUP(B21,[1]RegManual!$A$6:$E$1017,3,FALSE),IFERROR(VLOOKUP(B21,[1]Crono!$A$7:$C$1018,3,FALSE),""))</f>
        <v xml:space="preserve"> -1 LAP</v>
      </c>
      <c r="H21" s="3">
        <f>IFERROR(VLOOKUP(B21,[1]RegManual!$A$6:$E$1017,4,FALSE),IFERROR(VLOOKUP(B21,[1]Crono!$A$7:$I$1018,9,FALSE),""))</f>
        <v>13</v>
      </c>
      <c r="I21" s="101" t="str">
        <f t="shared" si="1"/>
        <v/>
      </c>
      <c r="J21">
        <f t="shared" si="0"/>
        <v>4</v>
      </c>
    </row>
    <row r="22" spans="1:10">
      <c r="A22" s="3">
        <v>5</v>
      </c>
      <c r="B22" s="22">
        <v>622</v>
      </c>
      <c r="C22" s="4" t="str">
        <f>IFERROR(VLOOKUP(B22,[1]Planilla!$A$2:$F$616,2,FALSE),"")</f>
        <v xml:space="preserve">MORENO  Carlos </v>
      </c>
      <c r="D22" s="100" t="str">
        <f>IFERROR(IF(IFERROR(VLOOKUP(B22,[1]Planilla!$A$2:$F$616,3,FALSE),"")=0,"",(VLOOKUP(B22,[1]Planilla!$A$2:$F$616,3,FALSE))),"")</f>
        <v>*LD</v>
      </c>
      <c r="E22" s="100" t="str">
        <f>IFERROR(IF(IFERROR(VLOOKUP(B22,[1]Planilla!$A$2:$K$614,4,FALSE),"")=0,"",(VLOOKUP(B22,[1]Planilla!$A$2:$K$614,4,FALSE))),"")</f>
        <v>CRC</v>
      </c>
      <c r="F22" s="4" t="str">
        <f>IFERROR(IF(IFERROR(VLOOKUP(B22,[1]Planilla!$A$2:$F$616,5,FALSE),"")=0," ",VLOOKUP(B22,[1]Planilla!$A$2:$F$616,5,FALSE)),"")</f>
        <v xml:space="preserve">NUMUCOACHING </v>
      </c>
      <c r="G22" s="101" t="str">
        <f>IFERROR(VLOOKUP(B22,[1]RegManual!$A$6:$E$1017,3,FALSE),IFERROR(VLOOKUP(B22,[1]Crono!$A$7:$C$1018,3,FALSE),""))</f>
        <v xml:space="preserve"> -1 LAP</v>
      </c>
      <c r="H22" s="3">
        <f>IFERROR(VLOOKUP(B22,[1]RegManual!$A$6:$E$1017,4,FALSE),IFERROR(VLOOKUP(B22,[1]Crono!$A$7:$I$1018,9,FALSE),""))</f>
        <v>14</v>
      </c>
      <c r="I22" s="101" t="str">
        <f t="shared" si="1"/>
        <v/>
      </c>
      <c r="J22">
        <f t="shared" si="0"/>
        <v>5</v>
      </c>
    </row>
    <row r="23" spans="1:10">
      <c r="A23" s="7"/>
      <c r="B23" s="7"/>
      <c r="D23" s="110"/>
      <c r="E23" s="110"/>
      <c r="G23" s="111"/>
      <c r="H23" s="58"/>
      <c r="I23" s="111"/>
      <c r="J23">
        <f t="shared" si="0"/>
        <v>0</v>
      </c>
    </row>
    <row r="24" spans="1:10" ht="15.75">
      <c r="A24" s="7">
        <v>1</v>
      </c>
      <c r="B24" s="40">
        <v>802</v>
      </c>
      <c r="C24" s="109" t="s">
        <v>433</v>
      </c>
      <c r="D24" s="110">
        <v>10075677966</v>
      </c>
      <c r="E24" s="110" t="s">
        <v>103</v>
      </c>
      <c r="F24" s="109" t="s">
        <v>434</v>
      </c>
      <c r="G24" s="111">
        <v>1.2430555555555556E-2</v>
      </c>
      <c r="H24" s="58">
        <v>20</v>
      </c>
      <c r="I24" s="111"/>
      <c r="J24">
        <f t="shared" si="0"/>
        <v>1</v>
      </c>
    </row>
    <row r="25" spans="1:10" ht="15.75">
      <c r="A25" s="7">
        <v>2</v>
      </c>
      <c r="B25" s="21">
        <v>820</v>
      </c>
      <c r="C25" s="109" t="s">
        <v>1271</v>
      </c>
      <c r="D25" s="110">
        <v>10094103118</v>
      </c>
      <c r="E25" s="110" t="s">
        <v>103</v>
      </c>
      <c r="F25" s="109" t="s">
        <v>1272</v>
      </c>
      <c r="G25" s="111">
        <v>1.2638888888888889E-2</v>
      </c>
      <c r="H25" s="58">
        <v>23</v>
      </c>
      <c r="I25" s="111">
        <v>2.0833333333333294E-4</v>
      </c>
      <c r="J25">
        <f t="shared" si="0"/>
        <v>2</v>
      </c>
    </row>
    <row r="26" spans="1:10" ht="15.75">
      <c r="A26" s="7">
        <v>3</v>
      </c>
      <c r="B26" s="40">
        <v>816</v>
      </c>
      <c r="C26" s="109" t="s">
        <v>1273</v>
      </c>
      <c r="D26" s="110">
        <v>10111595349</v>
      </c>
      <c r="E26" s="110" t="s">
        <v>103</v>
      </c>
      <c r="F26" s="109" t="s">
        <v>1274</v>
      </c>
      <c r="G26" s="111">
        <v>1.2662037037037038E-2</v>
      </c>
      <c r="H26" s="58">
        <v>24</v>
      </c>
      <c r="I26" s="111">
        <v>2.3148148148148182E-4</v>
      </c>
      <c r="J26">
        <f t="shared" si="0"/>
        <v>3</v>
      </c>
    </row>
    <row r="27" spans="1:10" ht="15.75">
      <c r="A27" s="7">
        <v>4</v>
      </c>
      <c r="B27" s="21">
        <v>813</v>
      </c>
      <c r="C27" s="109" t="s">
        <v>1275</v>
      </c>
      <c r="D27" s="110">
        <v>10051209819</v>
      </c>
      <c r="E27" s="110" t="s">
        <v>103</v>
      </c>
      <c r="F27" s="109" t="s">
        <v>1276</v>
      </c>
      <c r="G27" s="111">
        <v>1.3402777777777777E-2</v>
      </c>
      <c r="H27" s="58">
        <v>31</v>
      </c>
      <c r="I27" s="111">
        <v>9.7222222222222154E-4</v>
      </c>
      <c r="J27">
        <f t="shared" si="0"/>
        <v>4</v>
      </c>
    </row>
    <row r="28" spans="1:10" ht="15.75">
      <c r="A28" s="7">
        <v>5</v>
      </c>
      <c r="B28" s="40">
        <v>825</v>
      </c>
      <c r="C28" s="109" t="s">
        <v>1277</v>
      </c>
      <c r="D28" s="110">
        <v>10111579585</v>
      </c>
      <c r="E28" s="110" t="s">
        <v>103</v>
      </c>
      <c r="F28" s="109" t="s">
        <v>1278</v>
      </c>
      <c r="G28" s="111">
        <v>1.3495370370370371E-2</v>
      </c>
      <c r="H28" s="58">
        <v>33</v>
      </c>
      <c r="I28" s="111">
        <v>1.0648148148148153E-3</v>
      </c>
      <c r="J28">
        <f t="shared" si="0"/>
        <v>5</v>
      </c>
    </row>
    <row r="29" spans="1:10" ht="15.75">
      <c r="A29" s="7">
        <v>6</v>
      </c>
      <c r="B29" s="40">
        <v>801</v>
      </c>
      <c r="C29" s="109" t="s">
        <v>120</v>
      </c>
      <c r="D29" s="110">
        <v>10102979628</v>
      </c>
      <c r="E29" s="110" t="s">
        <v>103</v>
      </c>
      <c r="F29" s="109" t="s">
        <v>1279</v>
      </c>
      <c r="G29" s="111">
        <v>1.3541666666666667E-2</v>
      </c>
      <c r="H29" s="58">
        <v>34</v>
      </c>
      <c r="I29" s="111">
        <v>1.1111111111111113E-3</v>
      </c>
      <c r="J29">
        <f t="shared" si="0"/>
        <v>6</v>
      </c>
    </row>
    <row r="30" spans="1:10" ht="15.75">
      <c r="A30" s="7">
        <v>7</v>
      </c>
      <c r="B30" s="40">
        <v>811</v>
      </c>
      <c r="C30" s="109" t="s">
        <v>443</v>
      </c>
      <c r="D30" s="110" t="s">
        <v>1280</v>
      </c>
      <c r="E30" s="110" t="s">
        <v>103</v>
      </c>
      <c r="F30" s="109" t="s">
        <v>399</v>
      </c>
      <c r="G30" s="111">
        <v>1.3657407407407408E-2</v>
      </c>
      <c r="H30" s="58">
        <v>35</v>
      </c>
      <c r="I30" s="111">
        <v>1.2268518518518522E-3</v>
      </c>
      <c r="J30">
        <f t="shared" si="0"/>
        <v>7</v>
      </c>
    </row>
    <row r="31" spans="1:10">
      <c r="A31" s="7">
        <v>8</v>
      </c>
      <c r="B31" s="7">
        <v>814</v>
      </c>
      <c r="C31" s="109" t="s">
        <v>88</v>
      </c>
      <c r="D31" s="110">
        <v>10114540513</v>
      </c>
      <c r="E31" s="110" t="s">
        <v>103</v>
      </c>
      <c r="F31" s="109" t="s">
        <v>89</v>
      </c>
      <c r="G31" s="111">
        <v>1.3715277777777778E-2</v>
      </c>
      <c r="H31" s="58">
        <v>36</v>
      </c>
      <c r="I31" s="111">
        <v>1.2847222222222218E-3</v>
      </c>
      <c r="J31">
        <f t="shared" si="0"/>
        <v>8</v>
      </c>
    </row>
    <row r="32" spans="1:10">
      <c r="A32" s="7">
        <v>9</v>
      </c>
      <c r="B32" s="7">
        <v>805</v>
      </c>
      <c r="C32" s="109" t="s">
        <v>1281</v>
      </c>
      <c r="D32" s="110">
        <v>10122661938</v>
      </c>
      <c r="E32" s="110" t="s">
        <v>103</v>
      </c>
      <c r="F32" s="109" t="s">
        <v>6</v>
      </c>
      <c r="G32" s="111" t="s">
        <v>104</v>
      </c>
      <c r="H32" s="58">
        <v>54</v>
      </c>
      <c r="I32" s="111"/>
      <c r="J32">
        <f t="shared" si="0"/>
        <v>9</v>
      </c>
    </row>
    <row r="33" spans="1:10" ht="15.75">
      <c r="A33" s="7"/>
      <c r="B33" s="40"/>
      <c r="D33" s="110"/>
      <c r="E33" s="110"/>
      <c r="G33" s="111"/>
      <c r="H33" s="58"/>
      <c r="I33" s="111"/>
      <c r="J33">
        <f t="shared" si="0"/>
        <v>0</v>
      </c>
    </row>
    <row r="34" spans="1:10">
      <c r="A34" s="7">
        <v>1</v>
      </c>
      <c r="B34" s="7">
        <v>875</v>
      </c>
      <c r="C34" s="109" t="s">
        <v>1282</v>
      </c>
      <c r="D34" s="110">
        <v>10075035948</v>
      </c>
      <c r="E34" s="110" t="s">
        <v>103</v>
      </c>
      <c r="F34" s="109" t="s">
        <v>1283</v>
      </c>
      <c r="G34" s="111">
        <v>1.1921296296296296E-2</v>
      </c>
      <c r="H34" s="58">
        <v>39</v>
      </c>
      <c r="I34" s="111"/>
      <c r="J34">
        <f t="shared" si="0"/>
        <v>1</v>
      </c>
    </row>
    <row r="35" spans="1:10" ht="15.75">
      <c r="A35" s="7">
        <v>2</v>
      </c>
      <c r="B35" s="21">
        <v>852</v>
      </c>
      <c r="C35" s="109" t="s">
        <v>123</v>
      </c>
      <c r="D35" s="110">
        <v>10007726234</v>
      </c>
      <c r="E35" s="110" t="s">
        <v>103</v>
      </c>
      <c r="F35" s="109" t="s">
        <v>124</v>
      </c>
      <c r="G35" s="111">
        <v>1.2256944444444444E-2</v>
      </c>
      <c r="H35" s="58">
        <v>21</v>
      </c>
      <c r="I35" s="111">
        <v>3.3564814814814742E-4</v>
      </c>
      <c r="J35">
        <f t="shared" si="0"/>
        <v>2</v>
      </c>
    </row>
    <row r="36" spans="1:10" ht="15.75">
      <c r="A36" s="7">
        <v>3</v>
      </c>
      <c r="B36" s="21">
        <v>851</v>
      </c>
      <c r="C36" s="109" t="s">
        <v>920</v>
      </c>
      <c r="D36" s="110">
        <v>10060932451</v>
      </c>
      <c r="E36" s="110" t="s">
        <v>103</v>
      </c>
      <c r="F36" s="109" t="s">
        <v>121</v>
      </c>
      <c r="G36" s="111">
        <v>1.2268518518518519E-2</v>
      </c>
      <c r="H36" s="58">
        <v>22</v>
      </c>
      <c r="I36" s="111">
        <v>3.4722222222222272E-4</v>
      </c>
      <c r="J36">
        <f t="shared" si="0"/>
        <v>3</v>
      </c>
    </row>
    <row r="37" spans="1:10" ht="15.75">
      <c r="A37" s="7">
        <v>4</v>
      </c>
      <c r="B37" s="21">
        <v>868</v>
      </c>
      <c r="C37" s="109" t="s">
        <v>802</v>
      </c>
      <c r="D37" s="110">
        <v>10074930662</v>
      </c>
      <c r="E37" s="110" t="s">
        <v>103</v>
      </c>
      <c r="F37" s="109" t="s">
        <v>434</v>
      </c>
      <c r="G37" s="111">
        <v>1.2326388888888888E-2</v>
      </c>
      <c r="H37" s="58">
        <v>25</v>
      </c>
      <c r="I37" s="111">
        <v>4.0509259259259231E-4</v>
      </c>
      <c r="J37">
        <f t="shared" si="0"/>
        <v>4</v>
      </c>
    </row>
    <row r="38" spans="1:10">
      <c r="A38" s="7">
        <v>5</v>
      </c>
      <c r="B38" s="7">
        <v>870</v>
      </c>
      <c r="C38" s="109" t="s">
        <v>912</v>
      </c>
      <c r="D38" s="110">
        <v>10089830468</v>
      </c>
      <c r="E38" s="110" t="s">
        <v>103</v>
      </c>
      <c r="F38" s="109" t="s">
        <v>624</v>
      </c>
      <c r="G38" s="111">
        <v>1.2523148148148148E-2</v>
      </c>
      <c r="H38" s="58">
        <v>26</v>
      </c>
      <c r="I38" s="111">
        <v>6.0185185185185168E-4</v>
      </c>
      <c r="J38">
        <f t="shared" si="0"/>
        <v>5</v>
      </c>
    </row>
    <row r="39" spans="1:10">
      <c r="A39" s="7">
        <v>6</v>
      </c>
      <c r="B39" s="7">
        <v>859</v>
      </c>
      <c r="C39" s="109" t="s">
        <v>801</v>
      </c>
      <c r="D39" s="110">
        <v>10051462726</v>
      </c>
      <c r="E39" s="110" t="s">
        <v>103</v>
      </c>
      <c r="F39" s="109" t="s">
        <v>464</v>
      </c>
      <c r="G39" s="111">
        <v>1.2662037037037036E-2</v>
      </c>
      <c r="H39" s="58">
        <v>27</v>
      </c>
      <c r="I39" s="111">
        <v>7.4074074074073973E-4</v>
      </c>
      <c r="J39">
        <f t="shared" si="0"/>
        <v>6</v>
      </c>
    </row>
    <row r="40" spans="1:10">
      <c r="A40" s="58">
        <v>7</v>
      </c>
      <c r="B40" s="109">
        <v>853</v>
      </c>
      <c r="C40" s="109" t="s">
        <v>803</v>
      </c>
      <c r="D40" s="109">
        <v>10122227054</v>
      </c>
      <c r="E40" s="109" t="s">
        <v>103</v>
      </c>
      <c r="F40" s="109" t="s">
        <v>100</v>
      </c>
      <c r="G40" s="111">
        <v>1.2708333333333334E-2</v>
      </c>
      <c r="H40" s="109">
        <v>28</v>
      </c>
      <c r="I40" s="109">
        <v>7.8703703703703748E-4</v>
      </c>
      <c r="J40">
        <f t="shared" si="0"/>
        <v>7</v>
      </c>
    </row>
    <row r="41" spans="1:10">
      <c r="A41" s="58">
        <v>8</v>
      </c>
      <c r="B41" s="109">
        <v>862</v>
      </c>
      <c r="C41" s="109" t="s">
        <v>147</v>
      </c>
      <c r="D41" s="109">
        <v>10120760132</v>
      </c>
      <c r="E41" s="109" t="s">
        <v>103</v>
      </c>
      <c r="F41" s="109" t="s">
        <v>122</v>
      </c>
      <c r="G41" s="111">
        <v>1.3125E-2</v>
      </c>
      <c r="H41" s="109">
        <v>32</v>
      </c>
      <c r="I41" s="109">
        <v>1.2037037037037034E-3</v>
      </c>
      <c r="J41">
        <f t="shared" si="0"/>
        <v>8</v>
      </c>
    </row>
    <row r="42" spans="1:10">
      <c r="A42" s="58">
        <v>9</v>
      </c>
      <c r="B42" s="109">
        <v>860</v>
      </c>
      <c r="C42" s="109" t="s">
        <v>1284</v>
      </c>
      <c r="D42" s="109">
        <v>10061984903</v>
      </c>
      <c r="E42" s="109" t="s">
        <v>103</v>
      </c>
      <c r="F42" s="109" t="s">
        <v>1285</v>
      </c>
      <c r="G42" s="111">
        <v>1.3587962962962963E-2</v>
      </c>
      <c r="H42" s="109">
        <v>38</v>
      </c>
      <c r="I42" s="109">
        <v>1.666666666666667E-3</v>
      </c>
      <c r="J42">
        <f t="shared" si="0"/>
        <v>9</v>
      </c>
    </row>
    <row r="43" spans="1:10">
      <c r="A43" s="58">
        <v>10</v>
      </c>
      <c r="B43" s="109">
        <v>873</v>
      </c>
      <c r="C43" s="109" t="s">
        <v>1286</v>
      </c>
      <c r="D43" s="109">
        <v>10092276585</v>
      </c>
      <c r="E43" s="109" t="s">
        <v>103</v>
      </c>
      <c r="F43" s="109" t="s">
        <v>1287</v>
      </c>
      <c r="G43" s="111">
        <v>1.3854166666666666E-2</v>
      </c>
      <c r="H43" s="109">
        <v>41</v>
      </c>
      <c r="I43" s="109">
        <v>1.9328703703703695E-3</v>
      </c>
      <c r="J43">
        <f t="shared" si="0"/>
        <v>10</v>
      </c>
    </row>
    <row r="44" spans="1:10">
      <c r="A44" s="58">
        <v>11</v>
      </c>
      <c r="B44" s="109">
        <v>865</v>
      </c>
      <c r="C44" s="109" t="s">
        <v>1288</v>
      </c>
      <c r="D44" s="109">
        <v>10138850531</v>
      </c>
      <c r="E44" s="109" t="s">
        <v>103</v>
      </c>
      <c r="F44" s="109" t="s">
        <v>1289</v>
      </c>
      <c r="G44" s="111">
        <v>9.7187499999999996E-2</v>
      </c>
      <c r="H44" s="109">
        <v>42</v>
      </c>
      <c r="I44" s="109">
        <v>8.5266203703703705E-2</v>
      </c>
      <c r="J44">
        <f t="shared" si="0"/>
        <v>11</v>
      </c>
    </row>
    <row r="45" spans="1:10">
      <c r="A45" s="58">
        <v>12</v>
      </c>
      <c r="B45" s="109">
        <v>858</v>
      </c>
      <c r="C45" s="109" t="s">
        <v>1290</v>
      </c>
      <c r="D45" s="109" t="s">
        <v>1264</v>
      </c>
      <c r="E45" s="109" t="s">
        <v>103</v>
      </c>
      <c r="F45" s="109" t="s">
        <v>1291</v>
      </c>
      <c r="G45" s="111" t="s">
        <v>107</v>
      </c>
      <c r="H45" s="109">
        <v>52</v>
      </c>
      <c r="I45" s="109" t="s">
        <v>6</v>
      </c>
      <c r="J45">
        <f t="shared" si="0"/>
        <v>12</v>
      </c>
    </row>
    <row r="46" spans="1:10">
      <c r="A46" s="58">
        <v>13</v>
      </c>
      <c r="B46" s="109">
        <v>855</v>
      </c>
      <c r="C46" s="109" t="s">
        <v>455</v>
      </c>
      <c r="D46" s="109">
        <v>10059069243</v>
      </c>
      <c r="E46" s="109" t="s">
        <v>103</v>
      </c>
      <c r="F46" s="109" t="s">
        <v>115</v>
      </c>
      <c r="G46" s="111" t="s">
        <v>104</v>
      </c>
      <c r="H46" s="109">
        <v>56</v>
      </c>
      <c r="I46" s="109" t="s">
        <v>6</v>
      </c>
      <c r="J46">
        <f t="shared" si="0"/>
        <v>13</v>
      </c>
    </row>
    <row r="47" spans="1:10">
      <c r="A47" s="58">
        <v>14</v>
      </c>
      <c r="B47" s="109">
        <v>863</v>
      </c>
      <c r="C47" s="109" t="s">
        <v>919</v>
      </c>
      <c r="D47" s="109" t="s">
        <v>1292</v>
      </c>
      <c r="E47" s="109" t="s">
        <v>103</v>
      </c>
      <c r="F47" s="109" t="s">
        <v>136</v>
      </c>
      <c r="G47" s="111" t="s">
        <v>1154</v>
      </c>
      <c r="H47" s="109">
        <v>53</v>
      </c>
      <c r="I47" s="109" t="s">
        <v>6</v>
      </c>
      <c r="J47">
        <f t="shared" si="0"/>
        <v>14</v>
      </c>
    </row>
    <row r="48" spans="1:10">
      <c r="A48" s="58"/>
      <c r="B48" s="109">
        <v>861</v>
      </c>
      <c r="C48" s="109" t="s">
        <v>1293</v>
      </c>
      <c r="D48" s="109">
        <v>11111</v>
      </c>
      <c r="E48" s="109" t="s">
        <v>103</v>
      </c>
      <c r="F48" s="109" t="s">
        <v>1294</v>
      </c>
      <c r="G48" s="111" t="s">
        <v>105</v>
      </c>
      <c r="H48" s="109">
        <v>57</v>
      </c>
      <c r="I48" s="109" t="s">
        <v>6</v>
      </c>
      <c r="J48">
        <f t="shared" si="0"/>
        <v>0</v>
      </c>
    </row>
    <row r="49" spans="1:10">
      <c r="A49" s="58"/>
      <c r="B49" s="109">
        <v>874</v>
      </c>
      <c r="C49" s="109" t="s">
        <v>1295</v>
      </c>
      <c r="D49" s="109">
        <v>10161402627</v>
      </c>
      <c r="E49" s="109" t="s">
        <v>103</v>
      </c>
      <c r="F49" s="109" t="s">
        <v>1296</v>
      </c>
      <c r="G49" s="111" t="s">
        <v>106</v>
      </c>
      <c r="H49" s="109">
        <v>55</v>
      </c>
      <c r="I49" s="109" t="s">
        <v>6</v>
      </c>
      <c r="J49">
        <f t="shared" si="0"/>
        <v>0</v>
      </c>
    </row>
    <row r="50" spans="1:10">
      <c r="A50" s="58"/>
      <c r="G50" s="111"/>
      <c r="J50">
        <f t="shared" si="0"/>
        <v>0</v>
      </c>
    </row>
    <row r="51" spans="1:10">
      <c r="A51" s="58">
        <v>1</v>
      </c>
      <c r="B51" s="109">
        <v>902</v>
      </c>
      <c r="C51" s="109" t="s">
        <v>478</v>
      </c>
      <c r="D51" s="109" t="s">
        <v>1297</v>
      </c>
      <c r="E51" s="109" t="s">
        <v>103</v>
      </c>
      <c r="F51" s="109" t="s">
        <v>149</v>
      </c>
      <c r="G51" s="111">
        <v>1.2569444444444446E-2</v>
      </c>
      <c r="H51" s="109">
        <v>29</v>
      </c>
      <c r="J51">
        <f t="shared" si="0"/>
        <v>1</v>
      </c>
    </row>
    <row r="52" spans="1:10">
      <c r="A52" s="58">
        <v>2</v>
      </c>
      <c r="B52" s="109">
        <v>906</v>
      </c>
      <c r="C52" s="109" t="s">
        <v>481</v>
      </c>
      <c r="D52" s="109">
        <v>10054780328</v>
      </c>
      <c r="E52" s="109" t="s">
        <v>103</v>
      </c>
      <c r="F52" s="109" t="s">
        <v>100</v>
      </c>
      <c r="G52" s="111">
        <v>1.2650462962962964E-2</v>
      </c>
      <c r="H52" s="109">
        <v>30</v>
      </c>
      <c r="I52" s="109">
        <v>8.1018518518518462E-5</v>
      </c>
      <c r="J52">
        <f t="shared" si="0"/>
        <v>2</v>
      </c>
    </row>
    <row r="53" spans="1:10">
      <c r="A53" s="58">
        <v>3</v>
      </c>
      <c r="B53" s="109">
        <v>908</v>
      </c>
      <c r="C53" s="109" t="s">
        <v>126</v>
      </c>
      <c r="D53" s="109">
        <v>10101986891</v>
      </c>
      <c r="E53" s="109" t="s">
        <v>103</v>
      </c>
      <c r="F53" s="109" t="s">
        <v>1298</v>
      </c>
      <c r="G53" s="111">
        <v>1.3402777777777779E-2</v>
      </c>
      <c r="H53" s="109">
        <v>40</v>
      </c>
      <c r="I53" s="109">
        <v>8.333333333333335E-4</v>
      </c>
      <c r="J53">
        <f t="shared" si="0"/>
        <v>3</v>
      </c>
    </row>
    <row r="54" spans="1:10">
      <c r="A54" s="58">
        <v>4</v>
      </c>
      <c r="B54" s="109">
        <v>911</v>
      </c>
      <c r="C54" s="109" t="s">
        <v>488</v>
      </c>
      <c r="D54" s="109">
        <v>10052413629</v>
      </c>
      <c r="E54" s="109" t="s">
        <v>103</v>
      </c>
      <c r="F54" s="109" t="s">
        <v>150</v>
      </c>
      <c r="G54" s="111">
        <v>1.3622685185185186E-2</v>
      </c>
      <c r="H54" s="109">
        <v>43</v>
      </c>
      <c r="I54" s="109">
        <v>1.05324074074074E-3</v>
      </c>
      <c r="J54">
        <f t="shared" si="0"/>
        <v>4</v>
      </c>
    </row>
    <row r="55" spans="1:10">
      <c r="A55" s="58">
        <v>5</v>
      </c>
      <c r="B55" s="109">
        <v>910</v>
      </c>
      <c r="C55" s="109" t="s">
        <v>1299</v>
      </c>
      <c r="D55" s="109">
        <v>10112076915</v>
      </c>
      <c r="E55" s="109" t="s">
        <v>103</v>
      </c>
      <c r="F55" s="109" t="s">
        <v>487</v>
      </c>
      <c r="G55" s="111">
        <v>1.3680555555555557E-2</v>
      </c>
      <c r="H55" s="109">
        <v>44</v>
      </c>
      <c r="I55" s="109">
        <v>1.1111111111111113E-3</v>
      </c>
      <c r="J55">
        <f t="shared" si="0"/>
        <v>5</v>
      </c>
    </row>
    <row r="56" spans="1:10">
      <c r="A56" s="58">
        <v>6</v>
      </c>
      <c r="B56" s="109">
        <v>903</v>
      </c>
      <c r="C56" s="109" t="s">
        <v>73</v>
      </c>
      <c r="D56" s="109">
        <v>10061997734</v>
      </c>
      <c r="E56" s="109" t="s">
        <v>103</v>
      </c>
      <c r="F56" s="109" t="s">
        <v>69</v>
      </c>
      <c r="G56" s="111">
        <v>1.4340277777777778E-2</v>
      </c>
      <c r="H56" s="109">
        <v>45</v>
      </c>
      <c r="I56" s="109">
        <v>1.7708333333333326E-3</v>
      </c>
      <c r="J56">
        <f t="shared" si="0"/>
        <v>6</v>
      </c>
    </row>
    <row r="57" spans="1:10">
      <c r="A57" s="58">
        <v>7</v>
      </c>
      <c r="B57" s="109">
        <v>904</v>
      </c>
      <c r="C57" s="109" t="s">
        <v>1300</v>
      </c>
      <c r="D57" s="109">
        <v>10052228218</v>
      </c>
      <c r="E57" s="109" t="s">
        <v>103</v>
      </c>
      <c r="F57" s="109" t="s">
        <v>100</v>
      </c>
      <c r="G57" s="111">
        <v>1.4606481481481482E-2</v>
      </c>
      <c r="H57" s="109">
        <v>46</v>
      </c>
      <c r="I57" s="109">
        <v>2.0370370370370369E-3</v>
      </c>
      <c r="J57">
        <f t="shared" si="0"/>
        <v>7</v>
      </c>
    </row>
    <row r="58" spans="1:10">
      <c r="A58" s="58">
        <v>8</v>
      </c>
      <c r="B58" s="109">
        <v>914</v>
      </c>
      <c r="C58" s="109" t="s">
        <v>1301</v>
      </c>
      <c r="D58" s="109">
        <v>10109809842</v>
      </c>
      <c r="E58" s="109" t="s">
        <v>103</v>
      </c>
      <c r="F58" s="109" t="s">
        <v>786</v>
      </c>
      <c r="G58" s="111" t="s">
        <v>107</v>
      </c>
      <c r="H58" s="109">
        <v>47</v>
      </c>
      <c r="I58" s="109" t="s">
        <v>6</v>
      </c>
      <c r="J58">
        <f t="shared" si="0"/>
        <v>8</v>
      </c>
    </row>
    <row r="59" spans="1:10">
      <c r="A59" s="58">
        <v>9</v>
      </c>
      <c r="B59" s="59">
        <v>907</v>
      </c>
      <c r="C59" s="109" t="s">
        <v>817</v>
      </c>
      <c r="D59" s="110">
        <v>10075039079</v>
      </c>
      <c r="E59" s="110" t="s">
        <v>103</v>
      </c>
      <c r="F59" s="109" t="s">
        <v>1302</v>
      </c>
      <c r="G59" s="111" t="s">
        <v>107</v>
      </c>
      <c r="H59" s="58">
        <v>79</v>
      </c>
      <c r="I59" s="111" t="s">
        <v>6</v>
      </c>
      <c r="J59">
        <f t="shared" si="0"/>
        <v>9</v>
      </c>
    </row>
    <row r="60" spans="1:10">
      <c r="A60" s="58">
        <v>10</v>
      </c>
      <c r="B60" s="59">
        <v>923</v>
      </c>
      <c r="C60" s="109" t="s">
        <v>1303</v>
      </c>
      <c r="D60" s="110" t="s">
        <v>1292</v>
      </c>
      <c r="E60" s="110" t="s">
        <v>103</v>
      </c>
      <c r="F60" s="109" t="s">
        <v>1304</v>
      </c>
      <c r="G60" s="111" t="s">
        <v>104</v>
      </c>
      <c r="H60" s="58">
        <v>48</v>
      </c>
      <c r="I60" s="111" t="s">
        <v>6</v>
      </c>
      <c r="J60">
        <f t="shared" si="0"/>
        <v>10</v>
      </c>
    </row>
    <row r="61" spans="1:10" ht="15.75">
      <c r="A61" s="58">
        <v>11</v>
      </c>
      <c r="B61" s="48">
        <v>913</v>
      </c>
      <c r="C61" s="109" t="s">
        <v>491</v>
      </c>
      <c r="D61" s="110">
        <v>10172012306</v>
      </c>
      <c r="E61" s="110" t="s">
        <v>103</v>
      </c>
      <c r="F61" s="109" t="s">
        <v>492</v>
      </c>
      <c r="G61" s="111" t="s">
        <v>1154</v>
      </c>
      <c r="H61" s="58">
        <v>49</v>
      </c>
      <c r="I61" s="111" t="s">
        <v>6</v>
      </c>
      <c r="J61">
        <f t="shared" si="0"/>
        <v>11</v>
      </c>
    </row>
    <row r="62" spans="1:10" ht="15.75">
      <c r="A62" s="58">
        <v>12</v>
      </c>
      <c r="B62" s="21">
        <v>905</v>
      </c>
      <c r="C62" s="109" t="s">
        <v>479</v>
      </c>
      <c r="D62" s="110">
        <v>10061855668</v>
      </c>
      <c r="E62" s="110" t="s">
        <v>103</v>
      </c>
      <c r="F62" s="109" t="s">
        <v>1305</v>
      </c>
      <c r="G62" s="111" t="s">
        <v>1154</v>
      </c>
      <c r="H62" s="58">
        <v>50</v>
      </c>
      <c r="I62" s="111" t="s">
        <v>6</v>
      </c>
      <c r="J62">
        <f t="shared" si="0"/>
        <v>12</v>
      </c>
    </row>
    <row r="63" spans="1:10" ht="15.75">
      <c r="A63" s="58">
        <v>13</v>
      </c>
      <c r="B63" s="21">
        <v>922</v>
      </c>
      <c r="C63" s="109" t="s">
        <v>928</v>
      </c>
      <c r="D63" s="110">
        <v>10126639241</v>
      </c>
      <c r="E63" s="110" t="s">
        <v>103</v>
      </c>
      <c r="F63" s="109" t="s">
        <v>1208</v>
      </c>
      <c r="G63" s="111" t="s">
        <v>1154</v>
      </c>
      <c r="H63" s="58">
        <v>51</v>
      </c>
      <c r="I63" s="111" t="s">
        <v>6</v>
      </c>
      <c r="J63">
        <f t="shared" si="0"/>
        <v>13</v>
      </c>
    </row>
    <row r="64" spans="1:10" ht="15.75">
      <c r="A64" s="58"/>
      <c r="B64" s="21"/>
      <c r="D64" s="110"/>
      <c r="E64" s="110"/>
      <c r="G64" s="111"/>
      <c r="H64" s="58"/>
      <c r="I64" s="111"/>
      <c r="J64">
        <f t="shared" si="0"/>
        <v>0</v>
      </c>
    </row>
    <row r="65" spans="1:10" ht="15.75">
      <c r="A65" s="58">
        <v>1</v>
      </c>
      <c r="B65" s="21">
        <v>405</v>
      </c>
      <c r="C65" s="109" t="s">
        <v>386</v>
      </c>
      <c r="D65" s="110">
        <v>13280</v>
      </c>
      <c r="E65" s="110" t="s">
        <v>103</v>
      </c>
      <c r="F65" s="109" t="s">
        <v>1306</v>
      </c>
      <c r="G65" s="111">
        <v>9.9884259259259266E-3</v>
      </c>
      <c r="H65" s="58">
        <v>59</v>
      </c>
      <c r="I65" s="111"/>
      <c r="J65">
        <f t="shared" si="0"/>
        <v>1</v>
      </c>
    </row>
    <row r="66" spans="1:10" ht="15.75">
      <c r="A66" s="58">
        <v>2</v>
      </c>
      <c r="B66" s="21">
        <v>401</v>
      </c>
      <c r="C66" s="109" t="s">
        <v>382</v>
      </c>
      <c r="D66" s="110">
        <v>10162383236</v>
      </c>
      <c r="E66" s="110" t="s">
        <v>103</v>
      </c>
      <c r="F66" s="109" t="s">
        <v>1307</v>
      </c>
      <c r="G66" s="111">
        <v>1.0081018518518519E-2</v>
      </c>
      <c r="H66" s="58">
        <v>60</v>
      </c>
      <c r="I66" s="111">
        <v>9.2592592592592032E-5</v>
      </c>
      <c r="J66">
        <f t="shared" ref="J66:J129" si="2">A66</f>
        <v>2</v>
      </c>
    </row>
    <row r="67" spans="1:10" ht="15.75">
      <c r="A67" s="58">
        <v>3</v>
      </c>
      <c r="B67" s="21">
        <v>419</v>
      </c>
      <c r="C67" s="109" t="s">
        <v>1308</v>
      </c>
      <c r="D67" s="110">
        <v>10174440942</v>
      </c>
      <c r="E67" s="110" t="s">
        <v>103</v>
      </c>
      <c r="F67" s="109" t="s">
        <v>345</v>
      </c>
      <c r="G67" s="111">
        <v>1.0625000000000001E-2</v>
      </c>
      <c r="H67" s="58">
        <v>61</v>
      </c>
      <c r="I67" s="111">
        <v>6.3657407407407413E-4</v>
      </c>
      <c r="J67">
        <f t="shared" si="2"/>
        <v>3</v>
      </c>
    </row>
    <row r="68" spans="1:10">
      <c r="A68" s="58">
        <v>4</v>
      </c>
      <c r="B68" s="59">
        <v>406</v>
      </c>
      <c r="C68" s="109" t="s">
        <v>388</v>
      </c>
      <c r="D68" s="110">
        <v>10172211659</v>
      </c>
      <c r="E68" s="110" t="s">
        <v>103</v>
      </c>
      <c r="F68" s="109" t="s">
        <v>1309</v>
      </c>
      <c r="G68" s="111">
        <v>1.1273148148148148E-2</v>
      </c>
      <c r="H68" s="58">
        <v>62</v>
      </c>
      <c r="I68" s="111">
        <v>1.2847222222222218E-3</v>
      </c>
      <c r="J68">
        <f t="shared" si="2"/>
        <v>4</v>
      </c>
    </row>
    <row r="69" spans="1:10" ht="15.75">
      <c r="A69" s="58">
        <v>5</v>
      </c>
      <c r="B69" s="21">
        <v>404</v>
      </c>
      <c r="C69" s="109" t="s">
        <v>385</v>
      </c>
      <c r="D69" s="110">
        <v>10130330796</v>
      </c>
      <c r="E69" s="110" t="s">
        <v>103</v>
      </c>
      <c r="F69" s="109" t="s">
        <v>315</v>
      </c>
      <c r="G69" s="111">
        <v>1.1400462962962963E-2</v>
      </c>
      <c r="H69" s="58">
        <v>63</v>
      </c>
      <c r="I69" s="111">
        <v>1.4120370370370363E-3</v>
      </c>
      <c r="J69">
        <f t="shared" si="2"/>
        <v>5</v>
      </c>
    </row>
    <row r="70" spans="1:10" ht="15.75">
      <c r="A70" s="58">
        <v>6</v>
      </c>
      <c r="B70" s="21">
        <v>407</v>
      </c>
      <c r="C70" s="109" t="s">
        <v>1310</v>
      </c>
      <c r="D70" s="110" t="s">
        <v>1311</v>
      </c>
      <c r="E70" s="110" t="s">
        <v>103</v>
      </c>
      <c r="F70" s="109" t="s">
        <v>84</v>
      </c>
      <c r="G70" s="111">
        <v>1.2291666666666666E-2</v>
      </c>
      <c r="H70" s="58">
        <v>67</v>
      </c>
      <c r="I70" s="111">
        <v>2.3032407407407394E-3</v>
      </c>
      <c r="J70">
        <f t="shared" si="2"/>
        <v>6</v>
      </c>
    </row>
    <row r="71" spans="1:10" ht="15.75">
      <c r="A71" s="58">
        <v>7</v>
      </c>
      <c r="B71" s="21">
        <v>415</v>
      </c>
      <c r="C71" s="109" t="s">
        <v>1312</v>
      </c>
      <c r="D71" s="110" t="s">
        <v>66</v>
      </c>
      <c r="E71" s="110" t="s">
        <v>103</v>
      </c>
      <c r="F71" s="109" t="s">
        <v>1313</v>
      </c>
      <c r="G71" s="111">
        <v>1.3090277777777777E-2</v>
      </c>
      <c r="H71" s="58">
        <v>69</v>
      </c>
      <c r="I71" s="111">
        <v>3.1018518518518504E-3</v>
      </c>
      <c r="J71">
        <f t="shared" si="2"/>
        <v>7</v>
      </c>
    </row>
    <row r="72" spans="1:10" ht="15.75">
      <c r="A72" s="58">
        <v>8</v>
      </c>
      <c r="B72" s="21">
        <v>403</v>
      </c>
      <c r="C72" s="109" t="s">
        <v>1314</v>
      </c>
      <c r="D72" s="110">
        <v>10175623433</v>
      </c>
      <c r="E72" s="110" t="s">
        <v>103</v>
      </c>
      <c r="F72" s="109" t="s">
        <v>1315</v>
      </c>
      <c r="G72" s="111">
        <v>1.3333333333333334E-2</v>
      </c>
      <c r="H72" s="58">
        <v>70</v>
      </c>
      <c r="I72" s="111">
        <v>3.3449074074074076E-3</v>
      </c>
      <c r="J72">
        <f t="shared" si="2"/>
        <v>8</v>
      </c>
    </row>
    <row r="73" spans="1:10" ht="15.75">
      <c r="A73" s="58">
        <v>9</v>
      </c>
      <c r="B73" s="21">
        <v>416</v>
      </c>
      <c r="C73" s="109" t="s">
        <v>1316</v>
      </c>
      <c r="D73" s="110">
        <v>10162629234</v>
      </c>
      <c r="E73" s="110" t="s">
        <v>103</v>
      </c>
      <c r="F73" s="109" t="s">
        <v>1317</v>
      </c>
      <c r="G73" s="111">
        <v>1.3518518518518518E-2</v>
      </c>
      <c r="H73" s="58">
        <v>71</v>
      </c>
      <c r="I73" s="111">
        <v>3.5300925925925916E-3</v>
      </c>
      <c r="J73">
        <f t="shared" si="2"/>
        <v>9</v>
      </c>
    </row>
    <row r="74" spans="1:10" ht="15.75">
      <c r="A74" s="58">
        <v>10</v>
      </c>
      <c r="B74" s="21">
        <v>402</v>
      </c>
      <c r="C74" s="109" t="s">
        <v>750</v>
      </c>
      <c r="D74" s="110" t="s">
        <v>1311</v>
      </c>
      <c r="E74" s="110" t="s">
        <v>103</v>
      </c>
      <c r="F74" s="109" t="s">
        <v>315</v>
      </c>
      <c r="G74" s="111" t="s">
        <v>107</v>
      </c>
      <c r="H74" s="58">
        <v>72</v>
      </c>
      <c r="I74" s="111" t="s">
        <v>6</v>
      </c>
      <c r="J74">
        <f t="shared" si="2"/>
        <v>10</v>
      </c>
    </row>
    <row r="75" spans="1:10" ht="15.75">
      <c r="A75" s="58">
        <v>11</v>
      </c>
      <c r="B75" s="21">
        <v>411</v>
      </c>
      <c r="C75" s="109" t="s">
        <v>1150</v>
      </c>
      <c r="D75" s="110" t="s">
        <v>1318</v>
      </c>
      <c r="E75" s="110" t="s">
        <v>103</v>
      </c>
      <c r="F75" s="109" t="s">
        <v>130</v>
      </c>
      <c r="G75" s="111" t="s">
        <v>107</v>
      </c>
      <c r="H75" s="58">
        <v>73</v>
      </c>
      <c r="I75" s="111" t="s">
        <v>6</v>
      </c>
      <c r="J75">
        <f t="shared" si="2"/>
        <v>11</v>
      </c>
    </row>
    <row r="76" spans="1:10" ht="15.75">
      <c r="A76" s="58">
        <v>12</v>
      </c>
      <c r="B76" s="21">
        <v>409</v>
      </c>
      <c r="C76" s="109" t="s">
        <v>1151</v>
      </c>
      <c r="D76" s="110">
        <v>10173513378</v>
      </c>
      <c r="E76" s="110" t="s">
        <v>103</v>
      </c>
      <c r="F76" s="109" t="s">
        <v>1319</v>
      </c>
      <c r="G76" s="111" t="s">
        <v>107</v>
      </c>
      <c r="H76" s="58">
        <v>74</v>
      </c>
      <c r="I76" s="111" t="s">
        <v>6</v>
      </c>
      <c r="J76">
        <f t="shared" si="2"/>
        <v>12</v>
      </c>
    </row>
    <row r="77" spans="1:10" ht="15.75">
      <c r="A77" s="58">
        <v>13</v>
      </c>
      <c r="B77" s="21">
        <v>417</v>
      </c>
      <c r="C77" s="109" t="s">
        <v>1320</v>
      </c>
      <c r="D77" s="110" t="s">
        <v>66</v>
      </c>
      <c r="E77" s="110" t="s">
        <v>6</v>
      </c>
      <c r="F77" s="109" t="s">
        <v>683</v>
      </c>
      <c r="G77" s="111" t="s">
        <v>107</v>
      </c>
      <c r="H77" s="58">
        <v>75</v>
      </c>
      <c r="I77" s="111" t="s">
        <v>6</v>
      </c>
      <c r="J77">
        <f t="shared" si="2"/>
        <v>13</v>
      </c>
    </row>
    <row r="78" spans="1:10">
      <c r="A78" s="58">
        <v>14</v>
      </c>
      <c r="B78" s="109">
        <v>410</v>
      </c>
      <c r="C78" s="109" t="s">
        <v>1321</v>
      </c>
      <c r="D78" s="109">
        <v>10173514489</v>
      </c>
      <c r="E78" s="109" t="s">
        <v>103</v>
      </c>
      <c r="F78" s="109" t="s">
        <v>1322</v>
      </c>
      <c r="G78" s="109" t="s">
        <v>104</v>
      </c>
      <c r="H78" s="109">
        <v>77</v>
      </c>
      <c r="I78" s="109" t="s">
        <v>6</v>
      </c>
      <c r="J78">
        <f t="shared" si="2"/>
        <v>14</v>
      </c>
    </row>
    <row r="79" spans="1:10">
      <c r="A79" s="58"/>
      <c r="J79">
        <f t="shared" si="2"/>
        <v>0</v>
      </c>
    </row>
    <row r="80" spans="1:10">
      <c r="A80" s="58">
        <v>1</v>
      </c>
      <c r="B80" s="109">
        <v>489</v>
      </c>
      <c r="C80" s="109" t="s">
        <v>1323</v>
      </c>
      <c r="D80" s="109">
        <v>10105006019</v>
      </c>
      <c r="E80" s="109" t="s">
        <v>103</v>
      </c>
      <c r="F80" s="109" t="s">
        <v>1324</v>
      </c>
      <c r="G80" s="109">
        <v>1.1446759259259259E-2</v>
      </c>
      <c r="H80" s="109">
        <v>64</v>
      </c>
      <c r="J80">
        <f t="shared" si="2"/>
        <v>1</v>
      </c>
    </row>
    <row r="81" spans="1:10">
      <c r="A81" s="58">
        <v>2</v>
      </c>
      <c r="B81" s="109">
        <v>482</v>
      </c>
      <c r="C81" s="109" t="s">
        <v>391</v>
      </c>
      <c r="D81" s="109">
        <v>10171940261</v>
      </c>
      <c r="E81" s="109" t="s">
        <v>103</v>
      </c>
      <c r="F81" s="109" t="s">
        <v>958</v>
      </c>
      <c r="G81" s="109">
        <v>1.1770833333333333E-2</v>
      </c>
      <c r="H81" s="109">
        <v>65</v>
      </c>
      <c r="I81" s="109">
        <v>3.2407407407407385E-4</v>
      </c>
      <c r="J81">
        <f t="shared" si="2"/>
        <v>2</v>
      </c>
    </row>
    <row r="82" spans="1:10">
      <c r="A82" s="58">
        <v>3</v>
      </c>
      <c r="B82" s="109">
        <v>483</v>
      </c>
      <c r="C82" s="109" t="s">
        <v>393</v>
      </c>
      <c r="D82" s="109">
        <v>10156361455</v>
      </c>
      <c r="E82" s="109" t="s">
        <v>103</v>
      </c>
      <c r="F82" s="109" t="s">
        <v>1325</v>
      </c>
      <c r="G82" s="109">
        <v>1.2164351851851852E-2</v>
      </c>
      <c r="H82" s="109">
        <v>66</v>
      </c>
      <c r="I82" s="109">
        <v>7.1759259259259259E-4</v>
      </c>
      <c r="J82">
        <f t="shared" si="2"/>
        <v>3</v>
      </c>
    </row>
    <row r="83" spans="1:10">
      <c r="A83" s="58">
        <v>4</v>
      </c>
      <c r="B83" s="109">
        <v>484</v>
      </c>
      <c r="C83" s="109" t="s">
        <v>394</v>
      </c>
      <c r="D83" s="109">
        <v>10162507114</v>
      </c>
      <c r="E83" s="109" t="s">
        <v>103</v>
      </c>
      <c r="F83" s="109" t="s">
        <v>130</v>
      </c>
      <c r="G83" s="109">
        <v>1.2650462962962962E-2</v>
      </c>
      <c r="H83" s="109">
        <v>78</v>
      </c>
      <c r="I83" s="109">
        <v>1.2037037037037034E-3</v>
      </c>
      <c r="J83">
        <f t="shared" si="2"/>
        <v>4</v>
      </c>
    </row>
    <row r="84" spans="1:10">
      <c r="A84" s="58">
        <v>5</v>
      </c>
      <c r="B84" s="109">
        <v>481</v>
      </c>
      <c r="C84" s="109" t="s">
        <v>756</v>
      </c>
      <c r="D84" s="109">
        <v>10162377172</v>
      </c>
      <c r="E84" s="109" t="s">
        <v>103</v>
      </c>
      <c r="F84" s="109" t="s">
        <v>390</v>
      </c>
      <c r="G84" s="109">
        <v>1.2743055555555556E-2</v>
      </c>
      <c r="H84" s="109">
        <v>68</v>
      </c>
      <c r="I84" s="109">
        <v>1.2962962962962971E-3</v>
      </c>
      <c r="J84">
        <f t="shared" si="2"/>
        <v>5</v>
      </c>
    </row>
    <row r="85" spans="1:10">
      <c r="A85" s="58">
        <v>6</v>
      </c>
      <c r="B85" s="109">
        <v>488</v>
      </c>
      <c r="C85" s="109" t="s">
        <v>764</v>
      </c>
      <c r="D85" s="109">
        <v>10162509639</v>
      </c>
      <c r="E85" s="109" t="s">
        <v>103</v>
      </c>
      <c r="F85" s="109" t="s">
        <v>130</v>
      </c>
      <c r="G85" s="109" t="s">
        <v>107</v>
      </c>
      <c r="H85" s="109">
        <v>104</v>
      </c>
      <c r="I85" s="109" t="s">
        <v>6</v>
      </c>
      <c r="J85">
        <f t="shared" si="2"/>
        <v>6</v>
      </c>
    </row>
    <row r="86" spans="1:10">
      <c r="A86" s="58">
        <v>7</v>
      </c>
      <c r="B86" s="109">
        <v>486</v>
      </c>
      <c r="C86" s="109" t="s">
        <v>1257</v>
      </c>
      <c r="D86" s="109" t="s">
        <v>66</v>
      </c>
      <c r="E86" s="109" t="s">
        <v>103</v>
      </c>
      <c r="F86" s="109" t="s">
        <v>155</v>
      </c>
      <c r="G86" s="109" t="s">
        <v>104</v>
      </c>
      <c r="H86" s="109">
        <v>76</v>
      </c>
      <c r="I86" s="109" t="s">
        <v>6</v>
      </c>
      <c r="J86">
        <f t="shared" si="2"/>
        <v>7</v>
      </c>
    </row>
    <row r="87" spans="1:10">
      <c r="A87" s="58"/>
      <c r="J87">
        <f t="shared" si="2"/>
        <v>0</v>
      </c>
    </row>
    <row r="88" spans="1:10">
      <c r="A88" s="58">
        <v>1</v>
      </c>
      <c r="B88" s="109">
        <v>510</v>
      </c>
      <c r="C88" s="109" t="s">
        <v>352</v>
      </c>
      <c r="D88" s="109">
        <v>10126142218</v>
      </c>
      <c r="E88" s="109" t="s">
        <v>103</v>
      </c>
      <c r="F88" s="109" t="s">
        <v>726</v>
      </c>
      <c r="G88" s="109">
        <v>1.0520833333333333E-2</v>
      </c>
      <c r="H88" s="109">
        <v>80</v>
      </c>
      <c r="J88">
        <f t="shared" si="2"/>
        <v>1</v>
      </c>
    </row>
    <row r="89" spans="1:10">
      <c r="A89" s="58">
        <v>2</v>
      </c>
      <c r="B89" s="109">
        <v>518</v>
      </c>
      <c r="C89" s="109" t="s">
        <v>361</v>
      </c>
      <c r="D89" s="109">
        <v>10141584517</v>
      </c>
      <c r="E89" s="109" t="s">
        <v>103</v>
      </c>
      <c r="F89" s="109" t="s">
        <v>1326</v>
      </c>
      <c r="G89" s="109">
        <v>1.0868055555555556E-2</v>
      </c>
      <c r="H89" s="109">
        <v>81</v>
      </c>
      <c r="I89" s="109">
        <v>3.4722222222222272E-4</v>
      </c>
      <c r="J89">
        <f t="shared" si="2"/>
        <v>2</v>
      </c>
    </row>
    <row r="90" spans="1:10">
      <c r="A90" s="58">
        <v>3</v>
      </c>
      <c r="B90" s="109">
        <v>507</v>
      </c>
      <c r="C90" s="109" t="s">
        <v>701</v>
      </c>
      <c r="D90" s="109">
        <v>10129054440</v>
      </c>
      <c r="E90" s="109" t="s">
        <v>103</v>
      </c>
      <c r="F90" s="109" t="s">
        <v>155</v>
      </c>
      <c r="G90" s="109">
        <v>1.0868055555555556E-2</v>
      </c>
      <c r="H90" s="109">
        <v>82</v>
      </c>
      <c r="I90" s="109">
        <v>3.4722222222222272E-4</v>
      </c>
      <c r="J90">
        <f t="shared" si="2"/>
        <v>3</v>
      </c>
    </row>
    <row r="91" spans="1:10">
      <c r="A91" s="58">
        <v>4</v>
      </c>
      <c r="B91" s="109">
        <v>521</v>
      </c>
      <c r="C91" s="109" t="s">
        <v>947</v>
      </c>
      <c r="D91" s="109">
        <v>10153425183</v>
      </c>
      <c r="E91" s="109" t="s">
        <v>103</v>
      </c>
      <c r="F91" s="109" t="s">
        <v>130</v>
      </c>
      <c r="G91" s="109">
        <v>1.1018518518518518E-2</v>
      </c>
      <c r="H91" s="109">
        <v>83</v>
      </c>
      <c r="I91" s="109">
        <v>4.9768518518518434E-4</v>
      </c>
      <c r="J91">
        <f t="shared" si="2"/>
        <v>4</v>
      </c>
    </row>
    <row r="92" spans="1:10">
      <c r="A92" s="58">
        <v>5</v>
      </c>
      <c r="B92" s="109">
        <v>502</v>
      </c>
      <c r="C92" s="109" t="s">
        <v>1256</v>
      </c>
      <c r="D92" s="109" t="s">
        <v>1327</v>
      </c>
      <c r="E92" s="109" t="s">
        <v>103</v>
      </c>
      <c r="F92" s="109" t="s">
        <v>84</v>
      </c>
      <c r="G92" s="109">
        <v>1.1134259259259259E-2</v>
      </c>
      <c r="H92" s="109">
        <v>84</v>
      </c>
      <c r="I92" s="109">
        <v>6.1342592592592525E-4</v>
      </c>
      <c r="J92">
        <f t="shared" si="2"/>
        <v>5</v>
      </c>
    </row>
    <row r="93" spans="1:10">
      <c r="A93" s="58">
        <v>6</v>
      </c>
      <c r="B93" s="109">
        <v>505</v>
      </c>
      <c r="C93" s="109" t="s">
        <v>1328</v>
      </c>
      <c r="D93" s="109">
        <v>10156807554</v>
      </c>
      <c r="E93" s="109" t="s">
        <v>103</v>
      </c>
      <c r="F93" s="109" t="s">
        <v>345</v>
      </c>
      <c r="G93" s="109">
        <v>1.1238425925925926E-2</v>
      </c>
      <c r="H93" s="109">
        <v>85</v>
      </c>
      <c r="I93" s="109">
        <v>7.1759259259259259E-4</v>
      </c>
      <c r="J93">
        <f t="shared" si="2"/>
        <v>6</v>
      </c>
    </row>
    <row r="94" spans="1:10">
      <c r="A94" s="58">
        <v>7</v>
      </c>
      <c r="B94" s="109">
        <v>512</v>
      </c>
      <c r="C94" s="109" t="s">
        <v>354</v>
      </c>
      <c r="D94" s="109">
        <v>10131905735</v>
      </c>
      <c r="E94" s="109" t="s">
        <v>103</v>
      </c>
      <c r="F94" s="109" t="s">
        <v>133</v>
      </c>
      <c r="G94" s="109">
        <v>1.1423611111111112E-2</v>
      </c>
      <c r="H94" s="109">
        <v>86</v>
      </c>
      <c r="I94" s="109">
        <v>9.0277777777777839E-4</v>
      </c>
      <c r="J94">
        <f t="shared" si="2"/>
        <v>7</v>
      </c>
    </row>
    <row r="95" spans="1:10">
      <c r="A95" s="58">
        <v>8</v>
      </c>
      <c r="B95" s="109">
        <v>539</v>
      </c>
      <c r="C95" s="109" t="s">
        <v>1329</v>
      </c>
      <c r="D95" s="109" t="s">
        <v>1292</v>
      </c>
      <c r="E95" s="109" t="s">
        <v>103</v>
      </c>
      <c r="F95" s="109" t="s">
        <v>70</v>
      </c>
      <c r="G95" s="109">
        <v>1.1643518518518518E-2</v>
      </c>
      <c r="H95" s="109">
        <v>88</v>
      </c>
      <c r="I95" s="109">
        <v>1.1226851851851849E-3</v>
      </c>
      <c r="J95">
        <f t="shared" si="2"/>
        <v>8</v>
      </c>
    </row>
    <row r="96" spans="1:10">
      <c r="A96" s="58">
        <v>9</v>
      </c>
      <c r="B96" s="109">
        <v>524</v>
      </c>
      <c r="C96" s="109" t="s">
        <v>940</v>
      </c>
      <c r="D96" s="109">
        <v>5117</v>
      </c>
      <c r="E96" s="109" t="s">
        <v>103</v>
      </c>
      <c r="F96" s="109" t="s">
        <v>700</v>
      </c>
      <c r="G96" s="109">
        <v>1.207175925925926E-2</v>
      </c>
      <c r="H96" s="109">
        <v>89</v>
      </c>
      <c r="I96" s="109">
        <v>1.5509259259259261E-3</v>
      </c>
      <c r="J96">
        <f t="shared" si="2"/>
        <v>9</v>
      </c>
    </row>
    <row r="97" spans="1:10">
      <c r="A97" s="58">
        <v>10</v>
      </c>
      <c r="B97" s="109">
        <v>529</v>
      </c>
      <c r="C97" s="109" t="s">
        <v>722</v>
      </c>
      <c r="D97" s="109">
        <v>10162504282</v>
      </c>
      <c r="E97" s="109" t="s">
        <v>103</v>
      </c>
      <c r="F97" s="109" t="s">
        <v>723</v>
      </c>
      <c r="G97" s="109">
        <v>1.2094907407407407E-2</v>
      </c>
      <c r="H97" s="109">
        <v>90</v>
      </c>
      <c r="I97" s="109">
        <v>1.5740740740740732E-3</v>
      </c>
      <c r="J97">
        <f t="shared" si="2"/>
        <v>10</v>
      </c>
    </row>
    <row r="98" spans="1:10">
      <c r="A98" s="58">
        <v>11</v>
      </c>
      <c r="B98" s="109">
        <v>509</v>
      </c>
      <c r="C98" s="109" t="s">
        <v>1330</v>
      </c>
      <c r="D98" s="109">
        <v>10164774688</v>
      </c>
      <c r="E98" s="109" t="s">
        <v>103</v>
      </c>
      <c r="F98" s="109" t="s">
        <v>65</v>
      </c>
      <c r="G98" s="109">
        <v>1.2500000000000001E-2</v>
      </c>
      <c r="H98" s="109">
        <v>91</v>
      </c>
      <c r="I98" s="109">
        <v>1.9791666666666673E-3</v>
      </c>
      <c r="J98">
        <f t="shared" si="2"/>
        <v>11</v>
      </c>
    </row>
    <row r="99" spans="1:10">
      <c r="A99" s="58">
        <v>12</v>
      </c>
      <c r="B99" s="109">
        <v>503</v>
      </c>
      <c r="C99" s="109" t="s">
        <v>944</v>
      </c>
      <c r="D99" s="109">
        <v>10142567550</v>
      </c>
      <c r="E99" s="109" t="s">
        <v>103</v>
      </c>
      <c r="F99" s="109" t="s">
        <v>159</v>
      </c>
      <c r="G99" s="109" t="s">
        <v>107</v>
      </c>
      <c r="H99" s="109">
        <v>92</v>
      </c>
      <c r="I99" s="109" t="s">
        <v>6</v>
      </c>
      <c r="J99">
        <f t="shared" si="2"/>
        <v>12</v>
      </c>
    </row>
    <row r="100" spans="1:10">
      <c r="A100" s="58">
        <v>13</v>
      </c>
      <c r="B100" s="109">
        <v>523</v>
      </c>
      <c r="C100" s="109" t="s">
        <v>369</v>
      </c>
      <c r="D100" s="109">
        <v>10155993259</v>
      </c>
      <c r="E100" s="109" t="s">
        <v>103</v>
      </c>
      <c r="F100" s="109" t="s">
        <v>130</v>
      </c>
      <c r="G100" s="109" t="s">
        <v>107</v>
      </c>
      <c r="H100" s="109">
        <v>93</v>
      </c>
      <c r="I100" s="109" t="s">
        <v>6</v>
      </c>
      <c r="J100">
        <f t="shared" si="2"/>
        <v>13</v>
      </c>
    </row>
    <row r="101" spans="1:10">
      <c r="A101" s="58">
        <v>14</v>
      </c>
      <c r="B101" s="109">
        <v>531</v>
      </c>
      <c r="C101" s="109" t="s">
        <v>1331</v>
      </c>
      <c r="D101" s="109">
        <v>10102760669</v>
      </c>
      <c r="E101" s="109" t="s">
        <v>103</v>
      </c>
      <c r="F101" s="109" t="s">
        <v>726</v>
      </c>
      <c r="G101" s="109" t="s">
        <v>107</v>
      </c>
      <c r="H101" s="109">
        <v>94</v>
      </c>
      <c r="I101" s="109" t="s">
        <v>6</v>
      </c>
      <c r="J101">
        <f t="shared" si="2"/>
        <v>14</v>
      </c>
    </row>
    <row r="102" spans="1:10">
      <c r="A102" s="58">
        <v>15</v>
      </c>
      <c r="B102" s="109">
        <v>515</v>
      </c>
      <c r="C102" s="109" t="s">
        <v>710</v>
      </c>
      <c r="D102" s="109">
        <v>10171999875</v>
      </c>
      <c r="E102" s="109" t="s">
        <v>103</v>
      </c>
      <c r="F102" s="109" t="s">
        <v>135</v>
      </c>
      <c r="G102" s="109" t="s">
        <v>104</v>
      </c>
      <c r="H102" s="109">
        <v>95</v>
      </c>
      <c r="I102" s="109" t="s">
        <v>6</v>
      </c>
      <c r="J102">
        <f t="shared" si="2"/>
        <v>15</v>
      </c>
    </row>
    <row r="103" spans="1:10">
      <c r="A103" s="58">
        <v>16</v>
      </c>
      <c r="B103" s="109">
        <v>513</v>
      </c>
      <c r="C103" s="109" t="s">
        <v>1332</v>
      </c>
      <c r="D103" s="109">
        <v>10131905331</v>
      </c>
      <c r="E103" s="109" t="s">
        <v>103</v>
      </c>
      <c r="F103" s="109" t="s">
        <v>135</v>
      </c>
      <c r="G103" s="109" t="s">
        <v>104</v>
      </c>
      <c r="H103" s="109">
        <v>96</v>
      </c>
      <c r="I103" s="109" t="s">
        <v>6</v>
      </c>
      <c r="J103">
        <f t="shared" si="2"/>
        <v>16</v>
      </c>
    </row>
    <row r="104" spans="1:10">
      <c r="A104" s="58">
        <v>17</v>
      </c>
      <c r="B104" s="109">
        <v>516</v>
      </c>
      <c r="C104" s="109" t="s">
        <v>359</v>
      </c>
      <c r="D104" s="109" t="s">
        <v>66</v>
      </c>
      <c r="E104" s="109" t="s">
        <v>103</v>
      </c>
      <c r="F104" s="109" t="s">
        <v>84</v>
      </c>
      <c r="G104" s="109" t="s">
        <v>104</v>
      </c>
      <c r="H104" s="109">
        <v>97</v>
      </c>
      <c r="I104" s="109" t="s">
        <v>6</v>
      </c>
      <c r="J104">
        <f t="shared" si="2"/>
        <v>17</v>
      </c>
    </row>
    <row r="105" spans="1:10">
      <c r="A105" s="58">
        <v>18</v>
      </c>
      <c r="B105" s="109">
        <v>504</v>
      </c>
      <c r="C105" s="109" t="s">
        <v>343</v>
      </c>
      <c r="D105" s="109">
        <v>10154828350</v>
      </c>
      <c r="E105" s="109" t="s">
        <v>103</v>
      </c>
      <c r="F105" s="109" t="s">
        <v>129</v>
      </c>
      <c r="G105" s="109" t="s">
        <v>104</v>
      </c>
      <c r="H105" s="109">
        <v>98</v>
      </c>
      <c r="I105" s="109" t="s">
        <v>6</v>
      </c>
      <c r="J105">
        <f t="shared" si="2"/>
        <v>18</v>
      </c>
    </row>
    <row r="106" spans="1:10">
      <c r="A106" s="58">
        <v>19</v>
      </c>
      <c r="B106" s="109">
        <v>540</v>
      </c>
      <c r="C106" s="109" t="s">
        <v>1333</v>
      </c>
      <c r="D106" s="109">
        <v>10175690525</v>
      </c>
      <c r="E106" s="109" t="s">
        <v>103</v>
      </c>
      <c r="F106" s="109" t="s">
        <v>65</v>
      </c>
      <c r="G106" s="109" t="s">
        <v>104</v>
      </c>
      <c r="H106" s="109">
        <v>99</v>
      </c>
      <c r="I106" s="109" t="s">
        <v>6</v>
      </c>
      <c r="J106">
        <f t="shared" si="2"/>
        <v>19</v>
      </c>
    </row>
    <row r="107" spans="1:10">
      <c r="A107" s="58">
        <v>20</v>
      </c>
      <c r="B107" s="109">
        <v>506</v>
      </c>
      <c r="C107" s="109" t="s">
        <v>346</v>
      </c>
      <c r="D107" s="109">
        <v>10171702512</v>
      </c>
      <c r="E107" s="109" t="s">
        <v>103</v>
      </c>
      <c r="F107" s="109" t="s">
        <v>285</v>
      </c>
      <c r="G107" s="109" t="s">
        <v>1154</v>
      </c>
      <c r="H107" s="109">
        <v>100</v>
      </c>
      <c r="I107" s="109" t="s">
        <v>6</v>
      </c>
      <c r="J107">
        <f t="shared" si="2"/>
        <v>20</v>
      </c>
    </row>
    <row r="108" spans="1:10">
      <c r="A108" s="58">
        <v>21</v>
      </c>
      <c r="B108" s="109">
        <v>508</v>
      </c>
      <c r="C108" s="109" t="s">
        <v>1334</v>
      </c>
      <c r="D108" s="109">
        <v>10171656133</v>
      </c>
      <c r="E108" s="109" t="s">
        <v>103</v>
      </c>
      <c r="F108" s="109" t="s">
        <v>285</v>
      </c>
      <c r="G108" s="109" t="s">
        <v>1154</v>
      </c>
      <c r="H108" s="109">
        <v>101</v>
      </c>
      <c r="I108" s="109" t="s">
        <v>6</v>
      </c>
      <c r="J108">
        <f t="shared" si="2"/>
        <v>21</v>
      </c>
    </row>
    <row r="109" spans="1:10">
      <c r="A109" s="58"/>
      <c r="B109" s="109">
        <v>501</v>
      </c>
      <c r="C109" s="109" t="s">
        <v>1335</v>
      </c>
      <c r="D109" s="109">
        <v>10171463345</v>
      </c>
      <c r="E109" s="109" t="s">
        <v>103</v>
      </c>
      <c r="F109" s="109" t="s">
        <v>1336</v>
      </c>
      <c r="G109" s="109" t="s">
        <v>105</v>
      </c>
      <c r="H109" s="109">
        <v>102</v>
      </c>
      <c r="I109" s="109" t="s">
        <v>6</v>
      </c>
      <c r="J109">
        <f t="shared" si="2"/>
        <v>0</v>
      </c>
    </row>
    <row r="110" spans="1:10">
      <c r="A110" s="58"/>
      <c r="B110" s="109">
        <v>538</v>
      </c>
      <c r="C110" s="109" t="s">
        <v>1337</v>
      </c>
      <c r="D110" s="109" t="s">
        <v>1292</v>
      </c>
      <c r="E110" s="109" t="s">
        <v>6</v>
      </c>
      <c r="F110" s="109" t="s">
        <v>134</v>
      </c>
      <c r="G110" s="109" t="s">
        <v>105</v>
      </c>
      <c r="H110" s="109">
        <v>103</v>
      </c>
      <c r="I110" s="109" t="s">
        <v>6</v>
      </c>
      <c r="J110">
        <f t="shared" si="2"/>
        <v>0</v>
      </c>
    </row>
    <row r="111" spans="1:10">
      <c r="A111" s="58"/>
      <c r="B111" s="109">
        <v>536</v>
      </c>
      <c r="C111" s="109" t="s">
        <v>1338</v>
      </c>
      <c r="D111" s="109">
        <v>10175690727</v>
      </c>
      <c r="E111" s="109" t="s">
        <v>103</v>
      </c>
      <c r="F111" s="109" t="s">
        <v>315</v>
      </c>
      <c r="G111" s="109" t="s">
        <v>106</v>
      </c>
      <c r="H111" s="109">
        <v>103</v>
      </c>
      <c r="I111" s="109" t="s">
        <v>6</v>
      </c>
      <c r="J111">
        <f t="shared" si="2"/>
        <v>0</v>
      </c>
    </row>
    <row r="112" spans="1:10">
      <c r="A112" s="58"/>
      <c r="J112">
        <f t="shared" si="2"/>
        <v>0</v>
      </c>
    </row>
    <row r="113" spans="1:10">
      <c r="A113" s="58">
        <v>1</v>
      </c>
      <c r="B113" s="109">
        <v>381</v>
      </c>
      <c r="C113" s="109" t="s">
        <v>327</v>
      </c>
      <c r="D113" s="109">
        <v>10125653679</v>
      </c>
      <c r="E113" s="109" t="s">
        <v>103</v>
      </c>
      <c r="F113" s="109" t="s">
        <v>100</v>
      </c>
      <c r="G113" s="109">
        <v>1.2476851851851852E-2</v>
      </c>
      <c r="H113" s="109">
        <v>106</v>
      </c>
      <c r="J113">
        <f t="shared" si="2"/>
        <v>1</v>
      </c>
    </row>
    <row r="114" spans="1:10">
      <c r="A114" s="58">
        <v>2</v>
      </c>
      <c r="B114" s="109">
        <v>387</v>
      </c>
      <c r="C114" s="109" t="s">
        <v>1339</v>
      </c>
      <c r="D114" s="109" t="s">
        <v>66</v>
      </c>
      <c r="E114" s="109" t="s">
        <v>103</v>
      </c>
      <c r="F114" s="109" t="s">
        <v>100</v>
      </c>
      <c r="G114" s="109">
        <v>1.2534722222222221E-2</v>
      </c>
      <c r="H114" s="109">
        <v>107</v>
      </c>
      <c r="I114" s="109">
        <v>5.7870370370369587E-5</v>
      </c>
      <c r="J114">
        <f t="shared" si="2"/>
        <v>2</v>
      </c>
    </row>
    <row r="115" spans="1:10">
      <c r="A115" s="58">
        <v>3</v>
      </c>
      <c r="B115" s="109">
        <v>382</v>
      </c>
      <c r="C115" s="109" t="s">
        <v>1170</v>
      </c>
      <c r="D115" s="109">
        <v>10128546909</v>
      </c>
      <c r="E115" s="109" t="s">
        <v>103</v>
      </c>
      <c r="F115" s="109" t="s">
        <v>687</v>
      </c>
      <c r="G115" s="109">
        <v>1.2974537037037038E-2</v>
      </c>
      <c r="H115" s="109">
        <v>108</v>
      </c>
      <c r="I115" s="109">
        <v>4.9768518518518608E-4</v>
      </c>
      <c r="J115">
        <f t="shared" si="2"/>
        <v>3</v>
      </c>
    </row>
    <row r="116" spans="1:10">
      <c r="A116" s="58">
        <v>4</v>
      </c>
      <c r="B116" s="109">
        <v>386</v>
      </c>
      <c r="C116" s="109" t="s">
        <v>1340</v>
      </c>
      <c r="D116" s="109">
        <v>10152378391</v>
      </c>
      <c r="E116" s="109" t="s">
        <v>103</v>
      </c>
      <c r="F116" s="109" t="s">
        <v>175</v>
      </c>
      <c r="G116" s="109">
        <v>1.3495370370370371E-2</v>
      </c>
      <c r="H116" s="109">
        <v>109</v>
      </c>
      <c r="I116" s="109">
        <v>1.0185185185185193E-3</v>
      </c>
      <c r="J116">
        <f t="shared" si="2"/>
        <v>4</v>
      </c>
    </row>
    <row r="117" spans="1:10">
      <c r="A117" s="58">
        <v>5</v>
      </c>
      <c r="B117" s="109">
        <v>383</v>
      </c>
      <c r="C117" s="109" t="s">
        <v>329</v>
      </c>
      <c r="D117" s="109">
        <v>10128827401</v>
      </c>
      <c r="E117" s="109" t="s">
        <v>103</v>
      </c>
      <c r="F117" s="109" t="s">
        <v>64</v>
      </c>
      <c r="G117" s="109">
        <v>1.4525462962962962E-2</v>
      </c>
      <c r="H117" s="109">
        <v>113</v>
      </c>
      <c r="I117" s="109">
        <v>2.0486111111111104E-3</v>
      </c>
      <c r="J117">
        <f t="shared" si="2"/>
        <v>5</v>
      </c>
    </row>
    <row r="118" spans="1:10">
      <c r="A118" s="58">
        <v>6</v>
      </c>
      <c r="B118" s="109">
        <v>388</v>
      </c>
      <c r="C118" s="109" t="s">
        <v>335</v>
      </c>
      <c r="D118" s="109">
        <v>10128284605</v>
      </c>
      <c r="E118" s="109" t="s">
        <v>103</v>
      </c>
      <c r="F118" s="109" t="s">
        <v>1309</v>
      </c>
      <c r="G118" s="109">
        <v>1.5208333333333334E-2</v>
      </c>
      <c r="H118" s="109">
        <v>115</v>
      </c>
      <c r="I118" s="109">
        <v>2.7314814814814823E-3</v>
      </c>
      <c r="J118">
        <f t="shared" si="2"/>
        <v>6</v>
      </c>
    </row>
    <row r="119" spans="1:10">
      <c r="A119" s="58">
        <v>7</v>
      </c>
      <c r="B119" s="109">
        <v>384</v>
      </c>
      <c r="C119" s="109" t="s">
        <v>1341</v>
      </c>
      <c r="D119" s="109">
        <v>10141538340</v>
      </c>
      <c r="E119" s="109" t="s">
        <v>103</v>
      </c>
      <c r="F119" s="109" t="s">
        <v>1342</v>
      </c>
      <c r="G119" s="109" t="s">
        <v>107</v>
      </c>
      <c r="H119" s="109">
        <v>118</v>
      </c>
      <c r="I119" s="109" t="s">
        <v>6</v>
      </c>
      <c r="J119">
        <f t="shared" si="2"/>
        <v>7</v>
      </c>
    </row>
    <row r="120" spans="1:10">
      <c r="A120" s="58">
        <v>8</v>
      </c>
      <c r="B120" s="109">
        <v>385</v>
      </c>
      <c r="C120" s="109" t="s">
        <v>1173</v>
      </c>
      <c r="D120" s="109" t="s">
        <v>1343</v>
      </c>
      <c r="E120" s="109" t="s">
        <v>103</v>
      </c>
      <c r="F120" s="109" t="s">
        <v>1174</v>
      </c>
      <c r="G120" s="109" t="s">
        <v>104</v>
      </c>
      <c r="H120" s="109">
        <v>121</v>
      </c>
      <c r="I120" s="109" t="s">
        <v>6</v>
      </c>
      <c r="J120">
        <f t="shared" si="2"/>
        <v>8</v>
      </c>
    </row>
    <row r="121" spans="1:10">
      <c r="A121" s="58"/>
      <c r="B121" s="109">
        <v>390</v>
      </c>
      <c r="C121" s="109" t="s">
        <v>1344</v>
      </c>
      <c r="D121" s="109">
        <v>10152964031</v>
      </c>
      <c r="E121" s="109" t="s">
        <v>103</v>
      </c>
      <c r="F121" s="109" t="s">
        <v>1345</v>
      </c>
      <c r="G121" s="109" t="s">
        <v>105</v>
      </c>
      <c r="H121" s="109">
        <v>126</v>
      </c>
      <c r="I121" s="109" t="s">
        <v>6</v>
      </c>
      <c r="J121">
        <f t="shared" si="2"/>
        <v>0</v>
      </c>
    </row>
    <row r="122" spans="1:10">
      <c r="A122" s="58"/>
      <c r="J122">
        <f t="shared" si="2"/>
        <v>0</v>
      </c>
    </row>
    <row r="123" spans="1:10">
      <c r="A123" s="58">
        <v>1</v>
      </c>
      <c r="B123" s="109">
        <v>581</v>
      </c>
      <c r="C123" s="109" t="s">
        <v>371</v>
      </c>
      <c r="D123" s="109">
        <v>121480116</v>
      </c>
      <c r="E123" s="109" t="s">
        <v>103</v>
      </c>
      <c r="F123" s="109" t="s">
        <v>114</v>
      </c>
      <c r="G123" s="109">
        <v>1.2314814814814815E-2</v>
      </c>
      <c r="H123" s="109">
        <v>105</v>
      </c>
      <c r="J123">
        <f t="shared" si="2"/>
        <v>1</v>
      </c>
    </row>
    <row r="124" spans="1:10">
      <c r="A124" s="58">
        <v>2</v>
      </c>
      <c r="B124" s="109">
        <v>584</v>
      </c>
      <c r="C124" s="109" t="s">
        <v>374</v>
      </c>
      <c r="D124" s="109">
        <v>10154309503</v>
      </c>
      <c r="E124" s="109" t="s">
        <v>103</v>
      </c>
      <c r="F124" s="109" t="s">
        <v>115</v>
      </c>
      <c r="G124" s="109">
        <v>1.4004629629629629E-2</v>
      </c>
      <c r="H124" s="109">
        <v>110</v>
      </c>
      <c r="I124" s="109">
        <v>1.6898148148148141E-3</v>
      </c>
      <c r="J124">
        <f t="shared" si="2"/>
        <v>2</v>
      </c>
    </row>
    <row r="125" spans="1:10">
      <c r="A125" s="58">
        <v>3</v>
      </c>
      <c r="B125" s="109">
        <v>582</v>
      </c>
      <c r="C125" s="109" t="s">
        <v>1175</v>
      </c>
      <c r="D125" s="109">
        <v>10131906139</v>
      </c>
      <c r="E125" s="109" t="s">
        <v>103</v>
      </c>
      <c r="F125" s="109" t="s">
        <v>135</v>
      </c>
      <c r="G125" s="109">
        <v>1.412037037037037E-2</v>
      </c>
      <c r="H125" s="109">
        <v>111</v>
      </c>
      <c r="I125" s="109">
        <v>1.805555555555555E-3</v>
      </c>
      <c r="J125">
        <f t="shared" si="2"/>
        <v>3</v>
      </c>
    </row>
    <row r="126" spans="1:10">
      <c r="A126" s="58">
        <v>4</v>
      </c>
      <c r="B126" s="109">
        <v>583</v>
      </c>
      <c r="C126" s="109" t="s">
        <v>956</v>
      </c>
      <c r="D126" s="109">
        <v>10154228768</v>
      </c>
      <c r="E126" s="109" t="s">
        <v>103</v>
      </c>
      <c r="F126" s="109" t="s">
        <v>129</v>
      </c>
      <c r="G126" s="109">
        <v>1.4444444444444444E-2</v>
      </c>
      <c r="H126" s="109">
        <v>112</v>
      </c>
      <c r="I126" s="109">
        <v>2.1296296296296289E-3</v>
      </c>
      <c r="J126">
        <f t="shared" si="2"/>
        <v>4</v>
      </c>
    </row>
    <row r="127" spans="1:10">
      <c r="A127" s="58">
        <v>5</v>
      </c>
      <c r="B127" s="109">
        <v>586</v>
      </c>
      <c r="C127" s="109" t="s">
        <v>376</v>
      </c>
      <c r="D127" s="109" t="s">
        <v>1292</v>
      </c>
      <c r="E127" s="109" t="s">
        <v>103</v>
      </c>
      <c r="F127" s="109" t="s">
        <v>155</v>
      </c>
      <c r="G127" s="109">
        <v>1.4895833333333334E-2</v>
      </c>
      <c r="H127" s="109">
        <v>114</v>
      </c>
      <c r="I127" s="109">
        <v>2.5810185185185189E-3</v>
      </c>
      <c r="J127">
        <f t="shared" si="2"/>
        <v>5</v>
      </c>
    </row>
    <row r="128" spans="1:10">
      <c r="A128" s="58">
        <v>6</v>
      </c>
      <c r="B128" s="109">
        <v>599</v>
      </c>
      <c r="C128" s="109" t="s">
        <v>1346</v>
      </c>
      <c r="D128" s="109">
        <v>10156833725</v>
      </c>
      <c r="E128" s="109" t="s">
        <v>103</v>
      </c>
      <c r="F128" s="109" t="s">
        <v>345</v>
      </c>
      <c r="G128" s="109">
        <v>1.5289351851851853E-2</v>
      </c>
      <c r="H128" s="109">
        <v>116</v>
      </c>
      <c r="I128" s="109">
        <v>2.9745370370370377E-3</v>
      </c>
      <c r="J128">
        <f t="shared" si="2"/>
        <v>6</v>
      </c>
    </row>
    <row r="129" spans="1:10">
      <c r="A129" s="58">
        <v>7</v>
      </c>
      <c r="B129" s="109">
        <v>589</v>
      </c>
      <c r="C129" s="109" t="s">
        <v>1347</v>
      </c>
      <c r="D129" s="109">
        <v>12990</v>
      </c>
      <c r="E129" s="109" t="s">
        <v>103</v>
      </c>
      <c r="F129" s="109" t="s">
        <v>155</v>
      </c>
      <c r="G129" s="109" t="s">
        <v>107</v>
      </c>
      <c r="H129" s="109">
        <v>119</v>
      </c>
      <c r="J129">
        <f t="shared" si="2"/>
        <v>7</v>
      </c>
    </row>
    <row r="130" spans="1:10">
      <c r="A130" s="58">
        <v>8</v>
      </c>
      <c r="B130" s="109">
        <v>588</v>
      </c>
      <c r="C130" s="109" t="s">
        <v>734</v>
      </c>
      <c r="D130" s="109" t="s">
        <v>66</v>
      </c>
      <c r="E130" s="109" t="s">
        <v>103</v>
      </c>
      <c r="F130" s="109" t="s">
        <v>155</v>
      </c>
      <c r="G130" s="109" t="s">
        <v>107</v>
      </c>
      <c r="H130" s="109">
        <v>120</v>
      </c>
      <c r="J130">
        <f t="shared" ref="J130:J161" si="3">A130</f>
        <v>8</v>
      </c>
    </row>
    <row r="131" spans="1:10">
      <c r="A131" s="58">
        <v>9</v>
      </c>
      <c r="B131" s="109">
        <v>587</v>
      </c>
      <c r="C131" s="109" t="s">
        <v>377</v>
      </c>
      <c r="D131" s="109" t="s">
        <v>66</v>
      </c>
      <c r="E131" s="109" t="s">
        <v>103</v>
      </c>
      <c r="F131" s="109" t="s">
        <v>155</v>
      </c>
      <c r="G131" s="109" t="s">
        <v>1154</v>
      </c>
      <c r="H131" s="109">
        <v>122</v>
      </c>
      <c r="J131">
        <f t="shared" si="3"/>
        <v>9</v>
      </c>
    </row>
    <row r="132" spans="1:10">
      <c r="A132" s="58">
        <v>10</v>
      </c>
      <c r="B132" s="109">
        <v>598</v>
      </c>
      <c r="C132" s="109" t="s">
        <v>1348</v>
      </c>
      <c r="D132" s="109">
        <v>10161956941</v>
      </c>
      <c r="E132" s="109" t="s">
        <v>103</v>
      </c>
      <c r="F132" s="109" t="s">
        <v>1349</v>
      </c>
      <c r="G132" s="109" t="s">
        <v>1154</v>
      </c>
      <c r="H132" s="109">
        <v>123</v>
      </c>
      <c r="J132">
        <f t="shared" si="3"/>
        <v>10</v>
      </c>
    </row>
    <row r="133" spans="1:10">
      <c r="A133" s="58">
        <v>11</v>
      </c>
      <c r="B133" s="109">
        <v>596</v>
      </c>
      <c r="C133" s="109" t="s">
        <v>744</v>
      </c>
      <c r="D133" s="109">
        <v>10153426601</v>
      </c>
      <c r="E133" s="109" t="s">
        <v>103</v>
      </c>
      <c r="F133" s="109" t="s">
        <v>130</v>
      </c>
      <c r="G133" s="109" t="s">
        <v>1154</v>
      </c>
      <c r="H133" s="109">
        <v>124</v>
      </c>
      <c r="J133">
        <f t="shared" si="3"/>
        <v>11</v>
      </c>
    </row>
    <row r="134" spans="1:10">
      <c r="A134" s="58">
        <v>12</v>
      </c>
      <c r="B134" s="109">
        <v>590</v>
      </c>
      <c r="C134" s="109" t="s">
        <v>380</v>
      </c>
      <c r="D134" s="109">
        <v>10172211558</v>
      </c>
      <c r="E134" s="109" t="s">
        <v>103</v>
      </c>
      <c r="F134" s="109" t="s">
        <v>155</v>
      </c>
      <c r="G134" s="109" t="s">
        <v>1154</v>
      </c>
      <c r="H134" s="109">
        <v>125</v>
      </c>
      <c r="J134">
        <f t="shared" si="3"/>
        <v>12</v>
      </c>
    </row>
    <row r="135" spans="1:10">
      <c r="A135" s="7"/>
      <c r="B135" s="58">
        <v>597</v>
      </c>
      <c r="C135" s="109" t="s">
        <v>1350</v>
      </c>
      <c r="D135" s="110" t="s">
        <v>1292</v>
      </c>
      <c r="E135" s="110" t="s">
        <v>103</v>
      </c>
      <c r="F135" s="109" t="s">
        <v>134</v>
      </c>
      <c r="G135" s="111" t="s">
        <v>106</v>
      </c>
      <c r="H135" s="58">
        <v>117</v>
      </c>
      <c r="I135" s="111"/>
      <c r="J135">
        <f t="shared" si="3"/>
        <v>0</v>
      </c>
    </row>
    <row r="136" spans="1:10">
      <c r="A136" s="7"/>
      <c r="B136" s="58"/>
      <c r="D136" s="110"/>
      <c r="E136" s="110"/>
      <c r="G136" s="111"/>
      <c r="H136" s="58"/>
      <c r="I136" s="111"/>
      <c r="J136">
        <f t="shared" si="3"/>
        <v>0</v>
      </c>
    </row>
    <row r="137" spans="1:10">
      <c r="A137" s="7">
        <v>1</v>
      </c>
      <c r="B137" s="58">
        <v>301</v>
      </c>
      <c r="C137" s="109" t="s">
        <v>272</v>
      </c>
      <c r="D137" s="110">
        <v>120760930</v>
      </c>
      <c r="E137" s="110" t="s">
        <v>103</v>
      </c>
      <c r="F137" s="109" t="s">
        <v>114</v>
      </c>
      <c r="G137" s="111">
        <v>1.1655092592592592E-2</v>
      </c>
      <c r="H137" s="58">
        <v>127</v>
      </c>
      <c r="I137" s="111"/>
      <c r="J137">
        <f t="shared" si="3"/>
        <v>1</v>
      </c>
    </row>
    <row r="138" spans="1:10">
      <c r="A138" s="7">
        <v>2</v>
      </c>
      <c r="B138" s="58">
        <v>307</v>
      </c>
      <c r="C138" s="109" t="s">
        <v>280</v>
      </c>
      <c r="D138" s="110">
        <v>10153824200</v>
      </c>
      <c r="E138" s="110" t="s">
        <v>103</v>
      </c>
      <c r="F138" s="109" t="s">
        <v>113</v>
      </c>
      <c r="G138" s="111">
        <v>1.2094907407407407E-2</v>
      </c>
      <c r="H138" s="58">
        <v>128</v>
      </c>
      <c r="I138" s="111">
        <v>4.3981481481481476E-4</v>
      </c>
      <c r="J138">
        <f t="shared" si="3"/>
        <v>2</v>
      </c>
    </row>
    <row r="139" spans="1:10">
      <c r="A139" s="7">
        <v>3</v>
      </c>
      <c r="B139" s="58">
        <v>346</v>
      </c>
      <c r="C139" s="109" t="s">
        <v>682</v>
      </c>
      <c r="D139" s="110">
        <v>10127119086</v>
      </c>
      <c r="E139" s="110" t="s">
        <v>103</v>
      </c>
      <c r="F139" s="109" t="s">
        <v>1351</v>
      </c>
      <c r="G139" s="111">
        <v>1.2372685185185184E-2</v>
      </c>
      <c r="H139" s="58">
        <v>129</v>
      </c>
      <c r="I139" s="111">
        <v>7.1759259259259259E-4</v>
      </c>
      <c r="J139">
        <f t="shared" si="3"/>
        <v>3</v>
      </c>
    </row>
    <row r="140" spans="1:10">
      <c r="A140" s="7">
        <v>4</v>
      </c>
      <c r="B140" s="58">
        <v>311</v>
      </c>
      <c r="C140" s="109" t="s">
        <v>1352</v>
      </c>
      <c r="D140" s="110">
        <v>10128424344</v>
      </c>
      <c r="E140" s="110" t="s">
        <v>103</v>
      </c>
      <c r="F140" s="109" t="s">
        <v>113</v>
      </c>
      <c r="G140" s="111">
        <v>1.2476851851851852E-2</v>
      </c>
      <c r="H140" s="58">
        <v>130</v>
      </c>
      <c r="I140" s="111">
        <v>8.2175925925925992E-4</v>
      </c>
      <c r="J140">
        <f t="shared" si="3"/>
        <v>4</v>
      </c>
    </row>
    <row r="141" spans="1:10">
      <c r="A141" s="7">
        <v>5</v>
      </c>
      <c r="B141" s="58">
        <v>327</v>
      </c>
      <c r="C141" s="109" t="s">
        <v>1353</v>
      </c>
      <c r="D141" s="110">
        <v>10171445864</v>
      </c>
      <c r="E141" s="110" t="s">
        <v>103</v>
      </c>
      <c r="F141" s="109" t="s">
        <v>1184</v>
      </c>
      <c r="G141" s="111">
        <v>1.2511574074074074E-2</v>
      </c>
      <c r="H141" s="58">
        <v>131</v>
      </c>
      <c r="I141" s="111">
        <v>8.5648148148148237E-4</v>
      </c>
      <c r="J141">
        <f t="shared" si="3"/>
        <v>5</v>
      </c>
    </row>
    <row r="142" spans="1:10">
      <c r="A142" s="7">
        <v>6</v>
      </c>
      <c r="B142" s="58">
        <v>302</v>
      </c>
      <c r="C142" s="109" t="s">
        <v>976</v>
      </c>
      <c r="D142" s="110">
        <v>10128933895</v>
      </c>
      <c r="E142" s="110" t="s">
        <v>103</v>
      </c>
      <c r="F142" s="109" t="s">
        <v>114</v>
      </c>
      <c r="G142" s="111">
        <v>1.255787037037037E-2</v>
      </c>
      <c r="H142" s="58">
        <v>131</v>
      </c>
      <c r="I142" s="111">
        <v>9.0277777777777839E-4</v>
      </c>
      <c r="J142">
        <f t="shared" si="3"/>
        <v>6</v>
      </c>
    </row>
    <row r="143" spans="1:10">
      <c r="A143" s="7">
        <v>7</v>
      </c>
      <c r="B143" s="58">
        <v>326</v>
      </c>
      <c r="C143" s="109" t="s">
        <v>672</v>
      </c>
      <c r="D143" s="110" t="s">
        <v>1354</v>
      </c>
      <c r="E143" s="110" t="s">
        <v>103</v>
      </c>
      <c r="F143" s="109" t="s">
        <v>1355</v>
      </c>
      <c r="G143" s="111">
        <v>1.2662037037037038E-2</v>
      </c>
      <c r="H143" s="58">
        <v>132</v>
      </c>
      <c r="I143" s="111">
        <v>1.0069444444444457E-3</v>
      </c>
      <c r="J143">
        <f t="shared" si="3"/>
        <v>7</v>
      </c>
    </row>
    <row r="144" spans="1:10">
      <c r="A144" s="7">
        <v>8</v>
      </c>
      <c r="B144" s="58">
        <v>303</v>
      </c>
      <c r="C144" s="109" t="s">
        <v>1356</v>
      </c>
      <c r="D144" s="110">
        <v>10152378694</v>
      </c>
      <c r="E144" s="110" t="s">
        <v>103</v>
      </c>
      <c r="F144" s="109" t="s">
        <v>759</v>
      </c>
      <c r="G144" s="111">
        <v>1.2858796296296297E-2</v>
      </c>
      <c r="H144" s="58">
        <v>133</v>
      </c>
      <c r="I144" s="111">
        <v>1.2037037037037051E-3</v>
      </c>
      <c r="J144">
        <f t="shared" si="3"/>
        <v>8</v>
      </c>
    </row>
    <row r="145" spans="1:10">
      <c r="A145" s="7">
        <v>9</v>
      </c>
      <c r="B145" s="58">
        <v>321</v>
      </c>
      <c r="C145" s="109" t="s">
        <v>1357</v>
      </c>
      <c r="D145" s="110" t="s">
        <v>66</v>
      </c>
      <c r="E145" s="110" t="s">
        <v>103</v>
      </c>
      <c r="F145" s="109" t="s">
        <v>71</v>
      </c>
      <c r="G145" s="111">
        <v>1.3055555555555556E-2</v>
      </c>
      <c r="H145" s="58">
        <v>134</v>
      </c>
      <c r="I145" s="111">
        <v>1.4004629629629645E-3</v>
      </c>
      <c r="J145">
        <f t="shared" si="3"/>
        <v>9</v>
      </c>
    </row>
    <row r="146" spans="1:10">
      <c r="A146" s="7">
        <v>10</v>
      </c>
      <c r="B146" s="58">
        <v>332</v>
      </c>
      <c r="C146" s="109" t="s">
        <v>313</v>
      </c>
      <c r="D146" s="110">
        <v>10166671242</v>
      </c>
      <c r="E146" s="110" t="s">
        <v>103</v>
      </c>
      <c r="F146" s="109" t="s">
        <v>6</v>
      </c>
      <c r="G146" s="111">
        <v>1.3217592592592593E-2</v>
      </c>
      <c r="H146" s="58">
        <v>135</v>
      </c>
      <c r="I146" s="111">
        <v>1.5625000000000014E-3</v>
      </c>
      <c r="J146">
        <f t="shared" si="3"/>
        <v>10</v>
      </c>
    </row>
    <row r="147" spans="1:10">
      <c r="A147" s="7">
        <v>11</v>
      </c>
      <c r="B147" s="58">
        <v>348</v>
      </c>
      <c r="C147" s="109" t="s">
        <v>970</v>
      </c>
      <c r="D147" s="110">
        <v>10165439746</v>
      </c>
      <c r="E147" s="110" t="s">
        <v>103</v>
      </c>
      <c r="F147" s="109" t="s">
        <v>1358</v>
      </c>
      <c r="G147" s="111" t="s">
        <v>107</v>
      </c>
      <c r="H147" s="58">
        <v>136</v>
      </c>
      <c r="I147" s="111" t="s">
        <v>6</v>
      </c>
      <c r="J147">
        <f t="shared" si="3"/>
        <v>11</v>
      </c>
    </row>
    <row r="148" spans="1:10">
      <c r="A148" s="7">
        <v>12</v>
      </c>
      <c r="B148" s="58">
        <v>337</v>
      </c>
      <c r="C148" s="109" t="s">
        <v>322</v>
      </c>
      <c r="D148" s="110">
        <v>10173459020</v>
      </c>
      <c r="E148" s="110" t="s">
        <v>103</v>
      </c>
      <c r="F148" s="109" t="s">
        <v>138</v>
      </c>
      <c r="G148" s="111" t="s">
        <v>107</v>
      </c>
      <c r="H148" s="58">
        <v>137</v>
      </c>
      <c r="I148" s="111" t="s">
        <v>6</v>
      </c>
      <c r="J148">
        <f t="shared" si="3"/>
        <v>12</v>
      </c>
    </row>
    <row r="149" spans="1:10">
      <c r="A149" s="7">
        <v>13</v>
      </c>
      <c r="B149" s="58">
        <v>319</v>
      </c>
      <c r="C149" s="109" t="s">
        <v>293</v>
      </c>
      <c r="D149" s="110" t="s">
        <v>1359</v>
      </c>
      <c r="E149" s="110" t="s">
        <v>103</v>
      </c>
      <c r="F149" s="109" t="s">
        <v>130</v>
      </c>
      <c r="G149" s="111" t="s">
        <v>107</v>
      </c>
      <c r="H149" s="58">
        <v>138</v>
      </c>
      <c r="I149" s="111" t="s">
        <v>6</v>
      </c>
      <c r="J149">
        <f t="shared" si="3"/>
        <v>13</v>
      </c>
    </row>
    <row r="150" spans="1:10" ht="15.75">
      <c r="A150" s="7">
        <v>14</v>
      </c>
      <c r="B150" s="21">
        <v>333</v>
      </c>
      <c r="C150" s="109" t="s">
        <v>1360</v>
      </c>
      <c r="D150" s="110" t="s">
        <v>1361</v>
      </c>
      <c r="E150" s="110" t="s">
        <v>103</v>
      </c>
      <c r="F150" s="109" t="s">
        <v>71</v>
      </c>
      <c r="G150" s="111" t="s">
        <v>107</v>
      </c>
      <c r="H150" s="58">
        <v>139</v>
      </c>
      <c r="I150" s="111" t="s">
        <v>6</v>
      </c>
      <c r="J150">
        <f t="shared" si="3"/>
        <v>14</v>
      </c>
    </row>
    <row r="151" spans="1:10">
      <c r="A151" s="7">
        <v>15</v>
      </c>
      <c r="B151" s="58">
        <v>336</v>
      </c>
      <c r="C151" s="109" t="s">
        <v>320</v>
      </c>
      <c r="D151" s="110">
        <v>10173205507</v>
      </c>
      <c r="E151" s="110" t="s">
        <v>103</v>
      </c>
      <c r="F151" s="109" t="s">
        <v>321</v>
      </c>
      <c r="G151" s="111" t="s">
        <v>107</v>
      </c>
      <c r="H151" s="58">
        <v>140</v>
      </c>
      <c r="I151" s="111" t="s">
        <v>6</v>
      </c>
      <c r="J151">
        <f t="shared" si="3"/>
        <v>15</v>
      </c>
    </row>
    <row r="152" spans="1:10">
      <c r="A152" s="7">
        <v>16</v>
      </c>
      <c r="B152" s="58">
        <v>305</v>
      </c>
      <c r="C152" s="109" t="s">
        <v>277</v>
      </c>
      <c r="D152" s="110">
        <v>10152909669</v>
      </c>
      <c r="E152" s="110" t="s">
        <v>103</v>
      </c>
      <c r="F152" s="109" t="s">
        <v>278</v>
      </c>
      <c r="G152" s="111" t="s">
        <v>107</v>
      </c>
      <c r="H152" s="58">
        <v>141</v>
      </c>
      <c r="I152" s="111" t="s">
        <v>6</v>
      </c>
      <c r="J152">
        <f t="shared" si="3"/>
        <v>16</v>
      </c>
    </row>
    <row r="153" spans="1:10">
      <c r="A153" s="7">
        <v>17</v>
      </c>
      <c r="B153" s="58">
        <v>342</v>
      </c>
      <c r="C153" s="109" t="s">
        <v>1362</v>
      </c>
      <c r="D153" s="110">
        <v>10166012652</v>
      </c>
      <c r="E153" s="110" t="s">
        <v>103</v>
      </c>
      <c r="F153" s="109" t="s">
        <v>315</v>
      </c>
      <c r="G153" s="111" t="s">
        <v>104</v>
      </c>
      <c r="H153" s="58">
        <v>142</v>
      </c>
      <c r="I153" s="111" t="s">
        <v>6</v>
      </c>
      <c r="J153">
        <f t="shared" si="3"/>
        <v>17</v>
      </c>
    </row>
    <row r="154" spans="1:10">
      <c r="A154" s="7">
        <v>18</v>
      </c>
      <c r="B154" s="58">
        <v>343</v>
      </c>
      <c r="C154" s="109" t="s">
        <v>678</v>
      </c>
      <c r="D154" s="110" t="s">
        <v>1264</v>
      </c>
      <c r="E154" s="110" t="s">
        <v>103</v>
      </c>
      <c r="F154" s="109" t="s">
        <v>112</v>
      </c>
      <c r="G154" s="111" t="s">
        <v>104</v>
      </c>
      <c r="H154" s="58">
        <v>143</v>
      </c>
      <c r="I154" s="111" t="s">
        <v>6</v>
      </c>
      <c r="J154">
        <f t="shared" si="3"/>
        <v>18</v>
      </c>
    </row>
    <row r="155" spans="1:10">
      <c r="A155" s="7">
        <v>19</v>
      </c>
      <c r="B155" s="58">
        <v>310</v>
      </c>
      <c r="C155" s="109" t="s">
        <v>1363</v>
      </c>
      <c r="D155" s="110">
        <v>10140942495</v>
      </c>
      <c r="E155" s="110" t="s">
        <v>103</v>
      </c>
      <c r="F155" s="109" t="s">
        <v>113</v>
      </c>
      <c r="G155" s="111" t="s">
        <v>104</v>
      </c>
      <c r="H155" s="58">
        <v>144</v>
      </c>
      <c r="I155" s="111" t="s">
        <v>6</v>
      </c>
      <c r="J155">
        <f t="shared" si="3"/>
        <v>19</v>
      </c>
    </row>
    <row r="156" spans="1:10">
      <c r="A156" s="7">
        <v>20</v>
      </c>
      <c r="B156" s="58">
        <v>316</v>
      </c>
      <c r="C156" s="109" t="s">
        <v>290</v>
      </c>
      <c r="D156" s="110" t="s">
        <v>66</v>
      </c>
      <c r="E156" s="110" t="s">
        <v>103</v>
      </c>
      <c r="F156" s="109" t="s">
        <v>84</v>
      </c>
      <c r="G156" s="111" t="s">
        <v>104</v>
      </c>
      <c r="H156" s="58">
        <v>145</v>
      </c>
      <c r="I156" s="111" t="s">
        <v>6</v>
      </c>
      <c r="J156">
        <f t="shared" si="3"/>
        <v>20</v>
      </c>
    </row>
    <row r="157" spans="1:10">
      <c r="A157" s="7">
        <v>21</v>
      </c>
      <c r="B157" s="58">
        <v>341</v>
      </c>
      <c r="C157" s="109" t="s">
        <v>973</v>
      </c>
      <c r="D157" s="110">
        <v>209350007</v>
      </c>
      <c r="E157" s="110" t="s">
        <v>103</v>
      </c>
      <c r="F157" s="109" t="s">
        <v>65</v>
      </c>
      <c r="G157" s="111" t="s">
        <v>1154</v>
      </c>
      <c r="H157" s="58">
        <v>146</v>
      </c>
      <c r="I157" s="111" t="s">
        <v>6</v>
      </c>
      <c r="J157">
        <f t="shared" si="3"/>
        <v>21</v>
      </c>
    </row>
    <row r="158" spans="1:10">
      <c r="A158" s="7">
        <v>22</v>
      </c>
      <c r="B158" s="58">
        <v>329</v>
      </c>
      <c r="C158" s="109" t="s">
        <v>1364</v>
      </c>
      <c r="D158" s="110">
        <v>10144442579</v>
      </c>
      <c r="E158" s="110" t="s">
        <v>103</v>
      </c>
      <c r="F158" s="109" t="s">
        <v>130</v>
      </c>
      <c r="G158" s="111" t="s">
        <v>1154</v>
      </c>
      <c r="H158" s="58">
        <v>147</v>
      </c>
      <c r="I158" s="111" t="s">
        <v>6</v>
      </c>
      <c r="J158">
        <f t="shared" si="3"/>
        <v>22</v>
      </c>
    </row>
    <row r="159" spans="1:10">
      <c r="A159" s="7">
        <v>23</v>
      </c>
      <c r="B159" s="58">
        <v>304</v>
      </c>
      <c r="C159" s="109" t="s">
        <v>1365</v>
      </c>
      <c r="D159" s="110">
        <v>10156150681</v>
      </c>
      <c r="E159" s="110" t="s">
        <v>103</v>
      </c>
      <c r="F159" s="109" t="s">
        <v>175</v>
      </c>
      <c r="G159" s="111" t="s">
        <v>1154</v>
      </c>
      <c r="H159" s="58">
        <v>148</v>
      </c>
      <c r="I159" s="111" t="s">
        <v>6</v>
      </c>
      <c r="J159">
        <f t="shared" si="3"/>
        <v>23</v>
      </c>
    </row>
    <row r="160" spans="1:10">
      <c r="A160" s="7">
        <v>24</v>
      </c>
      <c r="B160" s="58">
        <v>355</v>
      </c>
      <c r="C160" s="109" t="s">
        <v>1366</v>
      </c>
      <c r="D160" s="110">
        <v>10170089480</v>
      </c>
      <c r="E160" s="110" t="s">
        <v>103</v>
      </c>
      <c r="F160" s="109" t="s">
        <v>943</v>
      </c>
      <c r="G160" s="111" t="s">
        <v>1154</v>
      </c>
      <c r="H160" s="58">
        <v>149</v>
      </c>
      <c r="I160" s="111" t="s">
        <v>6</v>
      </c>
      <c r="J160">
        <f t="shared" si="3"/>
        <v>24</v>
      </c>
    </row>
    <row r="161" spans="1:10">
      <c r="A161" s="7">
        <v>25</v>
      </c>
      <c r="B161" s="58">
        <v>309</v>
      </c>
      <c r="C161" s="109" t="s">
        <v>1367</v>
      </c>
      <c r="D161" s="110" t="s">
        <v>1264</v>
      </c>
      <c r="E161" s="110" t="s">
        <v>103</v>
      </c>
      <c r="F161" s="109" t="s">
        <v>1368</v>
      </c>
      <c r="G161" s="111" t="s">
        <v>1154</v>
      </c>
      <c r="H161" s="58">
        <v>150</v>
      </c>
      <c r="I161" s="111" t="s">
        <v>6</v>
      </c>
      <c r="J161">
        <f t="shared" si="3"/>
        <v>25</v>
      </c>
    </row>
    <row r="162" spans="1:10">
      <c r="A162" s="7">
        <v>26</v>
      </c>
      <c r="B162" s="58">
        <v>320</v>
      </c>
      <c r="C162" s="109" t="s">
        <v>295</v>
      </c>
      <c r="D162" s="110">
        <v>10136994902</v>
      </c>
      <c r="E162" s="110" t="s">
        <v>103</v>
      </c>
      <c r="F162" s="109" t="s">
        <v>381</v>
      </c>
      <c r="G162" s="111" t="s">
        <v>1154</v>
      </c>
      <c r="H162" s="58">
        <v>151</v>
      </c>
      <c r="I162" s="111" t="s">
        <v>6</v>
      </c>
      <c r="J162">
        <f t="shared" ref="J162:J180" si="4">A162</f>
        <v>26</v>
      </c>
    </row>
    <row r="163" spans="1:10">
      <c r="A163" s="7">
        <v>27</v>
      </c>
      <c r="B163" s="58">
        <v>306</v>
      </c>
      <c r="C163" s="109" t="s">
        <v>279</v>
      </c>
      <c r="D163" s="110">
        <v>43223</v>
      </c>
      <c r="E163" s="110" t="s">
        <v>103</v>
      </c>
      <c r="F163" s="109" t="s">
        <v>285</v>
      </c>
      <c r="G163" s="111" t="s">
        <v>1154</v>
      </c>
      <c r="H163" s="58">
        <v>152</v>
      </c>
      <c r="I163" s="111" t="s">
        <v>6</v>
      </c>
      <c r="J163">
        <f t="shared" si="4"/>
        <v>27</v>
      </c>
    </row>
    <row r="164" spans="1:10" ht="15.75">
      <c r="A164" s="7">
        <v>28</v>
      </c>
      <c r="B164" s="21">
        <v>312</v>
      </c>
      <c r="C164" s="109" t="s">
        <v>1369</v>
      </c>
      <c r="D164" s="110">
        <v>10162918251</v>
      </c>
      <c r="E164" s="110" t="s">
        <v>103</v>
      </c>
      <c r="F164" s="109" t="s">
        <v>903</v>
      </c>
      <c r="G164" s="111" t="s">
        <v>1154</v>
      </c>
      <c r="H164" s="58">
        <v>153</v>
      </c>
      <c r="I164" s="111" t="s">
        <v>6</v>
      </c>
      <c r="J164">
        <f t="shared" si="4"/>
        <v>28</v>
      </c>
    </row>
    <row r="165" spans="1:10">
      <c r="A165" s="7">
        <v>29</v>
      </c>
      <c r="B165" s="58">
        <v>340</v>
      </c>
      <c r="C165" s="109" t="s">
        <v>1370</v>
      </c>
      <c r="D165" s="110">
        <v>10166711557</v>
      </c>
      <c r="E165" s="110" t="s">
        <v>103</v>
      </c>
      <c r="F165" s="109" t="s">
        <v>390</v>
      </c>
      <c r="G165" s="111" t="s">
        <v>1154</v>
      </c>
      <c r="H165" s="58">
        <v>154</v>
      </c>
      <c r="I165" s="111" t="s">
        <v>6</v>
      </c>
      <c r="J165">
        <f t="shared" si="4"/>
        <v>29</v>
      </c>
    </row>
    <row r="166" spans="1:10">
      <c r="A166" s="7">
        <v>30</v>
      </c>
      <c r="B166" s="58">
        <v>317</v>
      </c>
      <c r="C166" s="109" t="s">
        <v>291</v>
      </c>
      <c r="D166" s="110" t="s">
        <v>66</v>
      </c>
      <c r="E166" s="110" t="s">
        <v>103</v>
      </c>
      <c r="F166" s="109" t="s">
        <v>84</v>
      </c>
      <c r="G166" s="111" t="s">
        <v>1154</v>
      </c>
      <c r="H166" s="58">
        <v>155</v>
      </c>
      <c r="I166" s="111" t="s">
        <v>6</v>
      </c>
      <c r="J166">
        <f t="shared" si="4"/>
        <v>30</v>
      </c>
    </row>
    <row r="167" spans="1:10">
      <c r="A167" s="7">
        <v>31</v>
      </c>
      <c r="B167" s="58">
        <v>352</v>
      </c>
      <c r="C167" s="109" t="s">
        <v>1259</v>
      </c>
      <c r="D167" s="110" t="s">
        <v>66</v>
      </c>
      <c r="E167" s="110" t="s">
        <v>103</v>
      </c>
      <c r="F167" s="109" t="s">
        <v>84</v>
      </c>
      <c r="G167" s="111" t="s">
        <v>1154</v>
      </c>
      <c r="H167" s="58">
        <v>156</v>
      </c>
      <c r="I167" s="111" t="s">
        <v>6</v>
      </c>
      <c r="J167">
        <f t="shared" si="4"/>
        <v>31</v>
      </c>
    </row>
    <row r="168" spans="1:10" ht="15.75">
      <c r="A168" s="7">
        <v>32</v>
      </c>
      <c r="B168" s="21">
        <v>324</v>
      </c>
      <c r="C168" s="109" t="s">
        <v>670</v>
      </c>
      <c r="D168" s="110">
        <v>10161110819</v>
      </c>
      <c r="E168" s="110" t="s">
        <v>103</v>
      </c>
      <c r="F168" s="109" t="s">
        <v>962</v>
      </c>
      <c r="G168" s="111" t="s">
        <v>1154</v>
      </c>
      <c r="H168" s="58">
        <v>157</v>
      </c>
      <c r="I168" s="111" t="s">
        <v>6</v>
      </c>
      <c r="J168">
        <f t="shared" si="4"/>
        <v>32</v>
      </c>
    </row>
    <row r="169" spans="1:10">
      <c r="A169" s="7">
        <v>33</v>
      </c>
      <c r="B169" s="58">
        <v>353</v>
      </c>
      <c r="C169" s="109" t="s">
        <v>1371</v>
      </c>
      <c r="D169" s="110">
        <v>10162144574</v>
      </c>
      <c r="E169" s="110" t="s">
        <v>103</v>
      </c>
      <c r="F169" s="109" t="s">
        <v>63</v>
      </c>
      <c r="G169" s="111" t="s">
        <v>1154</v>
      </c>
      <c r="H169" s="58">
        <v>158</v>
      </c>
      <c r="I169" s="111" t="s">
        <v>6</v>
      </c>
      <c r="J169">
        <f t="shared" si="4"/>
        <v>33</v>
      </c>
    </row>
    <row r="170" spans="1:10" ht="15.75">
      <c r="A170" s="7">
        <v>34</v>
      </c>
      <c r="B170" s="21">
        <v>354</v>
      </c>
      <c r="C170" s="109" t="s">
        <v>1372</v>
      </c>
      <c r="D170" s="110">
        <v>10176535536</v>
      </c>
      <c r="E170" s="110" t="s">
        <v>103</v>
      </c>
      <c r="F170" s="109" t="s">
        <v>131</v>
      </c>
      <c r="G170" s="111" t="s">
        <v>1154</v>
      </c>
      <c r="H170" s="58">
        <v>159</v>
      </c>
      <c r="I170" s="111" t="s">
        <v>6</v>
      </c>
      <c r="J170">
        <f t="shared" si="4"/>
        <v>34</v>
      </c>
    </row>
    <row r="171" spans="1:10">
      <c r="A171" s="7">
        <v>35</v>
      </c>
      <c r="B171" s="58">
        <v>351</v>
      </c>
      <c r="C171" s="109" t="s">
        <v>1373</v>
      </c>
      <c r="D171" s="110">
        <v>10152378795</v>
      </c>
      <c r="E171" s="110" t="s">
        <v>103</v>
      </c>
      <c r="F171" s="109" t="s">
        <v>65</v>
      </c>
      <c r="G171" s="111" t="s">
        <v>1154</v>
      </c>
      <c r="H171" s="58">
        <v>160</v>
      </c>
      <c r="I171" s="111" t="s">
        <v>6</v>
      </c>
      <c r="J171">
        <f t="shared" si="4"/>
        <v>35</v>
      </c>
    </row>
    <row r="172" spans="1:10">
      <c r="A172" s="7">
        <v>36</v>
      </c>
      <c r="B172" s="58">
        <v>314</v>
      </c>
      <c r="C172" s="109" t="s">
        <v>288</v>
      </c>
      <c r="D172" s="110">
        <v>10164592614</v>
      </c>
      <c r="E172" s="110" t="s">
        <v>103</v>
      </c>
      <c r="F172" s="109" t="s">
        <v>113</v>
      </c>
      <c r="G172" s="111" t="s">
        <v>1154</v>
      </c>
      <c r="H172" s="58">
        <v>161</v>
      </c>
      <c r="I172" s="111" t="s">
        <v>6</v>
      </c>
      <c r="J172">
        <f t="shared" si="4"/>
        <v>36</v>
      </c>
    </row>
    <row r="173" spans="1:10">
      <c r="A173" s="7">
        <v>37</v>
      </c>
      <c r="B173" s="58">
        <v>356</v>
      </c>
      <c r="C173" s="109" t="s">
        <v>1374</v>
      </c>
      <c r="D173" s="110" t="s">
        <v>1375</v>
      </c>
      <c r="E173" s="110" t="s">
        <v>103</v>
      </c>
      <c r="F173" s="109" t="s">
        <v>131</v>
      </c>
      <c r="G173" s="111" t="s">
        <v>1198</v>
      </c>
      <c r="H173" s="58">
        <v>162</v>
      </c>
      <c r="I173" s="111" t="s">
        <v>6</v>
      </c>
      <c r="J173">
        <f t="shared" si="4"/>
        <v>37</v>
      </c>
    </row>
    <row r="174" spans="1:10">
      <c r="A174" s="7"/>
      <c r="B174" s="58"/>
      <c r="D174" s="110"/>
      <c r="E174" s="110"/>
      <c r="G174" s="111"/>
      <c r="H174" s="58"/>
      <c r="I174" s="111"/>
      <c r="J174">
        <f t="shared" si="4"/>
        <v>0</v>
      </c>
    </row>
    <row r="175" spans="1:10">
      <c r="A175" s="7">
        <v>1</v>
      </c>
      <c r="B175" s="58">
        <v>104</v>
      </c>
      <c r="C175" s="109" t="s">
        <v>1376</v>
      </c>
      <c r="D175" s="110">
        <v>10116215680</v>
      </c>
      <c r="E175" s="110" t="s">
        <v>103</v>
      </c>
      <c r="F175" s="109" t="s">
        <v>114</v>
      </c>
      <c r="G175" s="111">
        <v>1.3333333333333334E-2</v>
      </c>
      <c r="H175" s="58">
        <v>165</v>
      </c>
      <c r="I175" s="111"/>
      <c r="J175">
        <f t="shared" si="4"/>
        <v>1</v>
      </c>
    </row>
    <row r="176" spans="1:10">
      <c r="A176" s="7">
        <v>2</v>
      </c>
      <c r="B176" s="58">
        <v>103</v>
      </c>
      <c r="C176" s="109" t="s">
        <v>211</v>
      </c>
      <c r="D176" s="110">
        <v>10128933895</v>
      </c>
      <c r="E176" s="110" t="s">
        <v>103</v>
      </c>
      <c r="F176" s="109" t="s">
        <v>868</v>
      </c>
      <c r="G176" s="111">
        <v>1.3622685185185186E-2</v>
      </c>
      <c r="H176" s="58">
        <v>166</v>
      </c>
      <c r="I176" s="111">
        <v>2.893518518518514E-4</v>
      </c>
      <c r="J176">
        <f t="shared" si="4"/>
        <v>2</v>
      </c>
    </row>
    <row r="177" spans="1:10">
      <c r="A177" s="7">
        <v>3</v>
      </c>
      <c r="B177" s="58">
        <v>158</v>
      </c>
      <c r="C177" s="109" t="s">
        <v>1213</v>
      </c>
      <c r="D177" s="110">
        <v>10089728923</v>
      </c>
      <c r="E177" s="110" t="s">
        <v>103</v>
      </c>
      <c r="F177" s="109" t="s">
        <v>868</v>
      </c>
      <c r="G177" s="111">
        <v>1.3796296296296296E-2</v>
      </c>
      <c r="H177" s="58">
        <v>167</v>
      </c>
      <c r="I177" s="111">
        <v>4.629629629629619E-4</v>
      </c>
      <c r="J177">
        <f t="shared" si="4"/>
        <v>3</v>
      </c>
    </row>
    <row r="178" spans="1:10">
      <c r="A178" s="7">
        <v>4</v>
      </c>
      <c r="B178" s="58">
        <v>171</v>
      </c>
      <c r="C178" s="109" t="s">
        <v>1377</v>
      </c>
      <c r="D178" s="110">
        <v>12311</v>
      </c>
      <c r="E178" s="110" t="s">
        <v>103</v>
      </c>
      <c r="F178" s="109" t="s">
        <v>983</v>
      </c>
      <c r="G178" s="111">
        <v>1.3796296296296296E-2</v>
      </c>
      <c r="H178" s="58">
        <v>168</v>
      </c>
      <c r="I178" s="111">
        <v>4.629629629629619E-4</v>
      </c>
      <c r="J178">
        <f t="shared" si="4"/>
        <v>4</v>
      </c>
    </row>
    <row r="179" spans="1:10">
      <c r="A179" s="7">
        <v>5</v>
      </c>
      <c r="B179" s="58">
        <v>109</v>
      </c>
      <c r="C179" s="109" t="s">
        <v>607</v>
      </c>
      <c r="D179" s="110">
        <v>10161160935</v>
      </c>
      <c r="E179" s="110" t="s">
        <v>103</v>
      </c>
      <c r="F179" s="109" t="s">
        <v>1378</v>
      </c>
      <c r="G179" s="111">
        <v>1.4606481481481481E-2</v>
      </c>
      <c r="H179" s="58">
        <v>169</v>
      </c>
      <c r="I179" s="111">
        <v>1.2731481481481465E-3</v>
      </c>
      <c r="J179">
        <f t="shared" si="4"/>
        <v>5</v>
      </c>
    </row>
    <row r="180" spans="1:10">
      <c r="A180" s="7">
        <v>6</v>
      </c>
      <c r="B180" s="58">
        <v>142</v>
      </c>
      <c r="C180" s="109" t="s">
        <v>1379</v>
      </c>
      <c r="D180" s="110">
        <v>10126142117</v>
      </c>
      <c r="E180" s="110" t="s">
        <v>103</v>
      </c>
      <c r="F180" s="109" t="s">
        <v>625</v>
      </c>
      <c r="G180" s="111">
        <v>1.474537037037037E-2</v>
      </c>
      <c r="H180" s="58">
        <v>170</v>
      </c>
      <c r="I180" s="111">
        <v>1.4120370370370363E-3</v>
      </c>
      <c r="J180">
        <f t="shared" si="4"/>
        <v>6</v>
      </c>
    </row>
    <row r="181" spans="1:10">
      <c r="A181" s="109">
        <v>7</v>
      </c>
      <c r="B181" s="109">
        <v>107</v>
      </c>
      <c r="C181" s="109" t="s">
        <v>1380</v>
      </c>
      <c r="D181" s="109">
        <v>10171946426</v>
      </c>
      <c r="E181" s="109" t="s">
        <v>103</v>
      </c>
      <c r="F181" s="109" t="s">
        <v>6</v>
      </c>
      <c r="G181" s="109" t="s">
        <v>107</v>
      </c>
      <c r="H181" s="109">
        <v>171</v>
      </c>
      <c r="I181" s="109" t="s">
        <v>66</v>
      </c>
      <c r="J181">
        <f>ResXCO!A219</f>
        <v>27</v>
      </c>
    </row>
    <row r="182" spans="1:10">
      <c r="A182" s="109">
        <v>8</v>
      </c>
      <c r="B182" s="109">
        <v>110</v>
      </c>
      <c r="C182" s="109" t="s">
        <v>1381</v>
      </c>
      <c r="D182" s="109">
        <v>10131930286</v>
      </c>
      <c r="E182" s="109" t="s">
        <v>103</v>
      </c>
      <c r="F182" s="109" t="s">
        <v>345</v>
      </c>
      <c r="G182" s="109" t="s">
        <v>107</v>
      </c>
      <c r="H182" s="109">
        <v>172</v>
      </c>
      <c r="I182" s="109" t="s">
        <v>66</v>
      </c>
      <c r="J182">
        <f>ResXCO!A220</f>
        <v>28</v>
      </c>
    </row>
    <row r="183" spans="1:10">
      <c r="A183" s="109">
        <v>9</v>
      </c>
      <c r="B183" s="109">
        <v>160</v>
      </c>
      <c r="C183" s="109" t="s">
        <v>241</v>
      </c>
      <c r="D183" s="109">
        <v>10171940059</v>
      </c>
      <c r="E183" s="109" t="s">
        <v>103</v>
      </c>
      <c r="F183" s="109" t="s">
        <v>204</v>
      </c>
      <c r="G183" s="109" t="s">
        <v>107</v>
      </c>
      <c r="H183" s="109">
        <v>173</v>
      </c>
      <c r="I183" s="109" t="s">
        <v>66</v>
      </c>
      <c r="J183">
        <f>ResXCO!A221</f>
        <v>29</v>
      </c>
    </row>
    <row r="184" spans="1:10">
      <c r="A184" s="109">
        <v>10</v>
      </c>
      <c r="B184" s="109">
        <v>126</v>
      </c>
      <c r="C184" s="109" t="s">
        <v>1055</v>
      </c>
      <c r="D184" s="109">
        <v>10151269157</v>
      </c>
      <c r="E184" s="109" t="s">
        <v>103</v>
      </c>
      <c r="F184" s="109" t="s">
        <v>1218</v>
      </c>
      <c r="G184" s="109" t="s">
        <v>107</v>
      </c>
      <c r="H184" s="109">
        <v>174</v>
      </c>
      <c r="I184" s="109" t="s">
        <v>66</v>
      </c>
      <c r="J184">
        <f>ResXCO!A222</f>
        <v>30</v>
      </c>
    </row>
    <row r="185" spans="1:10">
      <c r="A185" s="109">
        <v>11</v>
      </c>
      <c r="B185" s="109">
        <v>112</v>
      </c>
      <c r="C185" s="109" t="s">
        <v>1041</v>
      </c>
      <c r="D185" s="109">
        <v>10164774385</v>
      </c>
      <c r="E185" s="109" t="s">
        <v>103</v>
      </c>
      <c r="F185" s="109" t="s">
        <v>6</v>
      </c>
      <c r="G185" s="109" t="s">
        <v>107</v>
      </c>
      <c r="H185" s="109">
        <v>175</v>
      </c>
      <c r="I185" s="109" t="s">
        <v>66</v>
      </c>
      <c r="J185">
        <f>ResXCO!A223</f>
        <v>31</v>
      </c>
    </row>
    <row r="186" spans="1:10">
      <c r="A186" s="109">
        <v>12</v>
      </c>
      <c r="B186" s="109">
        <v>119</v>
      </c>
      <c r="C186" s="109" t="s">
        <v>243</v>
      </c>
      <c r="D186" s="109" t="s">
        <v>66</v>
      </c>
      <c r="E186" s="109" t="s">
        <v>103</v>
      </c>
      <c r="F186" s="109" t="s">
        <v>84</v>
      </c>
      <c r="G186" s="109" t="s">
        <v>104</v>
      </c>
      <c r="H186" s="109">
        <v>176</v>
      </c>
      <c r="I186" s="109" t="s">
        <v>66</v>
      </c>
      <c r="J186">
        <f>ResXCO!A224</f>
        <v>0</v>
      </c>
    </row>
    <row r="187" spans="1:10">
      <c r="A187" s="109">
        <v>13</v>
      </c>
      <c r="B187" s="109">
        <v>122</v>
      </c>
      <c r="C187" s="109" t="s">
        <v>261</v>
      </c>
      <c r="D187" s="109">
        <v>10133141372</v>
      </c>
      <c r="E187" s="109" t="s">
        <v>103</v>
      </c>
      <c r="F187" s="109" t="s">
        <v>1382</v>
      </c>
      <c r="G187" s="109" t="s">
        <v>104</v>
      </c>
      <c r="H187" s="109">
        <v>177</v>
      </c>
      <c r="I187" s="109" t="s">
        <v>66</v>
      </c>
      <c r="J187">
        <f>ResXCO!A225</f>
        <v>0</v>
      </c>
    </row>
    <row r="188" spans="1:10">
      <c r="A188" s="7">
        <v>14</v>
      </c>
      <c r="B188" s="58">
        <v>121</v>
      </c>
      <c r="C188" s="109" t="s">
        <v>1048</v>
      </c>
      <c r="D188" s="110">
        <v>10142925440</v>
      </c>
      <c r="E188" s="110" t="s">
        <v>103</v>
      </c>
      <c r="F188" s="109" t="s">
        <v>492</v>
      </c>
      <c r="G188" s="111" t="s">
        <v>104</v>
      </c>
      <c r="H188" s="58">
        <v>178</v>
      </c>
      <c r="I188" s="111" t="s">
        <v>66</v>
      </c>
      <c r="J188">
        <f t="shared" ref="J188:J193" si="5">A188</f>
        <v>14</v>
      </c>
    </row>
    <row r="189" spans="1:10">
      <c r="A189" s="7">
        <v>15</v>
      </c>
      <c r="B189" s="58">
        <v>120</v>
      </c>
      <c r="C189" s="109" t="s">
        <v>1383</v>
      </c>
      <c r="D189" s="110" t="s">
        <v>1384</v>
      </c>
      <c r="E189" s="110" t="s">
        <v>103</v>
      </c>
      <c r="F189" s="109" t="s">
        <v>71</v>
      </c>
      <c r="G189" s="111" t="s">
        <v>1154</v>
      </c>
      <c r="H189" s="58">
        <v>179</v>
      </c>
      <c r="I189" s="111" t="s">
        <v>66</v>
      </c>
      <c r="J189">
        <f t="shared" si="5"/>
        <v>15</v>
      </c>
    </row>
    <row r="190" spans="1:10">
      <c r="A190" s="7">
        <v>16</v>
      </c>
      <c r="B190" s="58">
        <v>114</v>
      </c>
      <c r="C190" s="109" t="s">
        <v>1043</v>
      </c>
      <c r="D190" s="110">
        <v>10165016683</v>
      </c>
      <c r="E190" s="110" t="s">
        <v>103</v>
      </c>
      <c r="F190" s="109" t="s">
        <v>113</v>
      </c>
      <c r="G190" s="111" t="s">
        <v>1154</v>
      </c>
      <c r="H190" s="58">
        <v>180</v>
      </c>
      <c r="I190" s="111" t="s">
        <v>66</v>
      </c>
      <c r="J190">
        <f t="shared" si="5"/>
        <v>16</v>
      </c>
    </row>
    <row r="191" spans="1:10">
      <c r="A191" s="7">
        <v>17</v>
      </c>
      <c r="B191" s="58">
        <v>118</v>
      </c>
      <c r="C191" s="109" t="s">
        <v>1385</v>
      </c>
      <c r="D191" s="110">
        <v>10170820014</v>
      </c>
      <c r="E191" s="110" t="s">
        <v>103</v>
      </c>
      <c r="F191" s="109" t="s">
        <v>285</v>
      </c>
      <c r="G191" s="111" t="s">
        <v>1154</v>
      </c>
      <c r="H191" s="58">
        <v>181</v>
      </c>
      <c r="I191" s="111" t="s">
        <v>66</v>
      </c>
      <c r="J191">
        <f t="shared" si="5"/>
        <v>17</v>
      </c>
    </row>
    <row r="192" spans="1:10" ht="15.75">
      <c r="A192" s="7">
        <v>18</v>
      </c>
      <c r="B192" s="21">
        <v>170</v>
      </c>
      <c r="C192" s="109" t="s">
        <v>1386</v>
      </c>
      <c r="D192" s="110" t="s">
        <v>1387</v>
      </c>
      <c r="E192" s="110" t="s">
        <v>103</v>
      </c>
      <c r="F192" s="109" t="s">
        <v>1388</v>
      </c>
      <c r="G192" s="111" t="s">
        <v>1154</v>
      </c>
      <c r="H192" s="58">
        <v>182</v>
      </c>
      <c r="I192" s="111" t="s">
        <v>66</v>
      </c>
      <c r="J192">
        <f t="shared" si="5"/>
        <v>18</v>
      </c>
    </row>
    <row r="193" spans="1:10">
      <c r="A193" s="7">
        <v>19</v>
      </c>
      <c r="B193" s="58">
        <v>147</v>
      </c>
      <c r="C193" s="109" t="s">
        <v>266</v>
      </c>
      <c r="D193" s="110">
        <v>10173505601</v>
      </c>
      <c r="E193" s="110" t="s">
        <v>103</v>
      </c>
      <c r="F193" s="109" t="s">
        <v>115</v>
      </c>
      <c r="G193" s="111" t="s">
        <v>1154</v>
      </c>
      <c r="H193" s="58">
        <v>183</v>
      </c>
      <c r="I193" s="111" t="s">
        <v>66</v>
      </c>
      <c r="J193">
        <f t="shared" si="5"/>
        <v>19</v>
      </c>
    </row>
    <row r="194" spans="1:10" ht="15.75">
      <c r="A194" s="7">
        <v>20</v>
      </c>
      <c r="B194" s="21">
        <v>124</v>
      </c>
      <c r="C194" s="109" t="s">
        <v>218</v>
      </c>
      <c r="D194" s="110">
        <v>10171656234</v>
      </c>
      <c r="E194" s="110" t="s">
        <v>103</v>
      </c>
      <c r="F194" s="109" t="s">
        <v>113</v>
      </c>
      <c r="G194" s="111" t="s">
        <v>1154</v>
      </c>
      <c r="H194" s="58">
        <v>184</v>
      </c>
      <c r="I194" s="111" t="s">
        <v>66</v>
      </c>
      <c r="J194">
        <f>A194</f>
        <v>20</v>
      </c>
    </row>
    <row r="195" spans="1:10">
      <c r="A195" s="7">
        <v>21</v>
      </c>
      <c r="B195" s="58">
        <v>161</v>
      </c>
      <c r="C195" s="109" t="s">
        <v>1389</v>
      </c>
      <c r="D195" s="110">
        <v>10152284728</v>
      </c>
      <c r="E195" s="110" t="s">
        <v>103</v>
      </c>
      <c r="F195" s="109" t="s">
        <v>1390</v>
      </c>
      <c r="G195" s="111" t="s">
        <v>1198</v>
      </c>
      <c r="H195" s="58">
        <v>185</v>
      </c>
      <c r="I195" s="111" t="s">
        <v>66</v>
      </c>
      <c r="J195">
        <f>A195</f>
        <v>21</v>
      </c>
    </row>
    <row r="196" spans="1:10" ht="15.75">
      <c r="A196" s="7">
        <v>22</v>
      </c>
      <c r="B196" s="21">
        <v>108</v>
      </c>
      <c r="C196" s="109" t="s">
        <v>1391</v>
      </c>
      <c r="D196" s="110">
        <v>10152456092</v>
      </c>
      <c r="E196" s="110" t="s">
        <v>103</v>
      </c>
      <c r="F196" s="109" t="s">
        <v>983</v>
      </c>
      <c r="G196" s="111" t="s">
        <v>1198</v>
      </c>
      <c r="H196" s="58">
        <v>186</v>
      </c>
      <c r="I196" s="111" t="s">
        <v>66</v>
      </c>
      <c r="J196">
        <f>A196</f>
        <v>22</v>
      </c>
    </row>
    <row r="197" spans="1:10">
      <c r="A197" s="7">
        <v>23</v>
      </c>
      <c r="B197" s="58">
        <v>166</v>
      </c>
      <c r="C197" s="109" t="s">
        <v>233</v>
      </c>
      <c r="D197" s="110">
        <v>10131783069</v>
      </c>
      <c r="E197" s="110" t="s">
        <v>103</v>
      </c>
      <c r="F197" s="109" t="s">
        <v>84</v>
      </c>
      <c r="G197" s="111" t="s">
        <v>1198</v>
      </c>
      <c r="H197" s="58">
        <v>187</v>
      </c>
      <c r="I197" s="111" t="s">
        <v>66</v>
      </c>
      <c r="J197">
        <f>A197</f>
        <v>23</v>
      </c>
    </row>
    <row r="198" spans="1:10">
      <c r="A198" s="7">
        <v>24</v>
      </c>
      <c r="B198" s="58">
        <v>168</v>
      </c>
      <c r="C198" s="109" t="s">
        <v>1392</v>
      </c>
      <c r="D198" s="110">
        <v>10168944678</v>
      </c>
      <c r="E198" s="110" t="s">
        <v>103</v>
      </c>
      <c r="F198" s="109" t="s">
        <v>109</v>
      </c>
      <c r="G198" s="111" t="s">
        <v>1198</v>
      </c>
      <c r="H198" s="58">
        <v>188</v>
      </c>
      <c r="I198" s="111" t="s">
        <v>66</v>
      </c>
      <c r="J198">
        <f>A198</f>
        <v>24</v>
      </c>
    </row>
    <row r="199" spans="1:10">
      <c r="A199" s="7">
        <v>25</v>
      </c>
      <c r="B199" s="58">
        <v>163</v>
      </c>
      <c r="C199" s="109" t="s">
        <v>225</v>
      </c>
      <c r="D199" s="110">
        <v>11543</v>
      </c>
      <c r="E199" s="110" t="s">
        <v>103</v>
      </c>
      <c r="F199" s="109" t="s">
        <v>226</v>
      </c>
      <c r="G199" s="111" t="s">
        <v>1198</v>
      </c>
      <c r="H199" s="58">
        <v>189</v>
      </c>
      <c r="I199" s="111" t="s">
        <v>66</v>
      </c>
      <c r="J199">
        <f>A199</f>
        <v>25</v>
      </c>
    </row>
    <row r="200" spans="1:10">
      <c r="A200" s="7">
        <v>26</v>
      </c>
      <c r="B200" s="58">
        <v>143</v>
      </c>
      <c r="C200" s="109" t="s">
        <v>1393</v>
      </c>
      <c r="D200" s="110">
        <v>10166647596</v>
      </c>
      <c r="E200" s="110" t="s">
        <v>103</v>
      </c>
      <c r="F200" s="109" t="s">
        <v>390</v>
      </c>
      <c r="G200" s="111" t="s">
        <v>1198</v>
      </c>
      <c r="H200" s="58">
        <v>190</v>
      </c>
      <c r="I200" s="111" t="s">
        <v>66</v>
      </c>
      <c r="J200">
        <f>A200</f>
        <v>26</v>
      </c>
    </row>
    <row r="201" spans="1:10">
      <c r="A201" s="7">
        <v>27</v>
      </c>
      <c r="B201" s="58">
        <v>169</v>
      </c>
      <c r="C201" s="109" t="s">
        <v>1394</v>
      </c>
      <c r="D201" s="110">
        <v>765065370</v>
      </c>
      <c r="E201" s="110" t="s">
        <v>103</v>
      </c>
      <c r="F201" s="109" t="s">
        <v>1313</v>
      </c>
      <c r="G201" s="111" t="s">
        <v>1198</v>
      </c>
      <c r="H201" s="58">
        <v>191</v>
      </c>
      <c r="I201" s="111" t="s">
        <v>66</v>
      </c>
      <c r="J201">
        <f>A201</f>
        <v>27</v>
      </c>
    </row>
    <row r="202" spans="1:10" ht="15.75">
      <c r="A202" s="7">
        <v>28</v>
      </c>
      <c r="B202" s="21">
        <v>162</v>
      </c>
      <c r="C202" s="109" t="s">
        <v>611</v>
      </c>
      <c r="D202" s="110">
        <v>10161111728</v>
      </c>
      <c r="E202" s="110" t="s">
        <v>103</v>
      </c>
      <c r="F202" s="109" t="s">
        <v>135</v>
      </c>
      <c r="G202" s="111" t="s">
        <v>1198</v>
      </c>
      <c r="H202" s="58">
        <v>192</v>
      </c>
      <c r="I202" s="111" t="s">
        <v>66</v>
      </c>
      <c r="J202">
        <f>A202</f>
        <v>28</v>
      </c>
    </row>
    <row r="203" spans="1:10" ht="15.75">
      <c r="A203" s="7">
        <v>29</v>
      </c>
      <c r="B203" s="21">
        <v>164</v>
      </c>
      <c r="C203" s="109" t="s">
        <v>1395</v>
      </c>
      <c r="D203" s="110">
        <v>10164035670</v>
      </c>
      <c r="E203" s="110" t="s">
        <v>103</v>
      </c>
      <c r="F203" s="109" t="s">
        <v>155</v>
      </c>
      <c r="G203" s="111" t="s">
        <v>1226</v>
      </c>
      <c r="H203" s="58">
        <v>193</v>
      </c>
      <c r="I203" s="111" t="s">
        <v>66</v>
      </c>
      <c r="J203">
        <f>A203</f>
        <v>29</v>
      </c>
    </row>
    <row r="204" spans="1:10" ht="15.75">
      <c r="A204" s="7">
        <v>30</v>
      </c>
      <c r="B204" s="21">
        <v>167</v>
      </c>
      <c r="C204" s="109" t="s">
        <v>1396</v>
      </c>
      <c r="D204" s="110">
        <v>10152458823</v>
      </c>
      <c r="E204" s="110" t="s">
        <v>103</v>
      </c>
      <c r="F204" s="109" t="s">
        <v>177</v>
      </c>
      <c r="G204" s="111" t="s">
        <v>1226</v>
      </c>
      <c r="H204" s="58">
        <v>194</v>
      </c>
      <c r="I204" s="111" t="s">
        <v>66</v>
      </c>
      <c r="J204">
        <f>A204</f>
        <v>30</v>
      </c>
    </row>
    <row r="205" spans="1:10" ht="15.75">
      <c r="A205" s="7">
        <v>31</v>
      </c>
      <c r="B205" s="21">
        <v>106</v>
      </c>
      <c r="C205" s="109" t="s">
        <v>240</v>
      </c>
      <c r="D205" s="110">
        <v>10119593506</v>
      </c>
      <c r="E205" s="110" t="s">
        <v>103</v>
      </c>
      <c r="F205" s="109" t="s">
        <v>71</v>
      </c>
      <c r="G205" s="111" t="s">
        <v>105</v>
      </c>
      <c r="H205" s="58">
        <v>195</v>
      </c>
      <c r="I205" s="111" t="s">
        <v>66</v>
      </c>
      <c r="J205">
        <f>A205</f>
        <v>31</v>
      </c>
    </row>
    <row r="206" spans="1:10">
      <c r="A206" s="7"/>
      <c r="B206" s="58">
        <v>165</v>
      </c>
      <c r="C206" s="109" t="s">
        <v>1397</v>
      </c>
      <c r="D206" s="110">
        <v>10129953611</v>
      </c>
      <c r="E206" s="110" t="s">
        <v>103</v>
      </c>
      <c r="F206" s="109" t="s">
        <v>726</v>
      </c>
      <c r="G206" s="111" t="s">
        <v>106</v>
      </c>
      <c r="H206" s="58">
        <v>163</v>
      </c>
      <c r="I206" s="111" t="s">
        <v>66</v>
      </c>
      <c r="J206">
        <f>A206</f>
        <v>0</v>
      </c>
    </row>
    <row r="207" spans="1:10">
      <c r="A207" s="7"/>
      <c r="B207" s="58">
        <v>105</v>
      </c>
      <c r="C207" s="109" t="s">
        <v>213</v>
      </c>
      <c r="D207" s="110">
        <v>10141533185</v>
      </c>
      <c r="E207" s="110" t="s">
        <v>103</v>
      </c>
      <c r="F207" s="109" t="s">
        <v>1398</v>
      </c>
      <c r="G207" s="111" t="s">
        <v>106</v>
      </c>
      <c r="H207" s="58">
        <v>164</v>
      </c>
      <c r="I207" s="111" t="s">
        <v>66</v>
      </c>
      <c r="J207">
        <f>A207</f>
        <v>0</v>
      </c>
    </row>
    <row r="208" spans="1:10">
      <c r="A208" s="7"/>
      <c r="B208" s="58"/>
      <c r="D208" s="110"/>
      <c r="E208" s="110"/>
      <c r="G208" s="111"/>
      <c r="H208" s="58"/>
      <c r="I208" s="111"/>
      <c r="J208">
        <f>A208</f>
        <v>0</v>
      </c>
    </row>
    <row r="209" spans="1:10">
      <c r="A209" s="7">
        <v>1</v>
      </c>
      <c r="B209" s="58">
        <v>85</v>
      </c>
      <c r="C209" s="109" t="s">
        <v>153</v>
      </c>
      <c r="D209" s="110">
        <v>10059847263</v>
      </c>
      <c r="E209" s="110" t="s">
        <v>103</v>
      </c>
      <c r="F209" s="109" t="s">
        <v>1399</v>
      </c>
      <c r="G209" s="111">
        <v>1.4965277777777777E-2</v>
      </c>
      <c r="H209" s="58">
        <v>197</v>
      </c>
      <c r="I209" s="111"/>
      <c r="J209">
        <f>A209</f>
        <v>1</v>
      </c>
    </row>
    <row r="210" spans="1:10">
      <c r="A210" s="58">
        <v>2</v>
      </c>
      <c r="B210" s="109">
        <v>84</v>
      </c>
      <c r="C210" s="109" t="s">
        <v>1400</v>
      </c>
      <c r="D210" s="109">
        <v>10052898528</v>
      </c>
      <c r="E210" s="109" t="s">
        <v>103</v>
      </c>
      <c r="F210" s="109" t="s">
        <v>1401</v>
      </c>
      <c r="G210" s="109">
        <v>1.5879629629629629E-2</v>
      </c>
      <c r="H210" s="109">
        <v>199</v>
      </c>
      <c r="I210" s="109">
        <v>9.1435185185185196E-4</v>
      </c>
      <c r="J210">
        <f>A210</f>
        <v>2</v>
      </c>
    </row>
    <row r="211" spans="1:10">
      <c r="A211" s="58">
        <v>3</v>
      </c>
      <c r="B211" s="109">
        <v>91</v>
      </c>
      <c r="C211" s="109" t="s">
        <v>1026</v>
      </c>
      <c r="D211" s="109">
        <v>10077498132</v>
      </c>
      <c r="E211" s="109" t="s">
        <v>103</v>
      </c>
      <c r="F211" s="109" t="s">
        <v>114</v>
      </c>
      <c r="G211" s="109">
        <v>1.6666666666666666E-2</v>
      </c>
      <c r="H211" s="109">
        <v>200</v>
      </c>
      <c r="I211" s="109">
        <v>1.7013888888888894E-3</v>
      </c>
      <c r="J211">
        <f>A211</f>
        <v>3</v>
      </c>
    </row>
    <row r="212" spans="1:10">
      <c r="A212" s="58">
        <v>4</v>
      </c>
      <c r="B212" s="109">
        <v>92</v>
      </c>
      <c r="C212" s="109" t="s">
        <v>1027</v>
      </c>
      <c r="D212" s="109">
        <v>10077498435</v>
      </c>
      <c r="E212" s="109" t="s">
        <v>103</v>
      </c>
      <c r="F212" s="109" t="s">
        <v>114</v>
      </c>
      <c r="G212" s="109">
        <v>1.7384259259259259E-2</v>
      </c>
      <c r="H212" s="109">
        <v>201</v>
      </c>
      <c r="I212" s="109">
        <v>2.418981481481482E-3</v>
      </c>
      <c r="J212">
        <f>A212</f>
        <v>4</v>
      </c>
    </row>
    <row r="213" spans="1:10">
      <c r="A213" s="58">
        <v>5</v>
      </c>
      <c r="B213" s="109">
        <v>87</v>
      </c>
      <c r="C213" s="109" t="s">
        <v>592</v>
      </c>
      <c r="D213" s="109">
        <v>10112699836</v>
      </c>
      <c r="E213" s="109" t="s">
        <v>103</v>
      </c>
      <c r="F213" s="109" t="s">
        <v>138</v>
      </c>
      <c r="G213" s="109" t="s">
        <v>107</v>
      </c>
      <c r="H213" s="109">
        <v>209</v>
      </c>
      <c r="I213" s="109" t="s">
        <v>6</v>
      </c>
      <c r="J213">
        <f>A213</f>
        <v>5</v>
      </c>
    </row>
    <row r="214" spans="1:10">
      <c r="A214" s="58">
        <v>6</v>
      </c>
      <c r="B214" s="109">
        <v>95</v>
      </c>
      <c r="C214" s="109" t="s">
        <v>203</v>
      </c>
      <c r="D214" s="109">
        <v>10120014242</v>
      </c>
      <c r="E214" s="109" t="s">
        <v>103</v>
      </c>
      <c r="F214" s="109" t="s">
        <v>204</v>
      </c>
      <c r="G214" s="109" t="s">
        <v>1154</v>
      </c>
      <c r="H214" s="109">
        <v>211</v>
      </c>
      <c r="I214" s="109" t="s">
        <v>6</v>
      </c>
      <c r="J214">
        <f>A214</f>
        <v>6</v>
      </c>
    </row>
    <row r="215" spans="1:10">
      <c r="A215" s="58">
        <v>7</v>
      </c>
      <c r="B215" s="109">
        <v>94</v>
      </c>
      <c r="C215" s="109" t="s">
        <v>1030</v>
      </c>
      <c r="D215" s="109">
        <v>10076571982</v>
      </c>
      <c r="E215" s="109" t="s">
        <v>103</v>
      </c>
      <c r="F215" s="109" t="s">
        <v>139</v>
      </c>
      <c r="G215" s="109" t="s">
        <v>1198</v>
      </c>
      <c r="H215" s="109">
        <v>212</v>
      </c>
      <c r="I215" s="109" t="s">
        <v>6</v>
      </c>
      <c r="J215">
        <f>A215</f>
        <v>7</v>
      </c>
    </row>
    <row r="216" spans="1:10">
      <c r="A216" s="58"/>
      <c r="J216">
        <f>A216</f>
        <v>0</v>
      </c>
    </row>
    <row r="217" spans="1:10">
      <c r="A217" s="58">
        <v>1</v>
      </c>
      <c r="B217" s="109">
        <v>263</v>
      </c>
      <c r="C217" s="109" t="s">
        <v>1402</v>
      </c>
      <c r="D217" s="109">
        <v>10122460056</v>
      </c>
      <c r="E217" s="109" t="s">
        <v>103</v>
      </c>
      <c r="F217" s="109" t="s">
        <v>868</v>
      </c>
      <c r="G217" s="109">
        <v>1.7511574074074075E-2</v>
      </c>
      <c r="H217" s="109">
        <v>202</v>
      </c>
      <c r="J217">
        <f>A217</f>
        <v>1</v>
      </c>
    </row>
    <row r="218" spans="1:10">
      <c r="A218" s="58">
        <v>2</v>
      </c>
      <c r="B218" s="109">
        <v>264</v>
      </c>
      <c r="C218" s="109" t="s">
        <v>269</v>
      </c>
      <c r="D218" s="109">
        <v>10141535916</v>
      </c>
      <c r="E218" s="109" t="s">
        <v>103</v>
      </c>
      <c r="F218" s="109" t="s">
        <v>647</v>
      </c>
      <c r="G218" s="109">
        <v>1.8958333333333334E-2</v>
      </c>
      <c r="H218" s="109">
        <v>203</v>
      </c>
      <c r="I218" s="109">
        <v>1.4467592592592587E-3</v>
      </c>
      <c r="J218">
        <f>A218</f>
        <v>2</v>
      </c>
    </row>
    <row r="219" spans="1:10">
      <c r="A219" s="58">
        <v>3</v>
      </c>
      <c r="B219" s="109">
        <v>266</v>
      </c>
      <c r="C219" s="109" t="s">
        <v>271</v>
      </c>
      <c r="D219" s="109">
        <v>10103913858</v>
      </c>
      <c r="E219" s="109" t="s">
        <v>6</v>
      </c>
      <c r="F219" s="109" t="s">
        <v>137</v>
      </c>
      <c r="G219" s="109" t="s">
        <v>107</v>
      </c>
      <c r="H219" s="109">
        <v>210</v>
      </c>
      <c r="I219" s="109" t="s">
        <v>6</v>
      </c>
      <c r="J219">
        <f>A219</f>
        <v>3</v>
      </c>
    </row>
    <row r="220" spans="1:10">
      <c r="A220" s="58">
        <v>4</v>
      </c>
      <c r="B220" s="109">
        <v>265</v>
      </c>
      <c r="C220" s="109" t="s">
        <v>1403</v>
      </c>
      <c r="D220" s="109">
        <v>10164933831</v>
      </c>
      <c r="E220" s="109" t="s">
        <v>103</v>
      </c>
      <c r="F220" s="109" t="s">
        <v>133</v>
      </c>
      <c r="G220" s="109" t="s">
        <v>1198</v>
      </c>
      <c r="H220" s="109">
        <v>213</v>
      </c>
      <c r="I220" s="109" t="s">
        <v>6</v>
      </c>
      <c r="J220">
        <f>A220</f>
        <v>4</v>
      </c>
    </row>
    <row r="221" spans="1:10">
      <c r="A221" s="58"/>
      <c r="J221">
        <f>A221</f>
        <v>0</v>
      </c>
    </row>
    <row r="222" spans="1:10">
      <c r="A222" s="58">
        <v>1</v>
      </c>
      <c r="B222" s="109">
        <v>935</v>
      </c>
      <c r="C222" s="109" t="s">
        <v>921</v>
      </c>
      <c r="D222" s="109">
        <v>10083854965</v>
      </c>
      <c r="E222" s="109" t="s">
        <v>103</v>
      </c>
      <c r="F222" s="109" t="s">
        <v>1404</v>
      </c>
      <c r="G222" s="109">
        <v>1.5370370370370371E-2</v>
      </c>
      <c r="H222" s="109">
        <v>204</v>
      </c>
      <c r="I222" s="109" t="s">
        <v>6</v>
      </c>
      <c r="J222">
        <f>A222</f>
        <v>1</v>
      </c>
    </row>
    <row r="223" spans="1:10">
      <c r="A223" s="58">
        <v>2</v>
      </c>
      <c r="B223" s="109">
        <v>932</v>
      </c>
      <c r="C223" s="109" t="s">
        <v>826</v>
      </c>
      <c r="D223" s="109">
        <v>10121261300</v>
      </c>
      <c r="E223" s="109" t="s">
        <v>103</v>
      </c>
      <c r="F223" s="109" t="s">
        <v>498</v>
      </c>
      <c r="G223" s="109">
        <v>1.6018518518518519E-2</v>
      </c>
      <c r="H223" s="109">
        <v>205</v>
      </c>
      <c r="I223" s="109">
        <v>6.481481481481477E-4</v>
      </c>
      <c r="J223">
        <f>A223</f>
        <v>2</v>
      </c>
    </row>
    <row r="224" spans="1:10">
      <c r="A224" s="58">
        <v>3</v>
      </c>
      <c r="B224" s="109">
        <v>934</v>
      </c>
      <c r="C224" s="109" t="s">
        <v>501</v>
      </c>
      <c r="D224" s="109">
        <v>10133198663</v>
      </c>
      <c r="E224" s="109" t="s">
        <v>103</v>
      </c>
      <c r="F224" s="109" t="s">
        <v>1405</v>
      </c>
      <c r="G224" s="109">
        <v>1.7245370370370373E-2</v>
      </c>
      <c r="H224" s="109">
        <v>206</v>
      </c>
      <c r="I224" s="109">
        <v>1.8750000000000017E-3</v>
      </c>
      <c r="J224">
        <f>A224</f>
        <v>3</v>
      </c>
    </row>
    <row r="225" spans="1:10">
      <c r="A225" s="58"/>
      <c r="J225">
        <f>A225</f>
        <v>0</v>
      </c>
    </row>
    <row r="226" spans="1:10">
      <c r="A226" s="58">
        <v>1</v>
      </c>
      <c r="B226" s="109">
        <v>951</v>
      </c>
      <c r="C226" s="109" t="s">
        <v>161</v>
      </c>
      <c r="D226" s="109">
        <v>10101986689</v>
      </c>
      <c r="E226" s="109" t="s">
        <v>103</v>
      </c>
      <c r="F226" s="109" t="s">
        <v>1406</v>
      </c>
      <c r="G226" s="109">
        <v>1.6331018518518519E-2</v>
      </c>
      <c r="I226" s="109" t="s">
        <v>6</v>
      </c>
      <c r="J226">
        <f>A226</f>
        <v>1</v>
      </c>
    </row>
    <row r="227" spans="1:10">
      <c r="A227" s="58">
        <v>2</v>
      </c>
      <c r="B227" s="109">
        <v>956</v>
      </c>
      <c r="C227" s="109" t="s">
        <v>1407</v>
      </c>
      <c r="D227" s="109">
        <v>10116040878</v>
      </c>
      <c r="E227" s="109" t="s">
        <v>103</v>
      </c>
      <c r="F227" s="109" t="s">
        <v>70</v>
      </c>
      <c r="G227" s="109">
        <v>1.9340277777777779E-2</v>
      </c>
      <c r="I227" s="109">
        <v>3.0092592592592601E-3</v>
      </c>
      <c r="J227">
        <f>A227</f>
        <v>2</v>
      </c>
    </row>
    <row r="228" spans="1:10">
      <c r="A228" s="58"/>
      <c r="J228">
        <f>A228</f>
        <v>0</v>
      </c>
    </row>
    <row r="229" spans="1:10">
      <c r="A229" s="58">
        <v>1</v>
      </c>
      <c r="B229" s="109">
        <v>13</v>
      </c>
      <c r="C229" s="109" t="s">
        <v>997</v>
      </c>
      <c r="D229" s="109">
        <v>10088970101</v>
      </c>
      <c r="E229" s="109" t="s">
        <v>103</v>
      </c>
      <c r="F229" s="109" t="s">
        <v>1408</v>
      </c>
      <c r="G229" s="109">
        <v>1.7534722222222222E-2</v>
      </c>
      <c r="H229" s="109">
        <v>214</v>
      </c>
      <c r="J229">
        <f>A229</f>
        <v>1</v>
      </c>
    </row>
    <row r="230" spans="1:10">
      <c r="A230" s="58">
        <v>2</v>
      </c>
      <c r="B230" s="109">
        <v>3</v>
      </c>
      <c r="C230" s="109" t="s">
        <v>1409</v>
      </c>
      <c r="D230" s="109">
        <v>10009200331</v>
      </c>
      <c r="E230" s="109" t="s">
        <v>103</v>
      </c>
      <c r="F230" s="109" t="s">
        <v>566</v>
      </c>
      <c r="G230" s="109">
        <v>1.7812499999999998E-2</v>
      </c>
      <c r="H230" s="109">
        <v>215</v>
      </c>
      <c r="I230" s="109">
        <v>2.777777777777761E-4</v>
      </c>
      <c r="J230">
        <f>A230</f>
        <v>2</v>
      </c>
    </row>
    <row r="231" spans="1:10">
      <c r="A231" s="58">
        <v>3</v>
      </c>
      <c r="B231" s="109">
        <v>23</v>
      </c>
      <c r="C231" s="109" t="s">
        <v>171</v>
      </c>
      <c r="D231" s="109">
        <v>10092456037</v>
      </c>
      <c r="E231" s="109" t="s">
        <v>103</v>
      </c>
      <c r="F231" s="109" t="s">
        <v>100</v>
      </c>
      <c r="G231" s="109">
        <v>1.8206018518518517E-2</v>
      </c>
      <c r="H231" s="109">
        <v>216</v>
      </c>
      <c r="I231" s="109">
        <v>6.7129629629629484E-4</v>
      </c>
      <c r="J231">
        <f>A231</f>
        <v>3</v>
      </c>
    </row>
    <row r="232" spans="1:10">
      <c r="A232" s="58">
        <v>4</v>
      </c>
      <c r="B232" s="109">
        <v>12</v>
      </c>
      <c r="C232" s="109" t="s">
        <v>143</v>
      </c>
      <c r="D232" s="109">
        <v>10051220327</v>
      </c>
      <c r="E232" s="109" t="s">
        <v>103</v>
      </c>
      <c r="F232" s="109" t="s">
        <v>175</v>
      </c>
      <c r="G232" s="109">
        <v>1.8217592592592594E-2</v>
      </c>
      <c r="H232" s="109">
        <v>217</v>
      </c>
      <c r="I232" s="109">
        <v>6.8287037037037188E-4</v>
      </c>
      <c r="J232">
        <f>A232</f>
        <v>4</v>
      </c>
    </row>
    <row r="233" spans="1:10">
      <c r="A233" s="58">
        <v>5</v>
      </c>
      <c r="B233" s="109">
        <v>25</v>
      </c>
      <c r="C233" s="109" t="s">
        <v>173</v>
      </c>
      <c r="D233" s="109">
        <v>10076890971</v>
      </c>
      <c r="E233" s="109" t="s">
        <v>103</v>
      </c>
      <c r="F233" s="109" t="s">
        <v>114</v>
      </c>
      <c r="G233" s="109">
        <v>1.8599537037037036E-2</v>
      </c>
      <c r="H233" s="109">
        <v>218</v>
      </c>
      <c r="I233" s="109">
        <v>1.0648148148148136E-3</v>
      </c>
      <c r="J233">
        <f>A233</f>
        <v>5</v>
      </c>
    </row>
    <row r="234" spans="1:10">
      <c r="A234" s="58">
        <v>6</v>
      </c>
      <c r="B234" s="109">
        <v>28</v>
      </c>
      <c r="C234" s="109" t="s">
        <v>186</v>
      </c>
      <c r="D234" s="109">
        <v>10120369001</v>
      </c>
      <c r="E234" s="109" t="s">
        <v>6</v>
      </c>
      <c r="F234" s="109" t="s">
        <v>100</v>
      </c>
      <c r="G234" s="109" t="s">
        <v>107</v>
      </c>
      <c r="H234" s="109">
        <v>219</v>
      </c>
      <c r="I234" s="109" t="s">
        <v>6</v>
      </c>
      <c r="J234">
        <f>A234</f>
        <v>6</v>
      </c>
    </row>
    <row r="235" spans="1:10">
      <c r="A235" s="58">
        <v>7</v>
      </c>
      <c r="B235" s="109">
        <v>29</v>
      </c>
      <c r="C235" s="109" t="s">
        <v>1006</v>
      </c>
      <c r="D235" s="109" t="s">
        <v>1264</v>
      </c>
      <c r="E235" s="109" t="s">
        <v>103</v>
      </c>
      <c r="F235" s="109" t="s">
        <v>100</v>
      </c>
      <c r="G235" s="109" t="s">
        <v>104</v>
      </c>
      <c r="H235" s="109">
        <v>220</v>
      </c>
      <c r="I235" s="109" t="s">
        <v>6</v>
      </c>
      <c r="J235">
        <f>A235</f>
        <v>7</v>
      </c>
    </row>
    <row r="236" spans="1:10">
      <c r="A236" s="58">
        <v>8</v>
      </c>
      <c r="B236" s="109">
        <v>37</v>
      </c>
      <c r="C236" s="109" t="s">
        <v>192</v>
      </c>
      <c r="D236" s="109">
        <v>10120252500</v>
      </c>
      <c r="E236" s="109" t="s">
        <v>103</v>
      </c>
      <c r="F236" s="109" t="s">
        <v>1410</v>
      </c>
      <c r="G236" s="109" t="s">
        <v>1154</v>
      </c>
      <c r="H236" s="109">
        <v>221</v>
      </c>
      <c r="I236" s="109" t="s">
        <v>6</v>
      </c>
      <c r="J236">
        <f>A236</f>
        <v>8</v>
      </c>
    </row>
    <row r="237" spans="1:10">
      <c r="A237" s="58">
        <v>9</v>
      </c>
      <c r="B237" s="109">
        <v>35</v>
      </c>
      <c r="C237" s="109" t="s">
        <v>1011</v>
      </c>
      <c r="D237" s="109">
        <v>10113953358</v>
      </c>
      <c r="E237" s="109" t="s">
        <v>103</v>
      </c>
      <c r="F237" s="109" t="s">
        <v>114</v>
      </c>
      <c r="G237" s="109" t="s">
        <v>1154</v>
      </c>
      <c r="H237" s="109">
        <v>222</v>
      </c>
      <c r="I237" s="109" t="s">
        <v>6</v>
      </c>
      <c r="J237">
        <f>A237</f>
        <v>9</v>
      </c>
    </row>
    <row r="238" spans="1:10">
      <c r="A238" s="58">
        <v>10</v>
      </c>
      <c r="B238" s="109">
        <v>27</v>
      </c>
      <c r="C238" s="109" t="s">
        <v>180</v>
      </c>
      <c r="D238" s="109">
        <v>10103820090</v>
      </c>
      <c r="E238" s="109" t="s">
        <v>6</v>
      </c>
      <c r="F238" s="109" t="s">
        <v>114</v>
      </c>
      <c r="G238" s="109" t="s">
        <v>1154</v>
      </c>
      <c r="H238" s="109">
        <v>223</v>
      </c>
      <c r="I238" s="109" t="s">
        <v>6</v>
      </c>
      <c r="J238">
        <f>A238</f>
        <v>10</v>
      </c>
    </row>
    <row r="239" spans="1:10">
      <c r="A239" s="58">
        <v>11</v>
      </c>
      <c r="B239" s="109">
        <v>39</v>
      </c>
      <c r="C239" s="109" t="s">
        <v>1411</v>
      </c>
      <c r="D239" s="109">
        <v>10109151656</v>
      </c>
      <c r="E239" s="109" t="s">
        <v>103</v>
      </c>
      <c r="F239" s="109" t="s">
        <v>175</v>
      </c>
      <c r="G239" s="109" t="s">
        <v>1226</v>
      </c>
      <c r="H239" s="109">
        <v>224</v>
      </c>
      <c r="I239" s="109" t="s">
        <v>6</v>
      </c>
      <c r="J239">
        <f>A239</f>
        <v>11</v>
      </c>
    </row>
    <row r="240" spans="1:10">
      <c r="A240" s="58">
        <v>12</v>
      </c>
      <c r="B240" s="109">
        <v>26</v>
      </c>
      <c r="C240" s="109" t="s">
        <v>1005</v>
      </c>
      <c r="D240" s="109">
        <v>10089547148</v>
      </c>
      <c r="E240" s="109" t="s">
        <v>103</v>
      </c>
      <c r="F240" s="109" t="s">
        <v>114</v>
      </c>
      <c r="G240" s="109" t="s">
        <v>1226</v>
      </c>
      <c r="H240" s="109">
        <v>225</v>
      </c>
      <c r="I240" s="109" t="s">
        <v>6</v>
      </c>
      <c r="J240">
        <f>A240</f>
        <v>12</v>
      </c>
    </row>
    <row r="241" spans="1:10">
      <c r="A241" s="58">
        <v>13</v>
      </c>
      <c r="B241" s="109">
        <v>30</v>
      </c>
      <c r="C241" s="109" t="s">
        <v>176</v>
      </c>
      <c r="D241" s="109">
        <v>10140483767</v>
      </c>
      <c r="E241" s="109" t="s">
        <v>103</v>
      </c>
      <c r="F241" s="109" t="s">
        <v>85</v>
      </c>
      <c r="G241" s="109" t="s">
        <v>1240</v>
      </c>
      <c r="H241" s="109">
        <v>226</v>
      </c>
      <c r="I241" s="109" t="s">
        <v>6</v>
      </c>
      <c r="J241">
        <f>A241</f>
        <v>13</v>
      </c>
    </row>
    <row r="242" spans="1:10">
      <c r="A242" s="58">
        <v>14</v>
      </c>
      <c r="B242" s="109">
        <v>40</v>
      </c>
      <c r="C242" s="109" t="s">
        <v>1412</v>
      </c>
      <c r="D242" s="109">
        <v>10154842595</v>
      </c>
      <c r="E242" s="109" t="s">
        <v>6</v>
      </c>
      <c r="F242" s="109" t="s">
        <v>109</v>
      </c>
      <c r="G242" s="109" t="s">
        <v>1240</v>
      </c>
      <c r="H242" s="109">
        <v>227</v>
      </c>
      <c r="I242" s="109" t="s">
        <v>6</v>
      </c>
      <c r="J242">
        <f>A242</f>
        <v>14</v>
      </c>
    </row>
    <row r="243" spans="1:10">
      <c r="A243" s="58"/>
      <c r="B243" s="109">
        <v>10</v>
      </c>
      <c r="C243" s="109" t="s">
        <v>174</v>
      </c>
      <c r="D243" s="109">
        <v>10075992208</v>
      </c>
      <c r="E243" s="109" t="s">
        <v>103</v>
      </c>
      <c r="F243" s="109" t="s">
        <v>115</v>
      </c>
      <c r="G243" s="109" t="s">
        <v>106</v>
      </c>
      <c r="H243" s="109">
        <v>228</v>
      </c>
      <c r="I243" s="109" t="s">
        <v>6</v>
      </c>
      <c r="J243">
        <f>A243</f>
        <v>0</v>
      </c>
    </row>
    <row r="244" spans="1:10">
      <c r="A244" s="58"/>
      <c r="J244">
        <f>A244</f>
        <v>0</v>
      </c>
    </row>
    <row r="245" spans="1:10">
      <c r="J245">
        <f>ResXCO!A2</f>
        <v>1</v>
      </c>
    </row>
    <row r="246" spans="1:10">
      <c r="J246">
        <f>ResXCO!A3</f>
        <v>2</v>
      </c>
    </row>
    <row r="247" spans="1:10">
      <c r="J247">
        <f>ResXCO!A4</f>
        <v>3</v>
      </c>
    </row>
    <row r="248" spans="1:10">
      <c r="J248">
        <f>ResXCO!A5</f>
        <v>4</v>
      </c>
    </row>
    <row r="249" spans="1:10">
      <c r="J249">
        <f>ResXCO!A6</f>
        <v>0</v>
      </c>
    </row>
    <row r="250" spans="1:10">
      <c r="J250">
        <f>ResXCO!A7</f>
        <v>0</v>
      </c>
    </row>
    <row r="251" spans="1:10">
      <c r="J251">
        <f>ResXCO!A8</f>
        <v>1</v>
      </c>
    </row>
    <row r="252" spans="1:10">
      <c r="J252">
        <f>ResXCO!A9</f>
        <v>2</v>
      </c>
    </row>
    <row r="253" spans="1:10">
      <c r="J253">
        <f>ResXCO!A10</f>
        <v>3</v>
      </c>
    </row>
    <row r="254" spans="1:10">
      <c r="J254">
        <f>ResXCO!A11</f>
        <v>4</v>
      </c>
    </row>
    <row r="255" spans="1:10">
      <c r="J255">
        <f>A255</f>
        <v>0</v>
      </c>
    </row>
    <row r="256" spans="1:10">
      <c r="J256">
        <f>A256</f>
        <v>0</v>
      </c>
    </row>
    <row r="257" spans="10:10">
      <c r="J257">
        <f>A257</f>
        <v>0</v>
      </c>
    </row>
    <row r="258" spans="10:10">
      <c r="J258">
        <f t="shared" ref="J258:J265" si="6">A258</f>
        <v>0</v>
      </c>
    </row>
    <row r="259" spans="10:10">
      <c r="J259">
        <f t="shared" si="6"/>
        <v>0</v>
      </c>
    </row>
    <row r="260" spans="10:10">
      <c r="J260">
        <f t="shared" si="6"/>
        <v>0</v>
      </c>
    </row>
    <row r="261" spans="10:10">
      <c r="J261">
        <f t="shared" si="6"/>
        <v>0</v>
      </c>
    </row>
    <row r="262" spans="10:10">
      <c r="J262">
        <f t="shared" si="6"/>
        <v>0</v>
      </c>
    </row>
    <row r="263" spans="10:10">
      <c r="J263">
        <f t="shared" si="6"/>
        <v>0</v>
      </c>
    </row>
    <row r="264" spans="10:10">
      <c r="J264">
        <f t="shared" si="6"/>
        <v>0</v>
      </c>
    </row>
    <row r="265" spans="10:10">
      <c r="J265">
        <f t="shared" si="6"/>
        <v>0</v>
      </c>
    </row>
  </sheetData>
  <conditionalFormatting sqref="B20:B21">
    <cfRule type="duplicateValues" dxfId="3" priority="7"/>
  </conditionalFormatting>
  <conditionalFormatting sqref="B28">
    <cfRule type="duplicateValues" dxfId="2" priority="5" stopIfTrue="1"/>
  </conditionalFormatting>
  <conditionalFormatting sqref="B135:B180 B188:B209">
    <cfRule type="duplicateValues" dxfId="1" priority="4"/>
  </conditionalFormatting>
  <conditionalFormatting sqref="A7:A1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32</vt:i4>
      </vt:variant>
      <vt:variant>
        <vt:lpstr>Rangos con nombre</vt:lpstr>
      </vt:variant>
      <vt:variant>
        <vt:i4>28</vt:i4>
      </vt:variant>
    </vt:vector>
  </HeadingPairs>
  <TitlesOfParts>
    <vt:vector size="60" baseType="lpstr">
      <vt:lpstr>EM</vt:lpstr>
      <vt:lpstr>Res I Fecha</vt:lpstr>
      <vt:lpstr>Res II Fecha</vt:lpstr>
      <vt:lpstr>SUB23</vt:lpstr>
      <vt:lpstr>EF</vt:lpstr>
      <vt:lpstr>SUB23F</vt:lpstr>
      <vt:lpstr>JM</vt:lpstr>
      <vt:lpstr>JF</vt:lpstr>
      <vt:lpstr>PJM</vt:lpstr>
      <vt:lpstr>PJF</vt:lpstr>
      <vt:lpstr>IM</vt:lpstr>
      <vt:lpstr>PIM</vt:lpstr>
      <vt:lpstr>IF</vt:lpstr>
      <vt:lpstr>PIF</vt:lpstr>
      <vt:lpstr>MA</vt:lpstr>
      <vt:lpstr>MB</vt:lpstr>
      <vt:lpstr>MC</vt:lpstr>
      <vt:lpstr>MD</vt:lpstr>
      <vt:lpstr>ME</vt:lpstr>
      <vt:lpstr>MAF</vt:lpstr>
      <vt:lpstr>MBF</vt:lpstr>
      <vt:lpstr>OP</vt:lpstr>
      <vt:lpstr>OP F</vt:lpstr>
      <vt:lpstr>PLM</vt:lpstr>
      <vt:lpstr>E-BIKE</vt:lpstr>
      <vt:lpstr>CXM</vt:lpstr>
      <vt:lpstr>Puntos XCO</vt:lpstr>
      <vt:lpstr>Puntos XCC Mayor</vt:lpstr>
      <vt:lpstr>Puntos XCC Menor</vt:lpstr>
      <vt:lpstr>Planilla</vt:lpstr>
      <vt:lpstr>ResXCO</vt:lpstr>
      <vt:lpstr>ResXCC</vt:lpstr>
      <vt:lpstr>CXM!Área_de_impresión</vt:lpstr>
      <vt:lpstr>'E-BIKE'!Área_de_impresión</vt:lpstr>
      <vt:lpstr>EF!Área_de_impresión</vt:lpstr>
      <vt:lpstr>EM!Área_de_impresión</vt:lpstr>
      <vt:lpstr>IF!Área_de_impresión</vt:lpstr>
      <vt:lpstr>IM!Área_de_impresión</vt:lpstr>
      <vt:lpstr>JF!Área_de_impresión</vt:lpstr>
      <vt:lpstr>JM!Área_de_impresión</vt:lpstr>
      <vt:lpstr>MA!Área_de_impresión</vt:lpstr>
      <vt:lpstr>MAF!Área_de_impresión</vt:lpstr>
      <vt:lpstr>MB!Área_de_impresión</vt:lpstr>
      <vt:lpstr>MBF!Área_de_impresión</vt:lpstr>
      <vt:lpstr>MC!Área_de_impresión</vt:lpstr>
      <vt:lpstr>MD!Área_de_impresión</vt:lpstr>
      <vt:lpstr>ME!Área_de_impresión</vt:lpstr>
      <vt:lpstr>OP!Área_de_impresión</vt:lpstr>
      <vt:lpstr>'OP F'!Área_de_impresión</vt:lpstr>
      <vt:lpstr>PIF!Área_de_impresión</vt:lpstr>
      <vt:lpstr>PIM!Área_de_impresión</vt:lpstr>
      <vt:lpstr>PJF!Área_de_impresión</vt:lpstr>
      <vt:lpstr>PJM!Área_de_impresión</vt:lpstr>
      <vt:lpstr>PLM!Área_de_impresión</vt:lpstr>
      <vt:lpstr>'SUB23'!Área_de_impresión</vt:lpstr>
      <vt:lpstr>SUB23F!Área_de_impresión</vt:lpstr>
      <vt:lpstr>PLANILLA</vt:lpstr>
      <vt:lpstr>RESXCC_1</vt:lpstr>
      <vt:lpstr>RESXCO</vt:lpstr>
      <vt:lpstr>RESXCO_SUB23_1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admin</cp:lastModifiedBy>
  <cp:lastPrinted>2026-07-08T22:04:36Z</cp:lastPrinted>
  <dcterms:created xsi:type="dcterms:W3CDTF">2011-06-14T01:18:11Z</dcterms:created>
  <dcterms:modified xsi:type="dcterms:W3CDTF">2026-07-24T02:19:27Z</dcterms:modified>
</cp:coreProperties>
</file>